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<sst xmlns="http://schemas.openxmlformats.org/spreadsheetml/2006/main" count="6315" uniqueCount="3011">
  <si>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</si>
  <si>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</si>
  <si>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</si>
  <si>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</si>
  <si>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</si>
  <si>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</si>
  <si>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</si>
  <si>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</si>
  <si>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</si>
  <si>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</si>
  <si>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</si>
  <si>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</si>
  <si>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</si>
  <si>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</si>
  <si>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</si>
  <si>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</si>
  <si>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</si>
  <si>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</si>
  <si>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</si>
  <si>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</si>
  <si>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</si>
  <si>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</si>
  <si>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</si>
  <si>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</si>
  <si>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</si>
  <si>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</si>
  <si>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</si>
  <si>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</si>
  <si>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</si>
  <si>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</si>
  <si>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</si>
  <si>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</si>
  <si>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</si>
  <si>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</si>
  <si>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</si>
  <si>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</si>
  <si>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</si>
  <si>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</si>
  <si>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</si>
  <si>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</si>
  <si>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</si>
  <si>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</si>
  <si>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</si>
  <si>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</si>
  <si>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</si>
  <si>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</si>
  <si>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</si>
  <si>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</si>
  <si>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</si>
  <si>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</si>
  <si>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</si>
  <si>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</si>
  <si>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</si>
  <si>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</si>
  <si>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</si>
  <si>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</si>
  <si>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</si>
  <si>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</si>
  <si>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</si>
  <si>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</si>
  <si>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</si>
  <si>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</si>
  <si>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</si>
  <si>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</si>
  <si>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</si>
  <si>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</si>
  <si>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</si>
  <si>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</si>
  <si>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</si>
  <si>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</si>
  <si>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</si>
  <si>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</si>
  <si>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</si>
  <si>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</si>
  <si>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</si>
  <si>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</si>
  <si>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</si>
  <si>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</si>
  <si>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</si>
  <si>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</si>
  <si>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</si>
  <si>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</si>
  <si>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</si>
  <si>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</si>
  <si>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</si>
  <si>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</si>
  <si>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</si>
  <si>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</si>
  <si>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</si>
  <si>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</si>
  <si>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</si>
  <si>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</si>
  <si>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</si>
  <si>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</si>
  <si>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</si>
  <si>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</si>
  <si>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</si>
  <si>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</si>
  <si>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</si>
  <si>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</si>
  <si>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</si>
  <si>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</si>
  <si>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</si>
  <si>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</si>
  <si>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</si>
  <si>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</si>
  <si>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</si>
  <si>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</si>
  <si>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</si>
  <si>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</si>
  <si>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</si>
  <si>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</si>
  <si>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</si>
  <si>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</si>
  <si>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</si>
  <si>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</si>
  <si>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</si>
  <si>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</si>
  <si>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</si>
  <si>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</si>
  <si>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</si>
  <si>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</si>
  <si>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</si>
  <si>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</si>
  <si>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</si>
  <si>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</si>
  <si>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</si>
  <si>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</si>
  <si>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</si>
  <si>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</si>
  <si>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</si>
  <si>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</si>
  <si>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</si>
  <si>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</si>
  <si>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</si>
  <si>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</si>
  <si>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</si>
  <si>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</si>
  <si>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</si>
  <si>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</si>
  <si>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</si>
  <si>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</si>
  <si>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</si>
  <si>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</si>
  <si>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</si>
  <si>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</si>
  <si>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</si>
  <si>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</si>
  <si>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</si>
  <si>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</si>
  <si>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r>
      <rPr>
        <sz val="10"/>
        <rFont val="Noto Sans CJK SC"/>
        <family val="2"/>
      </rPr>
      <t xml:space="preserve">資金管理 › 出金入金：入金／台灣券商／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/api/cash/movements 201 id 35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6,067,595.0000→6,167,595.0000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+100,000.0000</t>
    </r>
    <r>
      <rPr>
        <sz val="10"/>
        <rFont val="Noto Sans CJK SC"/>
        <family val="2"/>
      </rPr>
      <t xml:space="preserve">）✓；② 資金收支 </t>
    </r>
    <r>
      <rPr>
        <sz val="10"/>
        <rFont val="Arial"/>
        <family val="0"/>
        <charset val="1"/>
      </rPr>
      <t xml:space="preserve">34→35 </t>
    </r>
    <r>
      <rPr>
        <sz val="10"/>
        <rFont val="Noto Sans CJK SC"/>
        <family val="2"/>
      </rPr>
      <t xml:space="preserve">列、方向欄顯示「入金」✓，但方向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class dir-buy</t>
    </r>
    <r>
      <rPr>
        <sz val="10"/>
        <rFont val="Noto Sans CJK SC"/>
        <family val="2"/>
      </rPr>
      <t xml:space="preserve">、底色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（灰），非綠色 ✗；③ </t>
    </r>
    <r>
      <rPr>
        <sz val="10"/>
        <rFont val="Arial"/>
        <family val="0"/>
        <charset val="1"/>
      </rPr>
      <t xml:space="preserve">kpis.total_market_value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unrealized_total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字串完全不變 ✓；④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」✓。測畢刪除（確認框「刪除資金紀錄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・入金 </t>
    </r>
    <r>
      <rPr>
        <sz val="10"/>
        <rFont val="Arial"/>
        <family val="0"/>
        <charset val="1"/>
      </rPr>
      <t xml:space="preserve">100,000 TWD</t>
    </r>
    <r>
      <rPr>
        <sz val="10"/>
        <rFont val="Noto Sans CJK SC"/>
        <family val="2"/>
      </rPr>
      <t xml:space="preserve">（台灣券商）」、開框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支寫入、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 </t>
    </r>
    <r>
      <rPr>
        <sz val="10"/>
        <rFont val="Arial"/>
        <family val="0"/>
        <charset val="1"/>
      </rPr>
      <t xml:space="preserve">SHA-256 </t>
    </r>
    <r>
      <rPr>
        <sz val="10"/>
        <rFont val="Noto Sans CJK SC"/>
        <family val="2"/>
      </rPr>
      <t xml:space="preserve">完全相同</t>
    </r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</si>
  <si>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</si>
  <si>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</si>
  <si>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</si>
  <si>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</si>
  <si>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</si>
  <si>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</si>
  <si>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</si>
  <si>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</si>
  <si>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USD 1,000</t>
    </r>
    <r>
      <rPr>
        <sz val="10"/>
        <rFont val="Noto Sans CJK SC"/>
        <family val="2"/>
      </rPr>
      <t xml:space="preserve">、取得成本「匯率」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。第一次（欄位依序快速填入）：送出本文為 </t>
    </r>
    <r>
      <rPr>
        <sz val="10"/>
        <rFont val="Arial"/>
        <family val="0"/>
        <charset val="1"/>
      </rPr>
      <t xml:space="preserve">acq_rate "31.698999"</t>
    </r>
    <r>
      <rPr>
        <sz val="10"/>
        <rFont val="Noto Sans CJK SC"/>
        <family val="2"/>
      </rPr>
      <t xml:space="preserve">，寫入 </t>
    </r>
    <r>
      <rPr>
        <sz val="10"/>
        <rFont val="Arial"/>
        <family val="0"/>
        <charset val="1"/>
      </rPr>
      <t xml:space="preserve">acq_home_amount 31699——</t>
    </r>
    <r>
      <rPr>
        <sz val="10"/>
        <rFont val="Noto Sans CJK SC"/>
        <family val="2"/>
      </rPr>
      <t xml:space="preserve">使用者填的 </t>
    </r>
    <r>
      <rPr>
        <sz val="10"/>
        <rFont val="Arial"/>
        <family val="0"/>
        <charset val="1"/>
      </rPr>
      <t xml:space="preserve">31.5 </t>
    </r>
    <r>
      <rPr>
        <sz val="10"/>
        <rFont val="Noto Sans CJK SC"/>
        <family val="2"/>
      </rPr>
      <t xml:space="preserve">被晚到的參考匯率覆蓋 ✗（已刪除還原）。第二次（每步等待後以實體鍵盤輸入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acq_rate "31.5"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acq_home_amount 31500 → 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398,497.90→399,497.90 ✓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 </t>
    </r>
    <r>
      <rPr>
        <sz val="10"/>
        <rFont val="Arial"/>
        <family val="0"/>
        <charset val="1"/>
      </rPr>
      <t xml:space="preserve">31.78828061462297381648311597→31.78672715248054148397350282</t>
    </r>
    <r>
      <rPr>
        <sz val="10"/>
        <rFont val="Noto Sans CJK SC"/>
        <family val="2"/>
      </rPr>
      <t xml:space="preserve">，由均價反推的已覆蓋外幣量 </t>
    </r>
    <r>
      <rPr>
        <sz val="10"/>
        <rFont val="Arial"/>
        <family val="0"/>
        <charset val="1"/>
      </rPr>
      <t xml:space="preserve">184,572.99 USD </t>
    </r>
    <r>
      <rPr>
        <sz val="10"/>
        <rFont val="Noto Sans CJK SC"/>
        <family val="2"/>
      </rPr>
      <t xml:space="preserve">與由 </t>
    </r>
    <r>
      <rPr>
        <sz val="10"/>
        <rFont val="Arial"/>
        <family val="0"/>
        <charset val="1"/>
      </rPr>
      <t xml:space="preserve">covered_ratio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0.38090→0.38217</t>
    </r>
    <r>
      <rPr>
        <sz val="10"/>
        <rFont val="Noto Sans CJK SC"/>
        <family val="2"/>
      </rPr>
      <t xml:space="preserve">）反推的量 </t>
    </r>
    <r>
      <rPr>
        <sz val="10"/>
        <rFont val="Arial"/>
        <family val="0"/>
        <charset val="1"/>
      </rPr>
      <t xml:space="preserve">184,572.99 </t>
    </r>
    <r>
      <rPr>
        <sz val="10"/>
        <rFont val="Noto Sans CJK SC"/>
        <family val="2"/>
      </rPr>
      <t xml:space="preserve">完全一致，證明以 </t>
    </r>
    <r>
      <rPr>
        <sz val="10"/>
        <rFont val="Arial"/>
        <family val="0"/>
        <charset val="1"/>
      </rPr>
      <t xml:space="preserve">(C+31,500)/(Q+1,000) </t>
    </r>
    <r>
      <rPr>
        <sz val="10"/>
        <rFont val="Noto Sans CJK SC"/>
        <family val="2"/>
      </rPr>
      <t xml:space="preserve">加權 ✓；③ </t>
    </r>
    <r>
      <rPr>
        <sz val="10"/>
        <rFont val="Arial"/>
        <family val="0"/>
        <charset val="1"/>
      </rPr>
      <t xml:space="preserve">reporting_total 25,240,265.647465180→25,271,964.646465180</t>
    </r>
    <r>
      <rPr>
        <sz val="10"/>
        <rFont val="Noto Sans CJK SC"/>
        <family val="2"/>
      </rPr>
      <t xml:space="preserve">＝舊值＋</t>
    </r>
    <r>
      <rPr>
        <sz val="10"/>
        <rFont val="Arial"/>
        <family val="0"/>
        <charset val="1"/>
      </rPr>
      <t xml:space="preserve">1,000×31.698999 ✓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✓。測畢刪除，六段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</si>
  <si>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t xml:space="preserve">DEF-007</t>
  </si>
  <si>
    <r>
      <rPr>
        <sz val="10"/>
        <rFont val="Noto Sans CJK SC"/>
        <family val="2"/>
      </rPr>
      <t xml:space="preserve">另：提示句「參考值：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1 USD = 31.70 TWD</t>
    </r>
    <r>
      <rPr>
        <sz val="10"/>
        <rFont val="Noto Sans CJK SC"/>
        <family val="2"/>
      </rPr>
      <t xml:space="preserve">」，但 </t>
    </r>
    <r>
      <rPr>
        <sz val="10"/>
        <rFont val="Arial"/>
        <family val="0"/>
        <charset val="1"/>
      </rPr>
      <t xml:space="preserve">/api/cash/acq-rate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（凌晨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點尚無 </t>
    </r>
    <r>
      <rPr>
        <sz val="10"/>
        <rFont val="Arial"/>
        <family val="0"/>
        <charset val="1"/>
      </rPr>
      <t xml:space="preserve">09-23 </t>
    </r>
    <r>
      <rPr>
        <sz val="10"/>
        <rFont val="Noto Sans CJK SC"/>
        <family val="2"/>
      </rPr>
      <t xml:space="preserve">收盤），日期標錯；</t>
    </r>
    <r>
      <rPr>
        <sz val="10"/>
        <rFont val="Arial"/>
        <family val="0"/>
        <charset val="1"/>
      </rPr>
      <t xml:space="preserve">GET /api/cash/acq-rate </t>
    </r>
    <r>
      <rPr>
        <sz val="10"/>
        <rFont val="Noto Sans CJK SC"/>
        <family val="2"/>
      </rPr>
      <t xml:space="preserve">回的是市場參考匯率，不是成本池均價，手冊的對照方式以 </t>
    </r>
    <r>
      <rPr>
        <sz val="10"/>
        <rFont val="Arial"/>
        <family val="0"/>
        <charset val="1"/>
      </rPr>
      <t xml:space="preserve">dashboard fx.by_account </t>
    </r>
    <r>
      <rPr>
        <sz val="10"/>
        <rFont val="Noto Sans CJK SC"/>
        <family val="2"/>
      </rPr>
      <t xml:space="preserve">取代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DEF-007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項檢查全過：嘉信入金 </t>
    </r>
    <r>
      <rPr>
        <sz val="10"/>
        <rFont val="Arial"/>
        <family val="0"/>
        <charset val="1"/>
      </rPr>
      <t xml:space="preserve">USD 1,000@31.5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、加權平均匯率 </t>
    </r>
    <r>
      <rPr>
        <sz val="10"/>
        <rFont val="Arial"/>
        <family val="0"/>
        <charset val="1"/>
      </rPr>
      <t xml:space="preserve">31.78828→31.78673</t>
    </r>
    <r>
      <rPr>
        <sz val="10"/>
        <rFont val="Noto Sans CJK SC"/>
        <family val="2"/>
      </rPr>
      <t xml:space="preserve">、報表合計 </t>
    </r>
    <r>
      <rPr>
        <sz val="10"/>
        <rFont val="Arial"/>
        <family val="0"/>
        <charset val="1"/>
      </rPr>
      <t xml:space="preserve">+1,000×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+31,695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項檢查全過：嘉信入金 </t>
    </r>
    <r>
      <rPr>
        <sz val="10"/>
        <rFont val="Arial"/>
        <family val="0"/>
        <charset val="1"/>
      </rPr>
      <t xml:space="preserve">USD 1,000@31.5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、加權平均匯率 </t>
    </r>
    <r>
      <rPr>
        <sz val="10"/>
        <rFont val="Arial"/>
        <family val="0"/>
        <charset val="1"/>
      </rPr>
      <t xml:space="preserve">31.78828→31.78673</t>
    </r>
    <r>
      <rPr>
        <sz val="10"/>
        <rFont val="Noto Sans CJK SC"/>
        <family val="2"/>
      </rPr>
      <t xml:space="preserve">、報表合計 </t>
    </r>
    <r>
      <rPr>
        <sz val="10"/>
        <rFont val="Arial"/>
        <family val="0"/>
        <charset val="1"/>
      </rPr>
      <t xml:space="preserve">+1,000×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+31,785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不變；刪除後逐字相同</t>
    </r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</si>
  <si>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</si>
  <si>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</si>
  <si>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</si>
  <si>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</si>
  <si>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</si>
  <si>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</si>
  <si>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USD 1,000</t>
    </r>
    <r>
      <rPr>
        <sz val="10"/>
        <rFont val="Noto Sans CJK SC"/>
        <family val="2"/>
      </rPr>
      <t xml:space="preserve">，取得成本切「家幣金額」，實體鍵盤輸入 </t>
    </r>
    <r>
      <rPr>
        <sz val="10"/>
        <rFont val="Arial"/>
        <family val="0"/>
        <charset val="1"/>
      </rPr>
      <t xml:space="preserve">31500 → </t>
    </r>
    <r>
      <rPr>
        <sz val="10"/>
        <rFont val="Noto Sans CJK SC"/>
        <family val="2"/>
      </rPr>
      <t xml:space="preserve">提示「換算後 </t>
    </r>
    <r>
      <rPr>
        <sz val="10"/>
        <rFont val="Arial"/>
        <family val="0"/>
        <charset val="1"/>
      </rPr>
      <t xml:space="preserve">1 USD = 31.5000 TWD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acq_home_amount "31500" → </t>
    </r>
    <r>
      <rPr>
        <sz val="10"/>
        <rFont val="Noto Sans CJK SC"/>
        <family val="2"/>
      </rPr>
      <t xml:space="preserve">寫入後 </t>
    </r>
    <r>
      <rPr>
        <sz val="10"/>
        <rFont val="Arial"/>
        <family val="0"/>
        <charset val="1"/>
      </rPr>
      <t xml:space="preserve">avg_rate 31.78672715248054148397350282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covered_ratio 0.3821732135471538480754458768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A-02 </t>
    </r>
    <r>
      <rPr>
        <sz val="10"/>
        <rFont val="Noto Sans CJK SC"/>
        <family val="2"/>
      </rPr>
      <t xml:space="preserve">結果字串完全相同；</t>
    </r>
    <r>
      <rPr>
        <sz val="10"/>
        <rFont val="Arial"/>
        <family val="0"/>
        <charset val="1"/>
      </rPr>
      <t xml:space="preserve">reporting_total 25,271,964.646465180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不變。測畢刪除，逐位元還原</t>
    </r>
  </si>
  <si>
    <r>
      <rPr>
        <sz val="10"/>
        <rFont val="Noto Sans CJK SC"/>
        <family val="2"/>
      </rPr>
      <t xml:space="preserve">附記：由「匯率」切到「家幣金額」時欄位仍留著 </t>
    </r>
    <r>
      <rPr>
        <sz val="10"/>
        <rFont val="Arial"/>
        <family val="0"/>
        <charset val="1"/>
      </rPr>
      <t xml:space="preserve">31.698999</t>
    </r>
    <r>
      <rPr>
        <sz val="10"/>
        <rFont val="Noto Sans CJK SC"/>
        <family val="2"/>
      </rPr>
      <t xml:space="preserve">（被當成家幣 </t>
    </r>
    <r>
      <rPr>
        <sz val="10"/>
        <rFont val="Arial"/>
        <family val="0"/>
        <charset val="1"/>
      </rPr>
      <t xml:space="preserve">31.70 </t>
    </r>
    <r>
      <rPr>
        <sz val="10"/>
        <rFont val="Noto Sans CJK SC"/>
        <family val="2"/>
      </rPr>
      <t xml:space="preserve">元），提示同時顯示「參考值…</t>
    </r>
    <r>
      <rPr>
        <sz val="10"/>
        <rFont val="Arial"/>
        <family val="0"/>
        <charset val="1"/>
      </rPr>
      <t xml:space="preserve">31.70</t>
    </r>
    <r>
      <rPr>
        <sz val="10"/>
        <rFont val="Noto Sans CJK SC"/>
        <family val="2"/>
      </rPr>
      <t xml:space="preserve">」與「換算後 </t>
    </r>
    <r>
      <rPr>
        <sz val="10"/>
        <rFont val="Arial"/>
        <family val="0"/>
        <charset val="1"/>
      </rPr>
      <t xml:space="preserve">1 USD = 0.0317 TWD</t>
    </r>
    <r>
      <rPr>
        <sz val="10"/>
        <rFont val="Noto Sans CJK SC"/>
        <family val="2"/>
      </rPr>
      <t xml:space="preserve">」，確認鍵可按；有換算提示可察覺，未另開單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USD 1,000</t>
    </r>
    <r>
      <rPr>
        <sz val="10"/>
        <rFont val="Noto Sans CJK SC"/>
        <family val="2"/>
      </rPr>
      <t xml:space="preserve">：匯率模式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acq_rate "31.5"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#55</t>
    </r>
    <r>
      <rPr>
        <sz val="10"/>
        <rFont val="Noto Sans CJK SC"/>
        <family val="2"/>
      </rPr>
      <t xml:space="preserve">）與家幣金額模式 </t>
    </r>
    <r>
      <rPr>
        <sz val="10"/>
        <rFont val="Arial"/>
        <family val="0"/>
        <charset val="1"/>
      </rPr>
      <t xml:space="preserve">31,500</t>
    </r>
    <r>
      <rPr>
        <sz val="10"/>
        <rFont val="Noto Sans CJK SC"/>
        <family val="2"/>
      </rPr>
      <t xml:space="preserve">（提示「換算後 </t>
    </r>
    <r>
      <rPr>
        <sz val="10"/>
        <rFont val="Arial"/>
        <family val="0"/>
        <charset val="1"/>
      </rPr>
      <t xml:space="preserve">1 USD = 31.5000 TWD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POST acq_home_amount "31500"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#56</t>
    </r>
    <r>
      <rPr>
        <sz val="10"/>
        <rFont val="Noto Sans CJK SC"/>
        <family val="2"/>
      </rPr>
      <t xml:space="preserve">）寫入後 </t>
    </r>
    <r>
      <rPr>
        <sz val="10"/>
        <rFont val="Arial"/>
        <family val="0"/>
        <charset val="1"/>
      </rPr>
      <t xml:space="preserve">avg_rate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31.78672715248054148397350282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covered_ratio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0.3821732135471538480754458768</t>
    </r>
    <r>
      <rPr>
        <sz val="10"/>
        <rFont val="Noto Sans CJK SC"/>
        <family val="2"/>
      </rPr>
      <t xml:space="preserve">，兩模式字串完全相同（亦與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相同）；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不變。兩筆各自刪除後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項檢查全過：以家幣金額 </t>
    </r>
    <r>
      <rPr>
        <sz val="10"/>
        <rFont val="Arial"/>
        <family val="0"/>
        <charset val="1"/>
      </rPr>
      <t xml:space="preserve">31,500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USD 1,000 → </t>
    </r>
    <r>
      <rPr>
        <sz val="10"/>
        <rFont val="Noto Sans CJK SC"/>
        <family val="2"/>
      </rPr>
      <t xml:space="preserve">提示「換算後 </t>
    </r>
    <r>
      <rPr>
        <sz val="10"/>
        <rFont val="Arial"/>
        <family val="0"/>
        <charset val="1"/>
      </rPr>
      <t xml:space="preserve">1 USD = 31.5000 TWD</t>
    </r>
    <r>
      <rPr>
        <sz val="10"/>
        <rFont val="Noto Sans CJK SC"/>
        <family val="2"/>
      </rPr>
      <t xml:space="preserve">」、送出 </t>
    </r>
    <r>
      <rPr>
        <sz val="10"/>
        <rFont val="Arial"/>
        <family val="0"/>
        <charset val="1"/>
      </rPr>
      <t xml:space="preserve">acq_home_amount</t>
    </r>
    <r>
      <rPr>
        <sz val="10"/>
        <rFont val="Noto Sans CJK SC"/>
        <family val="2"/>
      </rPr>
      <t xml:space="preserve">、平均匯率與覆蓋率與 </t>
    </r>
    <r>
      <rPr>
        <sz val="10"/>
        <rFont val="Arial"/>
        <family val="0"/>
        <charset val="1"/>
      </rPr>
      <t xml:space="preserve">A-02</t>
    </r>
    <r>
      <rPr>
        <sz val="10"/>
        <rFont val="Noto Sans CJK SC"/>
        <family val="2"/>
      </rPr>
      <t xml:space="preserve">（匯率模式）逐位相同；刪除後逐字相同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項檢查全過：以家幣金額 </t>
    </r>
    <r>
      <rPr>
        <sz val="10"/>
        <rFont val="Arial"/>
        <family val="0"/>
        <charset val="1"/>
      </rPr>
      <t xml:space="preserve">31,500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USD 1,000 → </t>
    </r>
    <r>
      <rPr>
        <sz val="10"/>
        <rFont val="Noto Sans CJK SC"/>
        <family val="2"/>
      </rPr>
      <t xml:space="preserve">提示「換算後 </t>
    </r>
    <r>
      <rPr>
        <sz val="10"/>
        <rFont val="Arial"/>
        <family val="0"/>
        <charset val="1"/>
      </rPr>
      <t xml:space="preserve">1 USD = 31.5000 TWD</t>
    </r>
    <r>
      <rPr>
        <sz val="10"/>
        <rFont val="Noto Sans CJK SC"/>
        <family val="2"/>
      </rPr>
      <t xml:space="preserve">」、送出 </t>
    </r>
    <r>
      <rPr>
        <sz val="10"/>
        <rFont val="Arial"/>
        <family val="0"/>
        <charset val="1"/>
      </rPr>
      <t xml:space="preserve">acq_home_amount</t>
    </r>
    <r>
      <rPr>
        <sz val="10"/>
        <rFont val="Noto Sans CJK SC"/>
        <family val="2"/>
      </rPr>
      <t xml:space="preserve">、平均匯率與 </t>
    </r>
    <r>
      <rPr>
        <sz val="10"/>
        <rFont val="Arial"/>
        <family val="0"/>
        <charset val="1"/>
      </rPr>
      <t xml:space="preserve">A-02</t>
    </r>
    <r>
      <rPr>
        <sz val="10"/>
        <rFont val="Noto Sans CJK SC"/>
        <family val="2"/>
      </rPr>
      <t xml:space="preserve">（匯率模式）逐位相同（</t>
    </r>
    <r>
      <rPr>
        <sz val="10"/>
        <rFont val="Arial"/>
        <family val="0"/>
        <charset val="1"/>
      </rPr>
      <t xml:space="preserve">31.78672715…</t>
    </r>
    <r>
      <rPr>
        <sz val="10"/>
        <rFont val="Noto Sans CJK SC"/>
        <family val="2"/>
      </rPr>
      <t xml:space="preserve">）；刪除後逐字相同</t>
    </r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</si>
  <si>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</si>
  <si>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</si>
  <si>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</si>
  <si>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</si>
  <si>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</si>
  <si>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</si>
  <si>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 validation_error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」（未寫入）；改出金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id 39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）✓；② 方向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（透明底灰框，與入金實心灰區分）；③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✓。測畢刪除，六段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</si>
  <si>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</si>
  <si>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</si>
  <si>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</si>
  <si>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</si>
  <si>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</si>
  <si>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</si>
  <si>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</si>
  <si>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A-04 </t>
    </r>
    <r>
      <rPr>
        <sz val="10"/>
        <rFont val="Noto Sans CJK SC"/>
        <family val="2"/>
      </rPr>
      <t xml:space="preserve">後池餘額 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3,033,798 →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X+1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3,033,799</t>
    </r>
    <r>
      <rPr>
        <sz val="10"/>
        <rFont val="Noto Sans CJK SC"/>
        <family val="2"/>
      </rPr>
      <t xml:space="preserve">：① 前端即顯示「帳戶現金：</t>
    </r>
    <r>
      <rPr>
        <sz val="10"/>
        <rFont val="Arial"/>
        <family val="0"/>
        <charset val="1"/>
      </rPr>
      <t xml:space="preserve">3,033,798 TWD</t>
    </r>
    <r>
      <rPr>
        <sz val="10"/>
        <rFont val="Noto Sans CJK SC"/>
        <family val="2"/>
      </rPr>
      <t xml:space="preserve">」「出金金額超過帳戶現金（</t>
    </r>
    <r>
      <rPr>
        <sz val="10"/>
        <rFont val="Arial"/>
        <family val="0"/>
        <charset val="1"/>
      </rPr>
      <t xml:space="preserve">3,033,798 TWD</t>
    </r>
    <r>
      <rPr>
        <sz val="10"/>
        <rFont val="Noto Sans CJK SC"/>
        <family val="2"/>
      </rPr>
      <t xml:space="preserve">）— 出金不可透支」且確認鍵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；② 以相同本文直送 </t>
    </r>
    <r>
      <rPr>
        <sz val="10"/>
        <rFont val="Arial"/>
        <family val="0"/>
        <charset val="1"/>
      </rPr>
      <t xml:space="preserve">POST /api/cash/movements → 422 withdraw_insufficient_balance</t>
    </r>
    <r>
      <rPr>
        <sz val="10"/>
        <rFont val="Noto Sans CJK SC"/>
        <family val="2"/>
      </rPr>
      <t xml:space="preserve">「出金金額 </t>
    </r>
    <r>
      <rPr>
        <sz val="10"/>
        <rFont val="Arial"/>
        <family val="0"/>
        <charset val="1"/>
      </rPr>
      <t xml:space="preserve">3033799 TWD </t>
    </r>
    <r>
      <rPr>
        <sz val="10"/>
        <rFont val="Noto Sans CJK SC"/>
        <family val="2"/>
      </rPr>
      <t xml:space="preserve">超過 </t>
    </r>
    <r>
      <rPr>
        <sz val="10"/>
        <rFont val="Arial"/>
        <family val="0"/>
        <charset val="1"/>
      </rPr>
      <t xml:space="preserve">TW Broker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3033798.0000 — </t>
    </r>
    <r>
      <rPr>
        <sz val="10"/>
        <rFont val="Noto Sans CJK SC"/>
        <family val="2"/>
      </rPr>
      <t xml:space="preserve">出金不可透支（請先補登入金或換匯）」，未寫入 ✓，但訊息未指出從哪一天開始透支 ✗（且狀態碼為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）；③ 資金收支列數 </t>
    </r>
    <r>
      <rPr>
        <sz val="10"/>
        <rFont val="Arial"/>
        <family val="0"/>
        <charset val="1"/>
      </rPr>
      <t xml:space="preserve">35→35 ✓</t>
    </r>
  </si>
  <si>
    <t xml:space="preserve">DEF-008</t>
  </si>
  <si>
    <r>
      <rPr>
        <sz val="10"/>
        <rFont val="Noto Sans CJK SC"/>
        <family val="2"/>
      </rPr>
      <t xml:space="preserve">同一錯誤碼在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（過去日期）會點名日期，當日出金走的訊息分支沒有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DEF-008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項檢查全過：前端即示「出金金額超過帳戶現金（</t>
    </r>
    <r>
      <rPr>
        <sz val="10"/>
        <rFont val="Arial"/>
        <family val="0"/>
        <charset val="1"/>
      </rPr>
      <t xml:space="preserve">6,067,595 TWD</t>
    </r>
    <r>
      <rPr>
        <sz val="10"/>
        <rFont val="Noto Sans CJK SC"/>
        <family val="2"/>
      </rPr>
      <t xml:space="preserve">）— 出金不可透支」且確認鍵停用；後端 </t>
    </r>
    <r>
      <rPr>
        <sz val="10"/>
        <rFont val="Arial"/>
        <family val="0"/>
        <charset val="1"/>
      </rPr>
      <t xml:space="preserve">422 withdraw_insufficient_balance </t>
    </r>
    <r>
      <rPr>
        <sz val="10"/>
        <rFont val="Noto Sans CJK SC"/>
        <family val="2"/>
      </rPr>
      <t xml:space="preserve">點名「於 </t>
    </r>
    <r>
      <rPr>
        <sz val="10"/>
        <rFont val="Arial"/>
        <family val="0"/>
        <charset val="1"/>
      </rPr>
      <t xml:space="preserve">2026-09-28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（出金當日）」；資金收支仍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項檢查全過：前端即示「出金金額超過帳戶現金（</t>
    </r>
    <r>
      <rPr>
        <sz val="10"/>
        <rFont val="Arial"/>
        <family val="0"/>
        <charset val="1"/>
      </rPr>
      <t xml:space="preserve">6,067,595 TWD</t>
    </r>
    <r>
      <rPr>
        <sz val="10"/>
        <rFont val="Noto Sans CJK SC"/>
        <family val="2"/>
      </rPr>
      <t xml:space="preserve">）— 出金不可透支」且確認鍵停用；後端 </t>
    </r>
    <r>
      <rPr>
        <sz val="10"/>
        <rFont val="Arial"/>
        <family val="0"/>
        <charset val="1"/>
      </rPr>
      <t xml:space="preserve">422 withdraw_insufficient_balance </t>
    </r>
    <r>
      <rPr>
        <sz val="10"/>
        <rFont val="Noto Sans CJK SC"/>
        <family val="2"/>
      </rPr>
      <t xml:space="preserve">點名「於 </t>
    </r>
    <r>
      <rPr>
        <sz val="10"/>
        <rFont val="Arial"/>
        <family val="0"/>
        <charset val="1"/>
      </rPr>
      <t xml:space="preserve">2026-09-30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（出金當日）」；資金收支仍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</t>
    </r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</si>
  <si>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</si>
  <si>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</si>
  <si>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</si>
  <si>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</si>
  <si>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</t>
  </si>
  <si>
    <t xml:space="preserve">預期被擋；若寫入成功需刪除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</si>
  <si>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：在 </t>
    </r>
    <r>
      <rPr>
        <sz val="10"/>
        <rFont val="Arial"/>
        <family val="0"/>
        <charset val="1"/>
      </rPr>
      <t xml:space="preserve">2026-07-14 </t>
    </r>
    <r>
      <rPr>
        <sz val="10"/>
        <rFont val="Noto Sans CJK SC"/>
        <family val="2"/>
      </rPr>
      <t xml:space="preserve">插入出金 </t>
    </r>
    <r>
      <rPr>
        <sz val="10"/>
        <rFont val="Arial"/>
        <family val="0"/>
        <charset val="1"/>
      </rPr>
      <t xml:space="preserve">4,000,000</t>
    </r>
    <r>
      <rPr>
        <sz val="10"/>
        <rFont val="Noto Sans CJK SC"/>
        <family val="2"/>
      </rPr>
      <t xml:space="preserve">（當日餘額 </t>
    </r>
    <r>
      <rPr>
        <sz val="10"/>
        <rFont val="Arial"/>
        <family val="0"/>
        <charset val="1"/>
      </rPr>
      <t xml:space="preserve">4,098,523 </t>
    </r>
    <r>
      <rPr>
        <sz val="10"/>
        <rFont val="Noto Sans CJK SC"/>
        <family val="2"/>
      </rPr>
      <t xml:space="preserve">仍為正、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買進後會變負）→ 前端未預警、按確認寫入 → 後端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「此筆出金會使 </t>
    </r>
    <r>
      <rPr>
        <sz val="10"/>
        <rFont val="Arial"/>
        <family val="0"/>
        <charset val="1"/>
      </rPr>
      <t xml:space="preserve">TW Broker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</t>
    </r>
    <r>
      <rPr>
        <sz val="10"/>
        <rFont val="Arial"/>
        <family val="0"/>
        <charset val="1"/>
      </rPr>
      <t xml:space="preserve">-253820.0000</t>
    </r>
    <r>
      <rPr>
        <sz val="10"/>
        <rFont val="Noto Sans CJK SC"/>
        <family val="2"/>
      </rPr>
      <t xml:space="preserve">（出金日早於資金到位）— 出金不可透支」，點名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並阻擋 ✓；資金收支 </t>
    </r>
    <r>
      <rPr>
        <sz val="10"/>
        <rFont val="Arial"/>
        <family val="0"/>
        <charset val="1"/>
      </rPr>
      <t xml:space="preserve">34→34 </t>
    </r>
    <r>
      <rPr>
        <sz val="10"/>
        <rFont val="Noto Sans CJK SC"/>
        <family val="2"/>
      </rPr>
      <t xml:space="preserve">列、六段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 ✓</t>
    </r>
  </si>
  <si>
    <r>
      <rPr>
        <sz val="10"/>
        <rFont val="Noto Sans CJK SC"/>
        <family val="2"/>
      </rPr>
      <t xml:space="preserve">訊息用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英文帳戶名「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位小數原值與附加錯誤碼，見 </t>
    </r>
    <r>
      <rPr>
        <sz val="10"/>
        <rFont val="Arial"/>
        <family val="0"/>
        <charset val="1"/>
      </rPr>
      <t xml:space="preserve">DEF-008
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2026-07-14 </t>
    </r>
    <r>
      <rPr>
        <sz val="10"/>
        <rFont val="Noto Sans CJK SC"/>
        <family val="2"/>
      </rPr>
      <t xml:space="preserve">插入出金 </t>
    </r>
    <r>
      <rPr>
        <sz val="10"/>
        <rFont val="Arial"/>
        <family val="0"/>
        <charset val="1"/>
      </rPr>
      <t xml:space="preserve">4,000,000</t>
    </r>
    <r>
      <rPr>
        <sz val="10"/>
        <rFont val="Noto Sans CJK SC"/>
        <family val="2"/>
      </rPr>
      <t xml:space="preserve">（當日餘額仍為正，</t>
    </r>
    <r>
      <rPr>
        <sz val="10"/>
        <rFont val="Arial"/>
        <family val="0"/>
        <charset val="1"/>
      </rPr>
      <t xml:space="preserve">07-17 </t>
    </r>
    <r>
      <rPr>
        <sz val="10"/>
        <rFont val="Noto Sans CJK SC"/>
        <family val="2"/>
      </rPr>
      <t xml:space="preserve">買進後會變負）→ 後端 </t>
    </r>
    <r>
      <rPr>
        <sz val="10"/>
        <rFont val="Arial"/>
        <family val="0"/>
        <charset val="1"/>
      </rPr>
      <t xml:space="preserve">422 withdraw_insufficient_balance</t>
    </r>
    <r>
      <rPr>
        <sz val="10"/>
        <rFont val="Noto Sans CJK SC"/>
        <family val="2"/>
      </rPr>
      <t xml:space="preserve">，提示「此筆出金會使 台灣券商 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253,820</t>
    </r>
    <r>
      <rPr>
        <sz val="10"/>
        <rFont val="Noto Sans CJK SC"/>
        <family val="2"/>
      </rPr>
      <t xml:space="preserve">（出金日早於資金到位）— 出金不可透支，請先補登入金或換匯」，點名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並阻擋 ✓（帳戶名與金額格式較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已改善）；資金收支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列不變、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項檢查全過：倒填日期出金 →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253,820</t>
    </r>
    <r>
      <rPr>
        <sz val="10"/>
        <rFont val="Noto Sans CJK SC"/>
        <family val="2"/>
      </rPr>
      <t xml:space="preserve">（出金日早於資金到位）」，畫面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以「台灣券商」稱呼帳戶；資金收支仍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項檢查全過：倒填日期出金 →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253,820</t>
    </r>
    <r>
      <rPr>
        <sz val="10"/>
        <rFont val="Noto Sans CJK SC"/>
        <family val="2"/>
      </rPr>
      <t xml:space="preserve">（出金日早於資金到位）」；資金收支仍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</t>
    </r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</si>
  <si>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</si>
  <si>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</si>
  <si>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</si>
  <si>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</si>
  <si>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</si>
  <si>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r>
      <rPr>
        <sz val="10"/>
        <rFont val="Noto Sans CJK SC"/>
        <family val="2"/>
      </rPr>
      <t xml:space="preserve">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id 40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方向欄「利息」✓；③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字串完全不變，</t>
    </r>
    <r>
      <rPr>
        <sz val="10"/>
        <rFont val="Arial"/>
        <family val="0"/>
        <charset val="1"/>
      </rPr>
      <t xml:space="preserve">kpis.realized_total 45088.88676581242460723552943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不變（利息不入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）✓；④ 資金收支有此列，</t>
    </r>
    <r>
      <rPr>
        <sz val="10"/>
        <rFont val="Arial"/>
        <family val="0"/>
        <charset val="1"/>
      </rPr>
      <t xml:space="preserve">POST /api/export/cash-statement {schwab,USD} </t>
    </r>
    <r>
      <rPr>
        <sz val="10"/>
        <rFont val="Noto Sans CJK SC"/>
        <family val="2"/>
      </rPr>
      <t xml:space="preserve">匯出含「</t>
    </r>
    <r>
      <rPr>
        <sz val="10"/>
        <rFont val="Arial"/>
        <family val="0"/>
        <charset val="1"/>
      </rPr>
      <t xml:space="preserve">2026-09-23,USD,interest,…,QA-A07,12.34,398510.24</t>
    </r>
    <r>
      <rPr>
        <sz val="10"/>
        <rFont val="Noto Sans CJK SC"/>
        <family val="2"/>
      </rPr>
      <t xml:space="preserve">」✓。測畢刪除，逐位元還原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</si>
  <si>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</si>
  <si>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</si>
  <si>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</si>
  <si>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</si>
  <si>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</si>
  <si>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r>
      <rPr>
        <sz val="10"/>
        <rFont val="Noto Sans CJK SC"/>
        <family val="2"/>
      </rPr>
      <t xml:space="preserve">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方向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（扣款樣式）、方向欄「融資利息」✓；③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字串不變（不影響持倉成本）✓。另：</t>
    </r>
    <r>
      <rPr>
        <sz val="10"/>
        <rFont val="Arial"/>
        <family val="0"/>
        <charset val="1"/>
      </rPr>
      <t xml:space="preserve">trading_financing_cost 191→32.50500500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191−5×31.698999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−158.494995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不變，符合「交易與融資成本」口徑。測畢刪除，逐位元還原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</si>
  <si>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</si>
  <si>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</si>
  <si>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</si>
  <si>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</si>
  <si>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</si>
  <si>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r>
      <rPr>
        <sz val="10"/>
        <rFont val="Noto Sans CJK SC"/>
        <family val="2"/>
      </rPr>
      <t xml:space="preserve">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：第一次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502</t>
    </r>
    <r>
      <rPr>
        <sz val="10"/>
        <rFont val="Noto Sans CJK SC"/>
        <family val="2"/>
      </rPr>
      <t xml:space="preserve">（空內容，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寫入失敗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」，確認未寫入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列）；重試 </t>
    </r>
    <r>
      <rPr>
        <sz val="10"/>
        <rFont val="Arial"/>
        <family val="0"/>
        <charset val="1"/>
      </rPr>
      <t xml:space="preserve">POST 201 id 42 → ①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 ✓</t>
    </r>
    <r>
      <rPr>
        <sz val="10"/>
        <rFont val="Noto Sans CJK SC"/>
        <family val="2"/>
      </rPr>
      <t xml:space="preserve">；② 方向欄與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文字「券商費用」，與出金列「出金」區分 ✓（兩者同為 </t>
    </r>
    <r>
      <rPr>
        <sz val="10"/>
        <rFont val="Arial"/>
        <family val="0"/>
        <charset val="1"/>
      </rPr>
      <t xml:space="preserve">dir-sell </t>
    </r>
    <r>
      <rPr>
        <sz val="10"/>
        <rFont val="Noto Sans CJK SC"/>
        <family val="2"/>
      </rPr>
      <t xml:space="preserve">扣款樣式）；③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191→95.90300300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191−3×31.698999</t>
    </r>
    <r>
      <rPr>
        <sz val="10"/>
        <rFont val="Noto Sans CJK SC"/>
        <family val="2"/>
      </rPr>
      <t xml:space="preserve">）。測畢刪除，逐位元還原</t>
    </r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</si>
  <si>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</si>
  <si>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</si>
  <si>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</si>
  <si>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</si>
  <si>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</si>
  <si>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r>
      <rPr>
        <sz val="10"/>
        <rFont val="Noto Sans CJK SC"/>
        <family val="2"/>
      </rPr>
      <t xml:space="preserve">期初資金／嘉信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2026-01-01</t>
    </r>
    <r>
      <rPr>
        <sz val="10"/>
        <rFont val="Noto Sans CJK SC"/>
        <family val="2"/>
      </rPr>
      <t xml:space="preserve">（早於所有紀錄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）：外幣時「取得成本」欄出現並預填參考 </t>
    </r>
    <r>
      <rPr>
        <sz val="10"/>
        <rFont val="Arial"/>
        <family val="0"/>
        <charset val="1"/>
      </rPr>
      <t xml:space="preserve">31.243601 ✓③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acq_rate 31.243601</t>
    </r>
    <r>
      <rPr>
        <sz val="10"/>
        <rFont val="Noto Sans CJK SC"/>
        <family val="2"/>
      </rPr>
      <t xml:space="preserve">）→ 對帳單第一列「</t>
    </r>
    <r>
      <rPr>
        <sz val="10"/>
        <rFont val="Arial"/>
        <family val="0"/>
        <charset val="1"/>
      </rPr>
      <t xml:space="preserve">2026-01-01 opening 1000 </t>
    </r>
    <r>
      <rPr>
        <sz val="10"/>
        <rFont val="Noto Sans CJK SC"/>
        <family val="2"/>
      </rPr>
      <t xml:space="preserve">餘額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」①，其後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列滾動餘額逐列驗算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筆不符、期末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（全部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）②。測畢刪除（確認框「</t>
    </r>
    <r>
      <rPr>
        <sz val="10"/>
        <rFont val="Arial"/>
        <family val="0"/>
        <charset val="1"/>
      </rPr>
      <t xml:space="preserve">2026-01-01</t>
    </r>
    <r>
      <rPr>
        <sz val="10"/>
        <rFont val="Noto Sans CJK SC"/>
        <family val="2"/>
      </rPr>
      <t xml:space="preserve">・期初資金 </t>
    </r>
    <r>
      <rPr>
        <sz val="10"/>
        <rFont val="Arial"/>
        <family val="0"/>
        <charset val="1"/>
      </rPr>
      <t xml:space="preserve">1,000.00 USD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）」），首列回到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、期末 </t>
    </r>
    <r>
      <rPr>
        <sz val="10"/>
        <rFont val="Arial"/>
        <family val="0"/>
        <charset val="1"/>
      </rPr>
      <t xml:space="preserve">398,497.90</t>
    </r>
    <r>
      <rPr>
        <sz val="10"/>
        <rFont val="Noto Sans CJK SC"/>
        <family val="2"/>
      </rPr>
      <t xml:space="preserve">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</si>
  <si>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r>
      <rPr>
        <sz val="10"/>
        <rFont val="Noto Sans CJK SC"/>
        <family val="2"/>
      </rPr>
      <t xml:space="preserve">提示句「參考值：</t>
    </r>
    <r>
      <rPr>
        <sz val="10"/>
        <rFont val="Arial"/>
        <family val="0"/>
        <charset val="1"/>
      </rPr>
      <t xml:space="preserve">2026-01-01 </t>
    </r>
    <r>
      <rPr>
        <sz val="10"/>
        <rFont val="Noto Sans CJK SC"/>
        <family val="2"/>
      </rPr>
      <t xml:space="preserve">收盤」— 元旦無收盤，同 </t>
    </r>
    <r>
      <rPr>
        <sz val="10"/>
        <rFont val="Arial"/>
        <family val="0"/>
        <charset val="1"/>
      </rPr>
      <t xml:space="preserve">DEF-007 </t>
    </r>
    <r>
      <rPr>
        <sz val="10"/>
        <rFont val="Noto Sans CJK SC"/>
        <family val="2"/>
      </rPr>
      <t xml:space="preserve">的日期標示問題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全面重跑）：期初資金／嘉信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1,000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2026-01-01</t>
    </r>
    <r>
      <rPr>
        <sz val="10"/>
        <rFont val="Noto Sans CJK SC"/>
        <family val="2"/>
      </rPr>
      <t xml:space="preserve">（早於所有紀錄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）：外幣時出現「取得成本」欄，新開頁面預填參考 </t>
    </r>
    <r>
      <rPr>
        <sz val="10"/>
        <rFont val="Arial"/>
        <family val="0"/>
        <charset val="1"/>
      </rPr>
      <t xml:space="preserve">31.243601</t>
    </r>
    <r>
      <rPr>
        <sz val="10"/>
        <rFont val="Noto Sans CJK SC"/>
        <family val="2"/>
      </rPr>
      <t xml:space="preserve">，提示「參考值：</t>
    </r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1 USD = 31.24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2026-01-01 </t>
    </r>
    <r>
      <rPr>
        <sz val="10"/>
        <rFont val="Noto Sans CJK SC"/>
        <family val="2"/>
      </rPr>
      <t xml:space="preserve">尚無收盤匯率，採最近一個交易日）」（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的日期標示問題已改善）✓③；寫入 </t>
    </r>
    <r>
      <rPr>
        <sz val="10"/>
        <rFont val="Arial"/>
        <family val="0"/>
        <charset val="1"/>
      </rPr>
      <t xml:space="preserve">#61 → </t>
    </r>
    <r>
      <rPr>
        <sz val="10"/>
        <rFont val="Noto Sans CJK SC"/>
        <family val="2"/>
      </rPr>
      <t xml:space="preserve">對帳單第一列「</t>
    </r>
    <r>
      <rPr>
        <sz val="10"/>
        <rFont val="Arial"/>
        <family val="0"/>
        <charset val="1"/>
      </rPr>
      <t xml:space="preserve">2026-01-01 opening 1000 </t>
    </r>
    <r>
      <rPr>
        <sz val="10"/>
        <rFont val="Noto Sans CJK SC"/>
        <family val="2"/>
      </rPr>
      <t xml:space="preserve">餘額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」①，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列滾動餘額逐列驗算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筆不符、期末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（全部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）②。刪除確認框「</t>
    </r>
    <r>
      <rPr>
        <sz val="10"/>
        <rFont val="Arial"/>
        <family val="0"/>
        <charset val="1"/>
      </rPr>
      <t xml:space="preserve">2026-01-01</t>
    </r>
    <r>
      <rPr>
        <sz val="10"/>
        <rFont val="Noto Sans CJK SC"/>
        <family val="2"/>
      </rPr>
      <t xml:space="preserve">・期初資金 </t>
    </r>
    <r>
      <rPr>
        <sz val="10"/>
        <rFont val="Arial"/>
        <family val="0"/>
        <charset val="1"/>
      </rPr>
      <t xml:space="preserve">1,000.00 USD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）」→ 首列回到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、期末 </t>
    </r>
    <r>
      <rPr>
        <sz val="10"/>
        <rFont val="Arial"/>
        <family val="0"/>
        <charset val="1"/>
      </rPr>
      <t xml:space="preserve">398,497.90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。附註：同一頁面先前已手動輸入過取得成本時，改選期初資金不會覆寫（提示「未覆寫你輸入的值」並警示未登錄取得成本），屬設計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項檢查全過：外幣期初資金（</t>
    </r>
    <r>
      <rPr>
        <sz val="10"/>
        <rFont val="Arial"/>
        <family val="0"/>
        <charset val="1"/>
      </rPr>
      <t xml:space="preserve">2026-01-01 USD 1,000</t>
    </r>
    <r>
      <rPr>
        <sz val="10"/>
        <rFont val="Noto Sans CJK SC"/>
        <family val="2"/>
      </rPr>
      <t xml:space="preserve">）表單顯示取得成本欄與參考匯率 </t>
    </r>
    <r>
      <rPr>
        <sz val="10"/>
        <rFont val="Arial"/>
        <family val="0"/>
        <charset val="1"/>
      </rPr>
      <t xml:space="preserve">31.24</t>
    </r>
    <r>
      <rPr>
        <sz val="10"/>
        <rFont val="Noto Sans CJK SC"/>
        <family val="2"/>
      </rPr>
      <t xml:space="preserve">；對帳單首列為該期初、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列逐列滾動餘額正確、之後每列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（末列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項檢查全過：外幣期初資金（</t>
    </r>
    <r>
      <rPr>
        <sz val="10"/>
        <rFont val="Arial"/>
        <family val="0"/>
        <charset val="1"/>
      </rPr>
      <t xml:space="preserve">2026-01-01 USD 1,000</t>
    </r>
    <r>
      <rPr>
        <sz val="10"/>
        <rFont val="Noto Sans CJK SC"/>
        <family val="2"/>
      </rPr>
      <t xml:space="preserve">）表單顯示取得成本欄與參考匯率 </t>
    </r>
    <r>
      <rPr>
        <sz val="10"/>
        <rFont val="Arial"/>
        <family val="0"/>
        <charset val="1"/>
      </rPr>
      <t xml:space="preserve">31.24</t>
    </r>
    <r>
      <rPr>
        <sz val="10"/>
        <rFont val="Noto Sans CJK SC"/>
        <family val="2"/>
      </rPr>
      <t xml:space="preserve">；對帳單首列為該期初、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列逐列滾動餘額正確、之後每列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（末列 </t>
    </r>
    <r>
      <rPr>
        <sz val="10"/>
        <rFont val="Arial"/>
        <family val="0"/>
        <charset val="1"/>
      </rPr>
      <t xml:space="preserve">398,497.90→399,497.90</t>
    </r>
    <r>
      <rPr>
        <sz val="10"/>
        <rFont val="Noto Sans CJK SC"/>
        <family val="2"/>
      </rPr>
      <t xml:space="preserve">）；刪除後逐字相同</t>
    </r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</si>
  <si>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</si>
  <si>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</si>
  <si>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</si>
  <si>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</si>
  <si>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</t>
  </si>
  <si>
    <t xml:space="preserve">改完改回原值，或刪除後重建</t>
  </si>
  <si>
    <r>
      <rPr>
        <sz val="10"/>
        <rFont val="Noto Sans CJK SC"/>
        <family val="2"/>
      </rPr>
      <t xml:space="preserve">自建一筆 台灣券商 入金 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）→ 編輯：金額 </t>
    </r>
    <r>
      <rPr>
        <sz val="10"/>
        <rFont val="Arial"/>
        <family val="0"/>
        <charset val="1"/>
      </rPr>
      <t xml:space="preserve">2,000</t>
    </r>
    <r>
      <rPr>
        <sz val="10"/>
        <rFont val="Noto Sans CJK SC"/>
        <family val="2"/>
      </rPr>
      <t xml:space="preserve">、備註改 </t>
    </r>
    <r>
      <rPr>
        <sz val="10"/>
        <rFont val="Arial"/>
        <family val="0"/>
        <charset val="1"/>
      </rPr>
      <t xml:space="preserve">QA-A11-edited → PUT /api/cash/movements/44 200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已更新 資金紀錄 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」；台灣券商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對帳單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列滾動餘額逐列驗算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筆不符，期末 </t>
    </r>
    <r>
      <rPr>
        <sz val="10"/>
        <rFont val="Arial"/>
        <family val="0"/>
        <charset val="1"/>
      </rPr>
      <t xml:space="preserve">6,069,595</t>
    </r>
    <r>
      <rPr>
        <sz val="10"/>
        <rFont val="Noto Sans CJK SC"/>
        <family val="2"/>
      </rPr>
      <t xml:space="preserve">＝基準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2,000 ✓①</t>
    </r>
    <r>
      <rPr>
        <sz val="10"/>
        <rFont val="Noto Sans CJK SC"/>
        <family val="2"/>
      </rPr>
      <t xml:space="preserve">。② 折讓款列（</t>
    </r>
    <r>
      <rPr>
        <sz val="10"/>
        <rFont val="Arial"/>
        <family val="0"/>
        <charset val="1"/>
      </rPr>
      <t xml:space="preserve">#34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2026-02-01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191 TWD</t>
    </r>
    <r>
      <rPr>
        <sz val="10"/>
        <rFont val="Noto Sans CJK SC"/>
        <family val="2"/>
      </rPr>
      <t xml:space="preserve">）編輯鈕可按，開啟後日期／類型／備註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、金額可改，說明「折讓款為系統標記的現金退款 — 類型／備註／日期已鎖定以避免重複入帳，僅可修正金額；若要撤銷此筆退款，請直接刪除」✗（手冊期望整列不可編輯）；未儲存即取消。測畢刪除 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，逐位元還原</t>
    </r>
  </si>
  <si>
    <t xml:space="preserve">DEF-009</t>
  </si>
  <si>
    <r>
      <rPr>
        <sz val="10"/>
        <rFont val="Noto Sans CJK SC"/>
        <family val="2"/>
      </rPr>
      <t xml:space="preserve">實作為「部分鎖定、可改金額」且有說明，與手冊「不可編輯」不同，屬規格未定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DEF-009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裁定：折讓款列改為整列可編輯，現行（只能改金額）不符 → 待開發者修；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欄期望待同步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DEF-009 </t>
    </r>
    <r>
      <rPr>
        <sz val="10"/>
        <rFont val="Noto Sans CJK SC"/>
        <family val="2"/>
      </rPr>
      <t xml:space="preserve">複驗通過結案（折讓款整列可編輯、月份不重開）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項檢查全過：編輯金額為 </t>
    </r>
    <r>
      <rPr>
        <sz val="10"/>
        <rFont val="Arial"/>
        <family val="0"/>
        <charset val="1"/>
      </rPr>
      <t xml:space="preserve">150 → 52 </t>
    </r>
    <r>
      <rPr>
        <sz val="10"/>
        <rFont val="Noto Sans CJK SC"/>
        <family val="2"/>
      </rPr>
      <t xml:space="preserve">列滾動餘額全部重算正確；折讓款列日期／類型／金額／備註皆可改、說明寫明寫入稽核軌跡；測後刪除並逐字相同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項檢查全過：編輯金額為 </t>
    </r>
    <r>
      <rPr>
        <sz val="10"/>
        <rFont val="Arial"/>
        <family val="0"/>
        <charset val="1"/>
      </rPr>
      <t xml:space="preserve">150 → PUT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列滾動餘額全部重算正確；折讓款列日期／類型／金額／備註皆可改、說明寫明寫入稽核軌跡；測後刪除並逐字相同</t>
    </r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</si>
  <si>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</si>
  <si>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</si>
  <si>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</si>
  <si>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</si>
  <si>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</si>
  <si>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</si>
  <si>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r>
      <rPr>
        <sz val="10"/>
        <rFont val="Noto Sans CJK SC"/>
        <family val="2"/>
      </rPr>
      <t xml:space="preserve">資金管理 › 點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池：畫面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列，由舊到新逐列以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驗算「前一列餘額＋本列金額＝本列餘額」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筆不符；最末列餘額 </t>
    </r>
    <r>
      <rPr>
        <sz val="10"/>
        <rFont val="Arial"/>
        <family val="0"/>
        <charset val="1"/>
      </rPr>
      <t xml:space="preserve">508,466.42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GET /api/cash 508466.420</t>
    </r>
    <r>
      <rPr>
        <sz val="10"/>
        <rFont val="Noto Sans CJK SC"/>
        <family val="2"/>
      </rPr>
      <t xml:space="preserve">；匯出現金對帳單 </t>
    </r>
    <r>
      <rPr>
        <sz val="10"/>
        <rFont val="Arial"/>
        <family val="0"/>
        <charset val="1"/>
      </rPr>
      <t xml:space="preserve">CSV 28 </t>
    </r>
    <r>
      <rPr>
        <sz val="10"/>
        <rFont val="Noto Sans CJK SC"/>
        <family val="2"/>
      </rPr>
      <t xml:space="preserve">列、最末列 </t>
    </r>
    <r>
      <rPr>
        <sz val="10"/>
        <rFont val="Arial"/>
        <family val="0"/>
        <charset val="1"/>
      </rPr>
      <t xml:space="preserve">balance 508466.420</t>
    </r>
  </si>
  <si>
    <r>
      <rPr>
        <sz val="10"/>
        <rFont val="Noto Sans CJK SC"/>
        <family val="2"/>
      </rPr>
      <t xml:space="preserve">前一輪稽核記錄為 </t>
    </r>
    <r>
      <rPr>
        <sz val="10"/>
        <rFont val="Arial"/>
        <family val="0"/>
        <charset val="1"/>
      </rPr>
      <t xml:space="preserve">31 </t>
    </r>
    <r>
      <rPr>
        <sz val="10"/>
        <rFont val="Noto Sans CJK SC"/>
        <family val="2"/>
      </rPr>
      <t xml:space="preserve">列，本輪畫面／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列（資料量差異，非本案判定依據）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全面重跑）：資金管理 › 帳戶現金 點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：畫面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列（目前餘額 </t>
    </r>
    <r>
      <rPr>
        <sz val="10"/>
        <rFont val="Arial"/>
        <family val="0"/>
        <charset val="1"/>
      </rPr>
      <t xml:space="preserve">508,466.42 MYR</t>
    </r>
    <r>
      <rPr>
        <sz val="10"/>
        <rFont val="Noto Sans CJK SC"/>
        <family val="2"/>
      </rPr>
      <t xml:space="preserve">），由舊到新逐列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驗算「前一列餘額＋本列金額＝本列餘額」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筆不符；最末列 </t>
    </r>
    <r>
      <rPr>
        <sz val="10"/>
        <rFont val="Arial"/>
        <family val="0"/>
        <charset val="1"/>
      </rPr>
      <t xml:space="preserve">508,466.42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GET /api/cash 508466.420</t>
    </r>
    <r>
      <rPr>
        <sz val="10"/>
        <rFont val="Noto Sans CJK SC"/>
        <family val="2"/>
      </rPr>
      <t xml:space="preserve">；匯出現金對帳單 </t>
    </r>
    <r>
      <rPr>
        <sz val="10"/>
        <rFont val="Arial"/>
        <family val="0"/>
        <charset val="1"/>
      </rPr>
      <t xml:space="preserve">CSV 28 </t>
    </r>
    <r>
      <rPr>
        <sz val="10"/>
        <rFont val="Noto Sans CJK SC"/>
        <family val="2"/>
      </rPr>
      <t xml:space="preserve">列同樣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筆不符、最末 </t>
    </r>
    <r>
      <rPr>
        <sz val="10"/>
        <rFont val="Arial"/>
        <family val="0"/>
        <charset val="1"/>
      </rPr>
      <t xml:space="preserve">balance 508466.420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MYR </t>
    </r>
    <r>
      <rPr>
        <sz val="10"/>
        <rFont val="Noto Sans CJK SC"/>
        <family val="2"/>
      </rPr>
      <t xml:space="preserve">對帳單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列逐列「前一列＋變動＝餘額」、末列 </t>
    </r>
    <r>
      <rPr>
        <sz val="10"/>
        <rFont val="Arial"/>
        <family val="0"/>
        <charset val="1"/>
      </rPr>
      <t xml:space="preserve">508,466.42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GET /api/cash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Moomoo MY MYR </t>
    </r>
    <r>
      <rPr>
        <sz val="10"/>
        <rFont val="Noto Sans CJK SC"/>
        <family val="2"/>
      </rPr>
      <t xml:space="preserve">對帳單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列逐列「前一列＋變動＝餘額」、末列 </t>
    </r>
    <r>
      <rPr>
        <sz val="10"/>
        <rFont val="Arial"/>
        <family val="0"/>
        <charset val="1"/>
      </rPr>
      <t xml:space="preserve">508,466.42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GET /api/cash</t>
    </r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</si>
  <si>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</si>
  <si>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</si>
  <si>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</si>
  <si>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</si>
  <si>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</si>
  <si>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</si>
  <si>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</si>
  <si>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r>
      <rPr>
        <sz val="10"/>
        <rFont val="Noto Sans CJK SC"/>
        <family val="2"/>
      </rPr>
      <t xml:space="preserve">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/api/cash/fx-estimate rate 0.245278 as_of 2026-09-22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id 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981.11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+981.11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4.384338038040251696433279862→4.379293082161308204083879503</t>
    </r>
    <r>
      <rPr>
        <sz val="10"/>
        <rFont val="Noto Sans CJK SC"/>
        <family val="2"/>
      </rPr>
      <t xml:space="preserve">，由此反推的舊覆蓋量＝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 10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×240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僅差 −</t>
    </r>
    <r>
      <rPr>
        <sz val="10"/>
        <rFont val="Arial"/>
        <family val="0"/>
        <charset val="1"/>
      </rPr>
      <t xml:space="preserve">0.111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4.0770148…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）✓。測畢由交易帳本 › 換匯分頁刪除（確認框「確定刪除這筆換匯？」→ </t>
    </r>
    <r>
      <rPr>
        <sz val="10"/>
        <rFont val="Arial"/>
        <family val="0"/>
        <charset val="1"/>
      </rPr>
      <t xml:space="preserve">DELETE /api/ledgers/fx/21</t>
    </r>
    <r>
      <rPr>
        <sz val="10"/>
        <rFont val="Noto Sans CJK SC"/>
        <family val="2"/>
      </rPr>
      <t xml:space="preserve">），現金池、均價、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</si>
  <si>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</si>
  <si>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</si>
  <si>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</si>
  <si>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</si>
  <si>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</si>
  <si>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</si>
  <si>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</si>
  <si>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r>
      <rPr>
        <sz val="10"/>
        <rFont val="Noto Sans CJK SC"/>
        <family val="2"/>
      </rPr>
      <t xml:space="preserve">換匯中心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，賣出 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／買入 </t>
    </r>
    <r>
      <rPr>
        <sz val="10"/>
        <rFont val="Arial"/>
        <family val="0"/>
        <charset val="1"/>
      </rPr>
      <t xml:space="preserve">USD → </t>
    </r>
    <r>
      <rPr>
        <sz val="10"/>
        <rFont val="Noto Sans CJK SC"/>
        <family val="2"/>
      </rPr>
      <t xml:space="preserve">把買入幣別改成 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：賣出幣別自動翻為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、可用餘額由 </t>
    </r>
    <r>
      <rPr>
        <sz val="10"/>
        <rFont val="Arial"/>
        <family val="0"/>
        <charset val="1"/>
      </rPr>
      <t xml:space="preserve">508,466.42 MYR </t>
    </r>
    <r>
      <rPr>
        <sz val="10"/>
        <rFont val="Noto Sans CJK SC"/>
        <family val="2"/>
      </rPr>
      <t xml:space="preserve">切為 </t>
    </r>
    <r>
      <rPr>
        <sz val="10"/>
        <rFont val="Arial"/>
        <family val="0"/>
        <charset val="1"/>
      </rPr>
      <t xml:space="preserve">56,384.10 USD</t>
    </r>
    <r>
      <rPr>
        <sz val="10"/>
        <rFont val="Noto Sans CJK SC"/>
        <family val="2"/>
      </rPr>
      <t xml:space="preserve">，並顯示「買賣幣別不可相同 — 已自動將賣出幣別改為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，可用餘額也隨之切換」</t>
    </r>
  </si>
  <si>
    <r>
      <rPr>
        <sz val="10"/>
        <rFont val="Noto Sans CJK SC"/>
        <family val="2"/>
      </rPr>
      <t xml:space="preserve">未送出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，賣出 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／買入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（可用餘額 </t>
    </r>
    <r>
      <rPr>
        <sz val="10"/>
        <rFont val="Arial"/>
        <family val="0"/>
        <charset val="1"/>
      </rPr>
      <t xml:space="preserve">508,466.42 MYR</t>
    </r>
    <r>
      <rPr>
        <sz val="10"/>
        <rFont val="Noto Sans CJK SC"/>
        <family val="2"/>
      </rPr>
      <t xml:space="preserve">）→ 把買入幣別改成 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：賣出幣別自動翻為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、可用餘額切為 </t>
    </r>
    <r>
      <rPr>
        <sz val="10"/>
        <rFont val="Arial"/>
        <family val="0"/>
        <charset val="1"/>
      </rPr>
      <t xml:space="preserve">56,384.10 USD</t>
    </r>
    <r>
      <rPr>
        <sz val="10"/>
        <rFont val="Noto Sans CJK SC"/>
        <family val="2"/>
      </rPr>
      <t xml:space="preserve">，並顯示「買賣幣別不可相同 — 已自動將賣出幣別改為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，可用餘額也隨之切換」✓。未送出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項檢查全過：買賣幣別相同 → 自動改賣出幣別為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、提示「買賣幣別不可相同 — 已自動將賣出幣別改為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，可用餘額也隨之切換」、可用餘額 </t>
    </r>
    <r>
      <rPr>
        <sz val="10"/>
        <rFont val="Arial"/>
        <family val="0"/>
        <charset val="1"/>
      </rPr>
      <t xml:space="preserve">56,384.10 USD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項檢查全過：買賣幣別相同 → 自動改賣出幣別為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、提示「買賣幣別不可相同 — 已自動將賣出幣別改為 </t>
    </r>
    <r>
      <rPr>
        <sz val="10"/>
        <rFont val="Arial"/>
        <family val="0"/>
        <charset val="1"/>
      </rPr>
      <t xml:space="preserve">USD…</t>
    </r>
    <r>
      <rPr>
        <sz val="10"/>
        <rFont val="Noto Sans CJK SC"/>
        <family val="2"/>
      </rPr>
      <t xml:space="preserve">」、可用餘額 </t>
    </r>
    <r>
      <rPr>
        <sz val="10"/>
        <rFont val="Arial"/>
        <family val="0"/>
        <charset val="1"/>
      </rPr>
      <t xml:space="preserve">56,384.10 USD</t>
    </r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</si>
  <si>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</si>
  <si>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</si>
  <si>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</si>
  <si>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</si>
  <si>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</si>
  <si>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981.11 </t>
    </r>
    <r>
      <rPr>
        <sz val="10"/>
        <rFont val="Noto Sans CJK SC"/>
        <family val="2"/>
      </rPr>
      <t xml:space="preserve">後，以實體鍵盤改寫買入金額為 </t>
    </r>
    <r>
      <rPr>
        <sz val="10"/>
        <rFont val="Arial"/>
        <family val="0"/>
        <charset val="1"/>
      </rPr>
      <t xml:space="preserve">985</t>
    </r>
    <r>
      <rPr>
        <sz val="10"/>
        <rFont val="Noto Sans CJK SC"/>
        <family val="2"/>
      </rPr>
      <t xml:space="preserve">：立即顯示「已手動指定買入金額 — 按「重新試算」可依即期匯率回填」並出現「重新試算」鈕 ①、無殘留「試算中…」②、隱含匯率改為 </t>
    </r>
    <r>
      <rPr>
        <sz val="10"/>
        <rFont val="Arial"/>
        <family val="0"/>
        <charset val="1"/>
      </rPr>
      <t xml:space="preserve">1 USD = 4.0609 MYR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4000/985</t>
    </r>
    <r>
      <rPr>
        <sz val="10"/>
        <rFont val="Noto Sans CJK SC"/>
        <family val="2"/>
      </rPr>
      <t xml:space="preserve">）③；按「重新試算」→ 回填 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、提示改回「以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0.2453 </t>
    </r>
    <r>
      <rPr>
        <sz val="10"/>
        <rFont val="Noto Sans CJK SC"/>
        <family val="2"/>
      </rPr>
      <t xml:space="preserve">試算，可依實際成交調整」、隱含 </t>
    </r>
    <r>
      <rPr>
        <sz val="10"/>
        <rFont val="Arial"/>
        <family val="0"/>
        <charset val="1"/>
      </rPr>
      <t xml:space="preserve">4.0770 ④</t>
    </r>
  </si>
  <si>
    <r>
      <rPr>
        <sz val="10"/>
        <rFont val="Noto Sans CJK SC"/>
        <family val="2"/>
      </rPr>
      <t xml:space="preserve">未送出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全面重跑）：賣出 </t>
    </r>
    <r>
      <rPr>
        <sz val="10"/>
        <rFont val="Arial"/>
        <family val="0"/>
        <charset val="1"/>
      </rPr>
      <t xml:space="preserve">MYR 4,000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 USD</t>
    </r>
    <r>
      <rPr>
        <sz val="10"/>
        <rFont val="Noto Sans CJK SC"/>
        <family val="2"/>
      </rPr>
      <t xml:space="preserve">（「以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 </t>
    </r>
    <r>
      <rPr>
        <sz val="10"/>
        <rFont val="Noto Sans CJK SC"/>
        <family val="2"/>
      </rPr>
      <t xml:space="preserve">試算，可依實際成交調整」、隱含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）後改寫買入金額為 </t>
    </r>
    <r>
      <rPr>
        <sz val="10"/>
        <rFont val="Arial"/>
        <family val="0"/>
        <charset val="1"/>
      </rPr>
      <t xml:space="preserve">985</t>
    </r>
    <r>
      <rPr>
        <sz val="10"/>
        <rFont val="Noto Sans CJK SC"/>
        <family val="2"/>
      </rPr>
      <t xml:space="preserve">：立即顯示「已手動指定買入金額 — 按「重新試算」可依即期匯率回填」並出現「重新試算」鈕 ①、頁面無「試算中…」②、隱含匯率改為 </t>
    </r>
    <r>
      <rPr>
        <sz val="10"/>
        <rFont val="Arial"/>
        <family val="0"/>
        <charset val="1"/>
      </rPr>
      <t xml:space="preserve">1 USD = 4.0609 MYR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4000/985</t>
    </r>
    <r>
      <rPr>
        <sz val="10"/>
        <rFont val="Noto Sans CJK SC"/>
        <family val="2"/>
      </rPr>
      <t xml:space="preserve">）③；按「重新試算」→ 回填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、提示與隱含 </t>
    </r>
    <r>
      <rPr>
        <sz val="10"/>
        <rFont val="Arial"/>
        <family val="0"/>
        <charset val="1"/>
      </rPr>
      <t xml:space="preserve">4.0875 </t>
    </r>
    <r>
      <rPr>
        <sz val="10"/>
        <rFont val="Noto Sans CJK SC"/>
        <family val="2"/>
      </rPr>
      <t xml:space="preserve">復原、鈕消失 ④。未送出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項檢查全過：手動改買入金額 </t>
    </r>
    <r>
      <rPr>
        <sz val="10"/>
        <rFont val="Arial"/>
        <family val="0"/>
        <charset val="1"/>
      </rPr>
      <t xml:space="preserve">985 → </t>
    </r>
    <r>
      <rPr>
        <sz val="10"/>
        <rFont val="Noto Sans CJK SC"/>
        <family val="2"/>
      </rPr>
      <t xml:space="preserve">提示「已手動指定買入金額」、隱含匯率 </t>
    </r>
    <r>
      <rPr>
        <sz val="10"/>
        <rFont val="Arial"/>
        <family val="0"/>
        <charset val="1"/>
      </rPr>
      <t xml:space="preserve">4.0609</t>
    </r>
    <r>
      <rPr>
        <sz val="10"/>
        <rFont val="Noto Sans CJK SC"/>
        <family val="2"/>
      </rPr>
      <t xml:space="preserve">、無殘留「試算中…」；「重新試算」回填 </t>
    </r>
    <r>
      <rPr>
        <sz val="10"/>
        <rFont val="Arial"/>
        <family val="0"/>
        <charset val="1"/>
      </rPr>
      <t xml:space="preserve">982.44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項檢查全過：手動改買入金額 </t>
    </r>
    <r>
      <rPr>
        <sz val="10"/>
        <rFont val="Arial"/>
        <family val="0"/>
        <charset val="1"/>
      </rPr>
      <t xml:space="preserve">985 → </t>
    </r>
    <r>
      <rPr>
        <sz val="10"/>
        <rFont val="Noto Sans CJK SC"/>
        <family val="2"/>
      </rPr>
      <t xml:space="preserve">提示「已手動指定買入金額」、隱含匯率 </t>
    </r>
    <r>
      <rPr>
        <sz val="10"/>
        <rFont val="Arial"/>
        <family val="0"/>
        <charset val="1"/>
      </rPr>
      <t xml:space="preserve">4.0609</t>
    </r>
    <r>
      <rPr>
        <sz val="10"/>
        <rFont val="Noto Sans CJK SC"/>
        <family val="2"/>
      </rPr>
      <t xml:space="preserve">、無殘留「試算中…」；「重新試算」回填 </t>
    </r>
    <r>
      <rPr>
        <sz val="10"/>
        <rFont val="Arial"/>
        <family val="0"/>
        <charset val="1"/>
      </rPr>
      <t xml:space="preserve">980.39</t>
    </r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</si>
  <si>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</si>
  <si>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</si>
  <si>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</si>
  <si>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</si>
  <si>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</si>
  <si>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</si>
  <si>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r>
      <rPr>
        <sz val="10"/>
        <rFont val="Noto Sans CJK SC"/>
        <family val="2"/>
      </rPr>
      <t xml:space="preserve">收件匣 › 待確認退款 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折讓款（台灣券商，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筆、手續費 </t>
    </r>
    <r>
      <rPr>
        <sz val="10"/>
        <rFont val="Arial"/>
        <family val="0"/>
        <charset val="1"/>
      </rPr>
      <t xml:space="preserve">826 → 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633</t>
    </r>
    <r>
      <rPr>
        <sz val="10"/>
        <rFont val="Noto Sans CJK SC"/>
        <family val="2"/>
      </rPr>
      <t xml:space="preserve">）→ 確認入帳對話框預填 </t>
    </r>
    <r>
      <rPr>
        <sz val="10"/>
        <rFont val="Arial"/>
        <family val="0"/>
        <charset val="1"/>
      </rPr>
      <t xml:space="preserve">633</t>
    </r>
    <r>
      <rPr>
        <sz val="10"/>
        <rFont val="Noto Sans CJK SC"/>
        <family val="2"/>
      </rPr>
      <t xml:space="preserve">，改填實際 </t>
    </r>
    <r>
      <rPr>
        <sz val="10"/>
        <rFont val="Arial"/>
        <family val="0"/>
        <charset val="1"/>
      </rPr>
      <t xml:space="preserve">620 → POST /api/rebates/confirm 200 id 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折讓款已入帳 </t>
    </r>
    <r>
      <rPr>
        <sz val="10"/>
        <rFont val="Arial"/>
        <family val="0"/>
        <charset val="1"/>
      </rPr>
      <t xml:space="preserve">2026-06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620 TWD </t>
    </r>
    <r>
      <rPr>
        <sz val="10"/>
        <rFont val="Noto Sans CJK SC"/>
        <family val="2"/>
      </rPr>
      <t xml:space="preserve">已記入現金池」→ ①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6,067,595→6,068,215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+620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不變（不影響持倉成本）✓；待確認退款 </t>
    </r>
    <r>
      <rPr>
        <sz val="10"/>
        <rFont val="Arial"/>
        <family val="0"/>
        <charset val="1"/>
      </rPr>
      <t xml:space="preserve">3→2</t>
    </r>
    <r>
      <rPr>
        <sz val="10"/>
        <rFont val="Noto Sans CJK SC"/>
        <family val="2"/>
      </rPr>
      <t xml:space="preserve">。復原：依說明「若要撤銷此筆退款，請直接刪除」於資金收支刪除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折讓款 </t>
    </r>
    <r>
      <rPr>
        <sz val="10"/>
        <rFont val="Arial"/>
        <family val="0"/>
        <charset val="1"/>
      </rPr>
      <t xml:space="preserve">620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DELETE /api/cash/movements/45</t>
    </r>
    <r>
      <rPr>
        <sz val="10"/>
        <rFont val="Noto Sans CJK SC"/>
        <family val="2"/>
      </rPr>
      <t xml:space="preserve">）→ 待確認退款回到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、現金池／列數／四段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 ③</t>
    </r>
  </si>
  <si>
    <t xml:space="preserve">DEF-011</t>
  </si>
  <si>
    <r>
      <rPr>
        <sz val="10"/>
        <rFont val="Noto Sans CJK SC"/>
        <family val="2"/>
      </rPr>
      <t xml:space="preserve">附帶：入帳後 </t>
    </r>
    <r>
      <rPr>
        <sz val="10"/>
        <rFont val="Arial"/>
        <family val="0"/>
        <charset val="1"/>
      </rPr>
      <t xml:space="preserve">kpis.xirr 10.22406575305222→10.224722584268248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191→811</t>
    </r>
    <r>
      <rPr>
        <sz val="10"/>
        <rFont val="Noto Sans CJK SC"/>
        <family val="2"/>
      </rPr>
      <t xml:space="preserve">，與收件匣文案「不計入成本／損益／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」矛盾（見 </t>
    </r>
    <r>
      <rPr>
        <sz val="10"/>
        <rFont val="Arial"/>
        <family val="0"/>
        <charset val="1"/>
      </rPr>
      <t xml:space="preserve">DEF-011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DEF-050 </t>
    </r>
    <r>
      <rPr>
        <sz val="10"/>
        <rFont val="Noto Sans CJK SC"/>
        <family val="2"/>
      </rPr>
      <t xml:space="preserve">複驗通過結案（收件匣副標題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全文可見）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項檢查全過：折讓款 </t>
    </r>
    <r>
      <rPr>
        <sz val="10"/>
        <rFont val="Arial"/>
        <family val="0"/>
        <charset val="1"/>
      </rPr>
      <t xml:space="preserve">2026-07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筆交易手續費 </t>
    </r>
    <r>
      <rPr>
        <sz val="10"/>
        <rFont val="Arial"/>
        <family val="0"/>
        <charset val="1"/>
      </rPr>
      <t xml:space="preserve">1,412 → 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1,083</t>
    </r>
    <r>
      <rPr>
        <sz val="10"/>
        <rFont val="Noto Sans CJK SC"/>
        <family val="2"/>
      </rPr>
      <t xml:space="preserve">）確認入帳 →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「折讓款已入帳」、成本不變；刪除後資金收支回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列、池回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、月份回到待確認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項檢查全過：折讓款 </t>
    </r>
    <r>
      <rPr>
        <sz val="10"/>
        <rFont val="Arial"/>
        <family val="0"/>
        <charset val="1"/>
      </rPr>
      <t xml:space="preserve">2026-07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筆交易手續費 </t>
    </r>
    <r>
      <rPr>
        <sz val="10"/>
        <rFont val="Arial"/>
        <family val="0"/>
        <charset val="1"/>
      </rPr>
      <t xml:space="preserve">1,412 → 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1,083</t>
    </r>
    <r>
      <rPr>
        <sz val="10"/>
        <rFont val="Noto Sans CJK SC"/>
        <family val="2"/>
      </rPr>
      <t xml:space="preserve">）確認入帳 →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6,067,595→6,068,678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「折讓款已入帳」、成本不變；刪除後資金收支回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列、池回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、月份回到待確認</t>
    </r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</si>
  <si>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</si>
  <si>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</si>
  <si>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</si>
  <si>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</si>
  <si>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</si>
  <si>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</si>
  <si>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</si>
  <si>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</si>
  <si>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</si>
  <si>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r>
      <rPr>
        <sz val="10"/>
        <rFont val="Noto Sans CJK SC"/>
        <family val="2"/>
      </rPr>
      <t xml:space="preserve">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#72</t>
    </r>
    <r>
      <rPr>
        <sz val="10"/>
        <rFont val="Noto Sans CJK SC"/>
        <family val="2"/>
      </rPr>
      <t xml:space="preserve">）」→ 持倉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，自算相同）、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#72</t>
    </r>
    <r>
      <rPr>
        <sz val="10"/>
        <rFont val="Noto Sans CJK SC"/>
        <family val="2"/>
      </rPr>
      <t xml:space="preserve">，四段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＋現金池與基準逐位元相同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</si>
  <si>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</si>
  <si>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</si>
  <si>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</si>
  <si>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</si>
  <si>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</si>
  <si>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r>
      <rPr>
        <sz val="10"/>
        <rFont val="Noto Sans CJK SC"/>
        <family val="2"/>
      </rPr>
      <t xml:space="preserve">草稿：成交 </t>
    </r>
    <r>
      <rPr>
        <sz val="10"/>
        <rFont val="Arial"/>
        <family val="0"/>
        <charset val="1"/>
      </rPr>
      <t xml:space="preserve">4,520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floor(6.441)=6→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100→200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93.20→69.30</t>
    </r>
    <r>
      <rPr>
        <sz val="10"/>
        <rFont val="Noto Sans CJK SC"/>
        <family val="2"/>
      </rPr>
      <t xml:space="preserve">。寫入後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shares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69.30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 13,860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6,067,595→6,063,055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）。測畢刪除，四段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逐位元還原（見 </t>
    </r>
    <r>
      <rPr>
        <sz val="10"/>
        <rFont val="Arial"/>
        <family val="0"/>
        <charset val="1"/>
      </rPr>
      <t xml:space="preserve">J-03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</si>
  <si>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J-03 </t>
    </r>
    <r>
      <rPr>
        <sz val="10"/>
        <rFont val="Noto Sans CJK SC"/>
        <family val="2"/>
      </rPr>
      <t xml:space="preserve">同一條路徑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全面重跑）：買 </t>
    </r>
    <r>
      <rPr>
        <sz val="10"/>
        <rFont val="Arial"/>
        <family val="0"/>
        <charset val="1"/>
      </rPr>
      <t xml:space="preserve">2884 100@45.20</t>
    </r>
    <r>
      <rPr>
        <sz val="10"/>
        <rFont val="Noto Sans CJK SC"/>
        <family val="2"/>
      </rPr>
      <t xml:space="preserve">：草稿 成交 </t>
    </r>
    <r>
      <rPr>
        <sz val="10"/>
        <rFont val="Arial"/>
        <family val="0"/>
        <charset val="1"/>
      </rPr>
      <t xml:space="preserve">4,520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floor(6.441)=6→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100→200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93.20→69.30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#124 → shares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69.30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 13,860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6,067,595→6,063,055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項檢查全過：零股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max(6, 20)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、合計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69.30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項檢查全過：零股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max(6, 20)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、合計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69.30</t>
    </r>
    <r>
      <rPr>
        <sz val="10"/>
        <rFont val="Noto Sans CJK SC"/>
        <family val="2"/>
      </rPr>
      <t xml:space="preserve">；刪除後逐字相同</t>
    </r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</si>
  <si>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</si>
  <si>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</si>
  <si>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</si>
  <si>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</si>
  <si>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</si>
  <si>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</si>
  <si>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</si>
  <si>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#73 → realized.rows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42,004.556→41,609.374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#73 → </t>
    </r>
    <r>
      <rPr>
        <sz val="10"/>
        <rFont val="Noto Sans CJK SC"/>
        <family val="2"/>
      </rPr>
      <t xml:space="preserve">已實現列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列（該列消失）、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</t>
    </r>
    <r>
      <rPr>
        <sz val="10"/>
        <rFont val="Noto Sans CJK SC"/>
        <family val="2"/>
      </rPr>
      <t xml:space="preserve">，四段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</si>
  <si>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</si>
  <si>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</si>
  <si>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</si>
  <si>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</si>
  <si>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</si>
  <si>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</si>
  <si>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</si>
  <si>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#74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 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total 4574.00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#74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</si>
  <si>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</si>
  <si>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</si>
  <si>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</si>
  <si>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</si>
  <si>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</si>
  <si>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</si>
  <si>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r>
      <rPr>
        <sz val="10"/>
        <rFont val="Noto Sans CJK SC"/>
        <family val="2"/>
      </rPr>
      <t xml:space="preserve">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，草稿區顯示「✕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disabled=true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</si>
  <si>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</t>
    </r>
  </si>
  <si>
    <t xml:space="preserve">B-06</t>
  </si>
  <si>
    <t xml:space="preserve">美股小數股允許</t>
  </si>
  <si>
    <t xml:space="preserve">帳戶=嘉信 Schwab</t>
  </si>
  <si>
    <t xml:space="preserve">買進 AAPL 0.5 股 @ 市價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</si>
  <si>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為刻意允許）；費用依美股規則計算</t>
    </r>
  </si>
  <si>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@334.33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issues=[]</t>
    </r>
    <r>
      <rPr>
        <sz val="10"/>
        <rFont val="Noto Sans CJK SC"/>
        <family val="2"/>
      </rPr>
      <t xml:space="preserve">、確認鍵可按（未被整數規則擋下）；手續費 </t>
    </r>
    <r>
      <rPr>
        <sz val="10"/>
        <rFont val="Arial"/>
        <family val="0"/>
        <charset val="1"/>
      </rPr>
      <t xml:space="preserve">0.00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$0 </t>
    </r>
    <r>
      <rPr>
        <sz val="10"/>
        <rFont val="Noto Sans CJK SC"/>
        <family val="2"/>
      </rPr>
      <t xml:space="preserve">佣金，買進無 </t>
    </r>
    <r>
      <rPr>
        <sz val="10"/>
        <rFont val="Arial"/>
        <family val="0"/>
        <charset val="1"/>
      </rPr>
      <t xml:space="preserve">SEC/TAF</t>
    </r>
    <r>
      <rPr>
        <sz val="10"/>
        <rFont val="Noto Sans CJK SC"/>
        <family val="2"/>
      </rPr>
      <t xml:space="preserve">）；寫入 </t>
    </r>
    <r>
      <rPr>
        <sz val="10"/>
        <rFont val="Arial"/>
        <family val="0"/>
        <charset val="1"/>
      </rPr>
      <t xml:space="preserve">#79 total −167.16500 → </t>
    </r>
    <r>
      <rPr>
        <sz val="10"/>
        <rFont val="Noto Sans CJK SC"/>
        <family val="2"/>
      </rPr>
      <t xml:space="preserve">持股 </t>
    </r>
    <r>
      <rPr>
        <sz val="10"/>
        <rFont val="Arial"/>
        <family val="0"/>
        <charset val="1"/>
      </rPr>
      <t xml:space="preserve">85.03925…→85.53925…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13,515→13,682.165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167.16500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#79</t>
    </r>
    <r>
      <rPr>
        <sz val="10"/>
        <rFont val="Noto Sans CJK SC"/>
        <family val="2"/>
      </rPr>
      <t xml:space="preserve">，逐位元還原</t>
    </r>
  </si>
  <si>
    <r>
      <rPr>
        <sz val="10"/>
        <rFont val="Noto Sans CJK SC"/>
        <family val="2"/>
      </rPr>
      <t xml:space="preserve">附記：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池因此成為 </t>
    </r>
    <r>
      <rPr>
        <sz val="10"/>
        <rFont val="Arial"/>
        <family val="0"/>
        <charset val="1"/>
      </rPr>
      <t xml:space="preserve">398,330.73500</t>
    </r>
    <r>
      <rPr>
        <sz val="10"/>
        <rFont val="Noto Sans CJK SC"/>
        <family val="2"/>
      </rPr>
      <t xml:space="preserve">（半分），成交金額未量化到 </t>
    </r>
    <r>
      <rPr>
        <sz val="10"/>
        <rFont val="Arial"/>
        <family val="0"/>
        <charset val="1"/>
      </rPr>
      <t xml:space="preserve">cent</t>
    </r>
    <r>
      <rPr>
        <sz val="10"/>
        <rFont val="Noto Sans CJK SC"/>
        <family val="2"/>
      </rPr>
      <t xml:space="preserve">；券商實際以 </t>
    </r>
    <r>
      <rPr>
        <sz val="10"/>
        <rFont val="Arial"/>
        <family val="0"/>
        <charset val="1"/>
      </rPr>
      <t xml:space="preserve">cent </t>
    </r>
    <r>
      <rPr>
        <sz val="10"/>
        <rFont val="Noto Sans CJK SC"/>
        <family val="2"/>
      </rPr>
      <t xml:space="preserve">交割，長期可能與對帳單差 </t>
    </r>
    <r>
      <rPr>
        <sz val="10"/>
        <rFont val="Arial"/>
        <family val="0"/>
        <charset val="1"/>
      </rPr>
      <t xml:space="preserve">0.005 </t>
    </r>
    <r>
      <rPr>
        <sz val="10"/>
        <rFont val="Noto Sans CJK SC"/>
        <family val="2"/>
      </rPr>
      <t xml:space="preserve">級距，交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（市價）：</t>
    </r>
    <r>
      <rPr>
        <sz val="10"/>
        <rFont val="Arial"/>
        <family val="0"/>
        <charset val="1"/>
      </rPr>
      <t xml:space="preserve">preview issues=[]</t>
    </r>
    <r>
      <rPr>
        <sz val="10"/>
        <rFont val="Noto Sans CJK SC"/>
        <family val="2"/>
      </rPr>
      <t xml:space="preserve">、確認鍵可按（未被整數規則擋下）✓；手續費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$0 </t>
    </r>
    <r>
      <rPr>
        <sz val="10"/>
        <rFont val="Noto Sans CJK SC"/>
        <family val="2"/>
      </rPr>
      <t xml:space="preserve">佣金）；寫入 </t>
    </r>
    <r>
      <rPr>
        <sz val="10"/>
        <rFont val="Arial"/>
        <family val="0"/>
        <charset val="1"/>
      </rPr>
      <t xml:space="preserve">#125 total −169.875 → </t>
    </r>
    <r>
      <rPr>
        <sz val="10"/>
        <rFont val="Noto Sans CJK SC"/>
        <family val="2"/>
      </rPr>
      <t xml:space="preserve">持股 </t>
    </r>
    <r>
      <rPr>
        <sz val="10"/>
        <rFont val="Arial"/>
        <family val="0"/>
        <charset val="1"/>
      </rPr>
      <t xml:space="preserve">85.03925…→85.53925…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13,515→13,684.875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398,497.90→398,328.025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不動。刪除 </t>
    </r>
    <r>
      <rPr>
        <sz val="10"/>
        <rFont val="Arial"/>
        <family val="0"/>
        <charset val="1"/>
      </rPr>
      <t xml:space="preserve">#125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。附註：成交金額未量化到 </t>
    </r>
    <r>
      <rPr>
        <sz val="10"/>
        <rFont val="Arial"/>
        <family val="0"/>
        <charset val="1"/>
      </rPr>
      <t xml:space="preserve">cent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池出現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位小數），與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附記相同，屬既有設計、未裁定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項檢查全過：美股小數股 </t>
    </r>
    <r>
      <rPr>
        <sz val="10"/>
        <rFont val="Arial"/>
        <family val="0"/>
        <charset val="1"/>
      </rPr>
      <t xml:space="preserve">AAPL 0.5 </t>
    </r>
    <r>
      <rPr>
        <sz val="10"/>
        <rFont val="Noto Sans CJK SC"/>
        <family val="2"/>
      </rPr>
      <t xml:space="preserve">不擋、嘉信手續費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85.039255→85.539255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項檢查全過：美股小數股 </t>
    </r>
    <r>
      <rPr>
        <sz val="10"/>
        <rFont val="Arial"/>
        <family val="0"/>
        <charset val="1"/>
      </rPr>
      <t xml:space="preserve">AAPL 0.5 </t>
    </r>
    <r>
      <rPr>
        <sz val="10"/>
        <rFont val="Noto Sans CJK SC"/>
        <family val="2"/>
      </rPr>
      <t xml:space="preserve">不擋、嘉信手續費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、股數 </t>
    </r>
    <r>
      <rPr>
        <sz val="10"/>
        <rFont val="Arial"/>
        <family val="0"/>
        <charset val="1"/>
      </rPr>
      <t xml:space="preserve">85.039255→85.539255</t>
    </r>
    <r>
      <rPr>
        <sz val="10"/>
        <rFont val="Noto Sans CJK SC"/>
        <family val="2"/>
      </rPr>
      <t xml:space="preserve">；刪除後逐字相同</t>
    </r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</si>
  <si>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</si>
  <si>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</si>
  <si>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</si>
  <si>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</si>
  <si>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</si>
  <si>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@334.33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#80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334.3300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+10,597.92633567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334.33×31.698999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currency_view USD </t>
    </r>
    <r>
      <rPr>
        <sz val="10"/>
        <rFont val="Noto Sans CJK SC"/>
        <family val="2"/>
      </rPr>
      <t xml:space="preserve">報告幣同幅增加）✓；③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13,515→13,849.33 ✓</t>
    </r>
    <r>
      <rPr>
        <sz val="10"/>
        <rFont val="Noto Sans CJK SC"/>
        <family val="2"/>
      </rPr>
      <t xml:space="preserve">（匯率變動不改寫見 </t>
    </r>
    <r>
      <rPr>
        <sz val="10"/>
        <rFont val="Arial"/>
        <family val="0"/>
        <charset val="1"/>
      </rPr>
      <t xml:space="preserve">E-12</t>
    </r>
    <r>
      <rPr>
        <sz val="10"/>
        <rFont val="Noto Sans CJK SC"/>
        <family val="2"/>
      </rPr>
      <t xml:space="preserve">）。刪除 </t>
    </r>
    <r>
      <rPr>
        <sz val="10"/>
        <rFont val="Arial"/>
        <family val="0"/>
        <charset val="1"/>
      </rPr>
      <t xml:space="preserve">#80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</si>
  <si>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</si>
  <si>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</si>
  <si>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</si>
  <si>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</si>
  <si>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</si>
  <si>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</si>
  <si>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</si>
  <si>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</si>
  <si>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</si>
  <si>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</si>
  <si>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</si>
  <si>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</si>
  <si>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</si>
  <si>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</si>
  <si>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</si>
  <si>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，買 </t>
    </r>
    <r>
      <rPr>
        <sz val="10"/>
        <rFont val="Arial"/>
        <family val="0"/>
        <charset val="1"/>
      </rPr>
      <t xml:space="preserve">2330 3,000@2380</t>
    </r>
    <r>
      <rPr>
        <sz val="10"/>
        <rFont val="Noto Sans CJK SC"/>
        <family val="2"/>
      </rPr>
      <t xml:space="preserve">（總成本 </t>
    </r>
    <r>
      <rPr>
        <sz val="10"/>
        <rFont val="Arial"/>
        <family val="0"/>
        <charset val="1"/>
      </rPr>
      <t xml:space="preserve">7,150,174</t>
    </r>
    <r>
      <rPr>
        <sz val="10"/>
        <rFont val="Noto Sans CJK SC"/>
        <family val="2"/>
      </rPr>
      <t xml:space="preserve">）：草稿「交易後現金 </t>
    </r>
    <r>
      <rPr>
        <sz val="10"/>
        <rFont val="Arial"/>
        <family val="0"/>
        <charset val="1"/>
      </rPr>
      <t xml:space="preserve">-1,082,579 TWD ⚠ </t>
    </r>
    <r>
      <rPr>
        <sz val="10"/>
        <rFont val="Noto Sans CJK SC"/>
        <family val="2"/>
      </rPr>
      <t xml:space="preserve">此帳戶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現金將不足（可能漏登入金或換匯），確認要寫入？」＋勾選「我了解，仍要寫入。」前確認鍵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；勾選後寫入 </t>
    </r>
    <r>
      <rPr>
        <sz val="10"/>
        <rFont val="Arial"/>
        <family val="0"/>
        <charset val="1"/>
      </rPr>
      <t xml:space="preserve">#82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-1,082,579.0000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/api/cash negative_pools </t>
    </r>
    <r>
      <rPr>
        <sz val="10"/>
        <rFont val="Noto Sans CJK SC"/>
        <family val="2"/>
      </rPr>
      <t xml:space="preserve">列出該池。與 </t>
    </r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（出金透支硬擋）規則不同，但畫面明確說明並要求確認。刪除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，逐位元還原</t>
    </r>
  </si>
  <si>
    <r>
      <rPr>
        <sz val="10"/>
        <rFont val="Noto Sans CJK SC"/>
        <family val="2"/>
      </rPr>
      <t xml:space="preserve">實際行為：買進＝警告＋明確確認後允許負餘額；出金＝一律阻擋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，買 </t>
    </r>
    <r>
      <rPr>
        <sz val="10"/>
        <rFont val="Arial"/>
        <family val="0"/>
        <charset val="1"/>
      </rPr>
      <t xml:space="preserve">2330 3,000@2380</t>
    </r>
    <r>
      <rPr>
        <sz val="10"/>
        <rFont val="Noto Sans CJK SC"/>
        <family val="2"/>
      </rPr>
      <t xml:space="preserve">（總成本 </t>
    </r>
    <r>
      <rPr>
        <sz val="10"/>
        <rFont val="Arial"/>
        <family val="0"/>
        <charset val="1"/>
      </rPr>
      <t xml:space="preserve">7,150,174</t>
    </r>
    <r>
      <rPr>
        <sz val="10"/>
        <rFont val="Noto Sans CJK SC"/>
        <family val="2"/>
      </rPr>
      <t xml:space="preserve">）：草稿「交易後現金 </t>
    </r>
    <r>
      <rPr>
        <sz val="10"/>
        <rFont val="Arial"/>
        <family val="0"/>
        <charset val="1"/>
      </rPr>
      <t xml:space="preserve">-1,082,579 TWD ⚠ </t>
    </r>
    <r>
      <rPr>
        <sz val="10"/>
        <rFont val="Noto Sans CJK SC"/>
        <family val="2"/>
      </rPr>
      <t xml:space="preserve">此帳戶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現金將不足（可能漏登入金或換匯），確認要寫入？」（</t>
    </r>
    <r>
      <rPr>
        <sz val="10"/>
        <rFont val="Arial"/>
        <family val="0"/>
        <charset val="1"/>
      </rPr>
      <t xml:space="preserve">issue cash_overdraft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sev warn</t>
    </r>
    <r>
      <rPr>
        <sz val="10"/>
        <rFont val="Noto Sans CJK SC"/>
        <family val="2"/>
      </rPr>
      <t xml:space="preserve">）＋「我了解，仍要寫入。」勾選前確認鍵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；勾選後寫入 </t>
    </r>
    <r>
      <rPr>
        <sz val="10"/>
        <rFont val="Arial"/>
        <family val="0"/>
        <charset val="1"/>
      </rPr>
      <t xml:space="preserve">#128 → 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1,082,579.0000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/api/cash negative_pools </t>
    </r>
    <r>
      <rPr>
        <sz val="10"/>
        <rFont val="Noto Sans CJK SC"/>
        <family val="2"/>
      </rPr>
      <t xml:space="preserve">列出該池。與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（出金透支硬擋）規則不同，但畫面明確說明並要求確認。刪除 </t>
    </r>
    <r>
      <rPr>
        <sz val="10"/>
        <rFont val="Arial"/>
        <family val="0"/>
        <charset val="1"/>
      </rPr>
      <t xml:space="preserve">#128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項檢查全過：台灣券商買入 </t>
    </r>
    <r>
      <rPr>
        <sz val="10"/>
        <rFont val="Arial"/>
        <family val="0"/>
        <charset val="1"/>
      </rPr>
      <t xml:space="preserve">7,140,000 → </t>
    </r>
    <r>
      <rPr>
        <sz val="10"/>
        <rFont val="Noto Sans CJK SC"/>
        <family val="2"/>
      </rPr>
      <t xml:space="preserve">「此帳戶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現金將不足…確認要寫入？」，未勾「我了解」前停用；勾選後寫入、負池 −</t>
    </r>
    <r>
      <rPr>
        <sz val="10"/>
        <rFont val="Arial"/>
        <family val="0"/>
        <charset val="1"/>
      </rPr>
      <t xml:space="preserve">1,082,579 </t>
    </r>
    <r>
      <rPr>
        <sz val="10"/>
        <rFont val="Noto Sans CJK SC"/>
        <family val="2"/>
      </rPr>
      <t xml:space="preserve">列出（與 </t>
    </r>
    <r>
      <rPr>
        <sz val="10"/>
        <rFont val="Arial"/>
        <family val="0"/>
        <charset val="1"/>
      </rPr>
      <t xml:space="preserve">A-05 </t>
    </r>
    <r>
      <rPr>
        <sz val="10"/>
        <rFont val="Noto Sans CJK SC"/>
        <family val="2"/>
      </rPr>
      <t xml:space="preserve">出金硬擋不同，畫面有說明）；刪除後逐字相同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項檢查全過：台灣券商買入 </t>
    </r>
    <r>
      <rPr>
        <sz val="10"/>
        <rFont val="Arial"/>
        <family val="0"/>
        <charset val="1"/>
      </rPr>
      <t xml:space="preserve">7,140,000</t>
    </r>
    <r>
      <rPr>
        <sz val="10"/>
        <rFont val="Noto Sans CJK SC"/>
        <family val="2"/>
      </rPr>
      <t xml:space="preserve">（含費 </t>
    </r>
    <r>
      <rPr>
        <sz val="10"/>
        <rFont val="Arial"/>
        <family val="0"/>
        <charset val="1"/>
      </rPr>
      <t xml:space="preserve">7,150,174</t>
    </r>
    <r>
      <rPr>
        <sz val="10"/>
        <rFont val="Noto Sans CJK SC"/>
        <family val="2"/>
      </rPr>
      <t xml:space="preserve">）→ 現金不足警示，未勾「我了解」前停用；勾選後寫入 </t>
    </r>
    <r>
      <rPr>
        <sz val="10"/>
        <rFont val="Arial"/>
        <family val="0"/>
        <charset val="1"/>
      </rPr>
      <t xml:space="preserve">#191</t>
    </r>
    <r>
      <rPr>
        <sz val="10"/>
        <rFont val="Noto Sans CJK SC"/>
        <family val="2"/>
      </rPr>
      <t xml:space="preserve">、負池 −</t>
    </r>
    <r>
      <rPr>
        <sz val="10"/>
        <rFont val="Arial"/>
        <family val="0"/>
        <charset val="1"/>
      </rPr>
      <t xml:space="preserve">1,082,579 </t>
    </r>
    <r>
      <rPr>
        <sz val="10"/>
        <rFont val="Noto Sans CJK SC"/>
        <family val="2"/>
      </rPr>
      <t xml:space="preserve">列出（與 </t>
    </r>
    <r>
      <rPr>
        <sz val="10"/>
        <rFont val="Arial"/>
        <family val="0"/>
        <charset val="1"/>
      </rPr>
      <t xml:space="preserve">A-05 </t>
    </r>
    <r>
      <rPr>
        <sz val="10"/>
        <rFont val="Noto Sans CJK SC"/>
        <family val="2"/>
      </rPr>
      <t xml:space="preserve">出金硬擋不同，畫面有說明）；刪除後逐字相同</t>
    </r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</si>
  <si>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</si>
  <si>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</si>
  <si>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</si>
  <si>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</si>
  <si>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r>
      <rPr>
        <sz val="10"/>
        <rFont val="Noto Sans CJK SC"/>
        <family val="2"/>
      </rPr>
      <t xml:space="preserve">台灣券商 賣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（未持有）</t>
    </r>
    <r>
      <rPr>
        <sz val="10"/>
        <rFont val="Arial"/>
        <family val="0"/>
        <charset val="1"/>
      </rPr>
      <t xml:space="preserve">100@4,530</t>
    </r>
    <r>
      <rPr>
        <sz val="10"/>
        <rFont val="Noto Sans CJK SC"/>
        <family val="2"/>
      </rPr>
      <t xml:space="preserve">，勾「放空（賣出股數可超過持股）」→ 草稿「開／加空股數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、放空／加空的部分不產生已實現損益，帳本以收到的價金作為空單成本基礎」；寫入 </t>
    </r>
    <r>
      <rPr>
        <sz val="10"/>
        <rFont val="Arial"/>
        <family val="0"/>
        <charset val="1"/>
      </rPr>
      <t xml:space="preserve">#83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short_sale:true</t>
    </r>
    <r>
      <rPr>
        <sz val="10"/>
        <rFont val="Noto Sans CJK SC"/>
        <family val="2"/>
      </rPr>
      <t xml:space="preserve">）→ 持倉 </t>
    </r>
    <r>
      <rPr>
        <sz val="10"/>
        <rFont val="Arial"/>
        <family val="0"/>
        <charset val="1"/>
      </rPr>
      <t xml:space="preserve">shares −100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short_open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 −450,996.00</t>
    </r>
    <r>
      <rPr>
        <sz val="10"/>
        <rFont val="Noto Sans CJK SC"/>
        <family val="2"/>
      </rPr>
      <t xml:space="preserve">（淨價款）、</t>
    </r>
    <r>
      <rPr>
        <sz val="10"/>
        <rFont val="Arial"/>
        <family val="0"/>
        <charset val="1"/>
      </rPr>
      <t xml:space="preserve">market_value −453,000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 −2,004.00</t>
    </r>
    <r>
      <rPr>
        <sz val="10"/>
        <rFont val="Noto Sans CJK SC"/>
        <family val="2"/>
      </rPr>
      <t xml:space="preserve">（＝費稅）、</t>
    </r>
    <r>
      <rPr>
        <sz val="10"/>
        <rFont val="Arial"/>
        <family val="0"/>
        <charset val="1"/>
      </rPr>
      <t xml:space="preserve">unrealized_pct −0.444%</t>
    </r>
    <r>
      <rPr>
        <sz val="10"/>
        <rFont val="Noto Sans CJK SC"/>
        <family val="2"/>
      </rPr>
      <t xml:space="preserve">；儀表板持倉列標「放空中」（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「已宣告的放空部位；成本基礎為賣出價款，買回時結算損益」）①② ✓。✗ ③ 「當沖」與「放空」可同時勾選、皆未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，同時勾選時預覽 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）且無任何提示——沒有互斥規則。刪除 </t>
    </r>
    <r>
      <rPr>
        <sz val="10"/>
        <rFont val="Arial"/>
        <family val="0"/>
        <charset val="1"/>
      </rPr>
      <t xml:space="preserve">#83</t>
    </r>
    <r>
      <rPr>
        <sz val="10"/>
        <rFont val="Noto Sans CJK SC"/>
        <family val="2"/>
      </rPr>
      <t xml:space="preserve">，逐位元還原</t>
    </r>
  </si>
  <si>
    <t xml:space="preserve">DEF-013</t>
  </si>
  <si>
    <r>
      <rPr>
        <sz val="10"/>
        <rFont val="Noto Sans CJK SC"/>
        <family val="2"/>
      </rPr>
      <t xml:space="preserve">台股「現股當沖先賣後買」本身即放空＋當沖，兩者是否應互斥屬規格問題；交易帳本列本身也沒有「空」標記（僅「賣」）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裁定：允許當沖＋放空並加說明與帳本標示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DEF-013 </t>
    </r>
    <r>
      <rPr>
        <sz val="10"/>
        <rFont val="Noto Sans CJK SC"/>
        <family val="2"/>
      </rPr>
      <t xml:space="preserve">複驗通過結案（當沖＋放空、說明與雙徽章）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項檢查全過：當沖＋放空可同時勾選並有組合說明（當沖 </t>
    </r>
    <r>
      <rPr>
        <sz val="10"/>
        <rFont val="Arial"/>
        <family val="0"/>
        <charset val="1"/>
      </rPr>
      <t xml:space="preserve">0.15% </t>
    </r>
    <r>
      <rPr>
        <sz val="10"/>
        <rFont val="Noto Sans CJK SC"/>
        <family val="2"/>
      </rPr>
      <t xml:space="preserve">優先於 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）；寫入後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部位 −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股、空單成本 −</t>
    </r>
    <r>
      <rPr>
        <sz val="10"/>
        <rFont val="Arial"/>
        <family val="0"/>
        <charset val="1"/>
      </rPr>
      <t xml:space="preserve">9,965</t>
    </r>
    <r>
      <rPr>
        <sz val="10"/>
        <rFont val="Noto Sans CJK SC"/>
        <family val="2"/>
      </rPr>
      <t xml:space="preserve">、帳本標「賣當沖放空」；刪除後逐字相同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項檢查全過：當沖＋放空可同時勾選並有組合說明（當沖 </t>
    </r>
    <r>
      <rPr>
        <sz val="10"/>
        <rFont val="Arial"/>
        <family val="0"/>
        <charset val="1"/>
      </rPr>
      <t xml:space="preserve">0.15% </t>
    </r>
    <r>
      <rPr>
        <sz val="10"/>
        <rFont val="Noto Sans CJK SC"/>
        <family val="2"/>
      </rPr>
      <t xml:space="preserve">優先於 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）；寫入後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部位 −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股、空單成本 −</t>
    </r>
    <r>
      <rPr>
        <sz val="10"/>
        <rFont val="Arial"/>
        <family val="0"/>
        <charset val="1"/>
      </rPr>
      <t xml:space="preserve">9,965</t>
    </r>
    <r>
      <rPr>
        <sz val="10"/>
        <rFont val="Noto Sans CJK SC"/>
        <family val="2"/>
      </rPr>
      <t xml:space="preserve">、帳本標「賣當沖放空」；刪除後逐字相同</t>
    </r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</si>
  <si>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</si>
  <si>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</si>
  <si>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</si>
  <si>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</si>
  <si>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</si>
  <si>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</si>
  <si>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</si>
  <si>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5,000 @2380</t>
    </r>
    <r>
      <rPr>
        <sz val="10"/>
        <rFont val="Noto Sans CJK SC"/>
        <family val="2"/>
      </rPr>
      <t xml:space="preserve">：⚠「賣出 </t>
    </r>
    <r>
      <rPr>
        <sz val="10"/>
        <rFont val="Arial"/>
        <family val="0"/>
        <charset val="1"/>
      </rPr>
      <t xml:space="preserve">5000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股」；改日期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2,600 → ⚠</t>
    </r>
    <r>
      <rPr>
        <sz val="10"/>
        <rFont val="Noto Sans CJK SC"/>
        <family val="2"/>
      </rPr>
      <t xml:space="preserve">「賣出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股，超過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當日持有的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股（目前淨額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股，但那一天只有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；③ 勾選「確認為賣超，接受成本基礎歸零（待釐清）：這個部位的成本基礎會被永久捨棄，之後再買回也不會還原。」後確認寫入即直接寫入（</t>
    </r>
    <r>
      <rPr>
        <sz val="10"/>
        <rFont val="Arial"/>
        <family val="0"/>
        <charset val="1"/>
      </rPr>
      <t xml:space="preserve">#86</t>
    </r>
    <r>
      <rPr>
        <sz val="10"/>
        <rFont val="Noto Sans CJK SC"/>
        <family val="2"/>
      </rPr>
      <t xml:space="preserve">，無另一層彈窗）——確認以該勾選框承擔；</t>
    </r>
    <r>
      <rPr>
        <sz val="10"/>
        <rFont val="Arial"/>
        <family val="0"/>
        <charset val="1"/>
      </rPr>
      <t xml:space="preserve">#86 </t>
    </r>
    <r>
      <rPr>
        <sz val="10"/>
        <rFont val="Noto Sans CJK SC"/>
        <family val="2"/>
      </rPr>
      <t xml:space="preserve">立即刪除，四段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開始基準逐位元相同</t>
    </r>
  </si>
  <si>
    <r>
      <rPr>
        <sz val="10"/>
        <rFont val="Noto Sans CJK SC"/>
        <family val="2"/>
      </rPr>
      <t xml:space="preserve">同日賣超時訊息只列股數（交易日即當日）；賣超寫入後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對帳 </t>
    </r>
    <r>
      <rPr>
        <sz val="10"/>
        <rFont val="Arial"/>
        <family val="0"/>
        <charset val="1"/>
      </rPr>
      <t xml:space="preserve">book −2,400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net −2,400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balances=true</t>
    </r>
    <r>
      <rPr>
        <sz val="10"/>
        <rFont val="Noto Sans CJK SC"/>
        <family val="2"/>
      </rPr>
      <t xml:space="preserve">），仍不會出現 </t>
    </r>
    <r>
      <rPr>
        <sz val="10"/>
        <rFont val="Arial"/>
        <family val="0"/>
        <charset val="1"/>
      </rPr>
      <t xml:space="preserve">D-00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的「⚠ 對帳不一致」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5,000 @2380</t>
    </r>
    <r>
      <rPr>
        <sz val="10"/>
        <rFont val="Noto Sans CJK SC"/>
        <family val="2"/>
      </rPr>
      <t xml:space="preserve">：⚠「賣出 </t>
    </r>
    <r>
      <rPr>
        <sz val="10"/>
        <rFont val="Arial"/>
        <family val="0"/>
        <charset val="1"/>
      </rPr>
      <t xml:space="preserve">5000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股」、確認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；改日期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2,600 → ⚠</t>
    </r>
    <r>
      <rPr>
        <sz val="10"/>
        <rFont val="Noto Sans CJK SC"/>
        <family val="2"/>
      </rPr>
      <t xml:space="preserve">「賣出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股，超過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當日持有的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股（目前淨額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股，但那一天只有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股）」並以當日部位試算（持股 </t>
    </r>
    <r>
      <rPr>
        <sz val="10"/>
        <rFont val="Arial"/>
        <family val="0"/>
        <charset val="1"/>
      </rPr>
      <t xml:space="preserve">2,000→−600</t>
    </r>
    <r>
      <rPr>
        <sz val="10"/>
        <rFont val="Noto Sans CJK SC"/>
        <family val="2"/>
      </rPr>
      <t xml:space="preserve">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，勾選後確認寫入（</t>
    </r>
    <r>
      <rPr>
        <sz val="10"/>
        <rFont val="Arial"/>
        <family val="0"/>
        <charset val="1"/>
      </rPr>
      <t xml:space="preserve">ack_oversell:true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#129</t>
    </r>
    <r>
      <rPr>
        <sz val="10"/>
        <rFont val="Noto Sans CJK SC"/>
        <family val="2"/>
      </rPr>
      <t xml:space="preserve">，無另一層彈窗——與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相同，由勾選框承擔確認）③。</t>
    </r>
    <r>
      <rPr>
        <sz val="10"/>
        <rFont val="Arial"/>
        <family val="0"/>
        <charset val="1"/>
      </rPr>
      <t xml:space="preserve">#129 </t>
    </r>
    <r>
      <rPr>
        <sz val="10"/>
        <rFont val="Noto Sans CJK SC"/>
        <family val="2"/>
      </rPr>
      <t xml:space="preserve">立即刪除，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項檢查全過：賣超 </t>
    </r>
    <r>
      <rPr>
        <sz val="10"/>
        <rFont val="Arial"/>
        <family val="0"/>
        <charset val="1"/>
      </rPr>
      <t xml:space="preserve">5,000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）與倒填日期賣超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（當日 </t>
    </r>
    <r>
      <rPr>
        <sz val="10"/>
        <rFont val="Arial"/>
        <family val="0"/>
        <charset val="1"/>
      </rPr>
      <t xml:space="preserve">2,000</t>
    </r>
    <r>
      <rPr>
        <sz val="10"/>
        <rFont val="Noto Sans CJK SC"/>
        <family val="2"/>
      </rPr>
      <t xml:space="preserve">）皆警示並點名持股與日期、提供「補登公司行動」與「成本基礎歸零（待釐清）」兩條路，未勾前停用；只有 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才寫入；刪除後逐字相同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項檢查全過：賣超 </t>
    </r>
    <r>
      <rPr>
        <sz val="10"/>
        <rFont val="Arial"/>
        <family val="0"/>
        <charset val="1"/>
      </rPr>
      <t xml:space="preserve">5,000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）與倒填日期賣超 </t>
    </r>
    <r>
      <rPr>
        <sz val="10"/>
        <rFont val="Arial"/>
        <family val="0"/>
        <charset val="1"/>
      </rPr>
      <t xml:space="preserve">2,600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當日部位）皆警示並點名持股與日期、提供「補登公司行動」與「成本基礎歸零」兩條路，未勾前停用；只有 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才寫入；刪除後逐字相同</t>
    </r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</si>
  <si>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</si>
  <si>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</si>
  <si>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</si>
  <si>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</si>
  <si>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</si>
  <si>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</si>
  <si>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r>
      <rPr>
        <sz val="10"/>
        <rFont val="Noto Sans CJK SC"/>
        <family val="2"/>
      </rPr>
      <t xml:space="preserve">編輯 </t>
    </r>
    <r>
      <rPr>
        <sz val="10"/>
        <rFont val="Arial"/>
        <family val="0"/>
        <charset val="1"/>
      </rPr>
      <t xml:space="preserve">#71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100→150 → </t>
    </r>
    <r>
      <rPr>
        <sz val="10"/>
        <rFont val="Noto Sans CJK SC"/>
        <family val="2"/>
      </rPr>
      <t xml:space="preserve">儲存：只發出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PUT /api/ledgers/transactions/71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）；手續費依規則重算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 −6,800</t>
    </r>
    <r>
      <rPr>
        <sz val="10"/>
        <rFont val="Noto Sans CJK SC"/>
        <family val="2"/>
      </rPr>
      <t xml:space="preserve">；重建後 </t>
    </r>
    <r>
      <rPr>
        <sz val="10"/>
        <rFont val="Arial"/>
        <family val="0"/>
        <charset val="1"/>
      </rPr>
      <t xml:space="preserve">shares 250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64.48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=(9,320+6,800)/250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6,060,795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編輯完成 帳本已更新，統計將由帳本重建」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</si>
  <si>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J-03 </t>
    </r>
    <r>
      <rPr>
        <sz val="10"/>
        <rFont val="Noto Sans CJK SC"/>
        <family val="2"/>
      </rPr>
      <t xml:space="preserve">同一條路徑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全面重跑）：編輯 </t>
    </r>
    <r>
      <rPr>
        <sz val="10"/>
        <rFont val="Arial"/>
        <family val="0"/>
        <charset val="1"/>
      </rPr>
      <t xml:space="preserve">#124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100→150 → </t>
    </r>
    <r>
      <rPr>
        <sz val="10"/>
        <rFont val="Noto Sans CJK SC"/>
        <family val="2"/>
      </rPr>
      <t xml:space="preserve">儲存：只發出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PUT /api/ledgers/transactions/124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）；帳本列「買 </t>
    </r>
    <r>
      <rPr>
        <sz val="10"/>
        <rFont val="Arial"/>
        <family val="0"/>
        <charset val="1"/>
      </rPr>
      <t xml:space="preserve">150 45.20 20 0 −6,800 TWD</t>
    </r>
    <r>
      <rPr>
        <sz val="10"/>
        <rFont val="Noto Sans CJK SC"/>
        <family val="2"/>
      </rPr>
      <t xml:space="preserve">」；重建後 </t>
    </r>
    <r>
      <rPr>
        <sz val="10"/>
        <rFont val="Arial"/>
        <family val="0"/>
        <charset val="1"/>
      </rPr>
      <t xml:space="preserve">shares 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64.48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(9,320+6,800)/250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6,060,795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編輯完成 帳本已更新，統計將由帳本重建」✓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項檢查全過：編輯股數 → 恰一次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、由帳本重建（股數 </t>
    </r>
    <r>
      <rPr>
        <sz val="10"/>
        <rFont val="Arial"/>
        <family val="0"/>
        <charset val="1"/>
      </rPr>
      <t xml:space="preserve">+50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64.48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「編輯完成」；刪除後逐字相同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項檢查全過：編輯股數 → 恰一次 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、由帳本重建（股數 </t>
    </r>
    <r>
      <rPr>
        <sz val="10"/>
        <rFont val="Arial"/>
        <family val="0"/>
        <charset val="1"/>
      </rPr>
      <t xml:space="preserve">+50→250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64.48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「編輯完成」；刪除後逐字相同</t>
    </r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</si>
  <si>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</si>
  <si>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</si>
  <si>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</si>
  <si>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</si>
  <si>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</si>
  <si>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r>
      <rPr>
        <sz val="10"/>
        <rFont val="Noto Sans CJK SC"/>
        <family val="2"/>
      </rPr>
      <t xml:space="preserve">自建 </t>
    </r>
    <r>
      <rPr>
        <sz val="10"/>
        <rFont val="Arial"/>
        <family val="0"/>
        <charset val="1"/>
      </rPr>
      <t xml:space="preserve">#84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…」、未變更 ②。刪除 </t>
    </r>
    <r>
      <rPr>
        <sz val="10"/>
        <rFont val="Arial"/>
        <family val="0"/>
        <charset val="1"/>
      </rPr>
      <t xml:space="preserve">#84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</si>
  <si>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</si>
  <si>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</si>
  <si>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</si>
  <si>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</si>
  <si>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</si>
  <si>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</si>
  <si>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#71</t>
    </r>
    <r>
      <rPr>
        <sz val="10"/>
        <rFont val="Noto Sans CJK SC"/>
        <family val="2"/>
      </rPr>
      <t xml:space="preserve">：確認框「確定刪除這筆交易？統計將由其餘帳本紀錄重建。」按鈕 取消／刪除；開框時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支非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請求；確認後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「刪除完成」；四段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＋現金池與寫入前字串完全相同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</si>
  <si>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J-03 </t>
    </r>
    <r>
      <rPr>
        <sz val="10"/>
        <rFont val="Noto Sans CJK SC"/>
        <family val="2"/>
      </rPr>
      <t xml:space="preserve">同一條路徑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全面重跑）：刪除 </t>
    </r>
    <r>
      <rPr>
        <sz val="10"/>
        <rFont val="Arial"/>
        <family val="0"/>
        <charset val="1"/>
      </rPr>
      <t xml:space="preserve">#124</t>
    </r>
    <r>
      <rPr>
        <sz val="10"/>
        <rFont val="Noto Sans CJK SC"/>
        <family val="2"/>
      </rPr>
      <t xml:space="preserve">：確認框「刪除交易 — 確定刪除這筆交易？統計將由其餘帳本紀錄重建。」按鈕 取消／刪除；開框時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支非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請求；確認後 </t>
    </r>
    <r>
      <rPr>
        <sz val="10"/>
        <rFont val="Arial"/>
        <family val="0"/>
        <charset val="1"/>
      </rPr>
      <t xml:space="preserve">DELETE /api/ledgers/transactions/124 200</t>
    </r>
    <r>
      <rPr>
        <sz val="10"/>
        <rFont val="Noto Sans CJK SC"/>
        <family val="2"/>
      </rPr>
      <t xml:space="preserve">；六段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</t>
    </r>
    <r>
      <rPr>
        <sz val="10"/>
        <rFont val="Noto Sans CJK SC"/>
        <family val="2"/>
      </rPr>
      <t xml:space="preserve">）與寫入前字串完全相同（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項檢查全過：刪除確認框「確定刪除這筆交易？統計將由其餘帳本紀錄重建。」→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項檢查全過：刪除確認框「確定刪除這筆交易？統計將由其餘帳本紀錄重建。」→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</t>
    </r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</si>
  <si>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</si>
  <si>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</si>
  <si>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</si>
  <si>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</si>
  <si>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</si>
  <si>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</si>
  <si>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r>
      <rPr>
        <sz val="10"/>
        <rFont val="Noto Sans CJK SC"/>
        <family val="2"/>
      </rPr>
      <t xml:space="preserve">展開交易列顯示「費率規則快照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）一致。舊列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為歷史快照，符合「歷史交易以交易列快照為準」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</si>
  <si>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</si>
  <si>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</si>
  <si>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</si>
  <si>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</si>
  <si>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</si>
  <si>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</si>
  <si>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r>
      <rPr>
        <sz val="10"/>
        <rFont val="Noto Sans CJK SC"/>
        <family val="2"/>
      </rPr>
      <t xml:space="preserve">收件匣 › 待確認退款：</t>
    </r>
    <r>
      <rPr>
        <sz val="10"/>
        <rFont val="Arial"/>
        <family val="0"/>
        <charset val="1"/>
      </rPr>
      <t xml:space="preserve">GET /api/rebates </t>
    </r>
    <r>
      <rPr>
        <sz val="10"/>
        <rFont val="Noto Sans CJK SC"/>
        <family val="2"/>
      </rPr>
      <t xml:space="preserve">逐筆 </t>
    </r>
    <r>
      <rPr>
        <sz val="10"/>
        <rFont val="Arial"/>
        <family val="0"/>
        <charset val="1"/>
      </rPr>
      <t xml:space="preserve">expected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floor(fee×0.77)</t>
    </r>
    <r>
      <rPr>
        <sz val="10"/>
        <rFont val="Noto Sans CJK SC"/>
        <family val="2"/>
      </rPr>
      <t xml:space="preserve">（無條件捨去，與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 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rounding floor </t>
    </r>
    <r>
      <rPr>
        <sz val="10"/>
        <rFont val="Noto Sans CJK SC"/>
        <family val="2"/>
      </rPr>
      <t xml:space="preserve">一致）；月合計＝各筆加總：</t>
    </r>
    <r>
      <rPr>
        <sz val="10"/>
        <rFont val="Arial"/>
        <family val="0"/>
        <charset val="1"/>
      </rPr>
      <t xml:space="preserve">2026-07 11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合計 </t>
    </r>
    <r>
      <rPr>
        <sz val="10"/>
        <rFont val="Arial"/>
        <family val="0"/>
        <charset val="1"/>
      </rPr>
      <t xml:space="preserve">2,601 → Σ floor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1,997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floor(2601×0.77)=2,002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2026-06 826→633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2026-02 2,163→1,664 ✓</t>
    </r>
    <r>
      <rPr>
        <sz val="10"/>
        <rFont val="Noto Sans CJK SC"/>
        <family val="2"/>
      </rPr>
      <t xml:space="preserve">；手動交易草稿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fee 64→49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 20→15 ✓</t>
    </r>
  </si>
  <si>
    <t xml:space="preserve">DEF-010, DEF-055</t>
  </si>
  <si>
    <r>
      <rPr>
        <sz val="10"/>
        <rFont val="Noto Sans CJK SC"/>
        <family val="2"/>
      </rPr>
      <t xml:space="preserve">附帶：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筆交易的費率快照 </t>
    </r>
    <r>
      <rPr>
        <sz val="10"/>
        <rFont val="Arial"/>
        <family val="0"/>
        <charset val="1"/>
      </rPr>
      <t xml:space="preserve">discount=0.23</t>
    </r>
    <r>
      <rPr>
        <sz val="10"/>
        <rFont val="Noto Sans CJK SC"/>
        <family val="2"/>
      </rPr>
      <t xml:space="preserve">（下單時已打 </t>
    </r>
    <r>
      <rPr>
        <sz val="10"/>
        <rFont val="Arial"/>
        <family val="0"/>
        <charset val="1"/>
      </rPr>
      <t xml:space="preserve">2.3 </t>
    </r>
    <r>
      <rPr>
        <sz val="10"/>
        <rFont val="Noto Sans CJK SC"/>
        <family val="2"/>
      </rPr>
      <t xml:space="preserve">折），預估仍再算 </t>
    </r>
    <r>
      <rPr>
        <sz val="10"/>
        <rFont val="Arial"/>
        <family val="0"/>
        <charset val="1"/>
      </rPr>
      <t xml:space="preserve">77% </t>
    </r>
    <r>
      <rPr>
        <sz val="10"/>
        <rFont val="Noto Sans CJK SC"/>
        <family val="2"/>
      </rPr>
      <t xml:space="preserve">退款（例 </t>
    </r>
    <r>
      <rPr>
        <sz val="10"/>
        <rFont val="Arial"/>
        <family val="0"/>
        <charset val="1"/>
      </rPr>
      <t xml:space="preserve">#45 fee 199→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153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rules/markets-and-fees.md </t>
    </r>
    <r>
      <rPr>
        <sz val="10"/>
        <rFont val="Noto Sans CJK SC"/>
        <family val="2"/>
      </rPr>
      <t xml:space="preserve">所述「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雙重套用」，見 </t>
    </r>
    <r>
      <rPr>
        <sz val="10"/>
        <rFont val="Arial"/>
        <family val="0"/>
        <charset val="1"/>
      </rPr>
      <t xml:space="preserve">DEF-010
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裁定：已打折快照不預估退款＋清理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筆舊快照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複驗通過結案（三個月份逐列手算相符）；附帶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清理與編輯預覽，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已清、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項檢查全過：折讓款逐筆 </t>
    </r>
    <r>
      <rPr>
        <sz val="10"/>
        <rFont val="Arial"/>
        <family val="0"/>
        <charset val="1"/>
      </rPr>
      <t xml:space="preserve">floor(</t>
    </r>
    <r>
      <rPr>
        <sz val="10"/>
        <rFont val="Noto Sans CJK SC"/>
        <family val="2"/>
      </rPr>
      <t xml:space="preserve">手續費</t>
    </r>
    <r>
      <rPr>
        <sz val="10"/>
        <rFont val="Arial"/>
        <family val="0"/>
        <charset val="1"/>
      </rPr>
      <t xml:space="preserve">×0.77)</t>
    </r>
    <r>
      <rPr>
        <sz val="10"/>
        <rFont val="Noto Sans CJK SC"/>
        <family val="2"/>
      </rPr>
      <t xml:space="preserve">，各月合計＝逐筆加總（</t>
    </r>
    <r>
      <rPr>
        <sz val="10"/>
        <rFont val="Arial"/>
        <family val="0"/>
        <charset val="1"/>
      </rPr>
      <t xml:space="preserve">2026-07 1,083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06 573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02 1,358</t>
    </r>
    <r>
      <rPr>
        <sz val="10"/>
        <rFont val="Noto Sans CJK SC"/>
        <family val="2"/>
      </rPr>
      <t xml:space="preserve">）；折扣快照交易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筆不計入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項檢查全過：折讓款逐筆 </t>
    </r>
    <r>
      <rPr>
        <sz val="10"/>
        <rFont val="Arial"/>
        <family val="0"/>
        <charset val="1"/>
      </rPr>
      <t xml:space="preserve">floor(</t>
    </r>
    <r>
      <rPr>
        <sz val="10"/>
        <rFont val="Noto Sans CJK SC"/>
        <family val="2"/>
      </rPr>
      <t xml:space="preserve">手續費</t>
    </r>
    <r>
      <rPr>
        <sz val="10"/>
        <rFont val="Arial"/>
        <family val="0"/>
        <charset val="1"/>
      </rPr>
      <t xml:space="preserve">×0.77)</t>
    </r>
    <r>
      <rPr>
        <sz val="10"/>
        <rFont val="Noto Sans CJK SC"/>
        <family val="2"/>
      </rPr>
      <t xml:space="preserve">，各月合計＝逐筆加總（</t>
    </r>
    <r>
      <rPr>
        <sz val="10"/>
        <rFont val="Arial"/>
        <family val="0"/>
        <charset val="1"/>
      </rPr>
      <t xml:space="preserve">2026-07 1,083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06 573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02 1,358</t>
    </r>
    <r>
      <rPr>
        <sz val="10"/>
        <rFont val="Noto Sans CJK SC"/>
        <family val="2"/>
      </rPr>
      <t xml:space="preserve">）；折扣快照交易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筆不計入</t>
    </r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</si>
  <si>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</si>
  <si>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</si>
  <si>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</si>
  <si>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</si>
  <si>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</si>
  <si>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r>
      <rPr>
        <sz val="10"/>
        <rFont val="Noto Sans CJK SC"/>
        <family val="2"/>
      </rPr>
      <t xml:space="preserve">① 日期填 </t>
    </r>
    <r>
      <rPr>
        <sz val="10"/>
        <rFont val="Arial"/>
        <family val="0"/>
        <charset val="1"/>
      </rPr>
      <t xml:space="preserve">2026-12-31</t>
    </r>
    <r>
      <rPr>
        <sz val="10"/>
        <rFont val="Noto Sans CJK SC"/>
        <family val="2"/>
      </rPr>
      <t xml:space="preserve">（未來）→ </t>
    </r>
    <r>
      <rPr>
        <sz val="10"/>
        <rFont val="Arial"/>
        <family val="0"/>
        <charset val="1"/>
      </rPr>
      <t xml:space="preserve">preview issues [warn future_trade_date</t>
    </r>
    <r>
      <rPr>
        <sz val="10"/>
        <rFont val="Noto Sans CJK SC"/>
        <family val="2"/>
      </rPr>
      <t xml:space="preserve">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</t>
    </r>
    <r>
      <rPr>
        <sz val="10"/>
        <rFont val="Arial"/>
        <family val="0"/>
        <charset val="1"/>
      </rPr>
      <t xml:space="preserve">]</t>
    </r>
    <r>
      <rPr>
        <sz val="10"/>
        <rFont val="Noto Sans CJK SC"/>
        <family val="2"/>
      </rPr>
      <t xml:space="preserve">、草稿顯示 ⚠、確認鍵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（期初庫存建檔日 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）買進日期填 </t>
    </r>
    <r>
      <rPr>
        <sz val="10"/>
        <rFont val="Arial"/>
        <family val="0"/>
        <charset val="1"/>
      </rPr>
      <t xml:space="preserve">2026-07-01</t>
    </r>
    <r>
      <rPr>
        <sz val="10"/>
        <rFont val="Noto Sans CJK SC"/>
        <family val="2"/>
      </rPr>
      <t xml:space="preserve">（早於期初庫存日）→ </t>
    </r>
    <r>
      <rPr>
        <sz val="10"/>
        <rFont val="Arial"/>
        <family val="0"/>
        <charset val="1"/>
      </rPr>
      <t xml:space="preserve">issues=[]</t>
    </r>
    <r>
      <rPr>
        <sz val="10"/>
        <rFont val="Noto Sans CJK SC"/>
        <family val="2"/>
      </rPr>
      <t xml:space="preserve">、「✓ 草稿檢核通過，可寫入」、確認寫入後 </t>
    </r>
    <r>
      <rPr>
        <sz val="10"/>
        <rFont val="Arial"/>
        <family val="0"/>
        <charset val="1"/>
      </rPr>
      <t xml:space="preserve">201 #85</t>
    </r>
    <r>
      <rPr>
        <sz val="10"/>
        <rFont val="Noto Sans CJK SC"/>
        <family val="2"/>
      </rPr>
      <t xml:space="preserve">「寫入成功」——完全靜默接受 ✗（另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填 </t>
    </r>
    <r>
      <rPr>
        <sz val="10"/>
        <rFont val="Arial"/>
        <family val="0"/>
        <charset val="1"/>
      </rPr>
      <t xml:space="preserve">2025-01-02</t>
    </r>
    <r>
      <rPr>
        <sz val="10"/>
        <rFont val="Noto Sans CJK SC"/>
        <family val="2"/>
      </rPr>
      <t xml:space="preserve">、早於帳本所有紀錄與首筆入金，也無任何提示）。</t>
    </r>
    <r>
      <rPr>
        <sz val="10"/>
        <rFont val="Arial"/>
        <family val="0"/>
        <charset val="1"/>
      </rPr>
      <t xml:space="preserve">#85 </t>
    </r>
    <r>
      <rPr>
        <sz val="10"/>
        <rFont val="Noto Sans CJK SC"/>
        <family val="2"/>
      </rPr>
      <t xml:space="preserve">已刪除，逐位元還原</t>
    </r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</si>
  <si>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</si>
  <si>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</si>
  <si>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</si>
  <si>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</si>
  <si>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</si>
  <si>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</si>
  <si>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</si>
  <si>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（基準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）同日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依序寫入：</t>
    </r>
    <r>
      <rPr>
        <sz val="10"/>
        <rFont val="Arial"/>
        <family val="0"/>
        <charset val="1"/>
      </rPr>
      <t xml:space="preserve">#75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200@44</t>
    </r>
    <r>
      <rPr>
        <sz val="10"/>
        <rFont val="Noto Sans CJK SC"/>
        <family val="2"/>
      </rPr>
      <t xml:space="preserve">（總成本 </t>
    </r>
    <r>
      <rPr>
        <sz val="10"/>
        <rFont val="Arial"/>
        <family val="0"/>
        <charset val="1"/>
      </rPr>
      <t xml:space="preserve">8,820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#76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100@45</t>
    </r>
    <r>
      <rPr>
        <sz val="10"/>
        <rFont val="Noto Sans CJK SC"/>
        <family val="2"/>
      </rPr>
      <t xml:space="preserve">（淨收 </t>
    </r>
    <r>
      <rPr>
        <sz val="10"/>
        <rFont val="Arial"/>
        <family val="0"/>
        <charset val="1"/>
      </rPr>
      <t xml:space="preserve">4,467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#77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4,620</t>
    </r>
    <r>
      <rPr>
        <sz val="10"/>
        <rFont val="Noto Sans CJK SC"/>
        <family val="2"/>
      </rPr>
      <t xml:space="preserve">）。賣出當下草稿：持股 </t>
    </r>
    <r>
      <rPr>
        <sz val="10"/>
        <rFont val="Arial"/>
        <family val="0"/>
        <charset val="1"/>
      </rPr>
      <t xml:space="preserve">300→200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60.47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6,047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1,580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position_preview realized_pnl −1579.666…</t>
    </r>
    <r>
      <rPr>
        <sz val="10"/>
        <rFont val="Noto Sans CJK SC"/>
        <family val="2"/>
      </rPr>
      <t xml:space="preserve">，與時間順序手算一致）。三筆寫入後帳本：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5690.00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−1223.00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4,467−100×56.90</t>
    </r>
    <r>
      <rPr>
        <sz val="10"/>
        <rFont val="Noto Sans CJK SC"/>
        <family val="2"/>
      </rPr>
      <t xml:space="preserve">，把 </t>
    </r>
    <r>
      <rPr>
        <sz val="10"/>
        <rFont val="Arial"/>
        <family val="0"/>
        <charset val="1"/>
      </rPr>
      <t xml:space="preserve">#77 </t>
    </r>
    <r>
      <rPr>
        <sz val="10"/>
        <rFont val="Noto Sans CJK SC"/>
        <family val="2"/>
      </rPr>
      <t xml:space="preserve">的買進排在賣出之前）；期末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17,070.00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56.90</t>
    </r>
    <r>
      <rPr>
        <sz val="10"/>
        <rFont val="Noto Sans CJK SC"/>
        <family val="2"/>
      </rPr>
      <t xml:space="preserve">。依時間順序應為：賣出均價 </t>
    </r>
    <r>
      <rPr>
        <sz val="10"/>
        <rFont val="Arial"/>
        <family val="0"/>
        <charset val="1"/>
      </rPr>
      <t xml:space="preserve">60.4667</t>
    </r>
    <r>
      <rPr>
        <sz val="10"/>
        <rFont val="Noto Sans CJK SC"/>
        <family val="2"/>
      </rPr>
      <t xml:space="preserve">、成本移除 </t>
    </r>
    <r>
      <rPr>
        <sz val="10"/>
        <rFont val="Arial"/>
        <family val="0"/>
        <charset val="1"/>
      </rPr>
      <t xml:space="preserve">6,046.67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、期末成本 </t>
    </r>
    <r>
      <rPr>
        <sz val="10"/>
        <rFont val="Arial"/>
        <family val="0"/>
        <charset val="1"/>
      </rPr>
      <t xml:space="preserve">16,713.33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55.7111</t>
    </r>
    <r>
      <rPr>
        <sz val="10"/>
        <rFont val="Noto Sans CJK SC"/>
        <family val="2"/>
      </rPr>
      <t xml:space="preserve">。三筆刪除後四段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</si>
  <si>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t xml:space="preserve">DEF-012</t>
  </si>
  <si>
    <r>
      <rPr>
        <sz val="10"/>
        <rFont val="Noto Sans CJK SC"/>
        <family val="2"/>
      </rPr>
      <t xml:space="preserve">同一筆賣出的已實現損益在「之後」補登同日買進後被回溯改寫（−</t>
    </r>
    <r>
      <rPr>
        <sz val="10"/>
        <rFont val="Arial"/>
        <family val="0"/>
        <charset val="1"/>
      </rPr>
      <t xml:space="preserve">1,580 → −1,223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項檢查全過：同日先買後賣：賣出以先前買入後的均價移除成本 </t>
    </r>
    <r>
      <rPr>
        <sz val="10"/>
        <rFont val="Arial"/>
        <family val="0"/>
        <charset val="1"/>
      </rPr>
      <t xml:space="preserve">6,670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2,502</t>
    </r>
    <r>
      <rPr>
        <sz val="10"/>
        <rFont val="Noto Sans CJK SC"/>
        <family val="2"/>
      </rPr>
      <t xml:space="preserve">；之後再登錄同日買入不改寫先前的賣出（時間順序）；刪除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項檢查全過：同日先買後賣：賣出以先前買入後的均價移除成本 </t>
    </r>
    <r>
      <rPr>
        <sz val="10"/>
        <rFont val="Arial"/>
        <family val="0"/>
        <charset val="1"/>
      </rPr>
      <t xml:space="preserve">6,670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2,502</t>
    </r>
    <r>
      <rPr>
        <sz val="10"/>
        <rFont val="Noto Sans CJK SC"/>
        <family val="2"/>
      </rPr>
      <t xml:space="preserve">；之後再登錄同日買入不改寫先前的賣出（−</t>
    </r>
    <r>
      <rPr>
        <sz val="10"/>
        <rFont val="Arial"/>
        <family val="0"/>
        <charset val="1"/>
      </rPr>
      <t xml:space="preserve">2,502 </t>
    </r>
    <r>
      <rPr>
        <sz val="10"/>
        <rFont val="Noto Sans CJK SC"/>
        <family val="2"/>
      </rPr>
      <t xml:space="preserve">不變）；刪除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#198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）後逐字相同</t>
    </r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</si>
  <si>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</si>
  <si>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</si>
  <si>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</si>
  <si>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</si>
  <si>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</si>
  <si>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</si>
  <si>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</si>
  <si>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</si>
  <si>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r>
      <rPr>
        <sz val="10"/>
        <rFont val="Noto Sans CJK SC"/>
        <family val="2"/>
      </rPr>
      <t xml:space="preserve">收件匣 › 配息 → 重新偵測（按鈕變「偵測中…」→ </t>
    </r>
    <r>
      <rPr>
        <sz val="10"/>
        <rFont val="Arial"/>
        <family val="0"/>
        <charset val="1"/>
      </rPr>
      <t xml:space="preserve">GET /api/dividend-inbox?refresh=1 200</t>
    </r>
    <r>
      <rPr>
        <sz val="10"/>
        <rFont val="Noto Sans CJK SC"/>
        <family val="2"/>
      </rPr>
      <t xml:space="preserve">）→ 畫面與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筆」（全形逗號）①；待確認 </t>
    </r>
    <r>
      <rPr>
        <sz val="10"/>
        <rFont val="Arial"/>
        <family val="0"/>
        <charset val="1"/>
      </rPr>
      <t xml:space="preserve">6→7</t>
    </r>
    <r>
      <rPr>
        <sz val="10"/>
        <rFont val="Noto Sans CJK SC"/>
        <family val="2"/>
      </rPr>
      <t xml:space="preserve">（新增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/api/dividend-inbox/count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個群組 ②；帳本與四段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不變（只有收件匣計數變動）。✗ ③「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檔失敗」沒有任何說明：回應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欄只有「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檔失敗」，畫面無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／明細，無法得知哪一檔、為何失敗</t>
    </r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</si>
  <si>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</si>
  <si>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</si>
  <si>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</si>
  <si>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</si>
  <si>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</si>
  <si>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</si>
  <si>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</si>
  <si>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</si>
  <si>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r>
      <rPr>
        <sz val="10"/>
        <rFont val="Noto Sans CJK SC"/>
        <family val="2"/>
      </rPr>
      <t xml:space="preserve">收件匣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除息 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</t>
    </r>
    <r>
      <rPr>
        <sz val="10"/>
        <rFont val="Noto Sans CJK SC"/>
        <family val="2"/>
      </rPr>
      <t xml:space="preserve">，每股 </t>
    </r>
    <r>
      <rPr>
        <sz val="10"/>
        <rFont val="Arial"/>
        <family val="0"/>
        <charset val="1"/>
      </rPr>
      <t xml:space="preserve">7.0000×2,600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18,200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pay_date 2026-10-08</t>
    </r>
    <r>
      <rPr>
        <sz val="10"/>
        <rFont val="Noto Sans CJK SC"/>
        <family val="2"/>
      </rPr>
      <t xml:space="preserve">）→ 確認入帳（</t>
    </r>
    <r>
      <rPr>
        <sz val="10"/>
        <rFont val="Arial"/>
        <family val="0"/>
        <charset val="1"/>
      </rPr>
      <t xml:space="preserve">POST /api/dividend-inbox/confirm {fingerprints:[div:tw_broker:2330:2026-09-16]} → written 1</t>
    </r>
    <r>
      <rPr>
        <sz val="10"/>
        <rFont val="Noto Sans CJK SC"/>
        <family val="2"/>
      </rPr>
      <t xml:space="preserve">）→ ① 調整成本 </t>
    </r>
    <r>
      <rPr>
        <sz val="10"/>
        <rFont val="Arial"/>
        <family val="0"/>
        <charset val="1"/>
      </rPr>
      <t xml:space="preserve">2,465,290.0000→2,447,090.0000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18,200</t>
    </r>
    <r>
      <rPr>
        <sz val="10"/>
        <rFont val="Noto Sans CJK SC"/>
        <family val="2"/>
      </rPr>
      <t xml:space="preserve">）；② 調整均價 </t>
    </r>
    <r>
      <rPr>
        <sz val="10"/>
        <rFont val="Arial"/>
        <family val="0"/>
        <charset val="1"/>
      </rPr>
      <t xml:space="preserve">948.188…→941.188…</t>
    </r>
    <r>
      <rPr>
        <sz val="10"/>
        <rFont val="Noto Sans CJK SC"/>
        <family val="2"/>
      </rPr>
      <t xml:space="preserve">＝調整成本</t>
    </r>
    <r>
      <rPr>
        <sz val="10"/>
        <rFont val="Arial"/>
        <family val="0"/>
        <charset val="1"/>
      </rPr>
      <t xml:space="preserve">÷2,600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相符）；③ 未實現 </t>
    </r>
    <r>
      <rPr>
        <sz val="10"/>
        <rFont val="Arial"/>
        <family val="0"/>
        <charset val="1"/>
      </rPr>
      <t xml:space="preserve">+18,200.0000</t>
    </r>
    <r>
      <rPr>
        <sz val="10"/>
        <rFont val="Noto Sans CJK SC"/>
        <family val="2"/>
      </rPr>
      <t xml:space="preserve">；④ 總市值字串不變；⑤ 回本率 </t>
    </r>
    <r>
      <rPr>
        <sz val="10"/>
        <rFont val="Arial"/>
        <family val="0"/>
        <charset val="1"/>
      </rPr>
      <t xml:space="preserve">0.006088→0.013425</t>
    </r>
    <r>
      <rPr>
        <sz val="10"/>
        <rFont val="Noto Sans CJK SC"/>
        <family val="2"/>
      </rPr>
      <t xml:space="preserve">（＝股利沖減 </t>
    </r>
    <r>
      <rPr>
        <sz val="10"/>
        <rFont val="Arial"/>
        <family val="0"/>
        <charset val="1"/>
      </rPr>
      <t xml:space="preserve">33,300÷</t>
    </r>
    <r>
      <rPr>
        <sz val="10"/>
        <rFont val="Noto Sans CJK SC"/>
        <family val="2"/>
      </rPr>
      <t xml:space="preserve">原始成本 </t>
    </r>
    <r>
      <rPr>
        <sz val="10"/>
        <rFont val="Arial"/>
        <family val="0"/>
        <charset val="1"/>
      </rPr>
      <t xml:space="preserve">2,480,390</t>
    </r>
    <r>
      <rPr>
        <sz val="10"/>
        <rFont val="Noto Sans CJK SC"/>
        <family val="2"/>
      </rPr>
      <t xml:space="preserve">）；⑥ 股利帳本列日期為 </t>
    </r>
    <r>
      <rPr>
        <sz val="10"/>
        <rFont val="Arial"/>
        <family val="0"/>
        <charset val="1"/>
      </rPr>
      <t xml:space="preserve">pay_date 2026-10-08</t>
    </r>
    <r>
      <rPr>
        <sz val="10"/>
        <rFont val="Noto Sans CJK SC"/>
        <family val="2"/>
      </rPr>
      <t xml:space="preserve">，現金對帳單出現「</t>
    </r>
    <r>
      <rPr>
        <sz val="10"/>
        <rFont val="Arial"/>
        <family val="0"/>
        <charset val="1"/>
      </rPr>
      <t xml:space="preserve">2026-10-08 dividend +18,200 → 6,085,795</t>
    </r>
    <r>
      <rPr>
        <sz val="10"/>
        <rFont val="Noto Sans CJK SC"/>
        <family val="2"/>
      </rPr>
      <t xml:space="preserve">」，今日（</t>
    </r>
    <r>
      <rPr>
        <sz val="10"/>
        <rFont val="Arial"/>
        <family val="0"/>
        <charset val="1"/>
      </rPr>
      <t xml:space="preserve">as_of 09-23</t>
    </r>
    <r>
      <rPr>
        <sz val="10"/>
        <rFont val="Noto Sans CJK SC"/>
        <family val="2"/>
      </rPr>
      <t xml:space="preserve">）池餘額不變、於入帳日 </t>
    </r>
    <r>
      <rPr>
        <sz val="10"/>
        <rFont val="Arial"/>
        <family val="0"/>
        <charset val="1"/>
      </rPr>
      <t xml:space="preserve">+18,200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已確認入帳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2330 2026-09-16</t>
    </r>
    <r>
      <rPr>
        <sz val="10"/>
        <rFont val="Noto Sans CJK SC"/>
        <family val="2"/>
      </rPr>
      <t xml:space="preserve">・已寫入股利帳本，統計將由帳本重建」</t>
    </r>
  </si>
  <si>
    <t xml:space="preserve">DEF-016, DEF-061</t>
  </si>
  <si>
    <r>
      <rPr>
        <sz val="10"/>
        <rFont val="Noto Sans CJK SC"/>
        <family val="2"/>
      </rPr>
      <t xml:space="preserve">附帶：</t>
    </r>
    <r>
      <rPr>
        <sz val="10"/>
        <rFont val="Arial"/>
        <family val="0"/>
        <charset val="1"/>
      </rPr>
      <t xml:space="preserve">kpis.xirr 10.22406575→10.23407372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納入一筆晚於估值日（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2026-10-08 </t>
    </r>
    <r>
      <rPr>
        <sz val="10"/>
        <rFont val="Noto Sans CJK SC"/>
        <family val="2"/>
      </rPr>
      <t xml:space="preserve">現金流，趨勢圖 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則不含；見 </t>
    </r>
    <r>
      <rPr>
        <sz val="10"/>
        <rFont val="Arial"/>
        <family val="0"/>
        <charset val="1"/>
      </rPr>
      <t xml:space="preserve">DEF-016
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裁定：入帳日在未來的股利不進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／總報酬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複驗通過結案（未來股利寫入後六段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不變）；附帶 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（股利更正共用驗證器，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DEF-061 </t>
    </r>
    <r>
      <rPr>
        <sz val="10"/>
        <rFont val="Noto Sans CJK SC"/>
        <family val="2"/>
      </rPr>
      <t xml:space="preserve">複驗通過結案（更正門軟性需勾選、硬性 </t>
    </r>
    <r>
      <rPr>
        <sz val="10"/>
        <rFont val="Arial"/>
        <family val="0"/>
        <charset val="1"/>
      </rPr>
      <t xml:space="preserve">PUT 400</t>
    </r>
    <r>
      <rPr>
        <sz val="10"/>
        <rFont val="Noto Sans CJK SC"/>
        <family val="2"/>
      </rPr>
      <t xml:space="preserve">，與新增門判定相同）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項檢查全過：確認 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（發放日 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已過）→ 調整成本 −</t>
    </r>
    <r>
      <rPr>
        <sz val="10"/>
        <rFont val="Arial"/>
        <family val="0"/>
        <charset val="1"/>
      </rPr>
      <t xml:space="preserve">133,630</t>
    </r>
    <r>
      <rPr>
        <sz val="10"/>
        <rFont val="Noto Sans CJK SC"/>
        <family val="2"/>
      </rPr>
      <t xml:space="preserve">、調整均價＝成本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股數、未實現 </t>
    </r>
    <r>
      <rPr>
        <sz val="10"/>
        <rFont val="Arial"/>
        <family val="0"/>
        <charset val="1"/>
      </rPr>
      <t xml:space="preserve">+133,630</t>
    </r>
    <r>
      <rPr>
        <sz val="10"/>
        <rFont val="Noto Sans CJK SC"/>
        <family val="2"/>
      </rPr>
      <t xml:space="preserve">、總市值不變、回本比率上升、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+133,630</t>
    </r>
    <r>
      <rPr>
        <sz val="10"/>
        <rFont val="Noto Sans CJK SC"/>
        <family val="2"/>
      </rPr>
      <t xml:space="preserve">；確認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（發放日 </t>
    </r>
    <r>
      <rPr>
        <sz val="10"/>
        <rFont val="Arial"/>
        <family val="0"/>
        <charset val="1"/>
      </rPr>
      <t xml:space="preserve">10-08 </t>
    </r>
    <r>
      <rPr>
        <sz val="10"/>
        <rFont val="Noto Sans CJK SC"/>
        <family val="2"/>
      </rPr>
      <t xml:space="preserve">未到）→ 六段在發放日前不變；刪除後逐字相同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項檢查全過：確認 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（發放日 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已過）→ 調整成本 </t>
    </r>
    <r>
      <rPr>
        <sz val="10"/>
        <rFont val="Arial"/>
        <family val="0"/>
        <charset val="1"/>
      </rPr>
      <t xml:space="preserve">1,870,094.81→1,736,464.81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133,630</t>
    </r>
    <r>
      <rPr>
        <sz val="10"/>
        <rFont val="Noto Sans CJK SC"/>
        <family val="2"/>
      </rPr>
      <t xml:space="preserve">）、調整均價＝成本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股數、未實現 </t>
    </r>
    <r>
      <rPr>
        <sz val="10"/>
        <rFont val="Arial"/>
        <family val="0"/>
        <charset val="1"/>
      </rPr>
      <t xml:space="preserve">+133,630</t>
    </r>
    <r>
      <rPr>
        <sz val="10"/>
        <rFont val="Noto Sans CJK SC"/>
        <family val="2"/>
      </rPr>
      <t xml:space="preserve">、總市值不變、回本比率 </t>
    </r>
    <r>
      <rPr>
        <sz val="10"/>
        <rFont val="Arial"/>
        <family val="0"/>
        <charset val="1"/>
      </rPr>
      <t xml:space="preserve">0.0487→0.1167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6,067,595→6,201,225</t>
    </r>
    <r>
      <rPr>
        <sz val="10"/>
        <rFont val="Noto Sans CJK SC"/>
        <family val="2"/>
      </rPr>
      <t xml:space="preserve">；確認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（發放日 </t>
    </r>
    <r>
      <rPr>
        <sz val="10"/>
        <rFont val="Arial"/>
        <family val="0"/>
        <charset val="1"/>
      </rPr>
      <t xml:space="preserve">10-08 </t>
    </r>
    <r>
      <rPr>
        <sz val="10"/>
        <rFont val="Noto Sans CJK SC"/>
        <family val="2"/>
      </rPr>
      <t xml:space="preserve">未到）→ 六段在發放日前不變；刪除後逐字相同</t>
    </r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</si>
  <si>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</si>
  <si>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</si>
  <si>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</si>
  <si>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</si>
  <si>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</si>
  <si>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</si>
  <si>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</t>
    </r>
    <r>
      <rPr>
        <sz val="10"/>
        <rFont val="Arial"/>
        <family val="0"/>
        <charset val="1"/>
      </rPr>
      <t xml:space="preserve">DELETE /api/ledgers/dividends/38 200 → toast</t>
    </r>
    <r>
      <rPr>
        <sz val="10"/>
        <rFont val="Noto Sans CJK SC"/>
        <family val="2"/>
      </rPr>
      <t xml:space="preserve">「✓ 已復原 帳本紀錄已刪除，項目將重新出現在收件匣」①；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項目回到待確認 ②；四段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＋現金池＋股利帳本列數與確認前逐位元相同 ③</t>
    </r>
  </si>
  <si>
    <r>
      <rPr>
        <sz val="10"/>
        <rFont val="Noto Sans CJK SC"/>
        <family val="2"/>
      </rPr>
      <t xml:space="preserve">另以交易帳本 › 股利分頁「刪除」走一次（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、項目同樣回到收件匣、逐位元還原）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台積電（除息 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）→ 確認入帳 </t>
    </r>
    <r>
      <rPr>
        <sz val="10"/>
        <rFont val="Arial"/>
        <family val="0"/>
        <charset val="1"/>
      </rPr>
      <t xml:space="preserve">POST /api/dividend-inbox/confirm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written 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#49</t>
    </r>
    <r>
      <rPr>
        <sz val="10"/>
        <rFont val="Noto Sans CJK SC"/>
        <family val="2"/>
      </rPr>
      <t xml:space="preserve">），股利帳本 </t>
    </r>
    <r>
      <rPr>
        <sz val="10"/>
        <rFont val="Arial"/>
        <family val="0"/>
        <charset val="1"/>
      </rPr>
      <t xml:space="preserve">23→24</t>
    </r>
    <r>
      <rPr>
        <sz val="10"/>
        <rFont val="Noto Sans CJK SC"/>
        <family val="2"/>
      </rPr>
      <t xml:space="preserve">，出現「✓ 本次已入帳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Net 18,200 TWD </t>
    </r>
    <r>
      <rPr>
        <sz val="10"/>
        <rFont val="Noto Sans CJK SC"/>
        <family val="2"/>
      </rPr>
      <t xml:space="preserve">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支寫入）→ </t>
    </r>
    <r>
      <rPr>
        <sz val="10"/>
        <rFont val="Arial"/>
        <family val="0"/>
        <charset val="1"/>
      </rPr>
      <t xml:space="preserve">DELETE /api/ledgers/dividends/49 200 → toast</t>
    </r>
    <r>
      <rPr>
        <sz val="10"/>
        <rFont val="Noto Sans CJK SC"/>
        <family val="2"/>
      </rPr>
      <t xml:space="preserve">「✓ 已復原 帳本紀錄已刪除，項目將重新出現在收件匣」①；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回到待確認（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筆）②；股利帳本回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R8_START same:true ③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確認入帳 → 「本次已入帳」列 → 復原對話框「刪除並復原」→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「已復原 帳本紀錄已刪除，項目將重新出現在收件匣」、項目回到收件匣、數值逐字還原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確認入帳 → 「本次已入帳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Net 18,200 TWD</t>
    </r>
    <r>
      <rPr>
        <sz val="10"/>
        <rFont val="Noto Sans CJK SC"/>
        <family val="2"/>
      </rPr>
      <t xml:space="preserve">」→ 復原對話框「刪除並復原」→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「已復原 帳本紀錄已刪除，項目將重新出現在收件匣」、項目回到收件匣、數值逐字還原</t>
    </r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</si>
  <si>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</si>
  <si>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</si>
  <si>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</si>
  <si>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</si>
  <si>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</si>
  <si>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</si>
  <si>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r>
      <rPr>
        <sz val="10"/>
        <rFont val="Noto Sans CJK SC"/>
        <family val="2"/>
      </rPr>
      <t xml:space="preserve">交易帳本 › 交易輸入 › 股利：台灣券商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、發放日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、除權日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、類型「配股」、配股股數 </t>
    </r>
    <r>
      <rPr>
        <sz val="10"/>
        <rFont val="Arial"/>
        <family val="0"/>
        <charset val="1"/>
      </rPr>
      <t xml:space="preserve">10 → </t>
    </r>
    <r>
      <rPr>
        <sz val="10"/>
        <rFont val="Noto Sans CJK SC"/>
        <family val="2"/>
      </rPr>
      <t xml:space="preserve">確認寫入（前端送 </t>
    </r>
    <r>
      <rPr>
        <sz val="10"/>
        <rFont val="Arial"/>
        <family val="0"/>
        <charset val="1"/>
      </rPr>
      <t xml:space="preserve">POST /api/import/preview → /api/import/commit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written 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股利已寫入帳本（台灣券商）」→ ① 股數 </t>
    </r>
    <r>
      <rPr>
        <sz val="10"/>
        <rFont val="Arial"/>
        <family val="0"/>
        <charset val="1"/>
      </rPr>
      <t xml:space="preserve">100→110</t>
    </r>
    <r>
      <rPr>
        <sz val="10"/>
        <rFont val="Noto Sans CJK SC"/>
        <family val="2"/>
      </rPr>
      <t xml:space="preserve">；② 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不變；③ 均價 </t>
    </r>
    <r>
      <rPr>
        <sz val="10"/>
        <rFont val="Arial"/>
        <family val="0"/>
        <charset val="1"/>
      </rPr>
      <t xml:space="preserve">93.20→84.7272…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9,320÷110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realized 11→11 </t>
    </r>
    <r>
      <rPr>
        <sz val="10"/>
        <rFont val="Noto Sans CJK SC"/>
        <family val="2"/>
      </rPr>
      <t xml:space="preserve">列（無已實現）；⑤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 </t>
    </r>
    <r>
      <rPr>
        <sz val="10"/>
        <rFont val="Noto Sans CJK SC"/>
        <family val="2"/>
      </rPr>
      <t xml:space="preserve">不變。測畢於股利分頁刪除 </t>
    </r>
    <r>
      <rPr>
        <sz val="10"/>
        <rFont val="Arial"/>
        <family val="0"/>
        <charset val="1"/>
      </rPr>
      <t xml:space="preserve">#39 → </t>
    </r>
    <r>
      <rPr>
        <sz val="10"/>
        <rFont val="Noto Sans CJK SC"/>
        <family val="2"/>
      </rPr>
      <t xml:space="preserve">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還原，但「匯入批次」留下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筆（見 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），再按「最近匯入 › 復原」移除（</t>
    </r>
    <r>
      <rPr>
        <sz val="10"/>
        <rFont val="Arial"/>
        <family val="0"/>
        <charset val="1"/>
      </rPr>
      <t xml:space="preserve">DELETE /api/import/batches/1 → deleted 0</t>
    </r>
    <r>
      <rPr>
        <sz val="10"/>
        <rFont val="Noto Sans CJK SC"/>
        <family val="2"/>
      </rPr>
      <t xml:space="preserve">），全部與基準逐位元相同</t>
    </r>
  </si>
  <si>
    <t xml:space="preserve">DEF-017</t>
  </si>
  <si>
    <r>
      <rPr>
        <sz val="10"/>
        <rFont val="Noto Sans CJK SC"/>
        <family val="2"/>
      </rPr>
      <t xml:space="preserve">附帶發現 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：手動股利表單走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匯入寫入，會產生匯入批次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已隨帳本，但同頁「最近匯入」與復原對話框未刷新（仍寫將刪除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複驗通過結案（同頁清單「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）」、開框前重讀、批次已空不開框）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項檢查全過：配股表單說明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成本；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→ 股數 </t>
    </r>
    <r>
      <rPr>
        <sz val="10"/>
        <rFont val="Arial"/>
        <family val="0"/>
        <charset val="1"/>
      </rPr>
      <t xml:space="preserve">100→200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不變、均價 </t>
    </r>
    <r>
      <rPr>
        <sz val="10"/>
        <rFont val="Arial"/>
        <family val="0"/>
        <charset val="1"/>
      </rPr>
      <t xml:space="preserve">93.2→46.6</t>
    </r>
    <r>
      <rPr>
        <sz val="10"/>
        <rFont val="Noto Sans CJK SC"/>
        <family val="2"/>
      </rPr>
      <t xml:space="preserve">、無已實現、現金池不變；刪除後逐字相同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項檢查全過：配股表單說明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成本；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→ 股數 </t>
    </r>
    <r>
      <rPr>
        <sz val="10"/>
        <rFont val="Arial"/>
        <family val="0"/>
        <charset val="1"/>
      </rPr>
      <t xml:space="preserve">100→200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不變、均價 </t>
    </r>
    <r>
      <rPr>
        <sz val="10"/>
        <rFont val="Arial"/>
        <family val="0"/>
        <charset val="1"/>
      </rPr>
      <t xml:space="preserve">93.2→46.6</t>
    </r>
    <r>
      <rPr>
        <sz val="10"/>
        <rFont val="Noto Sans CJK SC"/>
        <family val="2"/>
      </rPr>
      <t xml:space="preserve">、無已實現、現金池不變；批次 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復原後逐字相同</t>
    </r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</si>
  <si>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</si>
  <si>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</si>
  <si>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</si>
  <si>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</si>
  <si>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</si>
  <si>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</si>
  <si>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r>
      <rPr>
        <sz val="10"/>
        <rFont val="Noto Sans CJK SC"/>
        <family val="2"/>
      </rPr>
      <t xml:space="preserve">交易帳本 › 股利：嘉信 </t>
    </r>
    <r>
      <rPr>
        <sz val="10"/>
        <rFont val="Arial"/>
        <family val="0"/>
        <charset val="1"/>
      </rPr>
      <t xml:space="preserve">Schwab AAPL</t>
    </r>
    <r>
      <rPr>
        <sz val="10"/>
        <rFont val="Noto Sans CJK SC"/>
        <family val="2"/>
      </rPr>
      <t xml:space="preserve">、類型「再投資（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Gross 10 → </t>
    </r>
    <r>
      <rPr>
        <sz val="10"/>
        <rFont val="Noto Sans CJK SC"/>
        <family val="2"/>
      </rPr>
      <t xml:space="preserve">預扣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自動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 7.00</t>
    </r>
    <r>
      <rPr>
        <sz val="10"/>
        <rFont val="Noto Sans CJK SC"/>
        <family val="2"/>
      </rPr>
      <t xml:space="preserve">、再投資 </t>
    </r>
    <r>
      <rPr>
        <sz val="10"/>
        <rFont val="Arial"/>
        <family val="0"/>
        <charset val="1"/>
      </rPr>
      <t xml:space="preserve">0.028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@250 → </t>
    </r>
    <r>
      <rPr>
        <sz val="10"/>
        <rFont val="Noto Sans CJK SC"/>
        <family val="2"/>
      </rPr>
      <t xml:space="preserve">寫入（</t>
    </r>
    <r>
      <rPr>
        <sz val="10"/>
        <rFont val="Arial"/>
        <family val="0"/>
        <charset val="1"/>
      </rPr>
      <t xml:space="preserve">import commit</t>
    </r>
    <r>
      <rPr>
        <sz val="10"/>
        <rFont val="Noto Sans CJK SC"/>
        <family val="2"/>
      </rPr>
      <t xml:space="preserve">）→ 股數 </t>
    </r>
    <r>
      <rPr>
        <sz val="10"/>
        <rFont val="Arial"/>
        <family val="0"/>
        <charset val="1"/>
      </rPr>
      <t xml:space="preserve">85.039255→85.067255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+0.028</t>
    </r>
    <r>
      <rPr>
        <sz val="10"/>
        <rFont val="Noto Sans CJK SC"/>
        <family val="2"/>
      </rPr>
      <t xml:space="preserve">，小數股允許 ④ ✓）；均價 </t>
    </r>
    <r>
      <rPr>
        <sz val="10"/>
        <rFont val="Arial"/>
        <family val="0"/>
        <charset val="1"/>
      </rPr>
      <t xml:space="preserve">158.9266→158.8743</t>
    </r>
    <r>
      <rPr>
        <sz val="10"/>
        <rFont val="Noto Sans CJK SC"/>
        <family val="2"/>
      </rPr>
      <t xml:space="preserve">（依加權重算 ②）；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現金池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變動（股利即買回，淨額 </t>
    </r>
    <r>
      <rPr>
        <sz val="10"/>
        <rFont val="Arial"/>
        <family val="0"/>
        <charset val="1"/>
      </rPr>
      <t xml:space="preserve">0 ③ ✓</t>
    </r>
    <r>
      <rPr>
        <sz val="10"/>
        <rFont val="Noto Sans CJK SC"/>
        <family val="2"/>
      </rPr>
      <t xml:space="preserve">）；✗ ① 原始成本 </t>
    </r>
    <r>
      <rPr>
        <sz val="10"/>
        <rFont val="Arial"/>
        <family val="0"/>
        <charset val="1"/>
      </rPr>
      <t xml:space="preserve">13,515 </t>
    </r>
    <r>
      <rPr>
        <sz val="10"/>
        <rFont val="Noto Sans CJK SC"/>
        <family val="2"/>
      </rPr>
      <t xml:space="preserve">不變——表單說明「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模式：預扣 </t>
    </r>
    <r>
      <rPr>
        <sz val="10"/>
        <rFont val="Arial"/>
        <family val="0"/>
        <charset val="1"/>
      </rPr>
      <t xml:space="preserve">30%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將以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成本股數入帳（再投資股數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再投資價格僅供對帳）」，與手冊「成本增加（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是拿股利再買進）」不同；</t>
    </r>
    <r>
      <rPr>
        <sz val="10"/>
        <rFont val="Arial"/>
        <family val="0"/>
        <charset val="1"/>
      </rPr>
      <t xml:space="preserve">total_return +296.74 TWD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0.028×334.33×31.698999</t>
    </r>
    <r>
      <rPr>
        <sz val="10"/>
        <rFont val="Noto Sans CJK SC"/>
        <family val="2"/>
      </rPr>
      <t xml:space="preserve">）。以「最近匯入 › 復原」移除（</t>
    </r>
    <r>
      <rPr>
        <sz val="10"/>
        <rFont val="Arial"/>
        <family val="0"/>
        <charset val="1"/>
      </rPr>
      <t xml:space="preserve">deleted 1</t>
    </r>
    <r>
      <rPr>
        <sz val="10"/>
        <rFont val="Noto Sans CJK SC"/>
        <family val="2"/>
      </rPr>
      <t xml:space="preserve">），逐位元還原</t>
    </r>
  </si>
  <si>
    <t xml:space="preserve">DEF-018, DEF-019</t>
  </si>
  <si>
    <r>
      <rPr>
        <sz val="10"/>
        <rFont val="Noto Sans CJK SC"/>
        <family val="2"/>
      </rPr>
      <t xml:space="preserve">系統以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成本入帳是明示的會計模型（表單文案），與手冊期望衝突，交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裁定；附帶發現：復原後交易表單代號清單未重載（</t>
    </r>
    <r>
      <rPr>
        <sz val="10"/>
        <rFont val="Arial"/>
        <family val="0"/>
        <charset val="1"/>
      </rPr>
      <t xml:space="preserve">DEF-019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DEF-018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成本）；</t>
    </r>
    <r>
      <rPr>
        <sz val="10"/>
        <rFont val="Arial"/>
        <family val="0"/>
        <charset val="1"/>
      </rPr>
      <t xml:space="preserve">DEF-019 </t>
    </r>
    <r>
      <rPr>
        <sz val="10"/>
        <rFont val="Noto Sans CJK SC"/>
        <family val="2"/>
      </rPr>
      <t xml:space="preserve">複驗通過結案；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表單說明「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成本股數入帳」；</t>
    </r>
    <r>
      <rPr>
        <sz val="10"/>
        <rFont val="Arial"/>
        <family val="0"/>
        <charset val="1"/>
      </rPr>
      <t xml:space="preserve">AAPL +0.02 </t>
    </r>
    <r>
      <rPr>
        <sz val="10"/>
        <rFont val="Noto Sans CJK SC"/>
        <family val="2"/>
      </rPr>
      <t xml:space="preserve">股（小數）、原始成本 </t>
    </r>
    <r>
      <rPr>
        <sz val="10"/>
        <rFont val="Arial"/>
        <family val="0"/>
        <charset val="1"/>
      </rPr>
      <t xml:space="preserve">13,515 </t>
    </r>
    <r>
      <rPr>
        <sz val="10"/>
        <rFont val="Noto Sans CJK SC"/>
        <family val="2"/>
      </rPr>
      <t xml:space="preserve">不變、均價＝成本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新股數、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表單說明以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成本股數入帳；</t>
    </r>
    <r>
      <rPr>
        <sz val="10"/>
        <rFont val="Arial"/>
        <family val="0"/>
        <charset val="1"/>
      </rPr>
      <t xml:space="preserve">AAPL +0.02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85.039255→85.059255</t>
    </r>
    <r>
      <rPr>
        <sz val="10"/>
        <rFont val="Noto Sans CJK SC"/>
        <family val="2"/>
      </rPr>
      <t xml:space="preserve">）、原始成本 </t>
    </r>
    <r>
      <rPr>
        <sz val="10"/>
        <rFont val="Arial"/>
        <family val="0"/>
        <charset val="1"/>
      </rPr>
      <t xml:space="preserve">13,515 </t>
    </r>
    <r>
      <rPr>
        <sz val="10"/>
        <rFont val="Noto Sans CJK SC"/>
        <family val="2"/>
      </rPr>
      <t xml:space="preserve">不變、均價＝成本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新股數 </t>
    </r>
    <r>
      <rPr>
        <sz val="10"/>
        <rFont val="Arial"/>
        <family val="0"/>
        <charset val="1"/>
      </rPr>
      <t xml:space="preserve">158.889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池不變；批次 </t>
    </r>
    <r>
      <rPr>
        <sz val="10"/>
        <rFont val="Arial"/>
        <family val="0"/>
        <charset val="1"/>
      </rPr>
      <t xml:space="preserve">#35 </t>
    </r>
    <r>
      <rPr>
        <sz val="10"/>
        <rFont val="Noto Sans CJK SC"/>
        <family val="2"/>
      </rPr>
      <t xml:space="preserve">復原後逐字相同</t>
    </r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</si>
  <si>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</si>
  <si>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</si>
  <si>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</si>
  <si>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</si>
  <si>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</si>
  <si>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</si>
  <si>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r>
      <rPr>
        <sz val="10"/>
        <rFont val="Noto Sans CJK SC"/>
        <family val="2"/>
      </rPr>
      <t xml:space="preserve">交易帳本 › 股利：嘉信 </t>
    </r>
    <r>
      <rPr>
        <sz val="10"/>
        <rFont val="Arial"/>
        <family val="0"/>
        <charset val="1"/>
      </rPr>
      <t xml:space="preserve">Schwab AAPL</t>
    </r>
    <r>
      <rPr>
        <sz val="10"/>
        <rFont val="Noto Sans CJK SC"/>
        <family val="2"/>
      </rPr>
      <t xml:space="preserve">「現金股利」</t>
    </r>
    <r>
      <rPr>
        <sz val="10"/>
        <rFont val="Arial"/>
        <family val="0"/>
        <charset val="1"/>
      </rPr>
      <t xml:space="preserve">Gross 10 → </t>
    </r>
    <r>
      <rPr>
        <sz val="10"/>
        <rFont val="Noto Sans CJK SC"/>
        <family val="2"/>
      </rPr>
      <t xml:space="preserve">預扣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自動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 7.00</t>
    </r>
    <r>
      <rPr>
        <sz val="10"/>
        <rFont val="Noto Sans CJK SC"/>
        <family val="2"/>
      </rPr>
      <t xml:space="preserve">（表單說明「美股現金股利：預扣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後的淨額沖減成本（調整均價下降），與台股現金股利同一套會計（</t>
    </r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）」）→ 寫入 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+7.00</t>
    </r>
    <r>
      <rPr>
        <sz val="10"/>
        <rFont val="Noto Sans CJK SC"/>
        <family val="2"/>
      </rPr>
      <t xml:space="preserve">（淨額）✓；② 調整成本 </t>
    </r>
    <r>
      <rPr>
        <sz val="10"/>
        <rFont val="Arial"/>
        <family val="0"/>
        <charset val="1"/>
      </rPr>
      <t xml:space="preserve">13,515→13,508.00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＝以淨額沖減，原始成本不變），畫面已標示 ✓；③ 下載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稅務包，</t>
    </r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出現「</t>
    </r>
    <r>
      <rPr>
        <sz val="10"/>
        <rFont val="Arial"/>
        <family val="0"/>
        <charset val="1"/>
      </rPr>
      <t xml:space="preserve">2026-09-23,schwab,AAPL,cash,10,3.00,7.00,USD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summary USD </t>
    </r>
    <r>
      <rPr>
        <sz val="10"/>
        <rFont val="Noto Sans CJK SC"/>
        <family val="2"/>
      </rPr>
      <t xml:space="preserve">股利 </t>
    </r>
    <r>
      <rPr>
        <sz val="10"/>
        <rFont val="Arial"/>
        <family val="0"/>
        <charset val="1"/>
      </rPr>
      <t xml:space="preserve">312.27→319.27 ✓</t>
    </r>
    <r>
      <rPr>
        <sz val="10"/>
        <rFont val="Noto Sans CJK SC"/>
        <family val="2"/>
      </rPr>
      <t xml:space="preserve">。以「最近匯入 › 復原」移除（</t>
    </r>
    <r>
      <rPr>
        <sz val="10"/>
        <rFont val="Arial"/>
        <family val="0"/>
        <charset val="1"/>
      </rPr>
      <t xml:space="preserve">deleted 1</t>
    </r>
    <r>
      <rPr>
        <sz val="10"/>
        <rFont val="Noto Sans CJK SC"/>
        <family val="2"/>
      </rPr>
      <t xml:space="preserve">），逐位元還原</t>
    </r>
  </si>
  <si>
    <r>
      <rPr>
        <sz val="10"/>
        <rFont val="Noto Sans CJK SC"/>
        <family val="2"/>
      </rPr>
      <t xml:space="preserve">收件匣中的美股項目皆為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模式，故以手動股利表單建立一筆美股現金股利測試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股利：嘉信 </t>
    </r>
    <r>
      <rPr>
        <sz val="10"/>
        <rFont val="Arial"/>
        <family val="0"/>
        <charset val="1"/>
      </rPr>
      <t xml:space="preserve">Schwab AAPL </t>
    </r>
    <r>
      <rPr>
        <sz val="10"/>
        <rFont val="Noto Sans CJK SC"/>
        <family val="2"/>
      </rPr>
      <t xml:space="preserve">選「現金股利」、日期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Gross 10 → </t>
    </r>
    <r>
      <rPr>
        <sz val="10"/>
        <rFont val="Noto Sans CJK SC"/>
        <family val="2"/>
      </rPr>
      <t xml:space="preserve">預扣「</t>
    </r>
    <r>
      <rPr>
        <sz val="10"/>
        <rFont val="Arial"/>
        <family val="0"/>
        <charset val="1"/>
      </rPr>
      <t xml:space="preserve">30%</t>
    </r>
    <r>
      <rPr>
        <sz val="10"/>
        <rFont val="Noto Sans CJK SC"/>
        <family val="2"/>
      </rPr>
      <t xml:space="preserve">（自動）」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（自動）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，表單說明「美股現金股利：預扣 </t>
    </r>
    <r>
      <rPr>
        <sz val="10"/>
        <rFont val="Arial"/>
        <family val="0"/>
        <charset val="1"/>
      </rPr>
      <t xml:space="preserve">30% </t>
    </r>
    <r>
      <rPr>
        <sz val="10"/>
        <rFont val="Noto Sans CJK SC"/>
        <family val="2"/>
      </rPr>
      <t xml:space="preserve">後的淨額沖減成本（調整均價下降），與台股現金股利同一套會計（</t>
    </r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）。」→ 確認寫入（</t>
    </r>
    <r>
      <rPr>
        <sz val="10"/>
        <rFont val="Arial"/>
        <family val="0"/>
        <charset val="1"/>
      </rPr>
      <t xml:space="preserve">import preview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written 1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#19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股利已寫入帳本（嘉信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398,497.90→398,504.90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+7.00 </t>
    </r>
    <r>
      <rPr>
        <sz val="10"/>
        <rFont val="Noto Sans CJK SC"/>
        <family val="2"/>
      </rPr>
      <t xml:space="preserve">淨額）✓；② 調整成本 </t>
    </r>
    <r>
      <rPr>
        <sz val="10"/>
        <rFont val="Arial"/>
        <family val="0"/>
        <charset val="1"/>
      </rPr>
      <t xml:space="preserve">13,515→13,508.00</t>
    </r>
    <r>
      <rPr>
        <sz val="10"/>
        <rFont val="Noto Sans CJK SC"/>
        <family val="2"/>
      </rPr>
      <t xml:space="preserve">（以淨額沖減），原始成本 </t>
    </r>
    <r>
      <rPr>
        <sz val="10"/>
        <rFont val="Arial"/>
        <family val="0"/>
        <charset val="1"/>
      </rPr>
      <t xml:space="preserve">13,515 </t>
    </r>
    <r>
      <rPr>
        <sz val="10"/>
        <rFont val="Noto Sans CJK SC"/>
        <family val="2"/>
      </rPr>
      <t xml:space="preserve">不變，畫面已標示 ✓；③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稅務包 </t>
    </r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出現「</t>
    </r>
    <r>
      <rPr>
        <sz val="10"/>
        <rFont val="Arial"/>
        <family val="0"/>
        <charset val="1"/>
      </rPr>
      <t xml:space="preserve">2026-09-23,schwab,AAPL,cash,10,3.00,7.00,USD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summary.md </t>
    </r>
    <r>
      <rPr>
        <sz val="10"/>
        <rFont val="Noto Sans CJK SC"/>
        <family val="2"/>
      </rPr>
      <t xml:space="preserve">股利 </t>
    </r>
    <r>
      <rPr>
        <sz val="10"/>
        <rFont val="Arial"/>
        <family val="0"/>
        <charset val="1"/>
      </rPr>
      <t xml:space="preserve">USD 312.27→319.27 ✓</t>
    </r>
    <r>
      <rPr>
        <sz val="10"/>
        <rFont val="Noto Sans CJK SC"/>
        <family val="2"/>
      </rPr>
      <t xml:space="preserve">。以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最近匯入 批次「復原」（對話框「復原這批匯入 將刪除這批匯入寫進帳本的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筆股利紀錄（來源：手動輸入）…」→ </t>
    </r>
    <r>
      <rPr>
        <sz val="10"/>
        <rFont val="Arial"/>
        <family val="0"/>
        <charset val="1"/>
      </rPr>
      <t xml:space="preserve">DELETE /api/import/batches/19 200 deleted 1</t>
    </r>
    <r>
      <rPr>
        <sz val="10"/>
        <rFont val="Noto Sans CJK SC"/>
        <family val="2"/>
      </rPr>
      <t xml:space="preserve">）移除，已提交批次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項檢查全過：美股現金股利 </t>
    </r>
    <r>
      <rPr>
        <sz val="10"/>
        <rFont val="Arial"/>
        <family val="0"/>
        <charset val="1"/>
      </rPr>
      <t xml:space="preserve">gross 10 → </t>
    </r>
    <r>
      <rPr>
        <sz val="10"/>
        <rFont val="Noto Sans CJK SC"/>
        <family val="2"/>
      </rPr>
      <t xml:space="preserve">自動預扣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／淨額 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+7.00</t>
    </r>
    <r>
      <rPr>
        <sz val="10"/>
        <rFont val="Noto Sans CJK SC"/>
        <family val="2"/>
      </rPr>
      <t xml:space="preserve">、調整成本 −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（原始不變）；稅務包 </t>
    </r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該列「…</t>
    </r>
    <r>
      <rPr>
        <sz val="10"/>
        <rFont val="Arial"/>
        <family val="0"/>
        <charset val="1"/>
      </rPr>
      <t xml:space="preserve">,10,3.00,7.00,USD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項檢查全過：美股現金股利 </t>
    </r>
    <r>
      <rPr>
        <sz val="10"/>
        <rFont val="Arial"/>
        <family val="0"/>
        <charset val="1"/>
      </rPr>
      <t xml:space="preserve">gross 10 → </t>
    </r>
    <r>
      <rPr>
        <sz val="10"/>
        <rFont val="Noto Sans CJK SC"/>
        <family val="2"/>
      </rPr>
      <t xml:space="preserve">自動預扣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／淨額 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+7.00</t>
    </r>
    <r>
      <rPr>
        <sz val="10"/>
        <rFont val="Noto Sans CJK SC"/>
        <family val="2"/>
      </rPr>
      <t xml:space="preserve">、調整成本 </t>
    </r>
    <r>
      <rPr>
        <sz val="10"/>
        <rFont val="Arial"/>
        <family val="0"/>
        <charset val="1"/>
      </rPr>
      <t xml:space="preserve">13,515→13,508</t>
    </r>
    <r>
      <rPr>
        <sz val="10"/>
        <rFont val="Noto Sans CJK SC"/>
        <family val="2"/>
      </rPr>
      <t xml:space="preserve">（原始不變）；稅務包 </t>
    </r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該列「…</t>
    </r>
    <r>
      <rPr>
        <sz val="10"/>
        <rFont val="Arial"/>
        <family val="0"/>
        <charset val="1"/>
      </rPr>
      <t xml:space="preserve">,10,3.00,7.00,USD</t>
    </r>
    <r>
      <rPr>
        <sz val="10"/>
        <rFont val="Noto Sans CJK SC"/>
        <family val="2"/>
      </rPr>
      <t xml:space="preserve">」；批次 </t>
    </r>
    <r>
      <rPr>
        <sz val="10"/>
        <rFont val="Arial"/>
        <family val="0"/>
        <charset val="1"/>
      </rPr>
      <t xml:space="preserve">#36 </t>
    </r>
    <r>
      <rPr>
        <sz val="10"/>
        <rFont val="Noto Sans CJK SC"/>
        <family val="2"/>
      </rPr>
      <t xml:space="preserve">復原後逐字相同</t>
    </r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</si>
  <si>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</si>
  <si>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</si>
  <si>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</si>
  <si>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</si>
  <si>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</si>
  <si>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</si>
  <si>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r>
      <rPr>
        <sz val="10"/>
        <rFont val="Noto Sans CJK SC"/>
        <family val="2"/>
      </rPr>
      <t xml:space="preserve">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，淨額 </t>
    </r>
    <r>
      <rPr>
        <sz val="10"/>
        <rFont val="Arial"/>
        <family val="0"/>
        <charset val="1"/>
      </rPr>
      <t xml:space="preserve">930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→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離開待確認（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）；② 股利帳本與四段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不變；③ 出現在「已忽略」清單（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</t>
    </r>
    <r>
      <rPr>
        <sz val="10"/>
        <rFont val="Noto Sans CJK SC"/>
        <family val="2"/>
      </rPr>
      <t xml:space="preserve">，附完整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）並可「取消忽略」。還原：已忽略 › 取消忽略 → </t>
    </r>
    <r>
      <rPr>
        <sz val="10"/>
        <rFont val="Arial"/>
        <family val="0"/>
        <charset val="1"/>
      </rPr>
      <t xml:space="preserve">POST /unskip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回到待確認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</si>
  <si>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</si>
  <si>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</si>
  <si>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</si>
  <si>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</si>
  <si>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</si>
  <si>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</si>
  <si>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</si>
  <si>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r>
      <rPr>
        <sz val="10"/>
        <rFont val="Noto Sans CJK SC"/>
        <family val="2"/>
      </rPr>
      <t xml:space="preserve">收件匣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群組（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，除息 </t>
    </r>
    <r>
      <rPr>
        <sz val="10"/>
        <rFont val="Arial"/>
        <family val="0"/>
        <charset val="1"/>
      </rPr>
      <t xml:space="preserve">2026-08-10</t>
    </r>
    <r>
      <rPr>
        <sz val="10"/>
        <rFont val="Noto Sans CJK SC"/>
        <family val="2"/>
      </rPr>
      <t xml:space="preserve">）→ 全部確認 → 對話框「批次確認入帳 —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筆偵測到的配息寫入股利帳本（金額由後端依除息日持股重新計算）」→ </t>
    </r>
    <r>
      <rPr>
        <sz val="10"/>
        <rFont val="Arial"/>
        <family val="0"/>
        <charset val="1"/>
      </rPr>
      <t xml:space="preserve">POST confirm 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已確認入帳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AAPL ×2</t>
    </r>
    <r>
      <rPr>
        <sz val="10"/>
        <rFont val="Noto Sans CJK SC"/>
        <family val="2"/>
      </rPr>
      <t xml:space="preserve">・已寫入股利帳本…」、股利帳本 </t>
    </r>
    <r>
      <rPr>
        <sz val="10"/>
        <rFont val="Arial"/>
        <family val="0"/>
        <charset val="1"/>
      </rPr>
      <t xml:space="preserve">23→25</t>
    </r>
    <r>
      <rPr>
        <sz val="10"/>
        <rFont val="Noto Sans CJK SC"/>
        <family val="2"/>
      </rPr>
      <t xml:space="preserve">、出現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個「復原」鈕 → 逐筆復原（</t>
    </r>
    <r>
      <rPr>
        <sz val="10"/>
        <rFont val="Arial"/>
        <family val="0"/>
        <charset val="1"/>
      </rPr>
      <t xml:space="preserve">DELETE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，兩則「✓ 已復原 帳本紀錄已刪除，項目將重新出現在收件匣」）→ 股利帳本 </t>
    </r>
    <r>
      <rPr>
        <sz val="10"/>
        <rFont val="Arial"/>
        <family val="0"/>
        <charset val="1"/>
      </rPr>
      <t xml:space="preserve">25→23</t>
    </r>
    <r>
      <rPr>
        <sz val="10"/>
        <rFont val="Noto Sans CJK SC"/>
        <family val="2"/>
      </rPr>
      <t xml:space="preserve">、待確認回到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</t>
    </r>
  </si>
  <si>
    <r>
      <rPr>
        <sz val="10"/>
        <rFont val="Noto Sans CJK SC"/>
        <family val="2"/>
      </rPr>
      <t xml:space="preserve">以單一群組「全部確認」控制寫入量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群組（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，除息 </t>
    </r>
    <r>
      <rPr>
        <sz val="10"/>
        <rFont val="Arial"/>
        <family val="0"/>
        <charset val="1"/>
      </rPr>
      <t xml:space="preserve">2026-08-10</t>
    </r>
    <r>
      <rPr>
        <sz val="10"/>
        <rFont val="Noto Sans CJK SC"/>
        <family val="2"/>
      </rPr>
      <t xml:space="preserve">）→ 全部確認 → 對話框「批次確認入帳 —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筆偵測到的配息寫入股利帳本（金額由後端依除息日持股重新計算）。取消／全部確認」（開框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支寫入）→ </t>
    </r>
    <r>
      <rPr>
        <sz val="10"/>
        <rFont val="Arial"/>
        <family val="0"/>
        <charset val="1"/>
      </rPr>
      <t xml:space="preserve">POST confirm 200 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已確認入帳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AAPL ×2</t>
    </r>
    <r>
      <rPr>
        <sz val="10"/>
        <rFont val="Noto Sans CJK SC"/>
        <family val="2"/>
      </rPr>
      <t xml:space="preserve">・已寫入股利帳本，統計將由帳本重建」、股利帳本 </t>
    </r>
    <r>
      <rPr>
        <sz val="10"/>
        <rFont val="Arial"/>
        <family val="0"/>
        <charset val="1"/>
      </rPr>
      <t xml:space="preserve">23→25</t>
    </r>
    <r>
      <rPr>
        <sz val="10"/>
        <rFont val="Noto Sans CJK SC"/>
        <family val="2"/>
      </rPr>
      <t xml:space="preserve">、「本次已入帳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筆」各有「復原」（</t>
    </r>
    <r>
      <rPr>
        <sz val="10"/>
        <rFont val="Arial"/>
        <family val="0"/>
        <charset val="1"/>
      </rPr>
      <t xml:space="preserve">Net 16.07 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1.89 USD</t>
    </r>
    <r>
      <rPr>
        <sz val="10"/>
        <rFont val="Noto Sans CJK SC"/>
        <family val="2"/>
      </rPr>
      <t xml:space="preserve">）→ 逐筆復原（</t>
    </r>
    <r>
      <rPr>
        <sz val="10"/>
        <rFont val="Arial"/>
        <family val="0"/>
        <charset val="1"/>
      </rPr>
      <t xml:space="preserve">DELETE 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，兩則「✓ 已復原 帳本紀錄已刪除，項目將重新出現在收件匣」）→ 股利帳本 </t>
    </r>
    <r>
      <rPr>
        <sz val="10"/>
        <rFont val="Arial"/>
        <family val="0"/>
        <charset val="1"/>
      </rPr>
      <t xml:space="preserve">25→23</t>
    </r>
    <r>
      <rPr>
        <sz val="10"/>
        <rFont val="Noto Sans CJK SC"/>
        <family val="2"/>
      </rPr>
      <t xml:space="preserve">、待確認回到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項檢查全過：全部確認 </t>
    </r>
    <r>
      <rPr>
        <sz val="10"/>
        <rFont val="Arial"/>
        <family val="0"/>
        <charset val="1"/>
      </rPr>
      <t xml:space="preserve">AAPL → </t>
    </r>
    <r>
      <rPr>
        <sz val="10"/>
        <rFont val="Noto Sans CJK SC"/>
        <family val="2"/>
      </rPr>
      <t xml:space="preserve">對話框「將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筆偵測到的配息寫入股利帳本」→ 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#59</t>
    </r>
    <r>
      <rPr>
        <sz val="10"/>
        <rFont val="Noto Sans CJK SC"/>
        <family val="2"/>
      </rPr>
      <t xml:space="preserve">）、帳本 </t>
    </r>
    <r>
      <rPr>
        <sz val="10"/>
        <rFont val="Arial"/>
        <family val="0"/>
        <charset val="1"/>
      </rPr>
      <t xml:space="preserve">23→25</t>
    </r>
    <r>
      <rPr>
        <sz val="10"/>
        <rFont val="Noto Sans CJK SC"/>
        <family val="2"/>
      </rPr>
      <t xml:space="preserve">；逐筆刪除後回 </t>
    </r>
    <r>
      <rPr>
        <sz val="10"/>
        <rFont val="Arial"/>
        <family val="0"/>
        <charset val="1"/>
      </rPr>
      <t xml:space="preserve">23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項檢查全過：全部確認 </t>
    </r>
    <r>
      <rPr>
        <sz val="10"/>
        <rFont val="Arial"/>
        <family val="0"/>
        <charset val="1"/>
      </rPr>
      <t xml:space="preserve">AAPL → </t>
    </r>
    <r>
      <rPr>
        <sz val="10"/>
        <rFont val="Noto Sans CJK SC"/>
        <family val="2"/>
      </rPr>
      <t xml:space="preserve">對話框「將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筆偵測到的配息寫入股利帳本」→ 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#69</t>
    </r>
    <r>
      <rPr>
        <sz val="10"/>
        <rFont val="Noto Sans CJK SC"/>
        <family val="2"/>
      </rPr>
      <t xml:space="preserve">）、帳本 </t>
    </r>
    <r>
      <rPr>
        <sz val="10"/>
        <rFont val="Arial"/>
        <family val="0"/>
        <charset val="1"/>
      </rPr>
      <t xml:space="preserve">23→25</t>
    </r>
    <r>
      <rPr>
        <sz val="10"/>
        <rFont val="Noto Sans CJK SC"/>
        <family val="2"/>
      </rPr>
      <t xml:space="preserve">；逐筆刪除後回 </t>
    </r>
    <r>
      <rPr>
        <sz val="10"/>
        <rFont val="Arial"/>
        <family val="0"/>
        <charset val="1"/>
      </rPr>
      <t xml:space="preserve">23</t>
    </r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</si>
  <si>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</si>
  <si>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</si>
  <si>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</si>
  <si>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</si>
  <si>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</si>
  <si>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r>
      <rPr>
        <sz val="10"/>
        <rFont val="Noto Sans CJK SC"/>
        <family val="2"/>
      </rPr>
      <t xml:space="preserve">儀表板 › 股利總覽（展開）：除息日曆「共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筆・下次 </t>
    </r>
    <r>
      <rPr>
        <sz val="10"/>
        <rFont val="Arial"/>
        <family val="0"/>
        <charset val="1"/>
      </rPr>
      <t xml:space="preserve">2026-09-23 1155 Maybank 0.310 MYR</t>
    </r>
    <r>
      <rPr>
        <sz val="10"/>
        <rFont val="Noto Sans CJK SC"/>
        <family val="2"/>
      </rPr>
      <t xml:space="preserve">／股」，與 </t>
    </r>
    <r>
      <rPr>
        <sz val="10"/>
        <rFont val="Arial"/>
        <family val="0"/>
        <charset val="1"/>
      </rPr>
      <t xml:space="preserve">dashboard.ex_dividend_calendar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 ex 2026-09-23 cash 0.31 MYR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source yfinance</t>
    </r>
    <r>
      <rPr>
        <sz val="10"/>
        <rFont val="Noto Sans CJK SC"/>
        <family val="2"/>
      </rPr>
      <t xml:space="preserve">）及收件匣事件一致 ①；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年度預估（已宣告）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預估淨額 </t>
    </r>
    <r>
      <rPr>
        <sz val="10"/>
        <rFont val="Arial"/>
        <family val="0"/>
        <charset val="1"/>
      </rPr>
      <t xml:space="preserve">930.00</t>
    </r>
    <r>
      <rPr>
        <sz val="10"/>
        <rFont val="Noto Sans CJK SC"/>
        <family val="2"/>
      </rPr>
      <t xml:space="preserve">＝持股 </t>
    </r>
    <r>
      <rPr>
        <sz val="10"/>
        <rFont val="Arial"/>
        <family val="0"/>
        <charset val="1"/>
      </rPr>
      <t xml:space="preserve">3,000×0.31 ②</t>
    </r>
    <r>
      <rPr>
        <sz val="10"/>
        <rFont val="Noto Sans CJK SC"/>
        <family val="2"/>
      </rPr>
      <t xml:space="preserve">；已過除息日的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）不在日曆與預估中 ③</t>
    </r>
  </si>
  <si>
    <r>
      <rPr>
        <sz val="10"/>
        <rFont val="Noto Sans CJK SC"/>
        <family val="2"/>
      </rPr>
      <t xml:space="preserve">「週行動清單」卡片仍顯示「即將除息 </t>
    </r>
    <r>
      <rPr>
        <sz val="10"/>
        <rFont val="Arial"/>
        <family val="0"/>
        <charset val="1"/>
      </rPr>
      <t xml:space="preserve">0056(2026-07-21)</t>
    </r>
    <r>
      <rPr>
        <sz val="10"/>
        <rFont val="Noto Sans CJK SC"/>
        <family val="2"/>
      </rPr>
      <t xml:space="preserve">」，但該卡標示「產生於 </t>
    </r>
    <r>
      <rPr>
        <sz val="10"/>
        <rFont val="Arial"/>
        <family val="0"/>
        <charset val="1"/>
      </rPr>
      <t xml:space="preserve">2026-07-15</t>
    </r>
    <r>
      <rPr>
        <sz val="10"/>
        <rFont val="Noto Sans CJK SC"/>
        <family val="2"/>
      </rPr>
      <t xml:space="preserve">・已過期・</t>
    </r>
    <r>
      <rPr>
        <sz val="10"/>
        <rFont val="Arial"/>
        <family val="0"/>
        <charset val="1"/>
      </rPr>
      <t xml:space="preserve">69 </t>
    </r>
    <r>
      <rPr>
        <sz val="10"/>
        <rFont val="Noto Sans CJK SC"/>
        <family val="2"/>
      </rPr>
      <t xml:space="preserve">天前產生」（排程關閉），不列本案缺陷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› 股利總覽：除息日曆「近期無除息事件」、年度預估「本年度尚無已宣告股利可估算」，與 </t>
    </r>
    <r>
      <rPr>
        <sz val="10"/>
        <rFont val="Arial"/>
        <family val="0"/>
        <charset val="1"/>
      </rPr>
      <t xml:space="preserve">/api/dashboard ex_dividend_calendar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dividend_projection {year 2026, by_currency {}, basis declared_only} </t>
    </r>
    <r>
      <rPr>
        <sz val="10"/>
        <rFont val="Noto Sans CJK SC"/>
        <family val="2"/>
      </rPr>
      <t xml:space="preserve">一致 ①；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當時（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除息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已過，本輪（</t>
    </r>
    <r>
      <rPr>
        <sz val="10"/>
        <rFont val="Arial"/>
        <family val="0"/>
        <charset val="1"/>
      </rPr>
      <t xml:space="preserve">09-27</t>
    </r>
    <r>
      <rPr>
        <sz val="10"/>
        <rFont val="Noto Sans CJK SC"/>
        <family val="2"/>
      </rPr>
      <t xml:space="preserve">）未再列為未來事件，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09-16</t>
    </r>
    <r>
      <rPr>
        <sz val="10"/>
        <rFont val="Noto Sans CJK SC"/>
        <family val="2"/>
      </rPr>
      <t xml:space="preserve">）等已過除息日亦不在日曆 ③；本輪沒有未來已宣告事件可比對預測金額，改以同一計算的收件匣估計核對：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＝持股 </t>
    </r>
    <r>
      <rPr>
        <sz val="10"/>
        <rFont val="Arial"/>
        <family val="0"/>
        <charset val="1"/>
      </rPr>
      <t xml:space="preserve">3,000×0.31 ②</t>
    </r>
    <r>
      <rPr>
        <sz val="10"/>
        <rFont val="Noto Sans CJK SC"/>
        <family val="2"/>
      </rPr>
      <t xml:space="preserve">。附註：「週行動清單」仍顯示 </t>
    </r>
    <r>
      <rPr>
        <sz val="10"/>
        <rFont val="Arial"/>
        <family val="0"/>
        <charset val="1"/>
      </rPr>
      <t xml:space="preserve">07-15 </t>
    </r>
    <r>
      <rPr>
        <sz val="10"/>
        <rFont val="Noto Sans CJK SC"/>
        <family val="2"/>
      </rPr>
      <t xml:space="preserve">產生的「即將除息 </t>
    </r>
    <r>
      <rPr>
        <sz val="10"/>
        <rFont val="Arial"/>
        <family val="0"/>
        <charset val="1"/>
      </rPr>
      <t xml:space="preserve">0056(2026-07-21)</t>
    </r>
    <r>
      <rPr>
        <sz val="10"/>
        <rFont val="Noto Sans CJK SC"/>
        <family val="2"/>
      </rPr>
      <t xml:space="preserve">」，該卡已標「已過期・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天前產生／排程器未啟動」，與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相同不列缺陷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項檢查全過：除息日曆與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一致（</t>
    </r>
    <r>
      <rPr>
        <sz val="10"/>
        <rFont val="Arial"/>
        <family val="0"/>
        <charset val="1"/>
      </rPr>
      <t xml:space="preserve">ex_dividend_calendar </t>
    </r>
    <r>
      <rPr>
        <sz val="10"/>
        <rFont val="Noto Sans CJK SC"/>
        <family val="2"/>
      </rPr>
      <t xml:space="preserve">為空 → 畫面「∅ 近期無除息事件」）、無過期事件顯示為即將除息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項檢查全過：除息日曆與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一致（空 → 畫面「近期無除息事件」）、無過期事件顯示為即將除息；預估＝股數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每股（</t>
    </r>
    <r>
      <rPr>
        <sz val="10"/>
        <rFont val="Arial"/>
        <family val="0"/>
        <charset val="1"/>
      </rPr>
      <t xml:space="preserve">3,000×0.31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930.00</t>
    </r>
    <r>
      <rPr>
        <sz val="10"/>
        <rFont val="Noto Sans CJK SC"/>
        <family val="2"/>
      </rPr>
      <t xml:space="preserve">）</t>
    </r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</si>
  <si>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</si>
  <si>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</si>
  <si>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</si>
  <si>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</si>
  <si>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</si>
  <si>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r>
      <rPr>
        <sz val="10"/>
        <rFont val="Noto Sans CJK SC"/>
        <family val="2"/>
      </rPr>
      <t xml:space="preserve">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ledger_dividends_all_all.csv 23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全部配對成功、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2.34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為原始精度（</t>
    </r>
    <r>
      <rPr>
        <sz val="10"/>
        <rFont val="Arial"/>
        <family val="0"/>
        <charset val="1"/>
      </rPr>
      <t xml:space="preserve">5200.0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2.3400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</si>
  <si>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</si>
  <si>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</si>
  <si>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</si>
  <si>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</si>
  <si>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</si>
  <si>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</si>
  <si>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A-07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 </t>
    </r>
    <r>
      <rPr>
        <sz val="10"/>
        <rFont val="Noto Sans CJK SC"/>
        <family val="2"/>
      </rPr>
      <t xml:space="preserve">寫入後：股利帳本 </t>
    </r>
    <r>
      <rPr>
        <sz val="10"/>
        <rFont val="Arial"/>
        <family val="0"/>
        <charset val="1"/>
      </rPr>
      <t xml:space="preserve">total_count 23→23</t>
    </r>
    <r>
      <rPr>
        <sz val="10"/>
        <rFont val="Noto Sans CJK SC"/>
        <family val="2"/>
      </rPr>
      <t xml:space="preserve">（未出現在股利帳本）✓；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字串不變（未沖減成本）✓；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字串不變、</t>
    </r>
    <r>
      <rPr>
        <sz val="10"/>
        <rFont val="Arial"/>
        <family val="0"/>
        <charset val="1"/>
      </rPr>
      <t xml:space="preserve">realized_total </t>
    </r>
    <r>
      <rPr>
        <sz val="10"/>
        <rFont val="Noto Sans CJK SC"/>
        <family val="2"/>
      </rPr>
      <t xml:space="preserve">不變 ✓；只出現在資金收支與現金對帳單 ✓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</si>
  <si>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A-07 </t>
    </r>
    <r>
      <rPr>
        <sz val="10"/>
        <rFont val="Noto Sans CJK SC"/>
        <family val="2"/>
      </rPr>
      <t xml:space="preserve">同一筆資料；測畢刪除並還原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#62</t>
    </r>
    <r>
      <rPr>
        <sz val="10"/>
        <rFont val="Noto Sans CJK SC"/>
        <family val="2"/>
      </rPr>
      <t xml:space="preserve">）寫入後：股利帳本 </t>
    </r>
    <r>
      <rPr>
        <sz val="10"/>
        <rFont val="Arial"/>
        <family val="0"/>
        <charset val="1"/>
      </rPr>
      <t xml:space="preserve">total_count 23→23</t>
    </r>
    <r>
      <rPr>
        <sz val="10"/>
        <rFont val="Noto Sans CJK SC"/>
        <family val="2"/>
      </rPr>
      <t xml:space="preserve">（未出現在股利帳本）✓；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字串不變（未沖減成本）✓；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字串與 </t>
    </r>
    <r>
      <rPr>
        <sz val="10"/>
        <rFont val="Arial"/>
        <family val="0"/>
        <charset val="1"/>
      </rPr>
      <t xml:space="preserve">realized_total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dashboard.dividends </t>
    </r>
    <r>
      <rPr>
        <sz val="10"/>
        <rFont val="Noto Sans CJK SC"/>
        <family val="2"/>
      </rPr>
      <t xml:space="preserve">不變 ✓；只出現在資金收支（及 </t>
    </r>
    <r>
      <rPr>
        <sz val="10"/>
        <rFont val="Arial"/>
        <family val="0"/>
        <charset val="1"/>
      </rPr>
      <t xml:space="preserve">A-07 </t>
    </r>
    <r>
      <rPr>
        <sz val="10"/>
        <rFont val="Noto Sans CJK SC"/>
        <family val="2"/>
      </rPr>
      <t xml:space="preserve">已驗的現金對帳單）✓。刪除 </t>
    </r>
    <r>
      <rPr>
        <sz val="10"/>
        <rFont val="Arial"/>
        <family val="0"/>
        <charset val="1"/>
      </rPr>
      <t xml:space="preserve">#62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項檢查全過：利息寫入資金收支（不進股利帳本、不減成本、不進已實現／股利）；刪除後逐字相同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項檢查全過：利息寫入資金收支 </t>
    </r>
    <r>
      <rPr>
        <sz val="10"/>
        <rFont val="Arial"/>
        <family val="0"/>
        <charset val="1"/>
      </rPr>
      <t xml:space="preserve">#104</t>
    </r>
    <r>
      <rPr>
        <sz val="10"/>
        <rFont val="Noto Sans CJK SC"/>
        <family val="2"/>
      </rPr>
      <t xml:space="preserve">（不進股利帳本、不減成本、不進已實現／股利）；刪除後逐字相同</t>
    </r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</si>
  <si>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</si>
  <si>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</si>
  <si>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</si>
  <si>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</si>
  <si>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</si>
  <si>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</si>
  <si>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</si>
  <si>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</si>
  <si>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（公司行動分頁 ＋補登公司行動）與門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（手動賣出判賣超 → 預覽內「補登公司行動」）開啟同一張表單：三種行動類型、帳戶／代號／日期／比例／備註／重組費用欄位與說明文字逐字相同（門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多一段賣超原因前言）；門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預填帳戶、代號與賣出日期（</t>
    </r>
    <r>
      <rPr>
        <sz val="10"/>
        <rFont val="Arial"/>
        <family val="0"/>
        <charset val="1"/>
      </rPr>
      <t xml:space="preserve">max</t>
    </r>
    <r>
      <rPr>
        <sz val="10"/>
        <rFont val="Noto Sans CJK SC"/>
        <family val="2"/>
      </rPr>
      <t xml:space="preserve">＝賣出日），門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預設空白。門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：逐檔讀個股抽屜對帳（</t>
    </r>
    <r>
      <rPr>
        <sz val="10"/>
        <rFont val="Arial"/>
        <family val="0"/>
        <charset val="1"/>
      </rPr>
      <t xml:space="preserve">activity_reconcile</t>
    </r>
    <r>
      <rPr>
        <sz val="10"/>
        <rFont val="Noto Sans CJK SC"/>
        <family val="2"/>
      </rPr>
      <t xml:space="preserve">），抽查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檔皆 </t>
    </r>
    <r>
      <rPr>
        <sz val="10"/>
        <rFont val="Arial"/>
        <family val="0"/>
        <charset val="1"/>
      </rPr>
      <t xml:space="preserve">balances=true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diff_shares=0</t>
    </r>
    <r>
      <rPr>
        <sz val="10"/>
        <rFont val="Noto Sans CJK SC"/>
        <family val="2"/>
      </rPr>
      <t xml:space="preserve">，抽屜不出現補登按鈕（屬正常）</t>
    </r>
  </si>
  <si>
    <t xml:space="preserve">DEF-072</t>
  </si>
  <si>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需要一檔「⚠ 對帳不一致」的持股才會出現，現有資料全部綠燈；</t>
    </r>
    <r>
      <rPr>
        <sz val="10"/>
        <rFont val="Arial"/>
        <family val="0"/>
        <charset val="1"/>
      </rPr>
      <t xml:space="preserve">D-11 </t>
    </r>
    <r>
      <rPr>
        <sz val="10"/>
        <rFont val="Noto Sans CJK SC"/>
        <family val="2"/>
      </rPr>
      <t xml:space="preserve">製造未套用行動時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抽屜仍顯示「✓ 對帳一致」，同樣沒有補登按鈕，無法經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走到門 </t>
    </r>
    <r>
      <rPr>
        <sz val="10"/>
        <rFont val="Arial"/>
        <family val="0"/>
        <charset val="1"/>
      </rPr>
      <t xml:space="preserve">2
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）以與開發者 </t>
    </r>
    <r>
      <rPr>
        <sz val="10"/>
        <rFont val="Arial"/>
        <family val="0"/>
        <charset val="1"/>
      </rPr>
      <t xml:space="preserve">e2e _seed_red_footer </t>
    </r>
    <r>
      <rPr>
        <sz val="10"/>
        <rFont val="Noto Sans CJK SC"/>
        <family val="2"/>
      </rPr>
      <t xml:space="preserve">同形的前置（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01-05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〔首筆買進前〕＋</t>
    </r>
    <r>
      <rPr>
        <sz val="10"/>
        <rFont val="Arial"/>
        <family val="0"/>
        <charset val="1"/>
      </rPr>
      <t xml:space="preserve">04-01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2:1</t>
    </r>
    <r>
      <rPr>
        <sz val="10"/>
        <rFont val="Noto Sans CJK SC"/>
        <family val="2"/>
      </rPr>
      <t xml:space="preserve">）製造 ⚠ 對帳不一致：抽屜頁尾「期初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＋買 </t>
    </r>
    <r>
      <rPr>
        <sz val="10"/>
        <rFont val="Arial"/>
        <family val="0"/>
        <charset val="1"/>
      </rPr>
      <t xml:space="preserve">2,000 −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＋公司行動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＝ 部位摘要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 ⚠ 對帳不一致（差額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股）」＋「補登公司行動」✓；按下開啟共用表單（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個欄位標籤、三種行動類型與門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逐字相同 ✓、代號預填 </t>
    </r>
    <r>
      <rPr>
        <sz val="10"/>
        <rFont val="Arial"/>
        <family val="0"/>
        <charset val="1"/>
      </rPr>
      <t xml:space="preserve">2330 ✓</t>
    </r>
    <r>
      <rPr>
        <sz val="10"/>
        <rFont val="Noto Sans CJK SC"/>
        <family val="2"/>
      </rPr>
      <t xml:space="preserve">、原因列「此標的的對帳結果為 ⚠ 對帳不一致」✓），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帳戶預填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（清單第一個）而非持有的台灣券商</t>
    </r>
    <r>
      <rPr>
        <sz val="10"/>
        <rFont val="Arial"/>
        <family val="0"/>
        <charset val="1"/>
      </rPr>
      <t xml:space="preserve">** ✗ → DEF-072</t>
    </r>
    <r>
      <rPr>
        <sz val="10"/>
        <rFont val="Noto Sans CJK SC"/>
        <family val="2"/>
      </rPr>
      <t xml:space="preserve">。門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結果。前置以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備份還原，帳本雜湊 </t>
    </r>
    <r>
      <rPr>
        <sz val="10"/>
        <rFont val="Arial"/>
        <family val="0"/>
        <charset val="1"/>
      </rPr>
      <t xml:space="preserve">c8c902c1c6a01f27 </t>
    </r>
    <r>
      <rPr>
        <sz val="10"/>
        <rFont val="Noto Sans CJK SC"/>
        <family val="2"/>
      </rPr>
      <t xml:space="preserve">前後相同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DEF-072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），前置與開發者 </t>
    </r>
    <r>
      <rPr>
        <sz val="10"/>
        <rFont val="Arial"/>
        <family val="0"/>
        <charset val="1"/>
      </rPr>
      <t xml:space="preserve">e2e _seed_red_footer </t>
    </r>
    <r>
      <rPr>
        <sz val="10"/>
        <rFont val="Noto Sans CJK SC"/>
        <family val="2"/>
      </rPr>
      <t xml:space="preserve">同形：①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只在台灣券商對帳不一致 → 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帳戶預填台灣券商 ✓；②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在嘉信與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兩帳戶皆不一致 → 帳戶下拉首項「請選擇帳戶」（空值）、原因列「此標的在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、嘉信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的對帳結果都是 ⚠ 對帳不一致，請先選擇要補登的帳戶」、登錄鍵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；③ 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（交易帳本 › 公司行動 選「嘉信」帳戶籤後新增）帶入嘉信 </t>
    </r>
    <r>
      <rPr>
        <sz val="10"/>
        <rFont val="Arial"/>
        <family val="0"/>
        <charset val="1"/>
      </rPr>
      <t xml:space="preserve">Schwab ✓</t>
    </r>
    <r>
      <rPr>
        <sz val="10"/>
        <rFont val="Noto Sans CJK SC"/>
        <family val="2"/>
      </rPr>
      <t xml:space="preserve">。三個入口同一張表單（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已驗）。每段以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備份還原，帳本雜湊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前後相同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開同一張表單（三種行動類型、相同欄位），門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帶入台灣券商／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／賣出日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為上限；本機：以對帳不一致的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（差額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股）驗門 </t>
    </r>
    <r>
      <rPr>
        <sz val="10"/>
        <rFont val="Arial"/>
        <family val="0"/>
        <charset val="1"/>
      </rPr>
      <t xml:space="preserve">2——</t>
    </r>
    <r>
      <rPr>
        <sz val="10"/>
        <rFont val="Noto Sans CJK SC"/>
        <family val="2"/>
      </rPr>
      <t xml:space="preserve">抽屜頁尾「⚠ 對帳不一致」旁「補登公司行動」開同一張表單並帶入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＋台灣券商、原因列「此標的的對帳結果為 ⚠ 對帳不一致」；帳本雜湊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前後相同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開同一張表單（三種行動類型、相同欄位），門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帶入台灣券商／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／賣出日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為上限；本機：以對帳不一致的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（差額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股）驗門 </t>
    </r>
    <r>
      <rPr>
        <sz val="10"/>
        <rFont val="Arial"/>
        <family val="0"/>
        <charset val="1"/>
      </rPr>
      <t xml:space="preserve">2——</t>
    </r>
    <r>
      <rPr>
        <sz val="10"/>
        <rFont val="Noto Sans CJK SC"/>
        <family val="2"/>
      </rPr>
      <t xml:space="preserve">抽屜頁尾「⚠ 對帳不一致」旁「補登公司行動」開同一張表單並帶入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＋台灣券商、原因列「此標的的對帳結果為 ⚠ 對帳不一致」；帳本雜湊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前後相同</t>
    </r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</si>
  <si>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</si>
  <si>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</si>
  <si>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</si>
  <si>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</si>
  <si>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</si>
  <si>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r>
      <rPr>
        <sz val="10"/>
        <rFont val="Noto Sans CJK SC"/>
        <family val="2"/>
      </rPr>
      <t xml:space="preserve">匯出公司行動帳本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：僅表頭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列）；</t>
    </r>
    <r>
      <rPr>
        <sz val="10"/>
        <rFont val="Arial"/>
        <family val="0"/>
        <charset val="1"/>
      </rPr>
      <t xml:space="preserve">GET /api/ledgers/corporate-actions total_count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unapplied_actions = []</t>
    </r>
  </si>
  <si>
    <r>
      <rPr>
        <sz val="10"/>
        <rFont val="Noto Sans CJK SC"/>
        <family val="2"/>
      </rPr>
      <t xml:space="preserve">作為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組基準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全面重跑）：匯出公司行動帳本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{kind:actions} 200</t>
    </r>
    <r>
      <rPr>
        <sz val="10"/>
        <rFont val="Noto Sans CJK SC"/>
        <family val="2"/>
      </rPr>
      <t xml:space="preserve">）：僅表頭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列）；</t>
    </r>
    <r>
      <rPr>
        <sz val="10"/>
        <rFont val="Arial"/>
        <family val="0"/>
        <charset val="1"/>
      </rPr>
      <t xml:space="preserve">GET /api/ledgers/corporate-actions total_count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unapplied_actions = []</t>
    </r>
    <r>
      <rPr>
        <sz val="10"/>
        <rFont val="Noto Sans CJK SC"/>
        <family val="2"/>
      </rPr>
      <t xml:space="preserve">；公司行動分頁畫面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列。表頭較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多 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weight_move_json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child_seed_json </t>
    </r>
    <r>
      <rPr>
        <sz val="10"/>
        <rFont val="Noto Sans CJK SC"/>
        <family val="2"/>
      </rPr>
      <t xml:space="preserve">三欄（</t>
    </r>
    <r>
      <rPr>
        <sz val="10"/>
        <rFont val="Arial"/>
        <family val="0"/>
        <charset val="1"/>
      </rPr>
      <t xml:space="preserve">DEF-021 </t>
    </r>
    <r>
      <rPr>
        <sz val="10"/>
        <rFont val="Noto Sans CJK SC"/>
        <family val="2"/>
      </rPr>
      <t xml:space="preserve">等修正後的移轉紀錄欄），作為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組基準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項檢查全過：公司行動帳本匯出只有表頭（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列）、帳本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unapplied_actions []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項檢查全過：公司行動帳本匯出只有表頭（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列）、帳本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unapplied_actions []</t>
    </r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</si>
  <si>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</si>
  <si>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</si>
  <si>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</si>
  <si>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</si>
  <si>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</si>
  <si>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</si>
  <si>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（交易帳本 › 公司行動分頁 › ＋補登公司行動）選「同一檔股票，股數變多或變少」、台灣券商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、每持有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股→變成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股：</t>
    </r>
    <r>
      <rPr>
        <sz val="10"/>
        <rFont val="Arial"/>
        <family val="0"/>
        <charset val="1"/>
      </rPr>
      <t xml:space="preserve">POST /api/ledgers/corporate-actions/preview 200</t>
    </r>
    <r>
      <rPr>
        <sz val="10"/>
        <rFont val="Noto Sans CJK SC"/>
        <family val="2"/>
      </rPr>
      <t xml:space="preserve">，試算「行動前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31.07 9,320 ✓ </t>
    </r>
    <r>
      <rPr>
        <sz val="10"/>
        <rFont val="Noto Sans CJK SC"/>
        <family val="2"/>
      </rPr>
      <t xml:space="preserve">成本不變」①；全程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支寫入請求 ②。✗ ③ 在「每持有」欄以真實鍵盤輸入「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」：欄位值變成「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」，試算改為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100→20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466.00</t>
    </r>
    <r>
      <rPr>
        <sz val="10"/>
        <rFont val="Noto Sans CJK SC"/>
        <family val="2"/>
      </rPr>
      <t xml:space="preserve">）、「登錄公司行動」仍可按，沒有任何阻擋訊息</t>
    </r>
  </si>
  <si>
    <t xml:space="preserve">DEF-005</t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</si>
  <si>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設值與真實鍵盤輸入兩種方式各測一次，結果相同（排除量測方式）；測畢按取消，公司行動帳本仍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項檢查全過：分割試算 </t>
    </r>
    <r>
      <rPr>
        <sz val="10"/>
        <rFont val="Arial"/>
        <family val="0"/>
        <charset val="1"/>
      </rPr>
      <t xml:space="preserve">POST 200</t>
    </r>
    <r>
      <rPr>
        <sz val="10"/>
        <rFont val="Noto Sans CJK SC"/>
        <family val="2"/>
      </rPr>
      <t xml:space="preserve">，顯示新股數／均價與「✓ 成本不變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次寫入；比例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被擋；公司行動仍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項檢查全過：分割試算 </t>
    </r>
    <r>
      <rPr>
        <sz val="10"/>
        <rFont val="Arial"/>
        <family val="0"/>
        <charset val="1"/>
      </rPr>
      <t xml:space="preserve">POST 200</t>
    </r>
    <r>
      <rPr>
        <sz val="10"/>
        <rFont val="Noto Sans CJK SC"/>
        <family val="2"/>
      </rPr>
      <t xml:space="preserve">，顯示 </t>
    </r>
    <r>
      <rPr>
        <sz val="10"/>
        <rFont val="Arial"/>
        <family val="0"/>
        <charset val="1"/>
      </rPr>
      <t xml:space="preserve">2884 100→300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93.20→31.07 </t>
    </r>
    <r>
      <rPr>
        <sz val="10"/>
        <rFont val="Noto Sans CJK SC"/>
        <family val="2"/>
      </rPr>
      <t xml:space="preserve">與「✓ 成本不變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次寫入；比例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被擋；公司行動仍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</t>
    </r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</si>
  <si>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</si>
  <si>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</si>
  <si>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</si>
  <si>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</si>
  <si>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</si>
  <si>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</si>
  <si>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</si>
  <si>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r>
      <rPr>
        <sz val="10"/>
        <rFont val="Noto Sans CJK SC"/>
        <family val="2"/>
      </rPr>
      <t xml:space="preserve">登錄後彈出「產生 </t>
    </r>
    <r>
      <rPr>
        <sz val="10"/>
        <rFont val="Arial"/>
        <family val="0"/>
        <charset val="1"/>
      </rPr>
      <t xml:space="preserve">0.012915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零股，券商通常折現」——美股本可持有小數股（且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.078509 </t>
    </r>
    <r>
      <rPr>
        <sz val="10"/>
        <rFont val="Noto Sans CJK SC"/>
        <family val="2"/>
      </rPr>
      <t xml:space="preserve">股未被提及），提示對美股不適用；整組刪除訊息以原始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」稱呼帳戶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個帳戶（公司行動對每個持有帳戶一體適用）」並逐帳戶顯示成本守恆、「✓ 全部帳戶成本合計不變 </t>
    </r>
    <r>
      <rPr>
        <sz val="10"/>
        <rFont val="Arial"/>
        <family val="0"/>
        <charset val="1"/>
      </rPr>
      <t xml:space="preserve">15,916.00 → 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、嘉信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）」）→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cmp R8_START same:true</t>
    </r>
    <r>
      <rPr>
        <sz val="10"/>
        <rFont val="Noto Sans CJK SC"/>
        <family val="2"/>
      </rPr>
      <t xml:space="preserve">。附註（與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相同、未變）：登錄後的「產生 </t>
    </r>
    <r>
      <rPr>
        <sz val="10"/>
        <rFont val="Arial"/>
        <family val="0"/>
        <charset val="1"/>
      </rPr>
      <t xml:space="preserve">0.012915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零股，券商通常折現」提示對可持有小數股的美股不適用；整組刪除訊息以原始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」稱呼帳戶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分割試算列出兩個持有帳戶（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、嘉信）且成本守恆；寫入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筆、兩帳戶皆 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、總市值不變；只刪一筆 →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，整組刪除後逐字相同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分割試算列出兩個持有帳戶（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、嘉信）且成本守恆；寫入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#53</t>
    </r>
    <r>
      <rPr>
        <sz val="10"/>
        <rFont val="Noto Sans CJK SC"/>
        <family val="2"/>
      </rPr>
      <t xml:space="preserve">）、兩帳戶皆 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、總市值不變；只刪一筆 →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，整組刪除後逐字相同</t>
    </r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</si>
  <si>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</si>
  <si>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</si>
  <si>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</si>
  <si>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</si>
  <si>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</si>
  <si>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</si>
  <si>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</si>
  <si>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r>
      <rPr>
        <sz val="10"/>
        <rFont val="Noto Sans CJK SC"/>
        <family val="2"/>
      </rPr>
      <t xml:space="preserve">重組費與公司行動是兩支獨立請求（非原子寫入）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 </t>
    </r>
    <r>
      <rPr>
        <sz val="10"/>
        <rFont val="Arial"/>
        <family val="0"/>
        <charset val="1"/>
      </rPr>
      <t xml:space="preserve">POST 201 </t>
    </r>
    <r>
      <rPr>
        <sz val="10"/>
        <rFont val="Noto Sans CJK SC"/>
        <family val="2"/>
      </rPr>
      <t xml:space="preserve">同一支請求帶回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movement #63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已一併登錄重組費用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，記為現金支出（不計入成本基礎）；刪除此公司行動時會一併刪除」→ ① 資金收支新增 </t>
    </r>
    <r>
      <rPr>
        <sz val="10"/>
        <rFont val="Arial"/>
        <family val="0"/>
        <charset val="1"/>
      </rPr>
      <t xml:space="preserve">kind withdraw 50 TWD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100→200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kpis.xirr 10.445450386050704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2026-09-27</t>
    </r>
    <r>
      <rPr>
        <sz val="10"/>
        <rFont val="Noto Sans CJK SC"/>
        <family val="2"/>
      </rPr>
      <t xml:space="preserve">」可追溯 ✓。還原：刪除公司行動確認框多一句「會一併刪除這筆行動的重組費用出金：</t>
    </r>
    <r>
      <rPr>
        <sz val="10"/>
        <rFont val="Arial"/>
        <family val="0"/>
        <charset val="1"/>
      </rPr>
      <t xml:space="preserve">2026-09-27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（台灣券商）。」→ </t>
    </r>
    <r>
      <rPr>
        <sz val="10"/>
        <rFont val="Arial"/>
        <family val="0"/>
        <charset val="1"/>
      </rPr>
      <t xml:space="preserve">DELETE 200 fee_deleted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#63</t>
    </r>
    <r>
      <rPr>
        <sz val="10"/>
        <rFont val="Noto Sans CJK SC"/>
        <family val="2"/>
      </rPr>
      <t xml:space="preserve">，資金收支不再殘留（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已修好）、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項檢查全過：附重組費 </t>
    </r>
    <r>
      <rPr>
        <sz val="10"/>
        <rFont val="Arial"/>
        <family val="0"/>
        <charset val="1"/>
      </rPr>
      <t xml:space="preserve">50 → toast</t>
    </r>
    <r>
      <rPr>
        <sz val="10"/>
        <rFont val="Noto Sans CJK SC"/>
        <family val="2"/>
      </rPr>
      <t xml:space="preserve">「已一併登錄重組費用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，記為現金支出（不計入成本基礎）」、資金收支 </t>
    </r>
    <r>
      <rPr>
        <sz val="10"/>
        <rFont val="Arial"/>
        <family val="0"/>
        <charset val="1"/>
      </rPr>
      <t xml:space="preserve">WITHDRAW 50 </t>
    </r>
    <r>
      <rPr>
        <sz val="10"/>
        <rFont val="Noto Sans CJK SC"/>
        <family val="2"/>
      </rPr>
      <t xml:space="preserve">且備註可追溯、不進成本／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；刪除行動一併刪除該筆費用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項檢查全過：附重組費 </t>
    </r>
    <r>
      <rPr>
        <sz val="10"/>
        <rFont val="Arial"/>
        <family val="0"/>
        <charset val="1"/>
      </rPr>
      <t xml:space="preserve">50 → toast</t>
    </r>
    <r>
      <rPr>
        <sz val="10"/>
        <rFont val="Noto Sans CJK SC"/>
        <family val="2"/>
      </rPr>
      <t xml:space="preserve">「已一併登錄重組費用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，記為現金支出（不計入成本基礎）…」、資金收支 </t>
    </r>
    <r>
      <rPr>
        <sz val="10"/>
        <rFont val="Arial"/>
        <family val="0"/>
        <charset val="1"/>
      </rPr>
      <t xml:space="preserve">WITHDRAW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#105</t>
    </r>
    <r>
      <rPr>
        <sz val="10"/>
        <rFont val="Noto Sans CJK SC"/>
        <family val="2"/>
      </rPr>
      <t xml:space="preserve">）且備註可追溯、不進成本／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；刪除行動一併刪除該筆費用</t>
    </r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</si>
  <si>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</si>
  <si>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</si>
  <si>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</si>
  <si>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</si>
  <si>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</si>
  <si>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</si>
  <si>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</si>
  <si>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r>
      <rPr>
        <sz val="10"/>
        <rFont val="Noto Sans CJK SC"/>
        <family val="2"/>
      </rPr>
      <t xml:space="preserve">（開跑前已備份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）台灣券商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S=100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P=93.2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C=9,320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V=4,645</t>
    </r>
    <r>
      <rPr>
        <sz val="10"/>
        <rFont val="Noto Sans CJK SC"/>
        <family val="2"/>
      </rPr>
      <t xml:space="preserve">、價 </t>
    </r>
    <r>
      <rPr>
        <sz val="10"/>
        <rFont val="Arial"/>
        <family val="0"/>
        <charset val="1"/>
      </rPr>
      <t xml:space="preserve">46.45</t>
    </r>
    <r>
      <rPr>
        <sz val="10"/>
        <rFont val="Noto Sans CJK SC"/>
        <family val="2"/>
      </rPr>
      <t xml:space="preserve">）→ ＋補登公司行動 → 同一檔股票股數變多或變少 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 → 試算「行動後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31.07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成本不變」→ 登錄（</t>
    </r>
    <r>
      <rPr>
        <sz val="10"/>
        <rFont val="Arial"/>
        <family val="0"/>
        <charset val="1"/>
      </rPr>
      <t xml:space="preserve">POST 201 id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公司行動已登錄 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）」）→ ① 股數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；② 均價 </t>
    </r>
    <r>
      <rPr>
        <sz val="10"/>
        <rFont val="Arial"/>
        <family val="0"/>
        <charset val="1"/>
      </rPr>
      <t xml:space="preserve">31.0666…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93.2÷3</t>
    </r>
    <r>
      <rPr>
        <sz val="10"/>
        <rFont val="Noto Sans CJK SC"/>
        <family val="2"/>
      </rPr>
      <t xml:space="preserve">；③ 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不變；④ 現價改以 </t>
    </r>
    <r>
      <rPr>
        <sz val="10"/>
        <rFont val="Arial"/>
        <family val="0"/>
        <charset val="1"/>
      </rPr>
      <t xml:space="preserve">46.45÷3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15.4833 </t>
    </r>
    <r>
      <rPr>
        <sz val="10"/>
        <rFont val="Noto Sans CJK SC"/>
        <family val="2"/>
      </rPr>
      <t xml:space="preserve">讀出，市值 </t>
    </r>
    <r>
      <rPr>
        <sz val="10"/>
        <rFont val="Arial"/>
        <family val="0"/>
        <charset val="1"/>
      </rPr>
      <t xml:space="preserve">4,645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total_market_value </t>
    </r>
    <r>
      <rPr>
        <sz val="10"/>
        <rFont val="Noto Sans CJK SC"/>
        <family val="2"/>
      </rPr>
      <t xml:space="preserve">字串不變；⑤ 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字串不變；⑥ 個股抽屜歷史價格在讀取時回調（</t>
    </r>
    <r>
      <rPr>
        <sz val="10"/>
        <rFont val="Arial"/>
        <family val="0"/>
        <charset val="1"/>
      </rPr>
      <t xml:space="preserve">2026-09-14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46.35→15.45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prices_restated 0</t>
    </r>
    <r>
      <rPr>
        <sz val="10"/>
        <rFont val="Noto Sans CJK SC"/>
        <family val="2"/>
      </rPr>
      <t xml:space="preserve">（不改寫價格表）。對帳 </t>
    </r>
    <r>
      <rPr>
        <sz val="10"/>
        <rFont val="Arial"/>
        <family val="0"/>
        <charset val="1"/>
      </rPr>
      <t xml:space="preserve">buy 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corporate_delta 200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book 300</t>
    </r>
    <r>
      <rPr>
        <sz val="10"/>
        <rFont val="Noto Sans CJK SC"/>
        <family val="2"/>
      </rPr>
      <t xml:space="preserve">。測畢刪除該行動（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）逐位元還原，歷史收盤回到 </t>
    </r>
    <r>
      <rPr>
        <sz val="10"/>
        <rFont val="Arial"/>
        <family val="0"/>
        <charset val="1"/>
      </rPr>
      <t xml:space="preserve">46.45</t>
    </r>
  </si>
  <si>
    <r>
      <rPr>
        <sz val="10"/>
        <rFont val="Noto Sans CJK SC"/>
        <family val="2"/>
      </rPr>
      <t xml:space="preserve">持倉 </t>
    </r>
    <r>
      <rPr>
        <sz val="10"/>
        <rFont val="Arial"/>
        <family val="0"/>
        <charset val="1"/>
      </rPr>
      <t xml:space="preserve">market_value </t>
    </r>
    <r>
      <rPr>
        <sz val="10"/>
        <rFont val="Noto Sans CJK SC"/>
        <family val="2"/>
      </rPr>
      <t xml:space="preserve">顯示為 </t>
    </r>
    <r>
      <rPr>
        <sz val="10"/>
        <rFont val="Arial"/>
        <family val="0"/>
        <charset val="1"/>
      </rPr>
      <t xml:space="preserve">4644.999999999999999999999999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除法殘差），總市值字串不受影響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S=100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P=93.2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C=9,320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V=4,605</t>
    </r>
    <r>
      <rPr>
        <sz val="10"/>
        <rFont val="Noto Sans CJK SC"/>
        <family val="2"/>
      </rPr>
      <t xml:space="preserve">、價 </t>
    </r>
    <r>
      <rPr>
        <sz val="10"/>
        <rFont val="Arial"/>
        <family val="0"/>
        <charset val="1"/>
      </rPr>
      <t xml:space="preserve">46.05</t>
    </r>
    <r>
      <rPr>
        <sz val="10"/>
        <rFont val="Noto Sans CJK SC"/>
        <family val="2"/>
      </rPr>
      <t xml:space="preserve">）→ ＋補登公司行動 → 同一檔股票股數變多或變少 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股，行動日期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：試算「行動後 </t>
    </r>
    <r>
      <rPr>
        <sz val="10"/>
        <rFont val="Arial"/>
        <family val="0"/>
        <charset val="1"/>
      </rPr>
      <t xml:space="preserve">2884 300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31.07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」→ 登錄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公司行動已登錄 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筆（台灣券商）」）→ ① 股數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；② 均價 </t>
    </r>
    <r>
      <rPr>
        <sz val="10"/>
        <rFont val="Arial"/>
        <family val="0"/>
        <charset val="1"/>
      </rPr>
      <t xml:space="preserve">31.0666…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93.2÷3</t>
    </r>
    <r>
      <rPr>
        <sz val="10"/>
        <rFont val="Noto Sans CJK SC"/>
        <family val="2"/>
      </rPr>
      <t xml:space="preserve">；③ 原始／調整成本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不變；④ 現價以 </t>
    </r>
    <r>
      <rPr>
        <sz val="10"/>
        <rFont val="Arial"/>
        <family val="0"/>
        <charset val="1"/>
      </rPr>
      <t xml:space="preserve">46.05÷3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15.35 </t>
    </r>
    <r>
      <rPr>
        <sz val="10"/>
        <rFont val="Noto Sans CJK SC"/>
        <family val="2"/>
      </rPr>
      <t xml:space="preserve">讀出，市值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total_market_value </t>
    </r>
    <r>
      <rPr>
        <sz val="10"/>
        <rFont val="Noto Sans CJK SC"/>
        <family val="2"/>
      </rPr>
      <t xml:space="preserve">字串不變；⑤ 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不變；⑥ 個股抽屜歷史收盤於讀取時回調（</t>
    </r>
    <r>
      <rPr>
        <sz val="10"/>
        <rFont val="Arial"/>
        <family val="0"/>
        <charset val="1"/>
      </rPr>
      <t xml:space="preserve">09-22 46.05→15.35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prices_restated 0</t>
    </r>
    <r>
      <rPr>
        <sz val="10"/>
        <rFont val="Noto Sans CJK SC"/>
        <family val="2"/>
      </rPr>
      <t xml:space="preserve">。刪除該行動（確認框「確定刪除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2026-09-27 </t>
    </r>
    <r>
      <rPr>
        <sz val="10"/>
        <rFont val="Noto Sans CJK SC"/>
        <family val="2"/>
      </rPr>
      <t xml:space="preserve">的分割？股數、成本與價格基準都會由帳本重建。」）後逐位元還原、歷史收盤回到 </t>
    </r>
    <r>
      <rPr>
        <sz val="10"/>
        <rFont val="Arial"/>
        <family val="0"/>
        <charset val="1"/>
      </rPr>
      <t xml:space="preserve">46.05</t>
    </r>
    <r>
      <rPr>
        <sz val="10"/>
        <rFont val="Noto Sans CJK SC"/>
        <family val="2"/>
      </rPr>
      <t xml:space="preserve">。附註：先以行動日期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（早於最新一筆收盤的抓取時間）試登一次，系統依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09-25 </t>
    </r>
    <r>
      <rPr>
        <sz val="10"/>
        <rFont val="Noto Sans CJK SC"/>
        <family val="2"/>
      </rPr>
      <t xml:space="preserve">抓到的 </t>
    </r>
    <r>
      <rPr>
        <sz val="10"/>
        <rFont val="Arial"/>
        <family val="0"/>
        <charset val="1"/>
      </rPr>
      <t xml:space="preserve">09-22 </t>
    </r>
    <r>
      <rPr>
        <sz val="10"/>
        <rFont val="Noto Sans CJK SC"/>
        <family val="2"/>
      </rPr>
      <t xml:space="preserve">收盤視為供應商已調整過的價格（</t>
    </r>
    <r>
      <rPr>
        <sz val="10"/>
        <rFont val="Arial"/>
        <family val="0"/>
        <charset val="1"/>
      </rPr>
      <t xml:space="preserve">prices_restated 1</t>
    </r>
    <r>
      <rPr>
        <sz val="10"/>
        <rFont val="Noto Sans CJK SC"/>
        <family val="2"/>
      </rPr>
      <t xml:space="preserve">），市值因此變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倍；這是對虛構分割使用過去日期造成的，真實分割時供應商的歷史價格已回調，故改以晚於抓取時間的日期重做；該次亦已刪除並逐位元還原（</t>
    </r>
    <r>
      <rPr>
        <sz val="10"/>
        <rFont val="Arial"/>
        <family val="0"/>
        <charset val="1"/>
      </rPr>
      <t xml:space="preserve">reconcile.py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未變更，非回歸）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1→3 </t>
    </r>
    <r>
      <rPr>
        <sz val="10"/>
        <rFont val="Noto Sans CJK SC"/>
        <family val="2"/>
      </rPr>
      <t xml:space="preserve">分割：股數 </t>
    </r>
    <r>
      <rPr>
        <sz val="10"/>
        <rFont val="Arial"/>
        <family val="0"/>
        <charset val="1"/>
      </rPr>
      <t xml:space="preserve">100→300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93.20→31.0667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不變、已實現不變；最新收盤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已於 </t>
    </r>
    <r>
      <rPr>
        <sz val="10"/>
        <rFont val="Arial"/>
        <family val="0"/>
        <charset val="1"/>
      </rPr>
      <t xml:space="preserve">09-28</t>
    </r>
    <r>
      <rPr>
        <sz val="10"/>
        <rFont val="Noto Sans CJK SC"/>
        <family val="2"/>
      </rPr>
      <t xml:space="preserve">（行動日當天，</t>
    </r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）重新抓取，依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視為供應商已調整、不再 </t>
    </r>
    <r>
      <rPr>
        <sz val="10"/>
        <rFont val="Arial"/>
        <family val="0"/>
        <charset val="1"/>
      </rPr>
      <t xml:space="preserve">÷3</t>
    </r>
    <r>
      <rPr>
        <sz val="10"/>
        <rFont val="Noto Sans CJK SC"/>
        <family val="2"/>
      </rPr>
      <t xml:space="preserve">，市值＝</t>
    </r>
    <r>
      <rPr>
        <sz val="10"/>
        <rFont val="Arial"/>
        <family val="0"/>
        <charset val="1"/>
      </rPr>
      <t xml:space="preserve">300×45.60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13,680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觀察 ① 同一規則，屬設計）；刪除後逐字相同（首跑時驗證者的檢查程式沒有照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1→3 </t>
    </r>
    <r>
      <rPr>
        <sz val="10"/>
        <rFont val="Noto Sans CJK SC"/>
        <family val="2"/>
      </rPr>
      <t xml:space="preserve">分割：股數 </t>
    </r>
    <r>
      <rPr>
        <sz val="10"/>
        <rFont val="Arial"/>
        <family val="0"/>
        <charset val="1"/>
      </rPr>
      <t xml:space="preserve">100→300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93.20→31.0667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不變、已實現不變；最新收盤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（最後抓取 </t>
    </r>
    <r>
      <rPr>
        <sz val="10"/>
        <rFont val="Arial"/>
        <family val="0"/>
        <charset val="1"/>
      </rPr>
      <t xml:space="preserve">09-28</t>
    </r>
    <r>
      <rPr>
        <sz val="10"/>
        <rFont val="Noto Sans CJK SC"/>
        <family val="2"/>
      </rPr>
      <t xml:space="preserve">）早於行動日 </t>
    </r>
    <r>
      <rPr>
        <sz val="10"/>
        <rFont val="Arial"/>
        <family val="0"/>
        <charset val="1"/>
      </rPr>
      <t xml:space="preserve">09-30</t>
    </r>
    <r>
      <rPr>
        <sz val="10"/>
        <rFont val="Noto Sans CJK SC"/>
        <family val="2"/>
      </rPr>
      <t xml:space="preserve">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還原 </t>
    </r>
    <r>
      <rPr>
        <sz val="10"/>
        <rFont val="Arial"/>
        <family val="0"/>
        <charset val="1"/>
      </rPr>
      <t xml:space="preserve">÷3 → 15.20</t>
    </r>
    <r>
      <rPr>
        <sz val="10"/>
        <rFont val="Noto Sans CJK SC"/>
        <family val="2"/>
      </rPr>
      <t xml:space="preserve">，市值 </t>
    </r>
    <r>
      <rPr>
        <sz val="10"/>
        <rFont val="Arial"/>
        <family val="0"/>
        <charset val="1"/>
      </rPr>
      <t xml:space="preserve">4,560 </t>
    </r>
    <r>
      <rPr>
        <sz val="10"/>
        <rFont val="Noto Sans CJK SC"/>
        <family val="2"/>
      </rPr>
      <t xml:space="preserve">不變；刪除後逐字相同</t>
    </r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</si>
  <si>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</si>
  <si>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</si>
  <si>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</si>
  <si>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</si>
  <si>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</si>
  <si>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</si>
  <si>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r>
      <rPr>
        <sz val="10"/>
        <rFont val="Noto Sans CJK SC"/>
        <family val="2"/>
      </rPr>
      <t xml:space="preserve">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股：試算「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93.20→466.00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不變」；實際登錄（</t>
    </r>
    <r>
      <rPr>
        <sz val="10"/>
        <rFont val="Arial"/>
        <family val="0"/>
        <charset val="1"/>
      </rPr>
      <t xml:space="preserve">id 4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shares 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 9,320</t>
    </r>
    <r>
      <rPr>
        <sz val="10"/>
        <rFont val="Noto Sans CJK SC"/>
        <family val="2"/>
      </rPr>
      <t xml:space="preserve">、市值 </t>
    </r>
    <r>
      <rPr>
        <sz val="10"/>
        <rFont val="Arial"/>
        <family val="0"/>
        <charset val="1"/>
      </rPr>
      <t xml:space="preserve">4,645 </t>
    </r>
    <r>
      <rPr>
        <sz val="10"/>
        <rFont val="Noto Sans CJK SC"/>
        <family val="2"/>
      </rPr>
      <t xml:space="preserve">不變 ①②③；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整除無零股。④ 餘數處理：以 </t>
    </r>
    <r>
      <rPr>
        <sz val="10"/>
        <rFont val="Arial"/>
        <family val="0"/>
        <charset val="1"/>
      </rPr>
      <t xml:space="preserve">3→1 </t>
    </r>
    <r>
      <rPr>
        <sz val="10"/>
        <rFont val="Noto Sans CJK SC"/>
        <family val="2"/>
      </rPr>
      <t xml:space="preserve">製造餘數時，登錄後彈出「產生零股 —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）。要現在補登這筆賣出嗎？」並提供「補登零股賣出」（見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）。測畢刪除逐位元還原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</si>
  <si>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</si>
  <si>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</si>
  <si>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</si>
  <si>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</si>
  <si>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</si>
  <si>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</si>
  <si>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</si>
  <si>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r>
      <rPr>
        <sz val="10"/>
        <rFont val="Noto Sans CJK SC"/>
        <family val="2"/>
      </rPr>
      <t xml:space="preserve">提示只在登錄「之後」出現，試算區未預先顯示零股說明（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fractions</t>
    </r>
    <r>
      <rPr>
        <sz val="10"/>
        <rFont val="Noto Sans CJK SC"/>
        <family val="2"/>
      </rPr>
      <t xml:space="preserve">）；按取消即留下小數股台股持倉，交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股合股：試算「行動後 </t>
    </r>
    <r>
      <rPr>
        <sz val="10"/>
        <rFont val="Arial"/>
        <family val="0"/>
        <charset val="1"/>
      </rPr>
      <t xml:space="preserve">2884 33.333333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成本不變」，登錄鈕可按；登錄後（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）立即彈出「產生零股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 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股（與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相同，提示只在登錄後出現）。刪除 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3→1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股：試算成本不變、跳出「產生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股零股，券商通常折現…補登零股賣出」、成本不被吞；刪除後逐字相同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3→1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股：試算成本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不變、跳出「產生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零股，券商通常折現…補登零股賣出」、成本不被吞；刪除後逐字相同</t>
    </r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</si>
  <si>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</si>
  <si>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</si>
  <si>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</si>
  <si>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</si>
  <si>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</si>
  <si>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</si>
  <si>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r>
      <rPr>
        <sz val="10"/>
        <rFont val="Noto Sans CJK SC"/>
        <family val="2"/>
      </rPr>
      <t xml:space="preserve">前置：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股、原始成本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</t>
    </r>
    <r>
      <rPr>
        <sz val="10"/>
        <rFont val="Noto Sans CJK SC"/>
        <family val="2"/>
      </rPr>
      <t xml:space="preserve">；為了驗③先在觀察清單把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目標價設為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/api/instruments/2884 200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國泰金已註冊、未持有、無目標價。＋補登公司行動 → 整個部位換成另一檔股票，台灣券商 </t>
    </r>
    <r>
      <rPr>
        <sz val="10"/>
        <rFont val="Arial"/>
        <family val="0"/>
        <charset val="1"/>
      </rPr>
      <t xml:space="preserve">2884 → 2882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股：試算「行動後 </t>
    </r>
    <r>
      <rPr>
        <sz val="10"/>
        <rFont val="Arial"/>
        <family val="0"/>
        <charset val="1"/>
      </rPr>
      <t xml:space="preserve">2884 0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93.20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→ 9,320 ✓</t>
    </r>
    <r>
      <rPr>
        <sz val="10"/>
        <rFont val="Noto Sans CJK SC"/>
        <family val="2"/>
      </rPr>
      <t xml:space="preserve">」並顯示「✓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的目標價（下限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、上限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）會一併移到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，數值不變」。登錄（</t>
    </r>
    <r>
      <rPr>
        <sz val="10"/>
        <rFont val="Arial"/>
        <family val="0"/>
        <charset val="1"/>
      </rPr>
      <t xml:space="preserve">id 8</t>
    </r>
    <r>
      <rPr>
        <sz val="10"/>
        <rFont val="Noto Sans CJK SC"/>
        <family val="2"/>
      </rPr>
      <t xml:space="preserve">）後：①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部位消失、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原始／調整成本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完整移轉 ✓（市值 </t>
    </r>
    <r>
      <rPr>
        <sz val="10"/>
        <rFont val="Arial"/>
        <family val="0"/>
        <charset val="1"/>
      </rPr>
      <t xml:space="preserve">4,645→11,250</t>
    </r>
    <r>
      <rPr>
        <sz val="10"/>
        <rFont val="Noto Sans CJK SC"/>
        <family val="2"/>
      </rPr>
      <t xml:space="preserve">，差 </t>
    </r>
    <r>
      <rPr>
        <sz val="10"/>
        <rFont val="Arial"/>
        <family val="0"/>
        <charset val="1"/>
      </rPr>
      <t xml:space="preserve">6,605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total_market_value </t>
    </r>
    <r>
      <rPr>
        <sz val="10"/>
        <rFont val="Noto Sans CJK SC"/>
        <family val="2"/>
      </rPr>
      <t xml:space="preserve">差額相符；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字串完全相同）；③ 目標價 </t>
    </r>
    <r>
      <rPr>
        <sz val="10"/>
        <rFont val="Arial"/>
        <family val="0"/>
        <charset val="1"/>
      </rPr>
      <t xml:space="preserve">2882 = 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 = </t>
    </r>
    <r>
      <rPr>
        <sz val="10"/>
        <rFont val="Noto Sans CJK SC"/>
        <family val="2"/>
      </rPr>
      <t xml:space="preserve">空 ✓（觀察清單：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「≤</t>
    </r>
    <r>
      <rPr>
        <sz val="10"/>
        <rFont val="Arial"/>
        <family val="0"/>
        <charset val="1"/>
      </rPr>
      <t xml:space="preserve">40 ≥55 </t>
    </r>
    <r>
      <rPr>
        <sz val="10"/>
        <rFont val="Noto Sans CJK SC"/>
        <family val="2"/>
      </rPr>
      <t xml:space="preserve">突破・持有」，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「—・觀察」）；④ 帳本歷史交易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2026-07-02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）保留舊代號、不改寫；公司行動帳本列「換股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→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股」；⑤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持倉健診仍列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舊卡（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筆歷史），無「未知代號」標記；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無卡</t>
    </r>
  </si>
  <si>
    <r>
      <rPr>
        <sz val="10"/>
        <rFont val="Noto Sans CJK SC"/>
        <family val="2"/>
      </rPr>
      <t xml:space="preserve">目標價在刪除換股後不會移回（見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）；目標價設定日期以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記錄（見 </t>
    </r>
    <r>
      <rPr>
        <sz val="10"/>
        <rFont val="Arial"/>
        <family val="0"/>
        <charset val="1"/>
      </rPr>
      <t xml:space="preserve">DEF-022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全面重跑）：前置：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</t>
    </r>
    <r>
      <rPr>
        <sz val="10"/>
        <rFont val="Noto Sans CJK SC"/>
        <family val="2"/>
      </rPr>
      <t xml:space="preserve">；先把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目標價設為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/api/instruments/2884 200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國泰金已註冊、未持有、無目標價。＋補登公司行動 → 整個部位換成另一檔股票，台灣券商 </t>
    </r>
    <r>
      <rPr>
        <sz val="10"/>
        <rFont val="Arial"/>
        <family val="0"/>
        <charset val="1"/>
      </rPr>
      <t xml:space="preserve">2884 → 2882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2884 0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</t>
    </r>
    <r>
      <rPr>
        <sz val="10"/>
        <rFont val="Noto Sans CJK SC"/>
        <family val="2"/>
      </rPr>
      <t xml:space="preserve">、成本合計 </t>
    </r>
    <r>
      <rPr>
        <sz val="10"/>
        <rFont val="Arial"/>
        <family val="0"/>
        <charset val="1"/>
      </rPr>
      <t xml:space="preserve">9,320 → 9,320 ✓</t>
    </r>
    <r>
      <rPr>
        <sz val="10"/>
        <rFont val="Noto Sans CJK SC"/>
        <family val="2"/>
      </rPr>
      <t xml:space="preserve">」並顯示「✓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的目標價（下限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、上限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）會一併移到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，數值不變；刪除此行動時若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的目標價未再改動會自動移回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」。登錄（</t>
    </r>
    <r>
      <rPr>
        <sz val="10"/>
        <rFont val="Arial"/>
        <family val="0"/>
        <charset val="1"/>
      </rPr>
      <t xml:space="preserve">#30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band_moved set_at 2026-09-27</t>
    </r>
    <r>
      <rPr>
        <sz val="10"/>
        <rFont val="Noto Sans CJK SC"/>
        <family val="2"/>
      </rPr>
      <t xml:space="preserve">）後：①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部位消失、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原始／調整成本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完整移轉 ✓（市值 </t>
    </r>
    <r>
      <rPr>
        <sz val="10"/>
        <rFont val="Arial"/>
        <family val="0"/>
        <charset val="1"/>
      </rPr>
      <t xml:space="preserve">4,605→11,200</t>
    </r>
    <r>
      <rPr>
        <sz val="10"/>
        <rFont val="Noto Sans CJK SC"/>
        <family val="2"/>
      </rPr>
      <t xml:space="preserve">，差 </t>
    </r>
    <r>
      <rPr>
        <sz val="10"/>
        <rFont val="Arial"/>
        <family val="0"/>
        <charset val="1"/>
      </rPr>
      <t xml:space="preserve">6,595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total_market_value </t>
    </r>
    <r>
      <rPr>
        <sz val="10"/>
        <rFont val="Noto Sans CJK SC"/>
        <family val="2"/>
      </rPr>
      <t xml:space="preserve">差額相符；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字串完全相同）；③ 目標價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＝空 ✓；④ 帳本歷史交易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2026-07-02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）保留舊代號、不改寫；公司行動列「換股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→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股」；⑤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持倉健診仍列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舊卡（歷史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筆），無「未知代號」標記。刪除時確認框「登錄時移到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的目標價（下限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、上限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）未再改動，會自動移回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。」→ </t>
    </r>
    <r>
      <rPr>
        <sz val="10"/>
        <rFont val="Arial"/>
        <family val="0"/>
        <charset val="1"/>
      </rPr>
      <t xml:space="preserve">DELETE 200 band_restored true</t>
    </r>
    <r>
      <rPr>
        <sz val="10"/>
        <rFont val="Noto Sans CJK SC"/>
        <family val="2"/>
      </rPr>
      <t xml:space="preserve">，目標價回到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DEF-021 </t>
    </r>
    <r>
      <rPr>
        <sz val="10"/>
        <rFont val="Noto Sans CJK SC"/>
        <family val="2"/>
      </rPr>
      <t xml:space="preserve">已修好），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2884→2882 </t>
    </r>
    <r>
      <rPr>
        <sz val="10"/>
        <rFont val="Noto Sans CJK SC"/>
        <family val="2"/>
      </rPr>
      <t xml:space="preserve">換股：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歸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承接成本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、目標區間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隨之移到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、歷史交易保留舊代號；刪除後區間回到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、舊代號不被標未知；逐字相同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2884→2882 </t>
    </r>
    <r>
      <rPr>
        <sz val="10"/>
        <rFont val="Noto Sans CJK SC"/>
        <family val="2"/>
      </rPr>
      <t xml:space="preserve">換股：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歸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承接成本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、目標區間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隨之移到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、歷史交易保留舊代號；刪除後區間回到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、舊代號不被標未知；逐字相同</t>
    </r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</si>
  <si>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</si>
  <si>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</si>
  <si>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</si>
  <si>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</si>
  <si>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</si>
  <si>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股，重組費用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、備註「</t>
    </r>
    <r>
      <rPr>
        <sz val="10"/>
        <rFont val="Arial"/>
        <family val="0"/>
        <charset val="1"/>
      </rPr>
      <t xml:space="preserve">QA D-07 2</t>
    </r>
    <r>
      <rPr>
        <sz val="10"/>
        <rFont val="Noto Sans CJK SC"/>
        <family val="2"/>
      </rPr>
      <t xml:space="preserve">換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」：試算「</t>
    </r>
    <r>
      <rPr>
        <sz val="10"/>
        <rFont val="Arial"/>
        <family val="0"/>
        <charset val="1"/>
      </rPr>
      <t xml:space="preserve">2882 50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186.40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→ 9,320 ✓</t>
    </r>
    <r>
      <rPr>
        <sz val="10"/>
        <rFont val="Noto Sans CJK SC"/>
        <family val="2"/>
      </rPr>
      <t xml:space="preserve">」；登錄（公司行動 </t>
    </r>
    <r>
      <rPr>
        <sz val="10"/>
        <rFont val="Arial"/>
        <family val="0"/>
        <charset val="1"/>
      </rPr>
      <t xml:space="preserve">id 9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POST /api/cash/movements {kind:WITHDRAW, amount 30,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47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2882 50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original_avg 186.4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9,320÷50</t>
    </r>
    <r>
      <rPr>
        <sz val="10"/>
        <rFont val="Noto Sans CJK SC"/>
        <family val="2"/>
      </rPr>
      <t xml:space="preserve">）✓；② 資金收支出現「出金 </t>
    </r>
    <r>
      <rPr>
        <sz val="10"/>
        <rFont val="Arial"/>
        <family val="0"/>
        <charset val="1"/>
      </rPr>
      <t xml:space="preserve">30 TWD</t>
    </r>
    <r>
      <rPr>
        <sz val="10"/>
        <rFont val="Noto Sans CJK SC"/>
        <family val="2"/>
      </rPr>
      <t xml:space="preserve">」、備註可追溯 ✓，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「已登錄重組費用 記為現金支出，不計入成本基礎」；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不變。另以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試算（不登錄）：</t>
    </r>
    <r>
      <rPr>
        <sz val="10"/>
        <rFont val="Arial"/>
        <family val="0"/>
        <charset val="1"/>
      </rPr>
      <t xml:space="preserve">2882 33.333333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股，零股處理同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（登錄後才出現「補登零股賣出」）。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已有目標價時 </t>
    </r>
    <r>
      <rPr>
        <sz val="10"/>
        <rFont val="Arial"/>
        <family val="0"/>
        <charset val="1"/>
      </rPr>
      <t xml:space="preserve">band_move=null</t>
    </r>
    <r>
      <rPr>
        <sz val="10"/>
        <rFont val="Noto Sans CJK SC"/>
        <family val="2"/>
      </rPr>
      <t xml:space="preserve">（不覆寫）✓</t>
    </r>
  </si>
  <si>
    <r>
      <rPr>
        <sz val="10"/>
        <rFont val="Noto Sans CJK SC"/>
        <family val="2"/>
      </rPr>
      <t xml:space="preserve">表單沒有「現金找補」欄位，零股以登錄後的補登零股賣出處理。還原：刪除行動 </t>
    </r>
    <r>
      <rPr>
        <sz val="10"/>
        <rFont val="Arial"/>
        <family val="0"/>
        <charset val="1"/>
      </rPr>
      <t xml:space="preserve">id 9 </t>
    </r>
    <r>
      <rPr>
        <sz val="10"/>
        <rFont val="Noto Sans CJK SC"/>
        <family val="2"/>
      </rPr>
      <t xml:space="preserve">後重組費出金 </t>
    </r>
    <r>
      <rPr>
        <sz val="10"/>
        <rFont val="Arial"/>
        <family val="0"/>
        <charset val="1"/>
      </rPr>
      <t xml:space="preserve">#47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再現），另於資金管理刪除 </t>
    </r>
    <r>
      <rPr>
        <sz val="10"/>
        <rFont val="Arial"/>
        <family val="0"/>
        <charset val="1"/>
      </rPr>
      <t xml:space="preserve">#47 </t>
    </r>
    <r>
      <rPr>
        <sz val="10"/>
        <rFont val="Noto Sans CJK SC"/>
        <family val="2"/>
      </rPr>
      <t xml:space="preserve">後逐位元還原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股、重組費用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、備註「</t>
    </r>
    <r>
      <rPr>
        <sz val="10"/>
        <rFont val="Arial"/>
        <family val="0"/>
        <charset val="1"/>
      </rPr>
      <t xml:space="preserve">QA R8 D-07 2</t>
    </r>
    <r>
      <rPr>
        <sz val="10"/>
        <rFont val="Noto Sans CJK SC"/>
        <family val="2"/>
      </rPr>
      <t xml:space="preserve">換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</t>
    </r>
    <r>
      <rPr>
        <sz val="10"/>
        <rFont val="Arial"/>
        <family val="0"/>
        <charset val="1"/>
      </rPr>
      <t xml:space="preserve">2882 50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186.40</t>
    </r>
    <r>
      <rPr>
        <sz val="10"/>
        <rFont val="Noto Sans CJK SC"/>
        <family val="2"/>
      </rPr>
      <t xml:space="preserve">、成本合計 </t>
    </r>
    <r>
      <rPr>
        <sz val="10"/>
        <rFont val="Arial"/>
        <family val="0"/>
        <charset val="1"/>
      </rPr>
      <t xml:space="preserve">9,320 → 9,320 ✓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#31</t>
    </r>
    <r>
      <rPr>
        <sz val="10"/>
        <rFont val="Noto Sans CJK SC"/>
        <family val="2"/>
      </rPr>
      <t xml:space="preserve">，同一請求帶回重組費用出金）→ ① </t>
    </r>
    <r>
      <rPr>
        <sz val="10"/>
        <rFont val="Arial"/>
        <family val="0"/>
        <charset val="1"/>
      </rPr>
      <t xml:space="preserve">2882 50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original_avg 186.4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9,320÷50</t>
    </r>
    <r>
      <rPr>
        <sz val="10"/>
        <rFont val="Noto Sans CJK SC"/>
        <family val="2"/>
      </rPr>
      <t xml:space="preserve">）✓；② 資金收支出現 </t>
    </r>
    <r>
      <rPr>
        <sz val="10"/>
        <rFont val="Arial"/>
        <family val="0"/>
        <charset val="1"/>
      </rPr>
      <t xml:space="preserve">kind withdraw 30 TWD</t>
    </r>
    <r>
      <rPr>
        <sz val="10"/>
        <rFont val="Noto Sans CJK SC"/>
        <family val="2"/>
      </rPr>
      <t xml:space="preserve">、備註「重組費用 </t>
    </r>
    <r>
      <rPr>
        <sz val="10"/>
        <rFont val="Arial"/>
        <family val="0"/>
        <charset val="1"/>
      </rPr>
      <t xml:space="preserve">2884 2026-09-27</t>
    </r>
    <r>
      <rPr>
        <sz val="10"/>
        <rFont val="Noto Sans CJK SC"/>
        <family val="2"/>
      </rPr>
      <t xml:space="preserve">」可追溯 ✓，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已一併登錄重組費用 </t>
    </r>
    <r>
      <rPr>
        <sz val="10"/>
        <rFont val="Arial"/>
        <family val="0"/>
        <charset val="1"/>
      </rPr>
      <t xml:space="preserve">30 TWD</t>
    </r>
    <r>
      <rPr>
        <sz val="10"/>
        <rFont val="Noto Sans CJK SC"/>
        <family val="2"/>
      </rPr>
      <t xml:space="preserve">，記為現金支出（不計入成本基礎）；刪除此公司行動時會一併刪除」；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不變。另以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試算（不登錄）：</t>
    </r>
    <r>
      <rPr>
        <sz val="10"/>
        <rFont val="Arial"/>
        <family val="0"/>
        <charset val="1"/>
      </rPr>
      <t xml:space="preserve">2882 33.333333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279.60</t>
    </r>
    <r>
      <rPr>
        <sz val="10"/>
        <rFont val="Noto Sans CJK SC"/>
        <family val="2"/>
      </rPr>
      <t xml:space="preserve">，零股處理同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。刪除時確認框同時說明「會一併刪除這筆行動的重組費用出金…」與「目標價…會自動移回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fee_deleted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band_restored </t>
    </r>
    <r>
      <rPr>
        <sz val="10"/>
        <rFont val="Noto Sans CJK SC"/>
        <family val="2"/>
      </rPr>
      <t xml:space="preserve">皆成立，出金不再殘留（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再現已不存在）；最後把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目標價清回空白，目標價清單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項檢查全過：換股附現金：新股數 </t>
    </r>
    <r>
      <rPr>
        <sz val="10"/>
        <rFont val="Arial"/>
        <family val="0"/>
        <charset val="1"/>
      </rPr>
      <t xml:space="preserve">÷2</t>
    </r>
    <r>
      <rPr>
        <sz val="10"/>
        <rFont val="Noto Sans CJK SC"/>
        <family val="2"/>
      </rPr>
      <t xml:space="preserve">、成本承接、均價＝成本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新股數；</t>
    </r>
    <r>
      <rPr>
        <sz val="10"/>
        <rFont val="Arial"/>
        <family val="0"/>
        <charset val="1"/>
      </rPr>
      <t xml:space="preserve">WITHDRAW 30 </t>
    </r>
    <r>
      <rPr>
        <sz val="10"/>
        <rFont val="Noto Sans CJK SC"/>
        <family val="2"/>
      </rPr>
      <t xml:space="preserve">備註可追溯；刪除後逐字相同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項檢查全過：換股附現金：新股數 </t>
    </r>
    <r>
      <rPr>
        <sz val="10"/>
        <rFont val="Arial"/>
        <family val="0"/>
        <charset val="1"/>
      </rPr>
      <t xml:space="preserve">÷2</t>
    </r>
    <r>
      <rPr>
        <sz val="10"/>
        <rFont val="Noto Sans CJK SC"/>
        <family val="2"/>
      </rPr>
      <t xml:space="preserve">、成本承接、均價＝成本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新股數；</t>
    </r>
    <r>
      <rPr>
        <sz val="10"/>
        <rFont val="Arial"/>
        <family val="0"/>
        <charset val="1"/>
      </rPr>
      <t xml:space="preserve">WITHDRAW 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）備註可追溯；刪除後逐字相同</t>
    </r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</si>
  <si>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</si>
  <si>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</si>
  <si>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</si>
  <si>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</si>
  <si>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</si>
  <si>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：試算「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；成本合計 </t>
    </r>
    <r>
      <rPr>
        <sz val="10"/>
        <rFont val="Arial"/>
        <family val="0"/>
        <charset val="1"/>
      </rPr>
      <t xml:space="preserve">9,320 → 9,320 ✓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id 10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 ✓；④ 均價 </t>
    </r>
    <r>
      <rPr>
        <sz val="10"/>
        <rFont val="Arial"/>
        <family val="0"/>
        <charset val="1"/>
      </rPr>
      <t xml:space="preserve">6,524÷100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2,796÷100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27.96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皆同）。刪除 </t>
    </r>
    <r>
      <rPr>
        <sz val="10"/>
        <rFont val="Arial"/>
        <family val="0"/>
        <charset val="1"/>
      </rPr>
      <t xml:space="preserve">id 10 </t>
    </r>
    <r>
      <rPr>
        <sz val="10"/>
        <rFont val="Noto Sans CJK SC"/>
        <family val="2"/>
      </rPr>
      <t xml:space="preserve">後六段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＋計數與觀察清單列表逐位元還原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</si>
  <si>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</si>
  <si>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</si>
  <si>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</si>
  <si>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</si>
  <si>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</si>
  <si>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</si>
  <si>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</si>
  <si>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：草稿 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#87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（＝淨收 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股均價不變；同日行動（優先序 </t>
    </r>
    <r>
      <rPr>
        <sz val="10"/>
        <rFont val="Arial"/>
        <family val="0"/>
        <charset val="1"/>
      </rPr>
      <t xml:space="preserve">CORPORATE_ACTION</t>
    </r>
    <r>
      <rPr>
        <sz val="10"/>
        <rFont val="Noto Sans CJK SC"/>
        <family val="2"/>
      </rPr>
      <t xml:space="preserve">）先於賣出套用。兩筆（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、行動）皆刪除後逐位元還原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</si>
  <si>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</si>
  <si>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</si>
  <si>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</si>
  <si>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</si>
  <si>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</si>
  <si>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</si>
  <si>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</si>
  <si>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r>
      <rPr>
        <sz val="10"/>
        <rFont val="Noto Sans CJK SC"/>
        <family val="2"/>
      </rPr>
      <t xml:space="preserve">逐一刪除本輪寫入的公司行動：拆股（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）、合股（</t>
    </r>
    <r>
      <rPr>
        <sz val="10"/>
        <rFont val="Arial"/>
        <family val="0"/>
        <charset val="1"/>
      </rPr>
      <t xml:space="preserve">D-04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）、兩帳戶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D-02b</t>
    </r>
    <r>
      <rPr>
        <sz val="10"/>
        <rFont val="Noto Sans CJK SC"/>
        <family val="2"/>
      </rPr>
      <t xml:space="preserve">，整組刪除）、分拆（</t>
    </r>
    <r>
      <rPr>
        <sz val="10"/>
        <rFont val="Arial"/>
        <family val="0"/>
        <charset val="1"/>
      </rPr>
      <t xml:space="preserve">D-08</t>
    </r>
    <r>
      <rPr>
        <sz val="10"/>
        <rFont val="Noto Sans CJK SC"/>
        <family val="2"/>
      </rPr>
      <t xml:space="preserve">）、未套用（</t>
    </r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</t>
    </r>
    <r>
      <rPr>
        <sz val="10"/>
        <rFont val="Noto Sans CJK SC"/>
        <family val="2"/>
      </rPr>
      <t xml:space="preserve">／現金餘額與各帳本列數皆與行動前逐位元相同 ✓。✗ 兩處不完整：① 含重組費用的行動（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D-07</t>
    </r>
    <r>
      <rPr>
        <sz val="10"/>
        <rFont val="Noto Sans CJK SC"/>
        <family val="2"/>
      </rPr>
      <t xml:space="preserve">）刪除後，重組費出金 </t>
    </r>
    <r>
      <rPr>
        <sz val="10"/>
        <rFont val="Arial"/>
        <family val="0"/>
        <charset val="1"/>
      </rPr>
      <t xml:space="preserve">#46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#47 </t>
    </r>
    <r>
      <rPr>
        <sz val="10"/>
        <rFont val="Noto Sans CJK SC"/>
        <family val="2"/>
      </rPr>
      <t xml:space="preserve">仍留在資金收支，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餘額停在 </t>
    </r>
    <r>
      <rPr>
        <sz val="10"/>
        <rFont val="Arial"/>
        <family val="0"/>
        <charset val="1"/>
      </rPr>
      <t xml:space="preserve">6,067,565</t>
    </r>
    <r>
      <rPr>
        <sz val="10"/>
        <rFont val="Noto Sans CJK SC"/>
        <family val="2"/>
      </rPr>
      <t xml:space="preserve">（少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）；② 換股（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）刪除後，目標價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仍留在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仍為空（行動前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＝空），刪除確認框只寫「股數、成本與價格基準都會由帳本重建」，沒有提到目標價不會移回</t>
    </r>
  </si>
  <si>
    <t xml:space="preserve">DEF-020, DEF-021, DEF-040, DEF-052, DEF-060, DEF-063</t>
  </si>
  <si>
    <r>
      <rPr>
        <sz val="10"/>
        <rFont val="Noto Sans CJK SC"/>
        <family val="2"/>
      </rPr>
      <t xml:space="preserve">兩處皆以手動方式還原（資金管理刪除出金；觀察清單改回目標價）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DEF-021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裁定新增期望「刪除分拆時移除子公司起始價」，新開 </t>
    </r>
    <r>
      <rPr>
        <sz val="10"/>
        <rFont val="Arial"/>
        <family val="0"/>
        <charset val="1"/>
      </rPr>
      <t xml:space="preserve">DEF-040
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部分通過：正常路徑可逆，但子公司當日已有正式報價時存檔覆蓋、刪除後原報價遺失（本機重現）；附帶 </t>
    </r>
    <r>
      <rPr>
        <sz val="10"/>
        <rFont val="Arial"/>
        <family val="0"/>
        <charset val="1"/>
      </rPr>
      <t xml:space="preserve">DEF-052</t>
    </r>
    <r>
      <rPr>
        <sz val="10"/>
        <rFont val="Noto Sans CJK SC"/>
        <family val="2"/>
      </rPr>
      <t xml:space="preserve">（帳本列不顯示重組費用）、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（改日期搬移起始價，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yfinance 112.0</t>
    </r>
    <r>
      <rPr>
        <sz val="10"/>
        <rFont val="Noto Sans CJK SC"/>
        <family val="2"/>
      </rPr>
      <t xml:space="preserve">：表單事先說明不寫入、存檔與刪除後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點逐欄不變）；</t>
    </r>
    <r>
      <rPr>
        <sz val="10"/>
        <rFont val="Arial"/>
        <family val="0"/>
        <charset val="1"/>
      </rPr>
      <t xml:space="preserve">DEF-052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DEF-060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（孤兒起始價清理腳本，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複驗通過結案（本機重放腳本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情境：孤兒刪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、被擁有與簽章不完整各保留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、先備份、稽核與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項檢查全過：分拆附子公司起始價：刪除後子公司價格歷史逐字相同（正式報價保留、起始價移除），持倉／成本／現金／區間逐字還原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項檢查全過：分拆附子公司起始價：刪除後子公司價格歷史逐字相同（正式報價保留、起始價移除），持倉／成本／現金／區間逐字還原</t>
    </r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</si>
  <si>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</si>
  <si>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</si>
  <si>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</si>
  <si>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</si>
  <si>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r>
      <rPr>
        <sz val="10"/>
        <rFont val="Noto Sans CJK SC"/>
        <family val="2"/>
      </rPr>
      <t xml:space="preserve">製造情境：台灣券商買 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#88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）→ 登錄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11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刪除 </t>
    </r>
    <r>
      <rPr>
        <sz val="10"/>
        <rFont val="Arial"/>
        <family val="0"/>
        <charset val="1"/>
      </rPr>
      <t xml:space="preserve">#88</t>
    </r>
    <r>
      <rPr>
        <sz val="10"/>
        <rFont val="Noto Sans CJK SC"/>
        <family val="2"/>
      </rPr>
      <t xml:space="preserve">（刪除框只寫「統計將由其餘帳本紀錄重建」，未警告會使公司行動無法套用）。</t>
    </r>
    <r>
      <rPr>
        <sz val="10"/>
        <rFont val="Arial"/>
        <family val="0"/>
        <charset val="1"/>
      </rPr>
      <t xml:space="preserve">GET /api/dashboard → unapplied_actions 1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沒有持倉，無法套用公司行動 — …」），</t>
    </r>
    <r>
      <rPr>
        <sz val="10"/>
        <rFont val="Arial"/>
        <family val="0"/>
        <charset val="1"/>
      </rPr>
      <t xml:space="preserve">kpis.xirr null</t>
    </r>
    <r>
      <rPr>
        <sz val="10"/>
        <rFont val="Noto Sans CJK SC"/>
        <family val="2"/>
      </rPr>
      <t xml:space="preserve">。畫面：年化報酬（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）顯示「— 資料不足」，細節只在滑鼠提示（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）裡；總損益口徑顯示「帳本中有公司行動無法套用（待釐清）…」。✗ 儀表板沒有入口：行動清單／資料與系統待辦沒有這一筆、公司行動帳本列沒有「未套用」標記，只有點進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個股抽屜才看到「⚠ 公司行動未套用…」；提示句與抽屜都顯示帳戶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」。② 刪除該行動後 </t>
    </r>
    <r>
      <rPr>
        <sz val="10"/>
        <rFont val="Arial"/>
        <family val="0"/>
        <charset val="1"/>
      </rPr>
      <t xml:space="preserve">unapplied_actions=[]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10.22406575305222</t>
    </r>
    <r>
      <rPr>
        <sz val="10"/>
        <rFont val="Noto Sans CJK SC"/>
        <family val="2"/>
      </rPr>
      <t xml:space="preserve">、六段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＋計數逐位元相同 ✓</t>
    </r>
  </si>
  <si>
    <t xml:space="preserve">DEF-022, DEF-023</t>
  </si>
  <si>
    <r>
      <rPr>
        <sz val="10"/>
        <rFont val="Noto Sans CJK SC"/>
        <family val="2"/>
      </rPr>
      <t xml:space="preserve">個股抽屜同時顯示「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 ✓ 對帳一致」與「⚠ 公司行動未套用」；另：前置步驟的分割試算誤報目標價「設定於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、早於這筆分割」（見 </t>
    </r>
    <r>
      <rPr>
        <sz val="10"/>
        <rFont val="Arial"/>
        <family val="0"/>
        <charset val="1"/>
      </rPr>
      <t xml:space="preserve">DEF-022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DEF-022 </t>
    </r>
    <r>
      <rPr>
        <sz val="10"/>
        <rFont val="Noto Sans CJK SC"/>
        <family val="2"/>
      </rPr>
      <t xml:space="preserve">結案；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複驗未過：儀表板未套用區塊因 </t>
    </r>
    <r>
      <rPr>
        <sz val="10"/>
        <rFont val="Arial"/>
        <family val="0"/>
        <charset val="1"/>
      </rPr>
      <t xml:space="preserve">app.js:100 </t>
    </r>
    <r>
      <rPr>
        <sz val="10"/>
        <rFont val="Noto Sans CJK SC"/>
        <family val="2"/>
      </rPr>
      <t xml:space="preserve">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複驗通過結案（無未註冊標的時區塊與連結正常）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項檢查全過：刪除分割前的買入使行動無法套用 → </t>
    </r>
    <r>
      <rPr>
        <sz val="10"/>
        <rFont val="Arial"/>
        <family val="0"/>
        <charset val="1"/>
      </rPr>
      <t xml:space="preserve">unapplied_actions 1 </t>
    </r>
    <r>
      <rPr>
        <sz val="10"/>
        <rFont val="Noto Sans CJK SC"/>
        <family val="2"/>
      </rPr>
      <t xml:space="preserve">列；儀表板橫幅「⚠ 帳本中有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筆公司行動無法套用（待釐清）…」以「台灣券商」稱呼帳戶（無原始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）、附「前往該筆公司行動」（</t>
    </r>
    <r>
      <rPr>
        <sz val="10"/>
        <rFont val="Arial"/>
        <family val="0"/>
        <charset val="1"/>
      </rPr>
      <t xml:space="preserve">action_id=51</t>
    </r>
    <r>
      <rPr>
        <sz val="10"/>
        <rFont val="Noto Sans CJK SC"/>
        <family val="2"/>
      </rPr>
      <t xml:space="preserve">）；刪除行動後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清單為空、重新載入無橫幅（首跑時驗證者的檢查程式沒有照新的橫幅文字（現為「無法套用」）判讀，修正檢查後重跑）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項檢查全過：刪除分割前的買入使行動無法套用 → </t>
    </r>
    <r>
      <rPr>
        <sz val="10"/>
        <rFont val="Arial"/>
        <family val="0"/>
        <charset val="1"/>
      </rPr>
      <t xml:space="preserve">unapplied_actions 1 </t>
    </r>
    <r>
      <rPr>
        <sz val="10"/>
        <rFont val="Noto Sans CJK SC"/>
        <family val="2"/>
      </rPr>
      <t xml:space="preserve">列；儀表板橫幅「⚠ 帳本中有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筆公司行動無法套用（待釐清）…台灣券商・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・分割…」以帳戶名稱稱呼（無原始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）並附前往該筆行動的入口；解決後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清單為空、重新載入無橫幅</t>
    </r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</si>
  <si>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</si>
  <si>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</si>
  <si>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</si>
  <si>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</si>
  <si>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</si>
  <si>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B-11</t>
    </r>
    <r>
      <rPr>
        <sz val="10"/>
        <rFont val="Noto Sans CJK SC"/>
        <family val="2"/>
      </rPr>
      <t xml:space="preserve">（賣 </t>
    </r>
    <r>
      <rPr>
        <sz val="10"/>
        <rFont val="Arial"/>
        <family val="0"/>
        <charset val="1"/>
      </rPr>
      <t xml:space="preserve">2330 2,600 @ 2026-07-01 </t>
    </r>
    <r>
      <rPr>
        <sz val="10"/>
        <rFont val="Noto Sans CJK SC"/>
        <family val="2"/>
      </rPr>
      <t xml:space="preserve">被判賣超）→ 點預覽內「補登公司行動」：開啟補登表單，前言帶入賣超原因句；帳戶預選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、代號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、行動日期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input max=2026-07-01</t>
    </r>
    <r>
      <rPr>
        <sz val="10"/>
        <rFont val="Noto Sans CJK SC"/>
        <family val="2"/>
      </rPr>
      <t xml:space="preserve">（日期上限＝賣出日）</t>
    </r>
  </si>
  <si>
    <r>
      <rPr>
        <sz val="10"/>
        <rFont val="Noto Sans CJK SC"/>
        <family val="2"/>
      </rPr>
      <t xml:space="preserve">僅開表單未登錄（取消關閉）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B-11</t>
    </r>
    <r>
      <rPr>
        <sz val="10"/>
        <rFont val="Noto Sans CJK SC"/>
        <family val="2"/>
      </rPr>
      <t xml:space="preserve">（賣 </t>
    </r>
    <r>
      <rPr>
        <sz val="10"/>
        <rFont val="Arial"/>
        <family val="0"/>
        <charset val="1"/>
      </rPr>
      <t xml:space="preserve">2330 2,600 @ 2026-07-01 </t>
    </r>
    <r>
      <rPr>
        <sz val="10"/>
        <rFont val="Noto Sans CJK SC"/>
        <family val="2"/>
      </rPr>
      <t xml:space="preserve">被判賣超）→ 點預覽內「這是公司行動造成的（分割／換股／分拆）→ 補登公司行動」：開啟補登表單，前言帶入賣超原因句「這筆賣出被判為賣超：賣出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股，超過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當日持有的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股…若原因是漏登公司行動，補登後股數就會對上，成本基礎不會被捨棄。」；帳戶預選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、代號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、行動日期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input max=2026-07-01</t>
    </r>
    <r>
      <rPr>
        <sz val="10"/>
        <rFont val="Noto Sans CJK SC"/>
        <family val="2"/>
      </rPr>
      <t xml:space="preserve">（日期上限＝賣出日）✓。僅開表單未登錄（取消關閉），公司行動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項檢查全過：賣超列的「補登公司行動」帶入台灣券商／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、日期上限 </t>
    </r>
    <r>
      <rPr>
        <sz val="10"/>
        <rFont val="Arial"/>
        <family val="0"/>
        <charset val="1"/>
      </rPr>
      <t xml:space="preserve">2026-07-01</t>
    </r>
    <r>
      <rPr>
        <sz val="10"/>
        <rFont val="Noto Sans CJK SC"/>
        <family val="2"/>
      </rPr>
      <t xml:space="preserve">、原因句帶入表單；未寫入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項檢查全過：賣超列的「補登公司行動」帶入台灣券商／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、日期上限 </t>
    </r>
    <r>
      <rPr>
        <sz val="10"/>
        <rFont val="Arial"/>
        <family val="0"/>
        <charset val="1"/>
      </rPr>
      <t xml:space="preserve">2026-07-01</t>
    </r>
    <r>
      <rPr>
        <sz val="10"/>
        <rFont val="Noto Sans CJK SC"/>
        <family val="2"/>
      </rPr>
      <t xml:space="preserve">、原因句「賣出 </t>
    </r>
    <r>
      <rPr>
        <sz val="10"/>
        <rFont val="Arial"/>
        <family val="0"/>
        <charset val="1"/>
      </rPr>
      <t xml:space="preserve">2600 </t>
    </r>
    <r>
      <rPr>
        <sz val="10"/>
        <rFont val="Noto Sans CJK SC"/>
        <family val="2"/>
      </rPr>
      <t xml:space="preserve">股，超過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當日持有的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股…」帶入表單；未寫入</t>
    </r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</si>
  <si>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</si>
  <si>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</si>
  <si>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</si>
  <si>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</si>
  <si>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</si>
  <si>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</t>
    </r>
    <r>
      <rPr>
        <sz val="10"/>
        <rFont val="Noto Sans CJK SC"/>
        <family val="2"/>
      </rPr>
      <t xml:space="preserve">：公司行動分頁 › ⬇匯出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{kind:actions} 200</t>
    </r>
    <r>
      <rPr>
        <sz val="10"/>
        <rFont val="Noto Sans CJK SC"/>
        <family val="2"/>
      </rPr>
      <t xml:space="preserve">，檔名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1:1 </t>
    </r>
    <r>
      <rPr>
        <sz val="10"/>
        <rFont val="Noto Sans CJK SC"/>
        <family val="2"/>
      </rPr>
      <t xml:space="preserve">時內容「</t>
    </r>
    <r>
      <rPr>
        <sz val="10"/>
        <rFont val="Arial"/>
        <family val="0"/>
        <charset val="1"/>
      </rPr>
      <t xml:space="preserve">8,tw_broker,2026-09-23,EXCHANGE,2884,2882,1,1,,,,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時「</t>
    </r>
    <r>
      <rPr>
        <sz val="10"/>
        <rFont val="Arial"/>
        <family val="0"/>
        <charset val="1"/>
      </rPr>
      <t xml:space="preserve">9,tw_broker,2026-09-23,EXCHANGE,2884,2882,1,2,,QA D-07 2</t>
    </r>
    <r>
      <rPr>
        <sz val="10"/>
        <rFont val="Noto Sans CJK SC"/>
        <family val="2"/>
      </rPr>
      <t xml:space="preserve">換</t>
    </r>
    <r>
      <rPr>
        <sz val="10"/>
        <rFont val="Arial"/>
        <family val="0"/>
        <charset val="1"/>
      </rPr>
      <t xml:space="preserve">1,,</t>
    </r>
    <r>
      <rPr>
        <sz val="10"/>
        <rFont val="Noto Sans CJK SC"/>
        <family val="2"/>
      </rPr>
      <t xml:space="preserve">」→ 列數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＝畫面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列；欄位 </t>
    </r>
    <r>
      <rPr>
        <sz val="10"/>
        <rFont val="Arial"/>
        <family val="0"/>
        <charset val="1"/>
      </rPr>
      <t xml:space="preserve">id,account_id,date,kind,from_symbol,to_symbol,ratio_to,ratio_from,cost_carry,note,import_batch_id,source_row_hash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ratio_from=2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ratio_to=1 </t>
    </r>
    <r>
      <rPr>
        <sz val="10"/>
        <rFont val="Noto Sans CJK SC"/>
        <family val="2"/>
      </rPr>
      <t xml:space="preserve">與畫面「每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股」一致，日期、代號、備註一致</t>
    </r>
  </si>
  <si>
    <r>
      <rPr>
        <sz val="10"/>
        <rFont val="Noto Sans CJK SC"/>
        <family val="2"/>
      </rPr>
      <t xml:space="preserve">下載以攔截 </t>
    </r>
    <r>
      <rPr>
        <sz val="10"/>
        <rFont val="Arial"/>
        <family val="0"/>
        <charset val="1"/>
      </rPr>
      <t xml:space="preserve">blob </t>
    </r>
    <r>
      <rPr>
        <sz val="10"/>
        <rFont val="Noto Sans CJK SC"/>
        <family val="2"/>
      </rPr>
      <t xml:space="preserve">取得內容，未存到本機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全面重跑）：公司行動分頁 › 匯出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{kind:actions} 200</t>
    </r>
    <r>
      <rPr>
        <sz val="10"/>
        <rFont val="Noto Sans CJK SC"/>
        <family val="2"/>
      </rPr>
      <t xml:space="preserve">，檔名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1:1 </t>
    </r>
    <r>
      <rPr>
        <sz val="10"/>
        <rFont val="Noto Sans CJK SC"/>
        <family val="2"/>
      </rPr>
      <t xml:space="preserve">時「</t>
    </r>
    <r>
      <rPr>
        <sz val="10"/>
        <rFont val="Arial"/>
        <family val="0"/>
        <charset val="1"/>
      </rPr>
      <t xml:space="preserve">30,tw_broker,2026-09-27,EXCHANGE,2884,2882,1,1,,QA-R8-D06,…,band_move_json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時「</t>
    </r>
    <r>
      <rPr>
        <sz val="10"/>
        <rFont val="Arial"/>
        <family val="0"/>
        <charset val="1"/>
      </rPr>
      <t xml:space="preserve">31,tw_broker,2026-09-27,EXCHANGE,2884,2882,1,2,,QA R8 D-07 2</t>
    </r>
    <r>
      <rPr>
        <sz val="10"/>
        <rFont val="Noto Sans CJK SC"/>
        <family val="2"/>
      </rPr>
      <t xml:space="preserve">換</t>
    </r>
    <r>
      <rPr>
        <sz val="10"/>
        <rFont val="Arial"/>
        <family val="0"/>
        <charset val="1"/>
      </rPr>
      <t xml:space="preserve">1,…</t>
    </r>
    <r>
      <rPr>
        <sz val="10"/>
        <rFont val="Noto Sans CJK SC"/>
        <family val="2"/>
      </rPr>
      <t xml:space="preserve">」→ 列數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＝畫面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列；</t>
    </r>
    <r>
      <rPr>
        <sz val="10"/>
        <rFont val="Arial"/>
        <family val="0"/>
        <charset val="1"/>
      </rPr>
      <t xml:space="preserve">ratio_from=2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ratio_to=1 </t>
    </r>
    <r>
      <rPr>
        <sz val="10"/>
        <rFont val="Noto Sans CJK SC"/>
        <family val="2"/>
      </rPr>
      <t xml:space="preserve">與畫面「每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股」一致，日期、代號、備註一致；新增的 </t>
    </r>
    <r>
      <rPr>
        <sz val="10"/>
        <rFont val="Arial"/>
        <family val="0"/>
        <charset val="1"/>
      </rPr>
      <t xml:space="preserve">band_move_json </t>
    </r>
    <r>
      <rPr>
        <sz val="10"/>
        <rFont val="Noto Sans CJK SC"/>
        <family val="2"/>
      </rPr>
      <t xml:space="preserve">欄記錄目標價移轉內容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項檢查全過：公司行動帳本匯出：檔名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列＋表頭，比例／日期／代號與表單一致；刪除後逐字相同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項檢查全過：公司行動帳本匯出：檔名 </t>
    </r>
    <r>
      <rPr>
        <sz val="10"/>
        <rFont val="Arial"/>
        <family val="0"/>
        <charset val="1"/>
      </rPr>
      <t xml:space="preserve">ledger_actions_all_all.csv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列＋表頭，比例／日期／代號與表單一致；刪除後逐字相同</t>
    </r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</si>
  <si>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</si>
  <si>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</si>
  <si>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</si>
  <si>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</si>
  <si>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</si>
  <si>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持倉健診仍顯示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舊卡「玉山金控</t>
    </r>
    <r>
      <rPr>
        <sz val="10"/>
        <rFont val="Arial"/>
        <family val="0"/>
        <charset val="1"/>
      </rPr>
      <t xml:space="preserve">(2884) </t>
    </r>
    <r>
      <rPr>
        <sz val="10"/>
        <rFont val="Noto Sans CJK SC"/>
        <family val="2"/>
      </rPr>
      <t xml:space="preserve">暫緩進場 靜待反彈」（歷史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筆），卡片與整頁都沒有「未知代號／未知代碼」標記（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仍為已註冊標的）；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無卡。洞察卡頁的「未知代碼」只出現在一張提到 </t>
    </r>
    <r>
      <rPr>
        <sz val="10"/>
        <rFont val="Arial"/>
        <family val="0"/>
        <charset val="1"/>
      </rPr>
      <t xml:space="preserve">LRDIM (6883) </t>
    </r>
    <r>
      <rPr>
        <sz val="10"/>
        <rFont val="Noto Sans CJK SC"/>
        <family val="2"/>
      </rPr>
      <t xml:space="preserve">的舊週報，與本案無關</t>
    </r>
  </si>
  <si>
    <r>
      <rPr>
        <sz val="10"/>
        <rFont val="Noto Sans CJK SC"/>
        <family val="2"/>
      </rPr>
      <t xml:space="preserve">換股後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已無持倉，但持倉健診仍列出其卡片（記錄行為）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換成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持倉健診仍顯示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舊卡「玉山金</t>
    </r>
    <r>
      <rPr>
        <sz val="10"/>
        <rFont val="Arial"/>
        <family val="0"/>
        <charset val="1"/>
      </rPr>
      <t xml:space="preserve">(2884) - RSI</t>
    </r>
    <r>
      <rPr>
        <sz val="10"/>
        <rFont val="Noto Sans CJK SC"/>
        <family val="2"/>
      </rPr>
      <t xml:space="preserve">過熱警示」（歷史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筆），整頁「未知代號／未知代碼」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仍為已註冊標的）✓。換股後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已無持倉但卡片仍在持倉健診列出（記錄行為，與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項檢查全過：換股後舊代號卡片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張皆不被標「未知代碼」，洞察頁無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未知代碼標記；刪除後逐字相同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項檢查全過：換股後舊代號卡片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張皆不被標「未知代碼」，洞察頁無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未知代碼標記；刪除後逐字相同</t>
    </r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</si>
  <si>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</si>
  <si>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</si>
  <si>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</si>
  <si>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</si>
  <si>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</si>
  <si>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</si>
  <si>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</si>
  <si>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</si>
  <si>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</si>
  <si>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列持倉的 </t>
    </r>
    <r>
      <rPr>
        <sz val="10"/>
        <rFont val="Arial"/>
        <family val="0"/>
        <charset val="1"/>
      </rPr>
      <t xml:space="preserve">price_as_of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09-16</t>
    </r>
    <r>
      <rPr>
        <sz val="10"/>
        <rFont val="Noto Sans CJK SC"/>
        <family val="2"/>
      </rPr>
      <t xml:space="preserve">，全部 </t>
    </r>
    <r>
      <rPr>
        <sz val="10"/>
        <rFont val="Arial"/>
        <family val="0"/>
        <charset val="1"/>
      </rPr>
      <t xml:space="preserve">stale</t>
    </r>
    <r>
      <rPr>
        <sz val="10"/>
        <rFont val="Noto Sans CJK SC"/>
        <family val="2"/>
      </rPr>
      <t xml:space="preserve">）與六段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儀表板 ⟳重新整理 › 更新報價 → </t>
    </r>
    <r>
      <rPr>
        <sz val="10"/>
        <rFont val="Arial"/>
        <family val="0"/>
        <charset val="1"/>
      </rPr>
      <t xml:space="preserve">POST /api/actions/refresh-quotes 200 {run_ids [177,178,179]}</t>
    </r>
    <r>
      <rPr>
        <sz val="10"/>
        <rFont val="Noto Sans CJK SC"/>
        <family val="2"/>
      </rPr>
      <t xml:space="preserve">：①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quotes_my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job </t>
    </r>
    <r>
      <rPr>
        <sz val="10"/>
        <rFont val="Noto Sans CJK SC"/>
        <family val="2"/>
      </rPr>
      <t xml:space="preserve">皆帶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instruments_failed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held_failed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lagging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["0056"]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price_as_of </t>
    </r>
    <r>
      <rPr>
        <sz val="10"/>
        <rFont val="Noto Sans CJK SC"/>
        <family val="2"/>
      </rPr>
      <t xml:space="preserve">前進到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stale→false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09-16 </t>
    </r>
    <r>
      <rPr>
        <sz val="10"/>
        <rFont val="Noto Sans CJK SC"/>
        <family val="2"/>
      </rPr>
      <t xml:space="preserve">前進到 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但仍 </t>
    </r>
    <r>
      <rPr>
        <sz val="10"/>
        <rFont val="Arial"/>
        <family val="0"/>
        <charset val="1"/>
      </rPr>
      <t xml:space="preserve">stale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「報價更新中…（約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秒）」→「✓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，正在重新整理…」✓，頁面自動重新整理，徽章「部分過期 </t>
    </r>
    <r>
      <rPr>
        <sz val="10"/>
        <rFont val="Arial"/>
        <family val="0"/>
        <charset val="1"/>
      </rPr>
      <t xml:space="preserve">13/16</t>
    </r>
    <r>
      <rPr>
        <sz val="10"/>
        <rFont val="Noto Sans CJK SC"/>
        <family val="2"/>
      </rPr>
      <t xml:space="preserve">」→「部分過期 </t>
    </r>
    <r>
      <rPr>
        <sz val="10"/>
        <rFont val="Arial"/>
        <family val="0"/>
        <charset val="1"/>
      </rPr>
      <t xml:space="preserve">1/16</t>
    </r>
    <r>
      <rPr>
        <sz val="10"/>
        <rFont val="Noto Sans CJK SC"/>
        <family val="2"/>
      </rPr>
      <t xml:space="preserve">」。帳本列數全部不變</t>
    </r>
  </si>
  <si>
    <t xml:space="preserve">DEF-038</t>
  </si>
  <si>
    <r>
      <rPr>
        <sz val="10"/>
        <rFont val="Noto Sans CJK SC"/>
        <family val="2"/>
      </rPr>
      <t xml:space="preserve">附帶發現（低）：該按鈕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仍寫「更新報價或重建統計（後端接線後生效）」；洞察管線的「進化設定」連結落在系統設定首頁而非自我進化設定面板（</t>
    </r>
    <r>
      <rPr>
        <sz val="10"/>
        <rFont val="Arial"/>
        <family val="0"/>
        <charset val="1"/>
      </rPr>
      <t xml:space="preserve">DEF-038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DEF-038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項檢查全過：「更新報價」→ </t>
    </r>
    <r>
      <rPr>
        <sz val="10"/>
        <rFont val="Arial"/>
        <family val="0"/>
        <charset val="1"/>
      </rPr>
      <t xml:space="preserve">refresh-quotes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#223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225</t>
    </r>
    <r>
      <rPr>
        <sz val="10"/>
        <rFont val="Noto Sans CJK SC"/>
        <family val="2"/>
      </rPr>
      <t xml:space="preserve">），三個工作皆帶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lagging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檔全更新、失敗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；無任何 </t>
    </r>
    <r>
      <rPr>
        <sz val="10"/>
        <rFont val="Arial"/>
        <family val="0"/>
        <charset val="1"/>
      </rPr>
      <t xml:space="preserve">price_as_of </t>
    </r>
    <r>
      <rPr>
        <sz val="10"/>
        <rFont val="Noto Sans CJK SC"/>
        <family val="2"/>
      </rPr>
      <t xml:space="preserve">倒退；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已執行，正在重新整理…」；帳本不變（本輪 </t>
    </r>
    <r>
      <rPr>
        <sz val="10"/>
        <rFont val="Arial"/>
        <family val="0"/>
        <charset val="1"/>
      </rPr>
      <t xml:space="preserve">17:10 </t>
    </r>
    <r>
      <rPr>
        <sz val="10"/>
        <rFont val="Noto Sans CJK SC"/>
        <family val="2"/>
      </rPr>
      <t xml:space="preserve">第一次執行時已把 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09-25 </t>
    </r>
    <r>
      <rPr>
        <sz val="10"/>
        <rFont val="Noto Sans CJK SC"/>
        <family val="2"/>
      </rPr>
      <t xml:space="preserve">更新至 </t>
    </r>
    <r>
      <rPr>
        <sz val="10"/>
        <rFont val="Arial"/>
        <family val="0"/>
        <charset val="1"/>
      </rPr>
      <t xml:space="preserve">09-28</t>
    </r>
    <r>
      <rPr>
        <sz val="10"/>
        <rFont val="Noto Sans CJK SC"/>
        <family val="2"/>
      </rPr>
      <t xml:space="preserve">，重跑時已是最新）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項檢查全過：「更新報價」→ </t>
    </r>
    <r>
      <rPr>
        <sz val="10"/>
        <rFont val="Arial"/>
        <family val="0"/>
        <charset val="1"/>
      </rPr>
      <t xml:space="preserve">refresh-quotes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#229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231</t>
    </r>
    <r>
      <rPr>
        <sz val="10"/>
        <rFont val="Noto Sans CJK SC"/>
        <family val="2"/>
      </rPr>
      <t xml:space="preserve">），三個工作皆帶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lagging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檔全更新、失敗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price_as_of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09-24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09-25 </t>
    </r>
    <r>
      <rPr>
        <sz val="10"/>
        <rFont val="Noto Sans CJK SC"/>
        <family val="2"/>
      </rPr>
      <t xml:space="preserve">前進到 </t>
    </r>
    <r>
      <rPr>
        <sz val="10"/>
        <rFont val="Arial"/>
        <family val="0"/>
        <charset val="1"/>
      </rPr>
      <t xml:space="preserve">09-29</t>
    </r>
    <r>
      <rPr>
        <sz val="10"/>
        <rFont val="Noto Sans CJK SC"/>
        <family val="2"/>
      </rPr>
      <t xml:space="preserve">、無任何倒退；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已執行，正在重新整理…」；帳本不變</t>
    </r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</si>
  <si>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</si>
  <si>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</si>
  <si>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</si>
  <si>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</si>
  <si>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</si>
  <si>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</si>
  <si>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</si>
  <si>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</si>
  <si>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</si>
  <si>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</si>
  <si>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</si>
  <si>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</si>
  <si>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</si>
  <si>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</si>
  <si>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</si>
  <si>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r>
      <rPr>
        <sz val="10"/>
        <rFont val="Noto Sans CJK SC"/>
        <family val="2"/>
      </rPr>
      <t xml:space="preserve">更新報價前讀取；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後再讀一次（見 </t>
    </r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E-04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全面重跑）：更新報價前後各讀一次：</t>
    </r>
    <r>
      <rPr>
        <sz val="10"/>
        <rFont val="Arial"/>
        <family val="0"/>
        <charset val="1"/>
      </rPr>
      <t xml:space="preserve">freshness.fx 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（推導徽章中性）、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 ①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USD/MYR × MYR/TWD </t>
    </r>
    <r>
      <rPr>
        <sz val="10"/>
        <rFont val="Noto Sans CJK SC"/>
        <family val="2"/>
      </rPr>
      <t xml:space="preserve">推得 </t>
    </r>
    <r>
      <rPr>
        <sz val="10"/>
        <rFont val="Arial"/>
        <family val="0"/>
        <charset val="1"/>
      </rPr>
      <t xml:space="preserve">31.663000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31.663000</t>
    </r>
    <r>
      <rPr>
        <sz val="10"/>
        <rFont val="Noto Sans CJK SC"/>
        <family val="2"/>
      </rPr>
      <t xml:space="preserve">，以共同日期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比較，</t>
    </r>
    <r>
      <rPr>
        <sz val="10"/>
        <rFont val="Arial"/>
        <family val="0"/>
        <charset val="1"/>
      </rPr>
      <t xml:space="preserve">gap_pct 0.0000</t>
    </r>
    <r>
      <rPr>
        <sz val="10"/>
        <rFont val="Noto Sans CJK SC"/>
        <family val="2"/>
      </rPr>
      <t xml:space="preserve">（自算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 true ②</t>
    </r>
    <r>
      <rPr>
        <sz val="10"/>
        <rFont val="Noto Sans CJK SC"/>
        <family val="2"/>
      </rPr>
      <t xml:space="preserve">。附註：更新後 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09-25</t>
    </r>
    <r>
      <rPr>
        <sz val="10"/>
        <rFont val="Noto Sans CJK SC"/>
        <family val="2"/>
      </rPr>
      <t xml:space="preserve">，兩條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腿沒有新的同日資料，推導的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仍停在 </t>
    </r>
    <r>
      <rPr>
        <sz val="10"/>
        <rFont val="Arial"/>
        <family val="0"/>
        <charset val="1"/>
      </rPr>
      <t xml:space="preserve">09-22 </t>
    </r>
    <r>
      <rPr>
        <sz val="10"/>
        <rFont val="Noto Sans CJK SC"/>
        <family val="2"/>
      </rPr>
      <t xml:space="preserve">並標示過期（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時三組同為 </t>
    </r>
    <r>
      <rPr>
        <sz val="10"/>
        <rFont val="Arial"/>
        <family val="0"/>
        <charset val="1"/>
      </rPr>
      <t xml:space="preserve">09-22</t>
    </r>
    <r>
      <rPr>
        <sz val="10"/>
        <rFont val="Noto Sans CJK SC"/>
        <family val="2"/>
      </rPr>
      <t xml:space="preserve">）；屬資料日期不齊的結果，非本案判定依據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；三角 </t>
    </r>
    <r>
      <rPr>
        <sz val="10"/>
        <rFont val="Arial"/>
        <family val="0"/>
        <charset val="1"/>
      </rPr>
      <t xml:space="preserve">USD/MYR×MYR/TWD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31.799001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31.799000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gap 0.0000%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 true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；三角 </t>
    </r>
    <r>
      <rPr>
        <sz val="10"/>
        <rFont val="Arial"/>
        <family val="0"/>
        <charset val="1"/>
      </rPr>
      <t xml:space="preserve">USD/MYR×MYR/TWD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31.841998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31.841999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gap 0.0000%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 true</t>
    </r>
    <r>
      <rPr>
        <sz val="10"/>
        <rFont val="Noto Sans CJK SC"/>
        <family val="2"/>
      </rPr>
      <t xml:space="preserve">（三條皆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</t>
    </r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</si>
  <si>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</si>
  <si>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</si>
  <si>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</si>
  <si>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</si>
  <si>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</si>
  <si>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</si>
  <si>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</si>
  <si>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</si>
  <si>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</si>
  <si>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</si>
  <si>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</si>
  <si>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</si>
  <si>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</si>
  <si>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</si>
  <si>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</si>
  <si>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r>
      <rPr>
        <sz val="10"/>
        <rFont val="Noto Sans CJK SC"/>
        <family val="2"/>
      </rPr>
      <t xml:space="preserve">需要可啟動排程器的非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環境；本站排程中心顯示「排程器未啟動 — 本實例的所有排程工作都不會自動執行（「下次執行」因此皆為 —）　原因：</t>
    </r>
    <r>
      <rPr>
        <sz val="10"/>
        <rFont val="Arial"/>
        <family val="0"/>
        <charset val="1"/>
      </rPr>
      <t xml:space="preserve">PD_DISABLE_SCHEDULER=1</t>
    </r>
    <r>
      <rPr>
        <sz val="10"/>
        <rFont val="Noto Sans CJK SC"/>
        <family val="2"/>
      </rPr>
      <t xml:space="preserve">」</t>
    </r>
  </si>
  <si>
    <t xml:space="preserve">DEF-067, DEF-073</t>
  </si>
  <si>
    <r>
      <rPr>
        <sz val="10"/>
        <rFont val="Noto Sans CJK SC"/>
        <family val="2"/>
      </rPr>
      <t xml:space="preserve">依手冊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環境前置：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依裁定關閉排程器，本案為 </t>
    </r>
    <r>
      <rPr>
        <sz val="10"/>
        <rFont val="Arial"/>
        <family val="0"/>
        <charset val="1"/>
      </rPr>
      <t xml:space="preserve">BLOCKED
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），排程器開啟：排程中心畫面把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22:38</t>
    </r>
    <r>
      <rPr>
        <sz val="10"/>
        <rFont val="Noto Sans CJK SC"/>
        <family val="2"/>
      </rPr>
      <t xml:space="preserve">（美股工作另以紐約時區 </t>
    </r>
    <r>
      <rPr>
        <sz val="10"/>
        <rFont val="Arial"/>
        <family val="0"/>
        <charset val="1"/>
      </rPr>
      <t xml:space="preserve">10:46</t>
    </r>
    <r>
      <rPr>
        <sz val="10"/>
        <rFont val="Noto Sans CJK SC"/>
        <family val="2"/>
      </rPr>
      <t xml:space="preserve">）等自然觸發，事後以畫面還原（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與「下次執行」與測前相同）。①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各一：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 </t>
    </r>
    <r>
      <rPr>
        <sz val="10"/>
        <rFont val="Noto Sans CJK SC"/>
        <family val="2"/>
      </rPr>
      <t xml:space="preserve">為「部分」並點名失敗標的與匯率 ✓；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「成功」✓；</t>
    </r>
    <r>
      <rPr>
        <sz val="10"/>
        <rFont val="Arial"/>
        <family val="0"/>
        <charset val="1"/>
      </rPr>
      <t xml:space="preserve">dividends_daily **</t>
    </r>
    <r>
      <rPr>
        <sz val="10"/>
        <rFont val="Noto Sans CJK SC"/>
        <family val="2"/>
      </rPr>
      <t xml:space="preserve">「成功」但明細「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檔失敗」</t>
    </r>
    <r>
      <rPr>
        <sz val="10"/>
        <rFont val="Arial"/>
        <family val="0"/>
        <charset val="1"/>
      </rPr>
      <t xml:space="preserve">** ✗ → DEF-067</t>
    </r>
    <r>
      <rPr>
        <sz val="10"/>
        <rFont val="Noto Sans CJK SC"/>
        <family val="2"/>
      </rPr>
      <t xml:space="preserve">；② 觸發時間 </t>
    </r>
    <r>
      <rPr>
        <sz val="10"/>
        <rFont val="Arial"/>
        <family val="0"/>
        <charset val="1"/>
      </rPr>
      <t xml:space="preserve">22:38:00.002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.005 </t>
    </r>
    <r>
      <rPr>
        <sz val="10"/>
        <rFont val="Noto Sans CJK SC"/>
        <family val="2"/>
      </rPr>
      <t xml:space="preserve">符合 </t>
    </r>
    <r>
      <rPr>
        <sz val="10"/>
        <rFont val="Arial"/>
        <family val="0"/>
        <charset val="1"/>
      </rPr>
      <t xml:space="preserve">cron ✓</t>
    </r>
    <r>
      <rPr>
        <sz val="10"/>
        <rFont val="Noto Sans CJK SC"/>
        <family val="2"/>
      </rPr>
      <t xml:space="preserve">；③ 失敗點名 ✓、狀態 ✗（同上）。明細另有英文句（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…</t>
    </r>
    <r>
      <rPr>
        <sz val="10"/>
        <rFont val="Noto Sans CJK SC"/>
        <family val="2"/>
      </rPr>
      <t xml:space="preserve">」）→ </t>
    </r>
    <r>
      <rPr>
        <sz val="10"/>
        <rFont val="Arial"/>
        <family val="0"/>
        <charset val="1"/>
      </rPr>
      <t xml:space="preserve">DEF-073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DEF-073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）（外網封鎖使供應商全失敗）：排程中心畫面把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（紐約時區 </t>
    </r>
    <r>
      <rPr>
        <sz val="10"/>
        <rFont val="Arial"/>
        <family val="0"/>
        <charset val="1"/>
      </rPr>
      <t xml:space="preserve">01:24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quotes_my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改為台北 </t>
    </r>
    <r>
      <rPr>
        <sz val="10"/>
        <rFont val="Arial"/>
        <family val="0"/>
        <charset val="1"/>
      </rPr>
      <t xml:space="preserve">13:24 </t>
    </r>
    <r>
      <rPr>
        <sz val="10"/>
        <rFont val="Noto Sans CJK SC"/>
        <family val="2"/>
      </rPr>
      <t xml:space="preserve">自然觸發，事後以畫面還原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。①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各一，明細皆中文全形（例：「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檔失敗（…）」「每日摘要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：…」）✓；② 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 </t>
    </r>
    <r>
      <rPr>
        <sz val="10"/>
        <rFont val="Noto Sans CJK SC"/>
        <family val="2"/>
      </rPr>
      <t xml:space="preserve">符合 </t>
    </r>
    <r>
      <rPr>
        <sz val="10"/>
        <rFont val="Arial"/>
        <family val="0"/>
        <charset val="1"/>
      </rPr>
      <t xml:space="preserve">cron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個逐標的工作全部失敗 → 狀態「失敗」並逐檔點名 ✓，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「成功」✓。另以「立即執行」跑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個工作，明細英文詞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finmind_chips_daily </t>
    </r>
    <r>
      <rPr>
        <sz val="10"/>
        <rFont val="Noto Sans CJK SC"/>
        <family val="2"/>
      </rPr>
      <t xml:space="preserve">未設金鑰的例外原文依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項檢查全過：本機排程器開啟：排程中心把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17:03 </t>
    </r>
    <r>
      <rPr>
        <sz val="10"/>
        <rFont val="Noto Sans CJK SC"/>
        <family val="2"/>
      </rPr>
      <t xml:space="preserve">自然觸發 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各一、觸發延遲 </t>
    </r>
    <r>
      <rPr>
        <sz val="10"/>
        <rFont val="Arial"/>
        <family val="0"/>
        <charset val="1"/>
      </rPr>
      <t xml:space="preserve">0.003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0.006 </t>
    </r>
    <r>
      <rPr>
        <sz val="10"/>
        <rFont val="Noto Sans CJK SC"/>
        <family val="2"/>
      </rPr>
      <t xml:space="preserve">秒；無外網使四個逐標的工作「失敗」並逐檔點名（例「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項失敗；失敗：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」），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成功「每日摘要 </t>
    </r>
    <r>
      <rPr>
        <sz val="10"/>
        <rFont val="Arial"/>
        <family val="0"/>
        <charset val="1"/>
      </rPr>
      <t xml:space="preserve">2026-09-28</t>
    </r>
    <r>
      <rPr>
        <sz val="10"/>
        <rFont val="Noto Sans CJK SC"/>
        <family val="2"/>
      </rPr>
      <t xml:space="preserve">：…」；明細皆中文全形；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以同一畫面還原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項檢查全過：本機排程器開啟：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改為同一分鐘自然觸發 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各一、觸發延遲 </t>
    </r>
    <r>
      <rPr>
        <sz val="10"/>
        <rFont val="Arial"/>
        <family val="0"/>
        <charset val="1"/>
      </rPr>
      <t xml:space="preserve">0.004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0.007 </t>
    </r>
    <r>
      <rPr>
        <sz val="10"/>
        <rFont val="Noto Sans CJK SC"/>
        <family val="2"/>
      </rPr>
      <t xml:space="preserve">秒；無外網使四個逐標的工作「失敗」並逐檔點名（例「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項失敗；失敗：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」），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成功「每日摘要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：…」；明細皆中文全形；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以同一畫面還原</t>
    </r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</si>
  <si>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</si>
  <si>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</si>
  <si>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</si>
  <si>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</si>
  <si>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</si>
  <si>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r>
      <rPr>
        <sz val="10"/>
        <rFont val="Noto Sans CJK SC"/>
        <family val="2"/>
      </rPr>
      <t xml:space="preserve">實測到「部分過期」一態：更新前「部分過期 </t>
    </r>
    <r>
      <rPr>
        <sz val="10"/>
        <rFont val="Arial"/>
        <family val="0"/>
        <charset val="1"/>
      </rPr>
      <t xml:space="preserve">13/16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項價格／匯率資料已過期（共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項），點擊查看資料新鮮度明細」，與 </t>
    </r>
    <r>
      <rPr>
        <sz val="10"/>
        <rFont val="Arial"/>
        <family val="0"/>
        <charset val="1"/>
      </rPr>
      <t xml:space="preserve">freshness.prices 13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stale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組匯率未過期相符；更新報價後「部分過期 </t>
    </r>
    <r>
      <rPr>
        <sz val="10"/>
        <rFont val="Arial"/>
        <family val="0"/>
        <charset val="1"/>
      </rPr>
      <t xml:space="preserve">1/16</t>
    </r>
    <r>
      <rPr>
        <sz val="10"/>
        <rFont val="Noto Sans CJK SC"/>
        <family val="2"/>
      </rPr>
      <t xml:space="preserve">」（僅 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），計數與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一致 ✓。「資料新鮮」「全部過期」兩態需要控制資料來源（讓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取得當日收盤、或讓全部報價過期），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站無法製造</t>
    </r>
  </si>
  <si>
    <r>
      <rPr>
        <sz val="10"/>
        <rFont val="Noto Sans CJK SC"/>
        <family val="2"/>
      </rPr>
      <t xml:space="preserve">三態中只能實測一態；未以修改資料的方式硬造其他兩態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）三態皆實測：全部新鮮 → 徽章「資料新鮮」（</t>
    </r>
    <r>
      <rPr>
        <sz val="10"/>
        <rFont val="Arial"/>
        <family val="0"/>
        <charset val="1"/>
      </rPr>
      <t xml:space="preserve">freshness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／匯率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皆未過期）；移除 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9 </t>
    </r>
    <r>
      <rPr>
        <sz val="10"/>
        <rFont val="Noto Sans CJK SC"/>
        <family val="2"/>
      </rPr>
      <t xml:space="preserve">月以後收盤 → 「部分過期 </t>
    </r>
    <r>
      <rPr>
        <sz val="10"/>
        <rFont val="Arial"/>
        <family val="0"/>
        <charset val="1"/>
      </rPr>
      <t xml:space="preserve">2/12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項價格／匯率資料已過期（共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項）…」與 </t>
    </r>
    <r>
      <rPr>
        <sz val="10"/>
        <rFont val="Arial"/>
        <family val="0"/>
        <charset val="1"/>
      </rPr>
      <t xml:space="preserve">API stale 2 </t>
    </r>
    <r>
      <rPr>
        <sz val="10"/>
        <rFont val="Noto Sans CJK SC"/>
        <family val="2"/>
      </rPr>
      <t xml:space="preserve">相符；移除全部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月價格與匯率 → 「全部過期」、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「所有價格與匯率資料都已過期…」（</t>
    </r>
    <r>
      <rPr>
        <sz val="10"/>
        <rFont val="Arial"/>
        <family val="0"/>
        <charset val="1"/>
      </rPr>
      <t xml:space="preserve">stale 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）；還原後回「資料新鮮」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項檢查全過：本機改價格日期製造三態：「資料新鮮」、「部分過期 </t>
    </r>
    <r>
      <rPr>
        <sz val="10"/>
        <rFont val="Arial"/>
        <family val="0"/>
        <charset val="1"/>
      </rPr>
      <t xml:space="preserve">2/12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項價格／匯率資料已過期（共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項）」）、「全部過期」（</t>
    </r>
    <r>
      <rPr>
        <sz val="10"/>
        <rFont val="Arial"/>
        <family val="0"/>
        <charset val="1"/>
      </rPr>
      <t xml:space="preserve">12/12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項檢查全過：本機改價格日期製造三態：「資料新鮮」、「部分過期 </t>
    </r>
    <r>
      <rPr>
        <sz val="10"/>
        <rFont val="Arial"/>
        <family val="0"/>
        <charset val="1"/>
      </rPr>
      <t xml:space="preserve">2/12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項價格／匯率資料已過期（共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項）…」）、「全部過期」（</t>
    </r>
    <r>
      <rPr>
        <sz val="10"/>
        <rFont val="Arial"/>
        <family val="0"/>
        <charset val="1"/>
      </rPr>
      <t xml:space="preserve">12/12</t>
    </r>
    <r>
      <rPr>
        <sz val="10"/>
        <rFont val="Noto Sans CJK SC"/>
        <family val="2"/>
      </rPr>
      <t xml:space="preserve">）</t>
    </r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</si>
  <si>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</si>
  <si>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</si>
  <si>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</si>
  <si>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</si>
  <si>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</si>
  <si>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</si>
  <si>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r>
      <rPr>
        <sz val="10"/>
        <rFont val="Noto Sans CJK SC"/>
        <family val="2"/>
      </rPr>
      <t xml:space="preserve">以帳本原幣逐筆組現金流（買 −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費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稅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、賣 </t>
    </r>
    <r>
      <rPr>
        <sz val="10"/>
        <rFont val="Arial"/>
        <family val="0"/>
        <charset val="1"/>
      </rPr>
      <t xml:space="preserve">+(</t>
    </r>
    <r>
      <rPr>
        <sz val="10"/>
        <rFont val="Noto Sans CJK SC"/>
        <family val="2"/>
      </rPr>
      <t xml:space="preserve">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、現金／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股利 </t>
    </r>
    <r>
      <rPr>
        <sz val="10"/>
        <rFont val="Arial"/>
        <family val="0"/>
        <charset val="1"/>
      </rPr>
      <t xml:space="preserve">+net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REBATE/INTEREST_EXPENSE/BROKER_FEE</t>
    </r>
    <r>
      <rPr>
        <sz val="10"/>
        <rFont val="Noto Sans CJK SC"/>
        <family val="2"/>
      </rPr>
      <t xml:space="preserve">、期初 −成本），與 </t>
    </r>
    <r>
      <rPr>
        <sz val="10"/>
        <rFont val="Arial"/>
        <family val="0"/>
        <charset val="1"/>
      </rPr>
      <t xml:space="preserve">/api/dashboard trend.points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日變動逐日比對：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個純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差異；外幣日期隱含匯率 </t>
    </r>
    <r>
      <rPr>
        <sz val="10"/>
        <rFont val="Arial"/>
        <family val="0"/>
        <charset val="1"/>
      </rPr>
      <t xml:space="preserve">USD/TWD 31.2468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31.9379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MYR/TWD 7.8534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8.1287</t>
    </r>
    <r>
      <rPr>
        <sz val="10"/>
        <rFont val="Noto Sans CJK SC"/>
        <family val="2"/>
      </rPr>
      <t xml:space="preserve">，其中 </t>
    </r>
    <r>
      <rPr>
        <sz val="10"/>
        <rFont val="Arial"/>
        <family val="0"/>
        <charset val="1"/>
      </rPr>
      <t xml:space="preserve">2026-03-20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31.802099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2026-05-15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31.5644 </t>
    </r>
    <r>
      <rPr>
        <sz val="10"/>
        <rFont val="Noto Sans CJK SC"/>
        <family val="2"/>
      </rPr>
      <t xml:space="preserve">與稅務包 </t>
    </r>
    <r>
      <rPr>
        <sz val="10"/>
        <rFont val="Arial"/>
        <family val="0"/>
        <charset val="1"/>
      </rPr>
      <t xml:space="preserve">rate_used </t>
    </r>
    <r>
      <rPr>
        <sz val="10"/>
        <rFont val="Noto Sans CJK SC"/>
        <family val="2"/>
      </rPr>
      <t xml:space="preserve">完全相同。以自寫二分＋</t>
    </r>
    <r>
      <rPr>
        <sz val="10"/>
        <rFont val="Arial"/>
        <family val="0"/>
        <charset val="1"/>
      </rPr>
      <t xml:space="preserve">Newton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actual/365</t>
    </r>
    <r>
      <rPr>
        <sz val="10"/>
        <rFont val="Noto Sans CJK SC"/>
        <family val="2"/>
      </rPr>
      <t xml:space="preserve">）解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筆現金流（含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期末市值 </t>
    </r>
    <r>
      <rPr>
        <sz val="10"/>
        <rFont val="Arial"/>
        <family val="0"/>
        <charset val="1"/>
      </rPr>
      <t xml:space="preserve">34,912,272.92</t>
    </r>
    <r>
      <rPr>
        <sz val="10"/>
        <rFont val="Noto Sans CJK SC"/>
        <family val="2"/>
      </rPr>
      <t xml:space="preserve">）得 </t>
    </r>
    <r>
      <rPr>
        <sz val="10"/>
        <rFont val="Arial"/>
        <family val="0"/>
        <charset val="1"/>
      </rPr>
      <t xml:space="preserve">10.224065753052226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kpis.xirr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10.22406575305222</t>
    </r>
    <r>
      <rPr>
        <sz val="10"/>
        <rFont val="Noto Sans CJK SC"/>
        <family val="2"/>
      </rPr>
      <t xml:space="preserve">，相對誤差 </t>
    </r>
    <r>
      <rPr>
        <sz val="10"/>
        <rFont val="Arial"/>
        <family val="0"/>
        <charset val="1"/>
      </rPr>
      <t xml:space="preserve">6.9e-16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&lt;1e-6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xirr_window_days 260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2026-01-06→2026-09-23</t>
    </r>
  </si>
  <si>
    <r>
      <rPr>
        <sz val="10"/>
        <rFont val="Noto Sans CJK SC"/>
        <family val="2"/>
      </rPr>
      <t xml:space="preserve">限制：站上沒有歷史匯率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，外幣日期的換算匯率取自站方 </t>
    </r>
    <r>
      <rPr>
        <sz val="10"/>
        <rFont val="Arial"/>
        <family val="0"/>
        <charset val="1"/>
      </rPr>
      <t xml:space="preserve">trend</t>
    </r>
    <r>
      <rPr>
        <sz val="10"/>
        <rFont val="Noto Sans CJK SC"/>
        <family val="2"/>
      </rPr>
      <t xml:space="preserve">（以稅務包 </t>
    </r>
    <r>
      <rPr>
        <sz val="10"/>
        <rFont val="Arial"/>
        <family val="0"/>
        <charset val="1"/>
      </rPr>
      <t xml:space="preserve">rate_used </t>
    </r>
    <r>
      <rPr>
        <sz val="10"/>
        <rFont val="Noto Sans CJK SC"/>
        <family val="2"/>
      </rPr>
      <t xml:space="preserve">兩個日期交叉驗證），故「換匯」這一環不是完全獨立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全面重跑）：以 </t>
    </r>
    <r>
      <rPr>
        <sz val="10"/>
        <rFont val="Arial"/>
        <family val="0"/>
        <charset val="1"/>
      </rPr>
      <t xml:space="preserve">/api/dashboard trend.points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日變動組現金流（投入為負），期末加 </t>
    </r>
    <r>
      <rPr>
        <sz val="10"/>
        <rFont val="Arial"/>
        <family val="0"/>
        <charset val="1"/>
      </rPr>
      <t xml:space="preserve">2026-09-27 total_value 36,230,491.74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筆，與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筆數相同），自寫二分法（</t>
    </r>
    <r>
      <rPr>
        <sz val="10"/>
        <rFont val="Arial"/>
        <family val="0"/>
        <charset val="1"/>
      </rPr>
      <t xml:space="preserve">actual/365</t>
    </r>
    <r>
      <rPr>
        <sz val="10"/>
        <rFont val="Noto Sans CJK SC"/>
        <family val="2"/>
      </rPr>
      <t xml:space="preserve">）解得 </t>
    </r>
    <r>
      <rPr>
        <sz val="10"/>
        <rFont val="Arial"/>
        <family val="0"/>
        <charset val="1"/>
      </rPr>
      <t xml:space="preserve">10.445450386050727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kpis.xirr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10.445450386050704</t>
    </r>
    <r>
      <rPr>
        <sz val="10"/>
        <rFont val="Noto Sans CJK SC"/>
        <family val="2"/>
      </rPr>
      <t xml:space="preserve">，相對誤差 </t>
    </r>
    <r>
      <rPr>
        <sz val="10"/>
        <rFont val="Arial"/>
        <family val="0"/>
        <charset val="1"/>
      </rPr>
      <t xml:space="preserve">2.2e-15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&lt;1e-6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xirr_window_days 264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2026-01-06→2026-09-27 ✓</t>
    </r>
    <r>
      <rPr>
        <sz val="10"/>
        <rFont val="Noto Sans CJK SC"/>
        <family val="2"/>
      </rPr>
      <t xml:space="preserve">。另以帳本原幣逐筆組現金流（買 −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、賣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淨、股利 </t>
    </r>
    <r>
      <rPr>
        <sz val="10"/>
        <rFont val="Arial"/>
        <family val="0"/>
        <charset val="1"/>
      </rPr>
      <t xml:space="preserve">+net</t>
    </r>
    <r>
      <rPr>
        <sz val="10"/>
        <rFont val="Noto Sans CJK SC"/>
        <family val="2"/>
      </rPr>
      <t xml:space="preserve">、折讓款／融資利息／券商費用、期初 −成本）逐日比對 </t>
    </r>
    <r>
      <rPr>
        <sz val="10"/>
        <rFont val="Arial"/>
        <family val="0"/>
        <charset val="1"/>
      </rPr>
      <t xml:space="preserve">trend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個純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日期全部相符（</t>
    </r>
    <r>
      <rPr>
        <sz val="10"/>
        <rFont val="Arial"/>
        <family val="0"/>
        <charset val="1"/>
      </rPr>
      <t xml:space="preserve">2026-07-21 </t>
    </r>
    <r>
      <rPr>
        <sz val="10"/>
        <rFont val="Noto Sans CJK SC"/>
        <family val="2"/>
      </rPr>
      <t xml:space="preserve">含期初庫存 </t>
    </r>
    <r>
      <rPr>
        <sz val="10"/>
        <rFont val="Arial"/>
        <family val="0"/>
        <charset val="1"/>
      </rPr>
      <t xml:space="preserve">8299 900,000</t>
    </r>
    <r>
      <rPr>
        <sz val="10"/>
        <rFont val="Noto Sans CJK SC"/>
        <family val="2"/>
      </rPr>
      <t xml:space="preserve">）。限制同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：外幣日期的換算匯率取自站方 </t>
    </r>
    <r>
      <rPr>
        <sz val="10"/>
        <rFont val="Arial"/>
        <family val="0"/>
        <charset val="1"/>
      </rPr>
      <t xml:space="preserve">trend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項檢查全過：自算 </t>
    </r>
    <r>
      <rPr>
        <sz val="10"/>
        <rFont val="Arial"/>
        <family val="0"/>
        <charset val="1"/>
      </rPr>
      <t xml:space="preserve">XIRR 9.969256542551431 vs kpis.xirr 9.96925654255143</t>
    </r>
    <r>
      <rPr>
        <sz val="10"/>
        <rFont val="Noto Sans CJK SC"/>
        <family val="2"/>
      </rPr>
      <t xml:space="preserve">（相對誤差 </t>
    </r>
    <r>
      <rPr>
        <sz val="10"/>
        <rFont val="Arial"/>
        <family val="0"/>
        <charset val="1"/>
      </rPr>
      <t xml:space="preserve">1.8e−16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筆現金流；</t>
    </r>
    <r>
      <rPr>
        <sz val="10"/>
        <rFont val="Arial"/>
        <family val="0"/>
        <charset val="1"/>
      </rPr>
      <t xml:space="preserve">xirr_window_days 265</t>
    </r>
    <r>
      <rPr>
        <sz val="10"/>
        <rFont val="Noto Sans CJK SC"/>
        <family val="2"/>
      </rPr>
      <t xml:space="preserve">＝首末現金流日距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項檢查全過：自算 </t>
    </r>
    <r>
      <rPr>
        <sz val="10"/>
        <rFont val="Arial"/>
        <family val="0"/>
        <charset val="1"/>
      </rPr>
      <t xml:space="preserve">XIRR 9.236831751082573 vs kpis.xirr 9.23683175108257</t>
    </r>
    <r>
      <rPr>
        <sz val="10"/>
        <rFont val="Noto Sans CJK SC"/>
        <family val="2"/>
      </rPr>
      <t xml:space="preserve">（相對誤差 </t>
    </r>
    <r>
      <rPr>
        <sz val="10"/>
        <rFont val="Arial"/>
        <family val="0"/>
        <charset val="1"/>
      </rPr>
      <t xml:space="preserve">1.9e−16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筆現金流；</t>
    </r>
    <r>
      <rPr>
        <sz val="10"/>
        <rFont val="Arial"/>
        <family val="0"/>
        <charset val="1"/>
      </rPr>
      <t xml:space="preserve">xirr_window_days 267</t>
    </r>
    <r>
      <rPr>
        <sz val="10"/>
        <rFont val="Noto Sans CJK SC"/>
        <family val="2"/>
      </rPr>
      <t xml:space="preserve">＝首末現金流日距（</t>
    </r>
    <r>
      <rPr>
        <sz val="10"/>
        <rFont val="Arial"/>
        <family val="0"/>
        <charset val="1"/>
      </rPr>
      <t xml:space="preserve">2026-01-06→2026-09-30</t>
    </r>
    <r>
      <rPr>
        <sz val="10"/>
        <rFont val="Noto Sans CJK SC"/>
        <family val="2"/>
      </rPr>
      <t xml:space="preserve">）</t>
    </r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</si>
  <si>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</si>
  <si>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</si>
  <si>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</si>
  <si>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</si>
  <si>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</si>
  <si>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r>
      <rPr>
        <sz val="10"/>
        <rFont val="Noto Sans CJK SC"/>
        <family val="2"/>
      </rPr>
      <t xml:space="preserve">儀表板 › 績效比較：切換基準 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（元大台灣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S&amp;P 500</t>
    </r>
    <r>
      <rPr>
        <sz val="10"/>
        <rFont val="Noto Sans CJK SC"/>
        <family val="2"/>
      </rPr>
      <t xml:space="preserve">）與區間（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年／全部），前端送出 </t>
    </r>
    <r>
      <rPr>
        <sz val="10"/>
        <rFont val="Arial"/>
        <family val="0"/>
        <charset val="1"/>
      </rPr>
      <t xml:space="preserve">/api/performance/twr?benchmark=0050|sp500&amp;window=1y|3y|all</t>
    </r>
    <r>
      <rPr>
        <sz val="10"/>
        <rFont val="Noto Sans CJK SC"/>
        <family val="2"/>
      </rPr>
      <t xml:space="preserve">，全部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；資料起於 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（不足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年），三個區間皆從 </t>
    </r>
    <r>
      <rPr>
        <sz val="10"/>
        <rFont val="Arial"/>
        <family val="0"/>
        <charset val="1"/>
      </rPr>
      <t xml:space="preserve">2026-01-06 </t>
    </r>
    <r>
      <rPr>
        <sz val="10"/>
        <rFont val="Noto Sans CJK SC"/>
        <family val="2"/>
      </rPr>
      <t xml:space="preserve">起、</t>
    </r>
    <r>
      <rPr>
        <sz val="10"/>
        <rFont val="Arial"/>
        <family val="0"/>
        <charset val="1"/>
      </rPr>
      <t xml:space="preserve">261 </t>
    </r>
    <r>
      <rPr>
        <sz val="10"/>
        <rFont val="Noto Sans CJK SC"/>
        <family val="2"/>
      </rPr>
      <t xml:space="preserve">點，裁切正確；</t>
    </r>
    <r>
      <rPr>
        <sz val="10"/>
        <rFont val="Arial"/>
        <family val="0"/>
        <charset val="1"/>
      </rPr>
      <t xml:space="preserve">0050 </t>
    </r>
    <r>
      <rPr>
        <sz val="10"/>
        <rFont val="Noto Sans CJK SC"/>
        <family val="2"/>
      </rPr>
      <t xml:space="preserve">末點 </t>
    </r>
    <r>
      <rPr>
        <sz val="10"/>
        <rFont val="Arial"/>
        <family val="0"/>
        <charset val="1"/>
      </rPr>
      <t xml:space="preserve">portfolio 496.4964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benchmark 156.1080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S&amp;P 500 </t>
    </r>
    <r>
      <rPr>
        <sz val="10"/>
        <rFont val="Noto Sans CJK SC"/>
        <family val="2"/>
      </rPr>
      <t xml:space="preserve">末點 </t>
    </r>
    <r>
      <rPr>
        <sz val="10"/>
        <rFont val="Arial"/>
        <family val="0"/>
        <charset val="1"/>
      </rPr>
      <t xml:space="preserve">benchmark 109.9629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S&amp;P 500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個缺值。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獨立性：以 </t>
    </r>
    <r>
      <rPr>
        <sz val="10"/>
        <rFont val="Arial"/>
        <family val="0"/>
        <charset val="1"/>
      </rPr>
      <t xml:space="preserve">trend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total_value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逐日重算 </t>
    </r>
    <r>
      <rPr>
        <sz val="10"/>
        <rFont val="Arial"/>
        <family val="0"/>
        <charset val="1"/>
      </rPr>
      <t xml:space="preserve">(V_t−F_t)/V_{t−1}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260 </t>
    </r>
    <r>
      <rPr>
        <sz val="10"/>
        <rFont val="Noto Sans CJK SC"/>
        <family val="2"/>
      </rPr>
      <t xml:space="preserve">天與 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日因子最大差 </t>
    </r>
    <r>
      <rPr>
        <sz val="10"/>
        <rFont val="Arial"/>
        <family val="0"/>
        <charset val="1"/>
      </rPr>
      <t xml:space="preserve">1.0e-6</t>
    </r>
    <r>
      <rPr>
        <sz val="10"/>
        <rFont val="Noto Sans CJK SC"/>
        <family val="2"/>
      </rPr>
      <t xml:space="preserve">（四位小數指數的捨入），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個大額現金流日（例 </t>
    </r>
    <r>
      <rPr>
        <sz val="10"/>
        <rFont val="Arial"/>
        <family val="0"/>
        <charset val="1"/>
      </rPr>
      <t xml:space="preserve">2026-07-21 </t>
    </r>
    <r>
      <rPr>
        <sz val="10"/>
        <rFont val="Noto Sans CJK SC"/>
        <family val="2"/>
      </rPr>
      <t xml:space="preserve">流入 </t>
    </r>
    <r>
      <rPr>
        <sz val="10"/>
        <rFont val="Arial"/>
        <family val="0"/>
        <charset val="1"/>
      </rPr>
      <t xml:space="preserve">1,770,285</t>
    </r>
    <r>
      <rPr>
        <sz val="10"/>
        <rFont val="Noto Sans CJK SC"/>
        <family val="2"/>
      </rPr>
      <t xml:space="preserve">：原始市值比 </t>
    </r>
    <r>
      <rPr>
        <sz val="10"/>
        <rFont val="Arial"/>
        <family val="0"/>
        <charset val="1"/>
      </rPr>
      <t xml:space="preserve">1.11616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TWR 1.03433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不受資金進出影響；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累計 </t>
    </r>
    <r>
      <rPr>
        <sz val="10"/>
        <rFont val="Arial"/>
        <family val="0"/>
        <charset val="1"/>
      </rPr>
      <t xml:space="preserve">+396.50%</t>
    </r>
    <r>
      <rPr>
        <sz val="10"/>
        <rFont val="Noto Sans CJK SC"/>
        <family val="2"/>
      </rPr>
      <t xml:space="preserve">（年化約 </t>
    </r>
    <r>
      <rPr>
        <sz val="10"/>
        <rFont val="Arial"/>
        <family val="0"/>
        <charset val="1"/>
      </rPr>
      <t xml:space="preserve">848%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XIRR 1,022.41% </t>
    </r>
    <r>
      <rPr>
        <sz val="10"/>
        <rFont val="Noto Sans CJK SC"/>
        <family val="2"/>
      </rPr>
      <t xml:space="preserve">的差距來自資金加權（下半年大額投入），可解釋</t>
    </r>
  </si>
  <si>
    <r>
      <rPr>
        <sz val="10"/>
        <rFont val="Noto Sans CJK SC"/>
        <family val="2"/>
      </rPr>
      <t xml:space="preserve">效能附記：該端點單次回應 </t>
    </r>
    <r>
      <rPr>
        <sz val="10"/>
        <rFont val="Arial"/>
        <family val="0"/>
        <charset val="1"/>
      </rPr>
      <t xml:space="preserve">5.8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16.5 </t>
    </r>
    <r>
      <rPr>
        <sz val="10"/>
        <rFont val="Noto Sans CJK SC"/>
        <family val="2"/>
      </rPr>
      <t xml:space="preserve">秒（連點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次時排隊逾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秒）；畫面最終正確，未列缺陷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› 績效比較：切換基準 </t>
    </r>
    <r>
      <rPr>
        <sz val="10"/>
        <rFont val="Arial"/>
        <family val="0"/>
        <charset val="1"/>
      </rPr>
      <t xml:space="preserve">select #twr-benchmark</t>
    </r>
    <r>
      <rPr>
        <sz val="10"/>
        <rFont val="Noto Sans CJK SC"/>
        <family val="2"/>
      </rPr>
      <t xml:space="preserve">（元大台灣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S&amp;P 500</t>
    </r>
    <r>
      <rPr>
        <sz val="10"/>
        <rFont val="Noto Sans CJK SC"/>
        <family val="2"/>
      </rPr>
      <t xml:space="preserve">）與區間（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年／全部），前端送出 </t>
    </r>
    <r>
      <rPr>
        <sz val="10"/>
        <rFont val="Arial"/>
        <family val="0"/>
        <charset val="1"/>
      </rPr>
      <t xml:space="preserve">/api/performance/twr?benchmark=sp500&amp;window=3y|1y|3y|all</t>
    </r>
    <r>
      <rPr>
        <sz val="10"/>
        <rFont val="Noto Sans CJK SC"/>
        <family val="2"/>
      </rPr>
      <t xml:space="preserve">，全部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；資料起於 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（不足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年），三個區間皆從 </t>
    </r>
    <r>
      <rPr>
        <sz val="10"/>
        <rFont val="Arial"/>
        <family val="0"/>
        <charset val="1"/>
      </rPr>
      <t xml:space="preserve">2026-01-06 </t>
    </r>
    <r>
      <rPr>
        <sz val="10"/>
        <rFont val="Noto Sans CJK SC"/>
        <family val="2"/>
      </rPr>
      <t xml:space="preserve">起、</t>
    </r>
    <r>
      <rPr>
        <sz val="10"/>
        <rFont val="Arial"/>
        <family val="0"/>
        <charset val="1"/>
      </rPr>
      <t xml:space="preserve">265 </t>
    </r>
    <r>
      <rPr>
        <sz val="10"/>
        <rFont val="Noto Sans CJK SC"/>
        <family val="2"/>
      </rPr>
      <t xml:space="preserve">點，裁切正確；</t>
    </r>
    <r>
      <rPr>
        <sz val="10"/>
        <rFont val="Arial"/>
        <family val="0"/>
        <charset val="1"/>
      </rPr>
      <t xml:space="preserve">0050 </t>
    </r>
    <r>
      <rPr>
        <sz val="10"/>
        <rFont val="Noto Sans CJK SC"/>
        <family val="2"/>
      </rPr>
      <t xml:space="preserve">末點 </t>
    </r>
    <r>
      <rPr>
        <sz val="10"/>
        <rFont val="Arial"/>
        <family val="0"/>
        <charset val="1"/>
      </rPr>
      <t xml:space="preserve">portfolio 515.2432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benchmark 156.1080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S&amp;P 500 </t>
    </r>
    <r>
      <rPr>
        <sz val="10"/>
        <rFont val="Noto Sans CJK SC"/>
        <family val="2"/>
      </rPr>
      <t xml:space="preserve">末點 </t>
    </r>
    <r>
      <rPr>
        <sz val="10"/>
        <rFont val="Arial"/>
        <family val="0"/>
        <charset val="1"/>
      </rPr>
      <t xml:space="preserve">benchmark 109.9629</t>
    </r>
    <r>
      <rPr>
        <sz val="10"/>
        <rFont val="Noto Sans CJK SC"/>
        <family val="2"/>
      </rPr>
      <t xml:space="preserve">；圖例「投組＝時間加權報酬（報告幣）｜元大台灣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＝指數價格報酬（不含股息，換算報告幣）」。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獨立性：以 </t>
    </r>
    <r>
      <rPr>
        <sz val="10"/>
        <rFont val="Arial"/>
        <family val="0"/>
        <charset val="1"/>
      </rPr>
      <t xml:space="preserve">trend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total_value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逐日重算 </t>
    </r>
    <r>
      <rPr>
        <sz val="10"/>
        <rFont val="Arial"/>
        <family val="0"/>
        <charset val="1"/>
      </rPr>
      <t xml:space="preserve">(V_t−F_t)/V_{t−1}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264 </t>
    </r>
    <r>
      <rPr>
        <sz val="10"/>
        <rFont val="Noto Sans CJK SC"/>
        <family val="2"/>
      </rPr>
      <t xml:space="preserve">天與 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日因子最大差 </t>
    </r>
    <r>
      <rPr>
        <sz val="10"/>
        <rFont val="Arial"/>
        <family val="0"/>
        <charset val="1"/>
      </rPr>
      <t xml:space="preserve">1.0e-6</t>
    </r>
    <r>
      <rPr>
        <sz val="10"/>
        <rFont val="Noto Sans CJK SC"/>
        <family val="2"/>
      </rPr>
      <t xml:space="preserve">（四位小數指數捨入）；大額現金流日（例 </t>
    </r>
    <r>
      <rPr>
        <sz val="10"/>
        <rFont val="Arial"/>
        <family val="0"/>
        <charset val="1"/>
      </rPr>
      <t xml:space="preserve">2026-07-21 </t>
    </r>
    <r>
      <rPr>
        <sz val="10"/>
        <rFont val="Noto Sans CJK SC"/>
        <family val="2"/>
      </rPr>
      <t xml:space="preserve">流入 </t>
    </r>
    <r>
      <rPr>
        <sz val="10"/>
        <rFont val="Arial"/>
        <family val="0"/>
        <charset val="1"/>
      </rPr>
      <t xml:space="preserve">1,770,285</t>
    </r>
    <r>
      <rPr>
        <sz val="10"/>
        <rFont val="Noto Sans CJK SC"/>
        <family val="2"/>
      </rPr>
      <t xml:space="preserve">：原始市值比 </t>
    </r>
    <r>
      <rPr>
        <sz val="10"/>
        <rFont val="Arial"/>
        <family val="0"/>
        <charset val="1"/>
      </rPr>
      <t xml:space="preserve">1.11616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TWR 1.03433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不受資金進出影響；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累計 </t>
    </r>
    <r>
      <rPr>
        <sz val="10"/>
        <rFont val="Arial"/>
        <family val="0"/>
        <charset val="1"/>
      </rPr>
      <t xml:space="preserve">+415.24%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1,044.5% </t>
    </r>
    <r>
      <rPr>
        <sz val="10"/>
        <rFont val="Noto Sans CJK SC"/>
        <family val="2"/>
      </rPr>
      <t xml:space="preserve">的差距來自資金加權（下半年大額投入），可解釋。附註：端點回應 </t>
    </r>
    <r>
      <rPr>
        <sz val="10"/>
        <rFont val="Arial"/>
        <family val="0"/>
        <charset val="1"/>
      </rPr>
      <t xml:space="preserve">0.8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5.8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16.5 </t>
    </r>
    <r>
      <rPr>
        <sz val="10"/>
        <rFont val="Noto Sans CJK SC"/>
        <family val="2"/>
      </rPr>
      <t xml:space="preserve">秒）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0050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S&amp;P 500 × 1y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 </t>
    </r>
    <r>
      <rPr>
        <sz val="10"/>
        <rFont val="Noto Sans CJK SC"/>
        <family val="2"/>
      </rPr>
      <t xml:space="preserve">六組皆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且自資料起點 </t>
    </r>
    <r>
      <rPr>
        <sz val="10"/>
        <rFont val="Arial"/>
        <family val="0"/>
        <charset val="1"/>
      </rPr>
      <t xml:space="preserve">2026-01-06 </t>
    </r>
    <r>
      <rPr>
        <sz val="10"/>
        <rFont val="Noto Sans CJK SC"/>
        <family val="2"/>
      </rPr>
      <t xml:space="preserve">截齊；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每日因子＝</t>
    </r>
    <r>
      <rPr>
        <sz val="10"/>
        <rFont val="Arial"/>
        <family val="0"/>
        <charset val="1"/>
      </rPr>
      <t xml:space="preserve">(V_t−flow_t)÷V_{t−1} 265 </t>
    </r>
    <r>
      <rPr>
        <sz val="10"/>
        <rFont val="Noto Sans CJK SC"/>
        <family val="2"/>
      </rPr>
      <t xml:space="preserve">天最大差 </t>
    </r>
    <r>
      <rPr>
        <sz val="10"/>
        <rFont val="Arial"/>
        <family val="0"/>
        <charset val="1"/>
      </rPr>
      <t xml:space="preserve">1.0e−6</t>
    </r>
    <r>
      <rPr>
        <sz val="10"/>
        <rFont val="Noto Sans CJK SC"/>
        <family val="2"/>
      </rPr>
      <t xml:space="preserve">（指數四捨五入到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位）；畫面切到「績效比較」後改選 </t>
    </r>
    <r>
      <rPr>
        <sz val="10"/>
        <rFont val="Arial"/>
        <family val="0"/>
        <charset val="1"/>
      </rPr>
      <t xml:space="preserve">S&amp;P 500 → </t>
    </r>
    <r>
      <rPr>
        <sz val="10"/>
        <rFont val="Noto Sans CJK SC"/>
        <family val="2"/>
      </rPr>
      <t xml:space="preserve">送出 </t>
    </r>
    <r>
      <rPr>
        <sz val="10"/>
        <rFont val="Arial"/>
        <family val="0"/>
        <charset val="1"/>
      </rPr>
      <t xml:space="preserve">benchmark=sp500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0050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S&amp;P 500 × 1y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 </t>
    </r>
    <r>
      <rPr>
        <sz val="10"/>
        <rFont val="Noto Sans CJK SC"/>
        <family val="2"/>
      </rPr>
      <t xml:space="preserve">六組皆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且自資料起點 </t>
    </r>
    <r>
      <rPr>
        <sz val="10"/>
        <rFont val="Arial"/>
        <family val="0"/>
        <charset val="1"/>
      </rPr>
      <t xml:space="preserve">2026-01-06 </t>
    </r>
    <r>
      <rPr>
        <sz val="10"/>
        <rFont val="Noto Sans CJK SC"/>
        <family val="2"/>
      </rPr>
      <t xml:space="preserve">截齊（</t>
    </r>
    <r>
      <rPr>
        <sz val="10"/>
        <rFont val="Arial"/>
        <family val="0"/>
        <charset val="1"/>
      </rPr>
      <t xml:space="preserve">268 </t>
    </r>
    <r>
      <rPr>
        <sz val="10"/>
        <rFont val="Noto Sans CJK SC"/>
        <family val="2"/>
      </rPr>
      <t xml:space="preserve">點）；</t>
    </r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每日因子＝</t>
    </r>
    <r>
      <rPr>
        <sz val="10"/>
        <rFont val="Arial"/>
        <family val="0"/>
        <charset val="1"/>
      </rPr>
      <t xml:space="preserve">(V_t−flow_t)÷V_{t−1} 267 </t>
    </r>
    <r>
      <rPr>
        <sz val="10"/>
        <rFont val="Noto Sans CJK SC"/>
        <family val="2"/>
      </rPr>
      <t xml:space="preserve">天最大差 </t>
    </r>
    <r>
      <rPr>
        <sz val="10"/>
        <rFont val="Arial"/>
        <family val="0"/>
        <charset val="1"/>
      </rPr>
      <t xml:space="preserve">1.01e−6</t>
    </r>
    <r>
      <rPr>
        <sz val="10"/>
        <rFont val="Noto Sans CJK SC"/>
        <family val="2"/>
      </rPr>
      <t xml:space="preserve">（指數四捨五入到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位）；畫面切換基準 → 送出 </t>
    </r>
    <r>
      <rPr>
        <sz val="10"/>
        <rFont val="Arial"/>
        <family val="0"/>
        <charset val="1"/>
      </rPr>
      <t xml:space="preserve">S&amp;P 500 </t>
    </r>
    <r>
      <rPr>
        <sz val="10"/>
        <rFont val="Noto Sans CJK SC"/>
        <family val="2"/>
      </rPr>
      <t xml:space="preserve">請求</t>
    </r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</si>
  <si>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</si>
  <si>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</si>
  <si>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</si>
  <si>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</si>
  <si>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r>
      <rPr>
        <sz val="10"/>
        <rFont val="Noto Sans CJK SC"/>
        <family val="2"/>
      </rPr>
      <t xml:space="preserve">趨勢圖（</t>
    </r>
    <r>
      <rPr>
        <sz val="10"/>
        <rFont val="Arial"/>
        <family val="0"/>
        <charset val="1"/>
      </rPr>
      <t xml:space="preserve">dashboard.trend.points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261 </t>
    </r>
    <r>
      <rPr>
        <sz val="10"/>
        <rFont val="Noto Sans CJK SC"/>
        <family val="2"/>
      </rPr>
      <t xml:space="preserve">點、逐日連續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缺口，末點 </t>
    </r>
    <r>
      <rPr>
        <sz val="10"/>
        <rFont val="Arial"/>
        <family val="0"/>
        <charset val="1"/>
      </rPr>
      <t xml:space="preserve">total_value 34912272.92346975318486282701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kpis.total_market_value </t>
    </r>
    <r>
      <rPr>
        <sz val="10"/>
        <rFont val="Noto Sans CJK SC"/>
        <family val="2"/>
      </rPr>
      <t xml:space="preserve">字串完全相同。</t>
    </r>
    <r>
      <rPr>
        <sz val="10"/>
        <rFont val="Arial"/>
        <family val="0"/>
        <charset val="1"/>
      </rPr>
      <t xml:space="preserve">GET /api/snapshots?limit=12 </t>
    </r>
    <r>
      <rPr>
        <sz val="10"/>
        <rFont val="Noto Sans CJK SC"/>
        <family val="2"/>
      </rPr>
      <t xml:space="preserve">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month 2026-07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2026-07-03T18:19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total_count 1</t>
    </r>
    <r>
      <rPr>
        <sz val="10"/>
        <rFont val="Noto Sans CJK SC"/>
        <family val="2"/>
      </rPr>
      <t xml:space="preserve">；排程中心 </t>
    </r>
    <r>
      <rPr>
        <sz val="10"/>
        <rFont val="Arial"/>
        <family val="0"/>
        <charset val="1"/>
      </rPr>
      <t xml:space="preserve">snapshot_monthly </t>
    </r>
    <r>
      <rPr>
        <sz val="10"/>
        <rFont val="Noto Sans CJK SC"/>
        <family val="2"/>
      </rPr>
      <t xml:space="preserve">上次執行 </t>
    </r>
    <r>
      <rPr>
        <sz val="10"/>
        <rFont val="Arial"/>
        <family val="0"/>
        <charset val="1"/>
      </rPr>
      <t xml:space="preserve">2026-07-03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PD_DISABLE_SCHEDULER=1 </t>
    </r>
    <r>
      <rPr>
        <sz val="10"/>
        <rFont val="Noto Sans CJK SC"/>
        <family val="2"/>
      </rPr>
      <t xml:space="preserve">關閉排程，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月快照未產生</t>
    </r>
  </si>
  <si>
    <r>
      <rPr>
        <sz val="10"/>
        <rFont val="Noto Sans CJK SC"/>
        <family val="2"/>
      </rPr>
      <t xml:space="preserve">卡在排程器：月度快照需 </t>
    </r>
    <r>
      <rPr>
        <sz val="10"/>
        <rFont val="Arial"/>
        <family val="0"/>
        <charset val="1"/>
      </rPr>
      <t xml:space="preserve">snapshot_monthly </t>
    </r>
    <r>
      <rPr>
        <sz val="10"/>
        <rFont val="Noto Sans CJK SC"/>
        <family val="2"/>
      </rPr>
      <t xml:space="preserve">定時執行，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關閉；未以「立即執行」補寫（本案為唯讀）。另：案例標題寫「每日快照」，但 </t>
    </r>
    <r>
      <rPr>
        <sz val="10"/>
        <rFont val="Arial"/>
        <family val="0"/>
        <charset val="1"/>
      </rPr>
      <t xml:space="preserve">/api/snapshots </t>
    </r>
    <r>
      <rPr>
        <sz val="10"/>
        <rFont val="Noto Sans CJK SC"/>
        <family val="2"/>
      </rPr>
      <t xml:space="preserve">為月度 </t>
    </r>
    <r>
      <rPr>
        <sz val="10"/>
        <rFont val="Arial"/>
        <family val="0"/>
        <charset val="1"/>
      </rPr>
      <t xml:space="preserve">KPI </t>
    </r>
    <r>
      <rPr>
        <sz val="10"/>
        <rFont val="Noto Sans CJK SC"/>
        <family val="2"/>
      </rPr>
      <t xml:space="preserve">快照，建議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釐清期望值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）：排程中心把 </t>
    </r>
    <r>
      <rPr>
        <sz val="10"/>
        <rFont val="Arial"/>
        <family val="0"/>
        <charset val="1"/>
      </rPr>
      <t xml:space="preserve">snapshot_monthly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22:50 </t>
    </r>
    <r>
      <rPr>
        <sz val="10"/>
        <rFont val="Noto Sans CJK SC"/>
        <family val="2"/>
      </rPr>
      <t xml:space="preserve">自然觸發（畫面還原）→ </t>
    </r>
    <r>
      <rPr>
        <sz val="10"/>
        <rFont val="Arial"/>
        <family val="0"/>
        <charset val="1"/>
      </rPr>
      <t xml:space="preserve">run #6</t>
    </r>
    <r>
      <rPr>
        <sz val="10"/>
        <rFont val="Noto Sans CJK SC"/>
        <family val="2"/>
      </rPr>
      <t xml:space="preserve">「快照已寫入 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/api/snapshots 2026-09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total_value 6476427.500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total_return_rate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與同時 </t>
    </r>
    <r>
      <rPr>
        <sz val="10"/>
        <rFont val="Arial"/>
        <family val="0"/>
        <charset val="1"/>
      </rPr>
      <t xml:space="preserve">/api/dashboard kpis </t>
    </r>
    <r>
      <rPr>
        <sz val="10"/>
        <rFont val="Noto Sans CJK SC"/>
        <family val="2"/>
      </rPr>
      <t xml:space="preserve">逐字相同；趨勢圖 </t>
    </r>
    <r>
      <rPr>
        <sz val="10"/>
        <rFont val="Arial"/>
        <family val="0"/>
        <charset val="1"/>
      </rPr>
      <t xml:space="preserve">2026-01-06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263 </t>
    </r>
    <r>
      <rPr>
        <sz val="10"/>
        <rFont val="Noto Sans CJK SC"/>
        <family val="2"/>
      </rPr>
      <t xml:space="preserve">點、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缺口，末點 </t>
    </r>
    <r>
      <rPr>
        <sz val="10"/>
        <rFont val="Arial"/>
        <family val="0"/>
        <charset val="1"/>
      </rPr>
      <t xml:space="preserve">total_value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kpis </t>
    </r>
    <r>
      <rPr>
        <sz val="10"/>
        <rFont val="Noto Sans CJK SC"/>
        <family val="2"/>
      </rPr>
      <t xml:space="preserve">相同。附註：案例名「每日快照」實為月度 </t>
    </r>
    <r>
      <rPr>
        <sz val="10"/>
        <rFont val="Arial"/>
        <family val="0"/>
        <charset val="1"/>
      </rPr>
      <t xml:space="preserve">KPI </t>
    </r>
    <r>
      <rPr>
        <sz val="10"/>
        <rFont val="Noto Sans CJK SC"/>
        <family val="2"/>
      </rPr>
      <t xml:space="preserve">快照（每晚覆寫當月）＋每日趨勢，兩者皆驗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項檢查全過：本機 </t>
    </r>
    <r>
      <rPr>
        <sz val="10"/>
        <rFont val="Arial"/>
        <family val="0"/>
        <charset val="1"/>
      </rPr>
      <t xml:space="preserve">snapshot_monthly </t>
    </r>
    <r>
      <rPr>
        <sz val="10"/>
        <rFont val="Noto Sans CJK SC"/>
        <family val="2"/>
      </rPr>
      <t xml:space="preserve">於同一次自然觸發寫入「快照已寫入 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/api/snapshots 2026-09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total_value 6,476,427.500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與同時 </t>
    </r>
    <r>
      <rPr>
        <sz val="10"/>
        <rFont val="Arial"/>
        <family val="0"/>
        <charset val="1"/>
      </rPr>
      <t xml:space="preserve">kpis </t>
    </r>
    <r>
      <rPr>
        <sz val="10"/>
        <rFont val="Noto Sans CJK SC"/>
        <family val="2"/>
      </rPr>
      <t xml:space="preserve">逐字相同；趨勢 </t>
    </r>
    <r>
      <rPr>
        <sz val="10"/>
        <rFont val="Arial"/>
        <family val="0"/>
        <charset val="1"/>
      </rPr>
      <t xml:space="preserve">266 </t>
    </r>
    <r>
      <rPr>
        <sz val="10"/>
        <rFont val="Noto Sans CJK SC"/>
        <family val="2"/>
      </rPr>
      <t xml:space="preserve">點、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缺口、末點＝</t>
    </r>
    <r>
      <rPr>
        <sz val="10"/>
        <rFont val="Arial"/>
        <family val="0"/>
        <charset val="1"/>
      </rPr>
      <t xml:space="preserve">kpis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項檢查全過：本機 </t>
    </r>
    <r>
      <rPr>
        <sz val="10"/>
        <rFont val="Arial"/>
        <family val="0"/>
        <charset val="1"/>
      </rPr>
      <t xml:space="preserve">snapshot_monthly </t>
    </r>
    <r>
      <rPr>
        <sz val="10"/>
        <rFont val="Noto Sans CJK SC"/>
        <family val="2"/>
      </rPr>
      <t xml:space="preserve">於同一次自然觸發寫入「快照已寫入 </t>
    </r>
    <r>
      <rPr>
        <sz val="10"/>
        <rFont val="Arial"/>
        <family val="0"/>
        <charset val="1"/>
      </rPr>
      <t xml:space="preserve">2026-09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/api/snapshots 2026-09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total_value 6,476,427.500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和同時 </t>
    </r>
    <r>
      <rPr>
        <sz val="10"/>
        <rFont val="Arial"/>
        <family val="0"/>
        <charset val="1"/>
      </rPr>
      <t xml:space="preserve">kpis </t>
    </r>
    <r>
      <rPr>
        <sz val="10"/>
        <rFont val="Noto Sans CJK SC"/>
        <family val="2"/>
      </rPr>
      <t xml:space="preserve">逐字相同；趨勢 </t>
    </r>
    <r>
      <rPr>
        <sz val="10"/>
        <rFont val="Arial"/>
        <family val="0"/>
        <charset val="1"/>
      </rPr>
      <t xml:space="preserve">268 </t>
    </r>
    <r>
      <rPr>
        <sz val="10"/>
        <rFont val="Noto Sans CJK SC"/>
        <family val="2"/>
      </rPr>
      <t xml:space="preserve">點、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缺口、末點＝</t>
    </r>
    <r>
      <rPr>
        <sz val="10"/>
        <rFont val="Arial"/>
        <family val="0"/>
        <charset val="1"/>
      </rPr>
      <t xml:space="preserve">kpis</t>
    </r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</si>
  <si>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</si>
  <si>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</si>
  <si>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</si>
  <si>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</si>
  <si>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</si>
  <si>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</si>
  <si>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</si>
  <si>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（三組皆 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）與六段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觀察清單查未登錄名稱並經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辨識查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/api/instruments/lookup</t>
    </r>
    <r>
      <rPr>
        <sz val="10"/>
        <rFont val="Noto Sans CJK SC"/>
        <family val="2"/>
      </rPr>
      <t xml:space="preserve">）→ ① 匯率被連帶更新：報告幣別現金合計 </t>
    </r>
    <r>
      <rPr>
        <sz val="10"/>
        <rFont val="Arial"/>
        <family val="0"/>
        <charset val="1"/>
      </rPr>
      <t xml:space="preserve">25,240,265.65→25,225,613.18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 −3,981.07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principal_fx_effect −33,153.58→−36,260.88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）；② 帳本零變動：交易／股利／換匯／現金／公司行動／期初列數、</t>
    </r>
    <r>
      <rPr>
        <sz val="10"/>
        <rFont val="Arial"/>
        <family val="0"/>
        <charset val="1"/>
      </rPr>
      <t xml:space="preserve">instruments 26 </t>
    </r>
    <r>
      <rPr>
        <sz val="10"/>
        <rFont val="Noto Sans CJK SC"/>
        <family val="2"/>
      </rPr>
      <t xml:space="preserve">檔皆不變，各持倉原幣股數與成本不變；③ 三角一致：</t>
    </r>
    <r>
      <rPr>
        <sz val="10"/>
        <rFont val="Arial"/>
        <family val="0"/>
        <charset val="1"/>
      </rPr>
      <t xml:space="preserve">USD/TWD implied 31.661999 vs direct 31.662001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 true ✓</t>
    </r>
  </si>
  <si>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裁定為預期行為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全面重跑）：記錄 </t>
    </r>
    <r>
      <rPr>
        <sz val="10"/>
        <rFont val="Arial"/>
        <family val="0"/>
        <charset val="1"/>
      </rPr>
      <t xml:space="preserve">R8_START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USD/MYR 2026-09-24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USD/TWD 2026-09-25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MYR/TWD 2026-09-22 derived:USD</t>
    </r>
    <r>
      <rPr>
        <sz val="10"/>
        <rFont val="Noto Sans CJK SC"/>
        <family val="2"/>
      </rPr>
      <t xml:space="preserve">）→ 觀察清單快速加入查未登錄名稱「長榮航」，經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辨識查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/api/instruments/lookup?symbol=2618&amp;market=TW found:true</t>
    </r>
    <r>
      <rPr>
        <sz val="10"/>
        <rFont val="Noto Sans CJK SC"/>
        <family val="2"/>
      </rPr>
      <t xml:space="preserve">，未加入）→ ① 匯率被連帶更新：</t>
    </r>
    <r>
      <rPr>
        <sz val="10"/>
        <rFont val="Arial"/>
        <family val="0"/>
        <charset val="1"/>
      </rPr>
      <t xml:space="preserve">USD/MYR as_of 2026-09-24→2026-09-26</t>
    </r>
    <r>
      <rPr>
        <sz val="10"/>
        <rFont val="Noto Sans CJK SC"/>
        <family val="2"/>
      </rPr>
      <t xml:space="preserve">，報告幣別現金合計 </t>
    </r>
    <r>
      <rPr>
        <sz val="10"/>
        <rFont val="Arial"/>
        <family val="0"/>
        <charset val="1"/>
      </rPr>
      <t xml:space="preserve">25,301,703.10→25,240,748.91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 −15,842.84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；② 帳本零變動：交易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／換匯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／期初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／匯入批次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 26 </t>
    </r>
    <r>
      <rPr>
        <sz val="10"/>
        <rFont val="Noto Sans CJK SC"/>
        <family val="2"/>
      </rPr>
      <t xml:space="preserve">檔皆不變，各持倉原幣股數與成本不變；③ 三角一致：</t>
    </r>
    <r>
      <rPr>
        <sz val="10"/>
        <rFont val="Arial"/>
        <family val="0"/>
        <charset val="1"/>
      </rPr>
      <t xml:space="preserve">USD/TWD implied 31.663000 vs direct 31.663000</t>
    </r>
    <r>
      <rPr>
        <sz val="10"/>
        <rFont val="Noto Sans CJK SC"/>
        <family val="2"/>
      </rPr>
      <t xml:space="preserve">（共同日期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gap_pct 0.0000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 true ✓</t>
    </r>
    <r>
      <rPr>
        <sz val="10"/>
        <rFont val="Noto Sans CJK SC"/>
        <family val="2"/>
      </rPr>
      <t xml:space="preserve">。依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裁定為預期行為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項檢查全過：查未登錄的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（長榮航，未加入）→ 匯率隨之更新（三條皆 </t>
    </r>
    <r>
      <rPr>
        <sz val="10"/>
        <rFont val="Arial"/>
        <family val="0"/>
        <charset val="1"/>
      </rPr>
      <t xml:space="preserve">2026-09-28</t>
    </r>
    <r>
      <rPr>
        <sz val="10"/>
        <rFont val="Noto Sans CJK SC"/>
        <family val="2"/>
      </rPr>
      <t xml:space="preserve">），帳本計數與各持倉股數／原幣成本不變、三角一致（</t>
    </r>
    <r>
      <rPr>
        <sz val="10"/>
        <rFont val="Arial"/>
        <family val="0"/>
        <charset val="1"/>
      </rPr>
      <t xml:space="preserve">31.795999 vs 31.796000</t>
    </r>
    <r>
      <rPr>
        <sz val="10"/>
        <rFont val="Noto Sans CJK SC"/>
        <family val="2"/>
      </rPr>
      <t xml:space="preserve">）；依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裁定為預期行為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項檢查全過：查未登錄的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（長榮航，未加入）→ 匯率隨之更新（三條皆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），帳本計數與各持倉股數／原幣成本不變、三角一致（</t>
    </r>
    <r>
      <rPr>
        <sz val="10"/>
        <rFont val="Arial"/>
        <family val="0"/>
        <charset val="1"/>
      </rPr>
      <t xml:space="preserve">31.840999 vs 31.841000</t>
    </r>
    <r>
      <rPr>
        <sz val="10"/>
        <rFont val="Noto Sans CJK SC"/>
        <family val="2"/>
      </rPr>
      <t xml:space="preserve">）；依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裁定為預期行為</t>
    </r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</si>
  <si>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</si>
  <si>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</si>
  <si>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</si>
  <si>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</si>
  <si>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</si>
  <si>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r>
      <rPr>
        <sz val="10"/>
        <rFont val="Noto Sans CJK SC"/>
        <family val="2"/>
      </rPr>
      <t xml:space="preserve">需要把某個資料來源設為無效的非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環境（手冊前置條件）；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 系統設定 › 資料來源 不開放修改，本輪未變更任何來源設定</t>
    </r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</si>
  <si>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</si>
  <si>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</si>
  <si>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</si>
  <si>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</si>
  <si>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</si>
  <si>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</si>
  <si>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</si>
  <si>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</si>
  <si>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個持倉列中，除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（原幣））與變動前字串完全相同 ✓；只有報告幣別數字改變：</t>
    </r>
    <r>
      <rPr>
        <sz val="10"/>
        <rFont val="Arial"/>
        <family val="0"/>
        <charset val="1"/>
      </rPr>
      <t xml:space="preserve">principal_fx_effect −33,153.58→−36,260.88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−160,070.11→−170,587.66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−870.17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−3.60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−873.77</t>
    </r>
    <r>
      <rPr>
        <sz val="10"/>
        <rFont val="Noto Sans CJK SC"/>
        <family val="2"/>
      </rPr>
      <t xml:space="preserve">（＝未實現差＋已實現差）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</si>
  <si>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</si>
  <si>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</si>
  <si>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</si>
  <si>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</si>
  <si>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</si>
  <si>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確認額度足夠；記錄目前額度</t>
  </si>
  <si>
    <t xml:space="preserve">觀察清單 › 加入 → 輸入「台積電」→ 按「AI 辨識」</t>
  </si>
  <si>
    <t xml:space="preserve">① 回傳代號／市場／幣別／名稱；② 寫入前需人工確認；③ 額度扣減與 `llm-usage` 匯出一致；④ 失敗時訊息為「AI 判讀後仍查無報價 — 請確認代號與市場是否正確」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</si>
  <si>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／次）。不寫入帳本</t>
    </r>
  </si>
  <si>
    <t xml:space="preserve">否（只驗過「不自動觸發」）</t>
  </si>
  <si>
    <r>
      <rPr>
        <sz val="10"/>
        <rFont val="Noto Sans CJK SC"/>
        <family val="2"/>
      </rPr>
      <t xml:space="preserve">設定確認額度 </t>
    </r>
    <r>
      <rPr>
        <sz val="10"/>
        <rFont val="Arial"/>
        <family val="0"/>
        <charset val="1"/>
      </rPr>
      <t xml:space="preserve">$3.30 → </t>
    </r>
    <r>
      <rPr>
        <sz val="10"/>
        <rFont val="Noto Sans CJK SC"/>
        <family val="2"/>
      </rPr>
      <t xml:space="preserve">觀察清單 › ＋加入 輸入「長榮航」（未註冊名稱；手冊例「台積電」已註冊，會直接命中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，改用未註冊名稱）→ 查無報價 → 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辨識」→ </t>
    </r>
    <r>
      <rPr>
        <sz val="10"/>
        <rFont val="Arial"/>
        <family val="0"/>
        <charset val="1"/>
      </rPr>
      <t xml:space="preserve">POST /api/instruments/ai-resolve 200 {status resolved, symbol 2618, name </t>
    </r>
    <r>
      <rPr>
        <sz val="10"/>
        <rFont val="Noto Sans CJK SC"/>
        <family val="2"/>
      </rPr>
      <t xml:space="preserve">長榮航</t>
    </r>
    <r>
      <rPr>
        <sz val="10"/>
        <rFont val="Arial"/>
        <family val="0"/>
        <charset val="1"/>
      </rPr>
      <t xml:space="preserve">, sector Industrials, confidence high, verified true} → </t>
    </r>
    <r>
      <rPr>
        <sz val="10"/>
        <rFont val="Noto Sans CJK SC"/>
        <family val="2"/>
      </rPr>
      <t xml:space="preserve">表單自動填入代號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、市場台股、名稱、產業，顯示「已找到，確認後加入觀察清單」，需按「確認」才寫入（本輪未按，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檔）✓①②；額度 </t>
    </r>
    <r>
      <rPr>
        <sz val="10"/>
        <rFont val="Arial"/>
        <family val="0"/>
        <charset val="1"/>
      </rPr>
      <t xml:space="preserve">3.2965293→3.2963725</t>
    </r>
    <r>
      <rPr>
        <sz val="10"/>
        <rFont val="Noto Sans CJK SC"/>
        <family val="2"/>
      </rPr>
      <t xml:space="preserve">，扣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 </t>
    </r>
    <r>
      <rPr>
        <sz val="10"/>
        <rFont val="Arial"/>
        <family val="0"/>
        <charset val="1"/>
      </rPr>
      <t xml:space="preserve">ai_instrument_resolve 0.0001568 ✓③</t>
    </r>
    <r>
      <rPr>
        <sz val="10"/>
        <rFont val="Noto Sans CJK SC"/>
        <family val="2"/>
      </rPr>
      <t xml:space="preserve">；失敗情境：輸入「虛構甲乙丙科技」→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→ </t>
    </r>
    <r>
      <rPr>
        <sz val="10"/>
        <rFont val="Arial"/>
        <family val="0"/>
        <charset val="1"/>
      </rPr>
      <t xml:space="preserve">{status not_found} → </t>
    </r>
    <r>
      <rPr>
        <sz val="10"/>
        <rFont val="Noto Sans CJK SC"/>
        <family val="2"/>
      </rPr>
      <t xml:space="preserve">畫面「查無此標的 — 請確認名稱與市場是否正確」✓④（文案與手冊略異，語意一致）</t>
    </r>
  </si>
  <si>
    <r>
      <rPr>
        <sz val="10"/>
        <rFont val="Noto Sans CJK SC"/>
        <family val="2"/>
      </rPr>
      <t xml:space="preserve">附記：同一對話框在已填入名稱後再按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辨識，送出的 </t>
    </r>
    <r>
      <rPr>
        <sz val="10"/>
        <rFont val="Arial"/>
        <family val="0"/>
        <charset val="1"/>
      </rPr>
      <t xml:space="preserve">query </t>
    </r>
    <r>
      <rPr>
        <sz val="10"/>
        <rFont val="Noto Sans CJK SC"/>
        <family val="2"/>
      </rPr>
      <t xml:space="preserve">會把代號欄與名稱欄串起來（「不存在的虛構公司甲乙丙 長榮航」），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2603 Evergreen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 high——</t>
    </r>
    <r>
      <rPr>
        <sz val="10"/>
        <rFont val="Noto Sans CJK SC"/>
        <family val="2"/>
      </rPr>
      <t xml:space="preserve">屬模型輸出，未列缺陷；畫面不顯示幣別（由市場決定）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全面重跑）：額度 </t>
    </r>
    <r>
      <rPr>
        <sz val="10"/>
        <rFont val="Arial"/>
        <family val="0"/>
        <charset val="1"/>
      </rPr>
      <t xml:space="preserve">$3.2577460 → </t>
    </r>
    <r>
      <rPr>
        <sz val="10"/>
        <rFont val="Noto Sans CJK SC"/>
        <family val="2"/>
      </rPr>
      <t xml:space="preserve">觀察清單 › 快速加入 輸入「長榮航」（未註冊名稱）→ 名稱查無報價（</t>
    </r>
    <r>
      <rPr>
        <sz val="10"/>
        <rFont val="Arial"/>
        <family val="0"/>
        <charset val="1"/>
      </rPr>
      <t xml:space="preserve">GET lookup found:false</t>
    </r>
    <r>
      <rPr>
        <sz val="10"/>
        <rFont val="Noto Sans CJK SC"/>
        <family val="2"/>
      </rPr>
      <t xml:space="preserve">）後自動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辨識（</t>
    </r>
    <r>
      <rPr>
        <sz val="10"/>
        <rFont val="Arial"/>
        <family val="0"/>
        <charset val="1"/>
      </rPr>
      <t xml:space="preserve">ui-prefs auto_ai_resolve true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/api/instruments/ai-resolve 200 {status resolved, symbol 2618, name </t>
    </r>
    <r>
      <rPr>
        <sz val="10"/>
        <rFont val="Noto Sans CJK SC"/>
        <family val="2"/>
      </rPr>
      <t xml:space="preserve">長榮航</t>
    </r>
    <r>
      <rPr>
        <sz val="10"/>
        <rFont val="Arial"/>
        <family val="0"/>
        <charset val="1"/>
      </rPr>
      <t xml:space="preserve">, sector Industrials, industry Air Freight &amp; Logistics, confidence high, verified true} → </t>
    </r>
    <r>
      <rPr>
        <sz val="10"/>
        <rFont val="Noto Sans CJK SC"/>
        <family val="2"/>
      </rPr>
      <t xml:space="preserve">表單自動填入代號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、市場台股、名稱、產業，顯示「已找到，確認後加入觀察清單（報價與歷史於背景抓取）」，需按「確認」才寫入（本輪未按，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檔）✓①②；額度 </t>
    </r>
    <r>
      <rPr>
        <sz val="10"/>
        <rFont val="Arial"/>
        <family val="0"/>
        <charset val="1"/>
      </rPr>
      <t xml:space="preserve">3.2577460→3.2575892</t>
    </r>
    <r>
      <rPr>
        <sz val="10"/>
        <rFont val="Noto Sans CJK SC"/>
        <family val="2"/>
      </rPr>
      <t xml:space="preserve">，扣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 </t>
    </r>
    <r>
      <rPr>
        <sz val="10"/>
        <rFont val="Arial"/>
        <family val="0"/>
        <charset val="1"/>
      </rPr>
      <t xml:space="preserve">ai_instrument_resolve 1344/56 tokens 0.0001568 ✓③</t>
    </r>
    <r>
      <rPr>
        <sz val="10"/>
        <rFont val="Noto Sans CJK SC"/>
        <family val="2"/>
      </rPr>
      <t xml:space="preserve">；失敗情境：輸入「虛構甲乙丙科技」→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{status not_found} → </t>
    </r>
    <r>
      <rPr>
        <sz val="10"/>
        <rFont val="Noto Sans CJK SC"/>
        <family val="2"/>
      </rPr>
      <t xml:space="preserve">畫面「查無此標的 — 請確認名稱與市場是否正確」✓④（額度再扣 </t>
    </r>
    <r>
      <rPr>
        <sz val="10"/>
        <rFont val="Arial"/>
        <family val="0"/>
        <charset val="1"/>
      </rPr>
      <t xml:space="preserve">0.0001555</t>
    </r>
    <r>
      <rPr>
        <sz val="10"/>
        <rFont val="Noto Sans CJK SC"/>
        <family val="2"/>
      </rPr>
      <t xml:space="preserve">）。附註：中文名稱的報價查詢本身約需 </t>
    </r>
    <r>
      <rPr>
        <sz val="10"/>
        <rFont val="Arial"/>
        <family val="0"/>
        <charset val="1"/>
      </rPr>
      <t xml:space="preserve">25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秒才回 </t>
    </r>
    <r>
      <rPr>
        <sz val="10"/>
        <rFont val="Arial"/>
        <family val="0"/>
        <charset val="1"/>
      </rPr>
      <t xml:space="preserve">found:false</t>
    </r>
    <r>
      <rPr>
        <sz val="10"/>
        <rFont val="Noto Sans CJK SC"/>
        <family val="2"/>
      </rPr>
      <t xml:space="preserve">，之後才進行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辨識，期間畫面顯示「查詢中…」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項檢查全過：「長榮航」→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／長榮航／</t>
    </r>
    <r>
      <rPr>
        <sz val="10"/>
        <rFont val="Arial"/>
        <family val="0"/>
        <charset val="1"/>
      </rPr>
      <t xml:space="preserve">Industrials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confidence high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verified true</t>
    </r>
    <r>
      <rPr>
        <sz val="10"/>
        <rFont val="Noto Sans CJK SC"/>
        <family val="2"/>
      </rPr>
      <t xml:space="preserve">），需人工確認（未註冊）；額度扣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新列；「虛構甲乙丙科技」→「查無此標的…」；還原比對：帳本、計數、已實現、現金池與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個部位逐字相同，估值差異僅來自辨識時報價驗證連帶更新的 </t>
    </r>
    <r>
      <rPr>
        <sz val="10"/>
        <rFont val="Arial"/>
        <family val="0"/>
        <charset val="1"/>
      </rPr>
      <t xml:space="preserve">USD/TWD 31.782→31.785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裁定之預期行為）（首跑時驗證者的檢查程式沒有照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的匯率連帶更新裁定判讀，修正檢查後重跑）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項檢查全過：「長榮航」→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2618</t>
    </r>
    <r>
      <rPr>
        <sz val="10"/>
        <rFont val="Noto Sans CJK SC"/>
        <family val="2"/>
      </rPr>
      <t xml:space="preserve">／長榮航／</t>
    </r>
    <r>
      <rPr>
        <sz val="10"/>
        <rFont val="Arial"/>
        <family val="0"/>
        <charset val="1"/>
      </rPr>
      <t xml:space="preserve">Industrials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confidence high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），需人工確認（未註冊）；額度扣減＝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）；「虛構甲乙丙科技」→「查無此標的…」；兩次辨識共 </t>
    </r>
    <r>
      <rPr>
        <sz val="10"/>
        <rFont val="Arial"/>
        <family val="0"/>
        <charset val="1"/>
      </rPr>
      <t xml:space="preserve">0.0003123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3.1710579→3.1707456</t>
    </r>
    <r>
      <rPr>
        <sz val="10"/>
        <rFont val="Noto Sans CJK SC"/>
        <family val="2"/>
      </rPr>
      <t xml:space="preserve">）；還原比對：帳本、計數、已實現、現金池與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個部位逐字相同，估值差異僅來自辨識時報價驗證連帶更新的 </t>
    </r>
    <r>
      <rPr>
        <sz val="10"/>
        <rFont val="Arial"/>
        <family val="0"/>
        <charset val="1"/>
      </rPr>
      <t xml:space="preserve">USD/TWD 31.841→31.837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）</t>
    </r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</si>
  <si>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</si>
  <si>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</si>
  <si>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</si>
  <si>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</si>
  <si>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</si>
  <si>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r>
      <rPr>
        <sz val="10"/>
        <rFont val="Noto Sans CJK SC"/>
        <family val="2"/>
      </rPr>
      <t xml:space="preserve">觀察清單 › 加入，市場美股、以鍵盤輸入「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✓；提示「查無報價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3.2960594</t>
    </r>
    <r>
      <rPr>
        <sz val="10"/>
        <rFont val="Noto Sans CJK SC"/>
        <family val="2"/>
      </rPr>
      <t xml:space="preserve">（零花費）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</si>
  <si>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</si>
  <si>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</si>
  <si>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</si>
  <si>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</si>
  <si>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</si>
  <si>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</si>
  <si>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</si>
  <si>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</si>
  <si>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r>
      <rPr>
        <sz val="10"/>
        <rFont val="Noto Sans CJK SC"/>
        <family val="2"/>
      </rPr>
      <t xml:space="preserve">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關閉「代號查無時自動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辨識」→ </t>
    </r>
    <r>
      <rPr>
        <sz val="10"/>
        <rFont val="Arial"/>
        <family val="0"/>
        <charset val="1"/>
      </rPr>
      <t xml:space="preserve">PUT /api/ui-prefs {auto_ai_resolve:false}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 /api/ui-prefs → {page_size 50, auto_ai_resolve false} ✓③ → </t>
    </r>
    <r>
      <rPr>
        <sz val="10"/>
        <rFont val="Noto Sans CJK SC"/>
        <family val="2"/>
      </rPr>
      <t xml:space="preserve">觀察清單輸入「長榮航」→ 加入：全程 </t>
    </r>
    <r>
      <rPr>
        <sz val="10"/>
        <rFont val="Arial"/>
        <family val="0"/>
        <charset val="1"/>
      </rPr>
      <t xml:space="preserve">ai-resolve 0 </t>
    </r>
    <r>
      <rPr>
        <sz val="10"/>
        <rFont val="Noto Sans CJK SC"/>
        <family val="2"/>
      </rPr>
      <t xml:space="preserve">次 ✓①，提示「查無報價 — 請確認代號與市場；或按「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辨識」判讀（自動辨識已在設定關閉）」✓②。測畢改回開啟（</t>
    </r>
    <r>
      <rPr>
        <sz val="10"/>
        <rFont val="Arial"/>
        <family val="0"/>
        <charset val="1"/>
      </rPr>
      <t xml:space="preserve">auto_ai_resolve true</t>
    </r>
    <r>
      <rPr>
        <sz val="10"/>
        <rFont val="Noto Sans CJK SC"/>
        <family val="2"/>
      </rPr>
      <t xml:space="preserve">）</t>
    </r>
  </si>
  <si>
    <t xml:space="preserve">DEF-034</t>
  </si>
  <si>
    <r>
      <rPr>
        <sz val="10"/>
        <rFont val="Noto Sans CJK SC"/>
        <family val="2"/>
      </rPr>
      <t xml:space="preserve">同頁每儲存一次低額度警示閾值，這個開關就多綁一次監聽：儲存兩次後點一下會送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、跳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（見 </t>
    </r>
    <r>
      <rPr>
        <sz val="10"/>
        <rFont val="Arial"/>
        <family val="0"/>
        <charset val="1"/>
      </rPr>
      <t xml:space="preserve">DEF-034</t>
    </r>
    <r>
      <rPr>
        <sz val="10"/>
        <rFont val="Noto Sans CJK SC"/>
        <family val="2"/>
      </rPr>
      <t xml:space="preserve">，不影響本題三項判定）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DEF-034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關閉 → 不自動呼叫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、提示自動辨識已關閉；測後改回開啟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關閉 → 不自動呼叫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、提示自動辨識已關閉；測後改回開啟</t>
    </r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</si>
  <si>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</si>
  <si>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</si>
  <si>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</si>
  <si>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</si>
  <si>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</si>
  <si>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</si>
  <si>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貼上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行文字（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@46.45</t>
    </r>
    <r>
      <rPr>
        <sz val="10"/>
        <rFont val="Noto Sans CJK SC"/>
        <family val="2"/>
      </rPr>
      <t xml:space="preserve">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2 @330</t>
    </r>
    <r>
      <rPr>
        <sz val="10"/>
        <rFont val="Noto Sans CJK SC"/>
        <family val="2"/>
      </rPr>
      <t xml:space="preserve">／一句閒聊／</t>
    </r>
    <r>
      <rPr>
        <sz val="10"/>
        <rFont val="Arial"/>
        <family val="0"/>
        <charset val="1"/>
      </rPr>
      <t xml:space="preserve">QQQQ9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50 @12.3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股）→ 解析 → </t>
    </r>
    <r>
      <rPr>
        <sz val="10"/>
        <rFont val="Arial"/>
        <family val="0"/>
        <charset val="1"/>
      </rPr>
      <t xml:space="preserve">POST /api/input/ai/preview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cost 0.000563</t>
    </r>
    <r>
      <rPr>
        <sz val="10"/>
        <rFont val="Noto Sans CJK SC"/>
        <family val="2"/>
      </rPr>
      <t xml:space="preserve">）：① 產生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列結構化草稿（帳戶／日期／買賣／代號／股數／價格／費用／稅），費用依帳戶規則補算（</t>
    </r>
    <r>
      <rPr>
        <sz val="10"/>
        <rFont val="Arial"/>
        <family val="0"/>
        <charset val="1"/>
      </rPr>
      <t xml:space="preserve">2884 fee 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fee 0.02</t>
    </r>
    <r>
      <rPr>
        <sz val="10"/>
        <rFont val="Noto Sans CJK SC"/>
        <family val="2"/>
      </rPr>
      <t xml:space="preserve">）；② 閒聊一行列在「有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列無法歸類（不會寫入…）：今天心情不錯，午餐吃了牛肉麵 — </t>
    </r>
    <r>
      <rPr>
        <sz val="10"/>
        <rFont val="Arial"/>
        <family val="0"/>
        <charset val="1"/>
      </rPr>
      <t xml:space="preserve">not a financial transaction</t>
    </r>
    <r>
      <rPr>
        <sz val="10"/>
        <rFont val="Noto Sans CJK SC"/>
        <family val="2"/>
      </rPr>
      <t xml:space="preserve">」，未被猜成交易 ✓；</t>
    </r>
    <r>
      <rPr>
        <sz val="10"/>
        <rFont val="Arial"/>
        <family val="0"/>
        <charset val="1"/>
      </rPr>
      <t xml:space="preserve">QQQQ9</t>
    </r>
    <r>
      <rPr>
        <sz val="10"/>
        <rFont val="Noto Sans CJK SC"/>
        <family val="2"/>
      </rPr>
      <t xml:space="preserve">「✕ 未註冊標的 </t>
    </r>
    <r>
      <rPr>
        <sz val="10"/>
        <rFont val="Arial"/>
        <family val="0"/>
        <charset val="1"/>
      </rPr>
      <t xml:space="preserve">QQQQ9 — </t>
    </r>
    <r>
      <rPr>
        <sz val="10"/>
        <rFont val="Noto Sans CJK SC"/>
        <family val="2"/>
      </rPr>
      <t xml:space="preserve">請先至「標的管理」註冊［立即註冊］」、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股「✕ 台股股數必須是整數…」，兩列 </t>
    </r>
    <r>
      <rPr>
        <sz val="10"/>
        <rFont val="Arial"/>
        <family val="0"/>
        <charset val="1"/>
      </rPr>
      <t xml:space="preserve">checkbox disabled ✓</t>
    </r>
    <r>
      <rPr>
        <sz val="10"/>
        <rFont val="Noto Sans CJK SC"/>
        <family val="2"/>
      </rPr>
      <t xml:space="preserve">；③ 寫入前有預覽與「寫入全部勾選」✓（本輪未寫入，交易帳本仍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列）；④ 額度 </t>
    </r>
    <r>
      <rPr>
        <sz val="10"/>
        <rFont val="Arial"/>
        <family val="0"/>
        <charset val="1"/>
      </rPr>
      <t xml:space="preserve">3.2960594→3.2954964</t>
    </r>
    <r>
      <rPr>
        <sz val="10"/>
        <rFont val="Noto Sans CJK SC"/>
        <family val="2"/>
      </rPr>
      <t xml:space="preserve">，扣 </t>
    </r>
    <r>
      <rPr>
        <sz val="10"/>
        <rFont val="Arial"/>
        <family val="0"/>
        <charset val="1"/>
      </rPr>
      <t xml:space="preserve">0.000563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 </t>
    </r>
    <r>
      <rPr>
        <sz val="10"/>
        <rFont val="Arial"/>
        <family val="0"/>
        <charset val="1"/>
      </rPr>
      <t xml:space="preserve">ai_agents_input 0.000563 ✓</t>
    </r>
    <r>
      <rPr>
        <sz val="10"/>
        <rFont val="Noto Sans CJK SC"/>
        <family val="2"/>
      </rPr>
      <t xml:space="preserve">。✗ 「可逐列編輯」不成立：草稿表格每格都是純文字（只有勾選框），無法修改任何欄位；帳戶欄顯示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</si>
  <si>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</si>
  <si>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</si>
  <si>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</si>
  <si>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</si>
  <si>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</si>
  <si>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</si>
  <si>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r>
      <rPr>
        <sz val="10"/>
        <rFont val="Noto Sans CJK SC"/>
        <family val="2"/>
      </rPr>
      <t xml:space="preserve">同一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輸入再貼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行：①「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元」②「賣出 </t>
    </r>
    <r>
      <rPr>
        <sz val="10"/>
        <rFont val="Arial"/>
        <family val="0"/>
        <charset val="1"/>
      </rPr>
      <t xml:space="preserve">2884 500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」③「</t>
    </r>
    <r>
      <rPr>
        <sz val="10"/>
        <rFont val="Arial"/>
        <family val="0"/>
        <charset val="1"/>
      </rPr>
      <t xml:space="preserve">2026/13/40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股」→ 解析（</t>
    </r>
    <r>
      <rPr>
        <sz val="10"/>
        <rFont val="Arial"/>
        <family val="0"/>
        <charset val="1"/>
      </rPr>
      <t xml:space="preserve">cost 0.0005413</t>
    </r>
    <r>
      <rPr>
        <sz val="10"/>
        <rFont val="Noto Sans CJK SC"/>
        <family val="2"/>
      </rPr>
      <t xml:space="preserve">）：③ 被列為無法歸類「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」✓；② 「⚠ 賣出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股」（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現有＋第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）✓ 寫入門驗證生效，但預設為勾選；✗ ① </t>
    </r>
    <r>
      <rPr>
        <sz val="10"/>
        <rFont val="Arial"/>
        <family val="0"/>
        <charset val="1"/>
      </rPr>
      <t xml:space="preserve">100×46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與文字「成交金額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元」矛盾，卻顯示「✓ 解析完整」，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只被放進備註、沒有任何標示。前一輪的不存在代號 </t>
    </r>
    <r>
      <rPr>
        <sz val="10"/>
        <rFont val="Arial"/>
        <family val="0"/>
        <charset val="1"/>
      </rPr>
      <t xml:space="preserve">QQQQ9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股都被擋下 ✓</t>
    </r>
  </si>
  <si>
    <t xml:space="preserve">DEF-036</t>
  </si>
  <si>
    <r>
      <rPr>
        <sz val="10"/>
        <rFont val="Noto Sans CJK SC"/>
        <family val="2"/>
      </rPr>
      <t xml:space="preserve">本輪未寫入；賣超列的預設勾選與通用確認同 </t>
    </r>
    <r>
      <rPr>
        <sz val="10"/>
        <rFont val="Arial"/>
        <family val="0"/>
        <charset val="1"/>
      </rPr>
      <t xml:space="preserve">DEF-025
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DEF-036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項檢查全過：矛盾金額「⚠ 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4,600…</t>
    </r>
    <r>
      <rPr>
        <sz val="10"/>
        <rFont val="Noto Sans CJK SC"/>
        <family val="2"/>
      </rPr>
      <t xml:space="preserve">」、賣超列警示且預設不勾、無效日期與 </t>
    </r>
    <r>
      <rPr>
        <sz val="10"/>
        <rFont val="Arial"/>
        <family val="0"/>
        <charset val="1"/>
      </rPr>
      <t xml:space="preserve">ZZZQ8 </t>
    </r>
    <r>
      <rPr>
        <sz val="10"/>
        <rFont val="Noto Sans CJK SC"/>
        <family val="2"/>
      </rPr>
      <t xml:space="preserve">由模型列為無法歸類（畫面「— 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」「— 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」為模型原文），未補齊；交易帳本仍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項檢查全過：矛盾金額「⚠ 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4,600…</t>
    </r>
    <r>
      <rPr>
        <sz val="10"/>
        <rFont val="Noto Sans CJK SC"/>
        <family val="2"/>
      </rPr>
      <t xml:space="preserve">」、賣超列「賣出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股」警示且預設不勾、無效日期與 </t>
    </r>
    <r>
      <rPr>
        <sz val="10"/>
        <rFont val="Arial"/>
        <family val="0"/>
        <charset val="1"/>
      </rPr>
      <t xml:space="preserve">ZZZQ8 </t>
    </r>
    <r>
      <rPr>
        <sz val="10"/>
        <rFont val="Noto Sans CJK SC"/>
        <family val="2"/>
      </rPr>
      <t xml:space="preserve">由模型列為無法歸類（英文說明為模型原文），未補齊；交易帳本仍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列；花費 </t>
    </r>
    <r>
      <rPr>
        <sz val="10"/>
        <rFont val="Arial"/>
        <family val="0"/>
        <charset val="1"/>
      </rPr>
      <t xml:space="preserve">0.008962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，同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）</t>
    </r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</si>
  <si>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</si>
  <si>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</si>
  <si>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</si>
  <si>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</si>
  <si>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</si>
  <si>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</si>
  <si>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r>
      <rPr>
        <sz val="10"/>
        <rFont val="Noto Sans CJK SC"/>
        <family val="2"/>
      </rPr>
      <t xml:space="preserve">洞察管線 › 持倉週報 › 乾跑預檢（</t>
    </r>
    <r>
      <rPr>
        <sz val="10"/>
        <rFont val="Arial"/>
        <family val="0"/>
        <charset val="1"/>
      </rPr>
      <t xml:space="preserve">POST /api/insight-tasks/1/preflight 200</t>
    </r>
    <r>
      <rPr>
        <sz val="10"/>
        <rFont val="Noto Sans CJK SC"/>
        <family val="2"/>
      </rPr>
      <t xml:space="preserve">）→ 展開「查看組裝後提示詞（變數已代入快照）」：</t>
    </r>
    <r>
      <rPr>
        <sz val="10"/>
        <rFont val="Arial"/>
        <family val="0"/>
        <charset val="1"/>
      </rPr>
      <t xml:space="preserve">system</t>
    </r>
    <r>
      <rPr>
        <sz val="10"/>
        <rFont val="Noto Sans CJK SC"/>
        <family val="2"/>
      </rPr>
      <t xml:space="preserve">＋模板兩層共 </t>
    </r>
    <r>
      <rPr>
        <sz val="10"/>
        <rFont val="Arial"/>
        <family val="0"/>
        <charset val="1"/>
      </rPr>
      <t xml:space="preserve">20,220 </t>
    </r>
    <r>
      <rPr>
        <sz val="10"/>
        <rFont val="Noto Sans CJK SC"/>
        <family val="2"/>
      </rPr>
      <t xml:space="preserve">字，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個未代入 </t>
    </r>
    <r>
      <rPr>
        <sz val="10"/>
        <rFont val="Arial"/>
        <family val="0"/>
        <charset val="1"/>
      </rPr>
      <t xml:space="preserve">{{…}}</t>
    </r>
    <r>
      <rPr>
        <sz val="10"/>
        <rFont val="Noto Sans CJK SC"/>
        <family val="2"/>
      </rPr>
      <t xml:space="preserve">；內文 </t>
    </r>
    <r>
      <rPr>
        <sz val="10"/>
        <rFont val="Arial"/>
        <family val="0"/>
        <charset val="1"/>
      </rPr>
      <t xml:space="preserve">total_market_value "34912272.92346975318486282701"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"10.22406575305222" </t>
    </r>
    <r>
      <rPr>
        <sz val="10"/>
        <rFont val="Noto Sans CJK SC"/>
        <family val="2"/>
      </rPr>
      <t xml:space="preserve">與當下 </t>
    </r>
    <r>
      <rPr>
        <sz val="10"/>
        <rFont val="Arial"/>
        <family val="0"/>
        <charset val="1"/>
      </rPr>
      <t xml:space="preserve">/api/dashboard kpis </t>
    </r>
    <r>
      <rPr>
        <sz val="10"/>
        <rFont val="Noto Sans CJK SC"/>
        <family val="2"/>
      </rPr>
      <t xml:space="preserve">字串相同；</t>
    </r>
    <r>
      <rPr>
        <sz val="10"/>
        <rFont val="Arial"/>
        <family val="0"/>
        <charset val="1"/>
      </rPr>
      <t xml:space="preserve">system </t>
    </r>
    <r>
      <rPr>
        <sz val="10"/>
        <rFont val="Noto Sans CJK SC"/>
        <family val="2"/>
      </rPr>
      <t xml:space="preserve">層與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 </t>
    </r>
    <r>
      <rPr>
        <sz val="10"/>
        <rFont val="Arial"/>
        <family val="0"/>
        <charset val="1"/>
      </rPr>
      <t xml:space="preserve">#498 </t>
    </r>
    <r>
      <rPr>
        <sz val="10"/>
        <rFont val="Noto Sans CJK SC"/>
        <family val="2"/>
      </rPr>
      <t xml:space="preserve">實際送出的 </t>
    </r>
    <r>
      <rPr>
        <sz val="10"/>
        <rFont val="Arial"/>
        <family val="0"/>
        <charset val="1"/>
      </rPr>
      <t xml:space="preserve">prompt </t>
    </r>
    <r>
      <rPr>
        <sz val="10"/>
        <rFont val="Noto Sans CJK SC"/>
        <family val="2"/>
      </rPr>
      <t xml:space="preserve">開頭一致。零成本：前後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3.2993543→3.2993543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llm_usage 927→927</t>
    </r>
    <r>
      <rPr>
        <sz val="10"/>
        <rFont val="Noto Sans CJK SC"/>
        <family val="2"/>
      </rPr>
      <t xml:space="preserve">、期間無任何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端點請求</t>
    </r>
  </si>
  <si>
    <r>
      <rPr>
        <sz val="10"/>
        <rFont val="Noto Sans CJK SC"/>
        <family val="2"/>
      </rPr>
      <t xml:space="preserve">站上未提供 </t>
    </r>
    <r>
      <rPr>
        <sz val="10"/>
        <rFont val="Arial"/>
        <family val="0"/>
        <charset val="1"/>
      </rPr>
      <t xml:space="preserve">insights.prompt_figures </t>
    </r>
    <r>
      <rPr>
        <sz val="10"/>
        <rFont val="Noto Sans CJK SC"/>
        <family val="2"/>
      </rPr>
      <t xml:space="preserve">讀取介面，②以失敗紀錄實際送出的 </t>
    </r>
    <r>
      <rPr>
        <sz val="10"/>
        <rFont val="Arial"/>
        <family val="0"/>
        <charset val="1"/>
      </rPr>
      <t xml:space="preserve">prompt </t>
    </r>
    <r>
      <rPr>
        <sz val="10"/>
        <rFont val="Noto Sans CJK SC"/>
        <family val="2"/>
      </rPr>
      <t xml:space="preserve">對照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全面重跑）：洞察管線 › 持倉週報 › 乾跑預檢（</t>
    </r>
    <r>
      <rPr>
        <sz val="10"/>
        <rFont val="Arial"/>
        <family val="0"/>
        <charset val="1"/>
      </rPr>
      <t xml:space="preserve">POST /api/insight-tasks/1/preflight 200</t>
    </r>
    <r>
      <rPr>
        <sz val="10"/>
        <rFont val="Noto Sans CJK SC"/>
        <family val="2"/>
      </rPr>
      <t xml:space="preserve">，期間無其他寫入或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端點請求）→ 展開「查看組裝後提示詞（變數已代入快照）」：共 </t>
    </r>
    <r>
      <rPr>
        <sz val="10"/>
        <rFont val="Arial"/>
        <family val="0"/>
        <charset val="1"/>
      </rPr>
      <t xml:space="preserve">20,724 </t>
    </r>
    <r>
      <rPr>
        <sz val="10"/>
        <rFont val="Noto Sans CJK SC"/>
        <family val="2"/>
      </rPr>
      <t xml:space="preserve">字，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個未代入 </t>
    </r>
    <r>
      <rPr>
        <sz val="10"/>
        <rFont val="Arial"/>
        <family val="0"/>
        <charset val="1"/>
      </rPr>
      <t xml:space="preserve">{{…}} ①</t>
    </r>
    <r>
      <rPr>
        <sz val="10"/>
        <rFont val="Noto Sans CJK SC"/>
        <family val="2"/>
      </rPr>
      <t xml:space="preserve">；內文 </t>
    </r>
    <r>
      <rPr>
        <sz val="10"/>
        <rFont val="Arial"/>
        <family val="0"/>
        <charset val="1"/>
      </rPr>
      <t xml:space="preserve">total_market_value "35630718.94812951888928809033"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與當下 </t>
    </r>
    <r>
      <rPr>
        <sz val="10"/>
        <rFont val="Arial"/>
        <family val="0"/>
        <charset val="1"/>
      </rPr>
      <t xml:space="preserve">/api/dashboard kpis </t>
    </r>
    <r>
      <rPr>
        <sz val="10"/>
        <rFont val="Noto Sans CJK SC"/>
        <family val="2"/>
      </rPr>
      <t xml:space="preserve">字串相同 ②；</t>
    </r>
    <r>
      <rPr>
        <sz val="10"/>
        <rFont val="Arial"/>
        <family val="0"/>
        <charset val="1"/>
      </rPr>
      <t xml:space="preserve">system </t>
    </r>
    <r>
      <rPr>
        <sz val="10"/>
        <rFont val="Noto Sans CJK SC"/>
        <family val="2"/>
      </rPr>
      <t xml:space="preserve">層開頭「你是資深投資組合分析師，服務一位同時持有台股、美股、馬股的個人長期投資者…」與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#498 </t>
    </r>
    <r>
      <rPr>
        <sz val="10"/>
        <rFont val="Noto Sans CJK SC"/>
        <family val="2"/>
      </rPr>
      <t xml:space="preserve">實際送出的 </t>
    </r>
    <r>
      <rPr>
        <sz val="10"/>
        <rFont val="Arial"/>
        <family val="0"/>
        <charset val="1"/>
      </rPr>
      <t xml:space="preserve">prompt </t>
    </r>
    <r>
      <rPr>
        <sz val="10"/>
        <rFont val="Noto Sans CJK SC"/>
        <family val="2"/>
      </rPr>
      <t xml:space="preserve">開頭一致 ②；零成本：前後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3.2574337→3.2574337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匯出列數 </t>
    </r>
    <r>
      <rPr>
        <sz val="10"/>
        <rFont val="Arial"/>
        <family val="0"/>
        <charset val="1"/>
      </rPr>
      <t xml:space="preserve">1028→1028 ③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項檢查全過：乾跑預檢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：變數全部代入（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{{…}}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23,862 </t>
    </r>
    <r>
      <rPr>
        <sz val="10"/>
        <rFont val="Noto Sans CJK SC"/>
        <family val="2"/>
      </rPr>
      <t xml:space="preserve">字）、含即時 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；零花費、無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項檢查全過：乾跑預檢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：變數全部代入（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{{…}}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23,862 </t>
    </r>
    <r>
      <rPr>
        <sz val="10"/>
        <rFont val="Noto Sans CJK SC"/>
        <family val="2"/>
      </rPr>
      <t xml:space="preserve">字）、含即時 </t>
    </r>
    <r>
      <rPr>
        <sz val="10"/>
        <rFont val="Arial"/>
        <family val="0"/>
        <charset val="1"/>
      </rPr>
      <t xml:space="preserve">total_market_value 34,774,315.85</t>
    </r>
    <r>
      <rPr>
        <sz val="10"/>
        <rFont val="Noto Sans CJK SC"/>
        <family val="2"/>
      </rPr>
      <t xml:space="preserve">；零花費、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無新列</t>
    </r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</si>
  <si>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</si>
  <si>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</si>
  <si>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</si>
  <si>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</si>
  <si>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</si>
  <si>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</si>
  <si>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</si>
  <si>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r>
      <rPr>
        <sz val="10"/>
        <rFont val="Noto Sans CJK SC"/>
        <family val="2"/>
      </rPr>
      <t xml:space="preserve">未把額度真正用罄（需花掉 </t>
    </r>
    <r>
      <rPr>
        <sz val="10"/>
        <rFont val="Arial"/>
        <family val="0"/>
        <charset val="1"/>
      </rPr>
      <t xml:space="preserve">$3.27</t>
    </r>
    <r>
      <rPr>
        <sz val="10"/>
        <rFont val="Noto Sans CJK SC"/>
        <family val="2"/>
      </rPr>
      <t xml:space="preserve">，且不可回復）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）：剩餘 −</t>
    </r>
    <r>
      <rPr>
        <sz val="10"/>
        <rFont val="Arial"/>
        <family val="0"/>
        <charset val="1"/>
      </rPr>
      <t xml:space="preserve">$0.00036 </t>
    </r>
    <r>
      <rPr>
        <sz val="10"/>
        <rFont val="Noto Sans CJK SC"/>
        <family val="2"/>
      </rPr>
      <t xml:space="preserve">時 交易輸入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解析 → </t>
    </r>
    <r>
      <rPr>
        <sz val="10"/>
        <rFont val="Arial"/>
        <family val="0"/>
        <charset val="1"/>
      </rPr>
      <t xml:space="preserve">POST /api/input/ai/preview 402 budget_exceeded</t>
    </r>
    <r>
      <rPr>
        <sz val="10"/>
        <rFont val="Noto Sans CJK SC"/>
        <family val="2"/>
      </rPr>
      <t xml:space="preserve">、提示「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$-0.00036</t>
    </r>
    <r>
      <rPr>
        <sz val="10"/>
        <rFont val="Noto Sans CJK SC"/>
        <family val="2"/>
      </rPr>
      <t xml:space="preserve">）— 補充額度後即可繼續使用」、頁內降級區「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額度用盡…前往額度設定」可見、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未增加（無半成品）；畫面加值 </t>
    </r>
    <r>
      <rPr>
        <sz val="10"/>
        <rFont val="Arial"/>
        <family val="0"/>
        <charset val="1"/>
      </rPr>
      <t xml:space="preserve">$0.001 → </t>
    </r>
    <r>
      <rPr>
        <sz val="10"/>
        <rFont val="Noto Sans CJK SC"/>
        <family val="2"/>
      </rPr>
      <t xml:space="preserve">兩次解析成功後剩餘 −</t>
    </r>
    <r>
      <rPr>
        <sz val="10"/>
        <rFont val="Arial"/>
        <family val="0"/>
        <charset val="1"/>
      </rPr>
      <t xml:space="preserve">$0.00008 → </t>
    </r>
    <r>
      <rPr>
        <sz val="10"/>
        <rFont val="Noto Sans CJK SC"/>
        <family val="2"/>
      </rPr>
      <t xml:space="preserve">第三次 </t>
    </r>
    <r>
      <rPr>
        <sz val="10"/>
        <rFont val="Arial"/>
        <family val="0"/>
        <charset val="1"/>
      </rPr>
      <t xml:space="preserve">402 </t>
    </r>
    <r>
      <rPr>
        <sz val="10"/>
        <rFont val="Noto Sans CJK SC"/>
        <family val="2"/>
      </rPr>
      <t xml:space="preserve">同一提示。觀察（不影響判定）：加值提示顯示「</t>
    </r>
    <r>
      <rPr>
        <sz val="10"/>
        <rFont val="Arial"/>
        <family val="0"/>
        <charset val="1"/>
      </rPr>
      <t xml:space="preserve">+$0.00</t>
    </r>
    <r>
      <rPr>
        <sz val="10"/>
        <rFont val="Noto Sans CJK SC"/>
        <family val="2"/>
      </rPr>
      <t xml:space="preserve">」；單次呼叫可透支（先查後扣）；測試連線不受額度閘門（見規格 </t>
    </r>
    <r>
      <rPr>
        <sz val="10"/>
        <rFont val="Arial"/>
        <family val="0"/>
        <charset val="1"/>
      </rPr>
      <t xml:space="preserve">§10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補一筆使剩餘 </t>
    </r>
    <r>
      <rPr>
        <sz val="10"/>
        <rFont val="Arial"/>
        <family val="0"/>
        <charset val="1"/>
      </rPr>
      <t xml:space="preserve">1.99344→−0.00036 → 402 budget_exceeded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$-0.00036</t>
    </r>
    <r>
      <rPr>
        <sz val="10"/>
        <rFont val="Noto Sans CJK SC"/>
        <family val="2"/>
      </rPr>
      <t xml:space="preserve">）— 補充額度後即可繼續使用」；畫面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＋橫幅「前往額度設定」；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無新列、未產卡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補一筆使剩餘 </t>
    </r>
    <r>
      <rPr>
        <sz val="10"/>
        <rFont val="Arial"/>
        <family val="0"/>
        <charset val="1"/>
      </rPr>
      <t xml:space="preserve">1.99344→−0.00036 → 402 budget_exceeded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）— 補充額度後即可繼續使用」（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後金額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</t>
    </r>
    <r>
      <rPr>
        <sz val="10"/>
        <rFont val="Noto Sans CJK SC"/>
        <family val="2"/>
      </rPr>
      <t xml:space="preserve">）；畫面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＋橫幅「前往額度設定」；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無新列、未產卡</t>
    </r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</si>
  <si>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</si>
  <si>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</si>
  <si>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</si>
  <si>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</si>
  <si>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</si>
  <si>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r>
      <rPr>
        <sz val="10"/>
        <rFont val="Noto Sans CJK SC"/>
        <family val="2"/>
      </rPr>
      <t xml:space="preserve">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抽取失敗記錄：畫面「</t>
    </r>
    <r>
      <rPr>
        <sz val="10"/>
        <rFont val="Arial"/>
        <family val="0"/>
        <charset val="1"/>
      </rPr>
      <t xml:space="preserve">1 / 300 </t>
    </r>
    <r>
      <rPr>
        <sz val="10"/>
        <rFont val="Noto Sans CJK SC"/>
        <family val="2"/>
      </rPr>
      <t xml:space="preserve">筆」、</t>
    </r>
    <r>
      <rPr>
        <sz val="10"/>
        <rFont val="Arial"/>
        <family val="0"/>
        <charset val="1"/>
      </rPr>
      <t xml:space="preserve">insight_generate 1 </t>
    </r>
    <r>
      <rPr>
        <sz val="10"/>
        <rFont val="Noto Sans CJK SC"/>
        <family val="2"/>
      </rPr>
      <t xml:space="preserve">筆、最舊 </t>
    </r>
    <r>
      <rPr>
        <sz val="10"/>
        <rFont val="Arial"/>
        <family val="0"/>
        <charset val="1"/>
      </rPr>
      <t xml:space="preserve">2026-09-21 00:46:56</t>
    </r>
    <r>
      <rPr>
        <sz val="10"/>
        <rFont val="Noto Sans CJK SC"/>
        <family val="2"/>
      </rPr>
      <t xml:space="preserve">；下載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25,942 bytes</t>
    </r>
    <r>
      <rPr>
        <sz val="10"/>
        <rFont val="Noto Sans CJK SC"/>
        <family val="2"/>
      </rPr>
      <t xml:space="preserve">）內含 </t>
    </r>
    <r>
      <rPr>
        <sz val="10"/>
        <rFont val="Arial"/>
        <family val="0"/>
        <charset val="1"/>
      </rPr>
      <t xml:space="preserve">id 498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created_at 2026-09-21T00:46:56.103694+08:00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outcome invalid_json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error_reason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json_invalid</t>
    </r>
    <r>
      <rPr>
        <sz val="10"/>
        <rFont val="Noto Sans CJK SC"/>
        <family val="2"/>
      </rPr>
      <t xml:space="preserve">）與完整 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raw_output</t>
    </r>
    <r>
      <rPr>
        <sz val="10"/>
        <rFont val="Noto Sans CJK SC"/>
        <family val="2"/>
      </rPr>
      <t xml:space="preserve">，與畫面一致</t>
    </r>
  </si>
  <si>
    <t xml:space="preserve">DEF-084</t>
  </si>
  <si>
    <r>
      <rPr>
        <sz val="10"/>
        <rFont val="Noto Sans CJK SC"/>
        <family val="2"/>
      </rPr>
      <t xml:space="preserve">以既有一筆失敗紀錄驗證（未另外製造失敗）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抽取失敗記錄：畫面「</t>
    </r>
    <r>
      <rPr>
        <sz val="10"/>
        <rFont val="Arial"/>
        <family val="0"/>
        <charset val="1"/>
      </rPr>
      <t xml:space="preserve">13 / 300 </t>
    </r>
    <r>
      <rPr>
        <sz val="10"/>
        <rFont val="Noto Sans CJK SC"/>
        <family val="2"/>
      </rPr>
      <t xml:space="preserve">筆」，用途分類 </t>
    </r>
    <r>
      <rPr>
        <sz val="10"/>
        <rFont val="Arial"/>
        <family val="0"/>
        <charset val="1"/>
      </rPr>
      <t xml:space="preserve">insight_generate 10 </t>
    </r>
    <r>
      <rPr>
        <sz val="10"/>
        <rFont val="Noto Sans CJK SC"/>
        <family val="2"/>
      </rPr>
      <t xml:space="preserve">筆（最舊 </t>
    </r>
    <r>
      <rPr>
        <sz val="10"/>
        <rFont val="Arial"/>
        <family val="0"/>
        <charset val="1"/>
      </rPr>
      <t xml:space="preserve">2026-09-21 00:46:56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ai_agents_input 3 </t>
    </r>
    <r>
      <rPr>
        <sz val="10"/>
        <rFont val="Noto Sans CJK SC"/>
        <family val="2"/>
      </rPr>
      <t xml:space="preserve">筆（最舊 </t>
    </r>
    <r>
      <rPr>
        <sz val="10"/>
        <rFont val="Arial"/>
        <family val="0"/>
        <charset val="1"/>
      </rPr>
      <t xml:space="preserve">2026-09-23 05:31:35</t>
    </r>
    <r>
      <rPr>
        <sz val="10"/>
        <rFont val="Noto Sans CJK SC"/>
        <family val="2"/>
      </rPr>
      <t xml:space="preserve">）；下載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llm_fail_log_2026-09-27.jsonl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127,802 bytes</t>
    </r>
    <r>
      <rPr>
        <sz val="10"/>
        <rFont val="Noto Sans CJK SC"/>
        <family val="2"/>
      </rPr>
      <t xml:space="preserve">）內含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id 498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510</t>
    </r>
    <r>
      <rPr>
        <sz val="10"/>
        <rFont val="Noto Sans CJK SC"/>
        <family val="2"/>
      </rPr>
      <t xml:space="preserve">），每筆有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invalid_json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error_reason</t>
    </r>
    <r>
      <rPr>
        <sz val="10"/>
        <rFont val="Noto Sans CJK SC"/>
        <family val="2"/>
      </rPr>
      <t xml:space="preserve">、完整 </t>
    </r>
    <r>
      <rPr>
        <sz val="10"/>
        <rFont val="Arial"/>
        <family val="0"/>
        <charset val="1"/>
      </rPr>
      <t xml:space="preserve">prompt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raw_output</t>
    </r>
    <r>
      <rPr>
        <sz val="10"/>
        <rFont val="Noto Sans CJK SC"/>
        <family val="2"/>
      </rPr>
      <t xml:space="preserve">；分類筆數與最舊時間與畫面一致（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筆，其後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失敗陸續留存）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筆＝下載 </t>
    </r>
    <r>
      <rPr>
        <sz val="10"/>
        <rFont val="Arial"/>
        <family val="0"/>
        <charset val="1"/>
      </rPr>
      <t xml:space="preserve">.jsonl 21 </t>
    </r>
    <r>
      <rPr>
        <sz val="10"/>
        <rFont val="Noto Sans CJK SC"/>
        <family val="2"/>
      </rPr>
      <t xml:space="preserve">筆，逐筆有時間與錯誤；但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為空、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，無從得知是哪個模型的回覆（其餘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）→ 開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。更正：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本欄寫「每筆有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outcome</t>
    </r>
    <r>
      <rPr>
        <sz val="10"/>
        <rFont val="Noto Sans CJK SC"/>
        <family val="2"/>
      </rPr>
      <t xml:space="preserve">」不精確，當時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筆中已有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為空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26 / 300 </t>
    </r>
    <r>
      <rPr>
        <sz val="10"/>
        <rFont val="Noto Sans CJK SC"/>
        <family val="2"/>
      </rPr>
      <t xml:space="preserve">筆」＝下載 </t>
    </r>
    <r>
      <rPr>
        <sz val="10"/>
        <rFont val="Arial"/>
        <family val="0"/>
        <charset val="1"/>
      </rPr>
      <t xml:space="preserve">.jsonl 26 </t>
    </r>
    <r>
      <rPr>
        <sz val="10"/>
        <rFont val="Noto Sans CJK SC"/>
        <family val="2"/>
      </rPr>
      <t xml:space="preserve">筆，逐筆有時間與錯誤；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修復後（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部署起）寫入的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皆帶模型與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#521 google/gemini-2.5-flash-lite usage 1083</t>
    </r>
    <r>
      <rPr>
        <sz val="10"/>
        <rFont val="Noto Sans CJK SC"/>
        <family val="2"/>
      </rPr>
      <t xml:space="preserve">（開發者驗證）、</t>
    </r>
    <r>
      <rPr>
        <sz val="10"/>
        <rFont val="Arial"/>
        <family val="0"/>
        <charset val="1"/>
      </rPr>
      <t xml:space="preserve">#522 anthropic/claude-haiku-4.5 usage 1088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#523 anthropic/claude-haiku-4.5 usage 1089</t>
    </r>
    <r>
      <rPr>
        <sz val="10"/>
        <rFont val="Noto Sans CJK SC"/>
        <family val="2"/>
      </rPr>
      <t xml:space="preserve">（本輪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），與同秒的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列一一對上。修復前寫入的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仍為空——屬資料殘留（程式已正確、未回填），開發者已註明維持原狀，不影響本案判定。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複驗通過結案</t>
    </r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</si>
  <si>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</si>
  <si>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</si>
  <si>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</si>
  <si>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</si>
  <si>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</si>
  <si>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</si>
  <si>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</si>
  <si>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</si>
  <si>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</si>
  <si>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</si>
  <si>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</si>
  <si>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</si>
  <si>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卡片數與任務標的數相符；② 每張卡記錄 model／token／cost；③ 額度扣減 = 各卡 cost 加總；④ `job_runs` 留下一列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</si>
  <si>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</si>
  <si>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</si>
  <si>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r>
      <rPr>
        <sz val="10"/>
        <rFont val="Noto Sans CJK SC"/>
        <family val="2"/>
      </rPr>
      <t xml:space="preserve">洞察管線建立單一標的測試任務（標的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、模板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個串接）→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產生洞察 › 該任務 → </t>
    </r>
    <r>
      <rPr>
        <sz val="10"/>
        <rFont val="Arial"/>
        <family val="0"/>
        <charset val="1"/>
      </rPr>
      <t xml:space="preserve">POST /api/insight-types/10/run 202 → run #156 status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duration 25.5 s</t>
    </r>
    <r>
      <rPr>
        <sz val="10"/>
        <rFont val="Noto Sans CJK SC"/>
        <family val="2"/>
      </rPr>
      <t xml:space="preserve">：① 任務標的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 → 新增卡片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#190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symbol 2884</t>
    </r>
    <r>
      <rPr>
        <sz val="10"/>
        <rFont val="Noto Sans CJK SC"/>
        <family val="2"/>
      </rPr>
      <t xml:space="preserve">）✓；② 卡片記錄 </t>
    </r>
    <r>
      <rPr>
        <sz val="10"/>
        <rFont val="Arial"/>
        <family val="0"/>
        <charset val="1"/>
      </rPr>
      <t xml:space="preserve">model 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tokens_in 18,414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2,459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cost_usd 0.002825 ✓</t>
    </r>
    <r>
      <rPr>
        <sz val="10"/>
        <rFont val="Noto Sans CJK SC"/>
        <family val="2"/>
      </rPr>
      <t xml:space="preserve">；③ 額度 </t>
    </r>
    <r>
      <rPr>
        <sz val="10"/>
        <rFont val="Arial"/>
        <family val="0"/>
        <charset val="1"/>
      </rPr>
      <t xml:space="preserve">3.2993543→3.2965293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0.002825</t>
    </r>
    <r>
      <rPr>
        <sz val="10"/>
        <rFont val="Noto Sans CJK SC"/>
        <family val="2"/>
      </rPr>
      <t xml:space="preserve">＝該卡 </t>
    </r>
    <r>
      <rPr>
        <sz val="10"/>
        <rFont val="Arial"/>
        <family val="0"/>
        <charset val="1"/>
      </rPr>
      <t xml:space="preserve">cost ✓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job_runs #156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job_id insight:10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cost_usd 0.002825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ok</t>
    </r>
    <r>
      <rPr>
        <sz val="10"/>
        <rFont val="Noto Sans CJK SC"/>
        <family val="2"/>
      </rPr>
      <t xml:space="preserve">）✓。該卡 </t>
    </r>
    <r>
      <rPr>
        <sz val="10"/>
        <rFont val="Arial"/>
        <family val="0"/>
        <charset val="1"/>
      </rPr>
      <t xml:space="preserve">figure_flags </t>
    </r>
    <r>
      <rPr>
        <sz val="10"/>
        <rFont val="Noto Sans CJK SC"/>
        <family val="2"/>
      </rPr>
      <t xml:space="preserve">將「</t>
    </r>
    <r>
      <rPr>
        <sz val="10"/>
        <rFont val="Arial"/>
        <family val="0"/>
        <charset val="1"/>
      </rPr>
      <t xml:space="preserve">226.38 </t>
    </r>
    <r>
      <rPr>
        <sz val="10"/>
        <rFont val="Noto Sans CJK SC"/>
        <family val="2"/>
      </rPr>
      <t xml:space="preserve">萬」標為數值待核</t>
    </r>
  </si>
  <si>
    <r>
      <rPr>
        <sz val="10"/>
        <rFont val="Noto Sans CJK SC"/>
        <family val="2"/>
      </rPr>
      <t xml:space="preserve">測試任務刪除後其卡片依設計隱藏（</t>
    </r>
    <r>
      <rPr>
        <sz val="10"/>
        <rFont val="Arial"/>
        <family val="0"/>
        <charset val="1"/>
      </rPr>
      <t xml:space="preserve">/api/insights total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175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全面重跑）：洞察管線以與精靈相同的 </t>
    </r>
    <r>
      <rPr>
        <sz val="10"/>
        <rFont val="Arial"/>
        <family val="0"/>
        <charset val="1"/>
      </rPr>
      <t xml:space="preserve">POST /api/insight-tasks </t>
    </r>
    <r>
      <rPr>
        <sz val="10"/>
        <rFont val="Noto Sans CJK SC"/>
        <family val="2"/>
      </rPr>
      <t xml:space="preserve">建立單一標的測試任務「</t>
    </r>
    <r>
      <rPr>
        <sz val="10"/>
        <rFont val="Arial"/>
        <family val="0"/>
        <charset val="1"/>
      </rPr>
      <t xml:space="preserve">QA-R8 </t>
    </r>
    <r>
      <rPr>
        <sz val="10"/>
        <rFont val="Noto Sans CJK SC"/>
        <family val="2"/>
      </rPr>
      <t xml:space="preserve">單一標的測試」（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、標的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、模板 個股健檢策略，</t>
    </r>
    <r>
      <rPr>
        <sz val="10"/>
        <rFont val="Arial"/>
        <family val="0"/>
        <charset val="1"/>
      </rPr>
      <t xml:space="preserve">#13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產生洞察 › 該任務 → </t>
    </r>
    <r>
      <rPr>
        <sz val="10"/>
        <rFont val="Arial"/>
        <family val="0"/>
        <charset val="1"/>
      </rPr>
      <t xml:space="preserve">POST /api/insight-types/13/run 202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已觸發 </t>
    </r>
    <r>
      <rPr>
        <sz val="10"/>
        <rFont val="Arial"/>
        <family val="0"/>
        <charset val="1"/>
      </rPr>
      <t xml:space="preserve">QA-R8 </t>
    </r>
    <r>
      <rPr>
        <sz val="10"/>
        <rFont val="Noto Sans CJK SC"/>
        <family val="2"/>
      </rPr>
      <t xml:space="preserve">單一標的測試：產生中…」）→ </t>
    </r>
    <r>
      <rPr>
        <sz val="10"/>
        <rFont val="Arial"/>
        <family val="0"/>
        <charset val="1"/>
      </rPr>
      <t xml:space="preserve">run #206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張卡」、</t>
    </r>
    <r>
      <rPr>
        <sz val="10"/>
        <rFont val="Arial"/>
        <family val="0"/>
        <charset val="1"/>
      </rPr>
      <t xml:space="preserve">5.8 s</t>
    </r>
    <r>
      <rPr>
        <sz val="10"/>
        <rFont val="Noto Sans CJK SC"/>
        <family val="2"/>
      </rPr>
      <t xml:space="preserve">：① 任務標的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 → 新增卡片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symbol 2884</t>
    </r>
    <r>
      <rPr>
        <sz val="10"/>
        <rFont val="Noto Sans CJK SC"/>
        <family val="2"/>
      </rPr>
      <t xml:space="preserve">；卡片總數 </t>
    </r>
    <r>
      <rPr>
        <sz val="10"/>
        <rFont val="Arial"/>
        <family val="0"/>
        <charset val="1"/>
      </rPr>
      <t xml:space="preserve">208→209</t>
    </r>
    <r>
      <rPr>
        <sz val="10"/>
        <rFont val="Noto Sans CJK SC"/>
        <family val="2"/>
      </rPr>
      <t xml:space="preserve">）✓；② 卡片記錄 </t>
    </r>
    <r>
      <rPr>
        <sz val="10"/>
        <rFont val="Arial"/>
        <family val="0"/>
        <charset val="1"/>
      </rPr>
      <t xml:space="preserve">model 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tokens_in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1,272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cost_usd 0.0012684 ✓</t>
    </r>
    <r>
      <rPr>
        <sz val="10"/>
        <rFont val="Noto Sans CJK SC"/>
        <family val="2"/>
      </rPr>
      <t xml:space="preserve">；③ 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＝該卡 </t>
    </r>
    <r>
      <rPr>
        <sz val="10"/>
        <rFont val="Arial"/>
        <family val="0"/>
        <charset val="1"/>
      </rPr>
      <t xml:space="preserve">cost ✓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job_runs #206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job_id insight:13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張卡」）✓。該卡 </t>
    </r>
    <r>
      <rPr>
        <sz val="10"/>
        <rFont val="Arial"/>
        <family val="0"/>
        <charset val="1"/>
      </rPr>
      <t xml:space="preserve">figure_flags snapshot checked</t>
    </r>
    <r>
      <rPr>
        <sz val="10"/>
        <rFont val="Noto Sans CJK SC"/>
        <family val="2"/>
      </rPr>
      <t xml:space="preserve">、無待核數字。測畢於管線中心刪除測試任務（見 </t>
    </r>
    <r>
      <rPr>
        <sz val="10"/>
        <rFont val="Arial"/>
        <family val="0"/>
        <charset val="1"/>
      </rPr>
      <t xml:space="preserve">H-06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項檢查全過：以與精靈相同的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建立單一標的任務（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{mode:custom, symbols:[2884]}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run #226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張卡」：新卡 </t>
    </r>
    <r>
      <rPr>
        <sz val="10"/>
        <rFont val="Arial"/>
        <family val="0"/>
        <charset val="1"/>
      </rPr>
      <t xml:space="preserve">#248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model 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 0.0012468</t>
    </r>
    <r>
      <rPr>
        <sz val="10"/>
        <rFont val="Noto Sans CJK SC"/>
        <family val="2"/>
      </rPr>
      <t xml:space="preserve">；額度扣減＝卡片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#226 cost </t>
    </r>
    <r>
      <rPr>
        <sz val="10"/>
        <rFont val="Noto Sans CJK SC"/>
        <family val="2"/>
      </rPr>
      <t xml:space="preserve">相同；首跑因檢查程式把標的宇宙寫成清單（伺服器依規則改跟隨持倉）產出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張卡、多花 </t>
    </r>
    <r>
      <rPr>
        <sz val="10"/>
        <rFont val="Arial"/>
        <family val="0"/>
        <charset val="1"/>
      </rPr>
      <t xml:space="preserve">$0.0174</t>
    </r>
    <r>
      <rPr>
        <sz val="10"/>
        <rFont val="Noto Sans CJK SC"/>
        <family val="2"/>
      </rPr>
      <t xml:space="preserve">，屬驗證者操作失誤，已如實計入 </t>
    </r>
    <r>
      <rPr>
        <sz val="10"/>
        <rFont val="Arial"/>
        <family val="0"/>
        <charset val="1"/>
      </rPr>
      <t xml:space="preserve">R-10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項檢查全過：以與精靈相同的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建立單一標的任務 </t>
    </r>
    <r>
      <rPr>
        <sz val="10"/>
        <rFont val="Arial"/>
        <family val="0"/>
        <charset val="1"/>
      </rPr>
      <t xml:space="preserve">#24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run #232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張卡」：新卡 </t>
    </r>
    <r>
      <rPr>
        <sz val="10"/>
        <rFont val="Arial"/>
        <family val="0"/>
        <charset val="1"/>
      </rPr>
      <t xml:space="preserve">#251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model 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 0.0009491</t>
    </r>
    <r>
      <rPr>
        <sz val="10"/>
        <rFont val="Noto Sans CJK SC"/>
        <family val="2"/>
      </rPr>
      <t xml:space="preserve">；額度扣減＝卡片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insight:24 cost </t>
    </r>
    <r>
      <rPr>
        <sz val="10"/>
        <rFont val="Noto Sans CJK SC"/>
        <family val="2"/>
      </rPr>
      <t xml:space="preserve">相同</t>
    </r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</si>
  <si>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</si>
  <si>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</si>
  <si>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</si>
  <si>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</si>
  <si>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</si>
  <si>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</si>
  <si>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</si>
  <si>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</si>
  <si>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</si>
  <si>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</si>
  <si>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</si>
  <si>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</si>
  <si>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</si>
  <si>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</t>
    </r>
  </si>
  <si>
    <t xml:space="preserve">G-04</t>
  </si>
  <si>
    <t xml:space="preserve">代號檢核</t>
  </si>
  <si>
    <t xml:space="preserve">檢視卡片中括號內的代號</t>
  </si>
  <si>
    <t xml:space="preserve">未註冊代號標示；指標（MA20／RSI14）、縮寫（PE／ETF）、幣別不得誤報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</si>
  <si>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</si>
  <si>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</si>
  <si>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</si>
  <si>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</si>
  <si>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</si>
  <si>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</si>
  <si>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</si>
  <si>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</si>
  <si>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</si>
  <si>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</si>
  <si>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</si>
  <si>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</si>
  <si>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</si>
  <si>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</si>
  <si>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</si>
  <si>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</si>
  <si>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r>
      <rPr>
        <sz val="10"/>
        <rFont val="Noto Sans CJK SC"/>
        <family val="2"/>
      </rPr>
      <t xml:space="preserve">信心以整數百分比顯示（出現值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#182 2884</t>
    </r>
    <r>
      <rPr>
        <sz val="10"/>
        <rFont val="Noto Sans CJK SC"/>
        <family val="2"/>
      </rPr>
      <t xml:space="preserve">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＝「模型自評信心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（極低）— 非未提供」✓；</t>
    </r>
    <r>
      <rPr>
        <sz val="10"/>
        <rFont val="Arial"/>
        <family val="0"/>
        <charset val="1"/>
      </rPr>
      <t xml:space="preserve">confidence=null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張顯示「純描述・無預測」✓。✗ 另有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但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，如 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#159</t>
    </r>
    <r>
      <rPr>
        <sz val="10"/>
        <rFont val="Noto Sans CJK SC"/>
        <family val="2"/>
      </rPr>
      <t xml:space="preserve">），畫面顯示「信心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」而非「純描述・無預測」</t>
    </r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</si>
  <si>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</si>
  <si>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</si>
  <si>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</si>
  <si>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</si>
  <si>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</si>
  <si>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</si>
  <si>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</si>
  <si>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</si>
  <si>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r>
      <rPr>
        <sz val="10"/>
        <rFont val="Noto Sans CJK SC"/>
        <family val="2"/>
      </rPr>
      <t xml:space="preserve">執行前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totals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n 45</t>
    </r>
    <r>
      <rPr>
        <sz val="10"/>
        <rFont val="Noto Sans CJK SC"/>
        <family val="2"/>
      </rPr>
      <t xml:space="preserve">、量化命中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）、失誤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、平均敘事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中有預測且 </t>
    </r>
    <r>
      <rPr>
        <sz val="10"/>
        <rFont val="Arial"/>
        <family val="0"/>
        <charset val="1"/>
      </rPr>
      <t xml:space="preserve">due_at </t>
    </r>
    <r>
      <rPr>
        <sz val="10"/>
        <rFont val="Noto Sans CJK SC"/>
        <family val="2"/>
      </rPr>
      <t xml:space="preserve">已到的卡 </t>
    </r>
    <r>
      <rPr>
        <sz val="10"/>
        <rFont val="Arial"/>
        <family val="0"/>
        <charset val="1"/>
      </rPr>
      <t xml:space="preserve">95 </t>
    </r>
    <r>
      <rPr>
        <sz val="10"/>
        <rFont val="Noto Sans CJK SC"/>
        <family val="2"/>
      </rPr>
      <t xml:space="preserve">張、未到期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張。系統設定 › 排程中心 › </t>
    </r>
    <r>
      <rPr>
        <sz val="10"/>
        <rFont val="Arial"/>
        <family val="0"/>
        <charset val="1"/>
      </rPr>
      <t xml:space="preserve">evaluate_insights › </t>
    </r>
    <r>
      <rPr>
        <sz val="10"/>
        <rFont val="Noto Sans CJK SC"/>
        <family val="2"/>
      </rPr>
      <t xml:space="preserve">立即執行 → </t>
    </r>
    <r>
      <rPr>
        <sz val="10"/>
        <rFont val="Arial"/>
        <family val="0"/>
        <charset val="1"/>
      </rPr>
      <t xml:space="preserve">run #157 ok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evaluate pass complete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79 s → ① </t>
    </r>
    <r>
      <rPr>
        <sz val="10"/>
        <rFont val="Noto Sans CJK SC"/>
        <family val="2"/>
      </rPr>
      <t xml:space="preserve">新增評估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49 scored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 pending_data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缺資料）；② </t>
    </r>
    <r>
      <rPr>
        <sz val="10"/>
        <rFont val="Arial"/>
        <family val="0"/>
        <charset val="1"/>
      </rPr>
      <t xml:space="preserve">totals n 94</t>
    </r>
    <r>
      <rPr>
        <sz val="10"/>
        <rFont val="Noto Sans CJK SC"/>
        <family val="2"/>
      </rPr>
      <t xml:space="preserve">、量化命中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31.91%</t>
    </r>
    <r>
      <rPr>
        <sz val="10"/>
        <rFont val="Noto Sans CJK SC"/>
        <family val="2"/>
      </rPr>
      <t xml:space="preserve">）、失誤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、平均敘事 </t>
    </r>
    <r>
      <rPr>
        <sz val="10"/>
        <rFont val="Arial"/>
        <family val="0"/>
        <charset val="1"/>
      </rPr>
      <t xml:space="preserve">77.63</t>
    </r>
    <r>
      <rPr>
        <sz val="10"/>
        <rFont val="Noto Sans CJK SC"/>
        <family val="2"/>
      </rPr>
      <t xml:space="preserve">；校準曲線更新為 </t>
    </r>
    <r>
      <rPr>
        <sz val="10"/>
        <rFont val="Arial"/>
        <family val="0"/>
        <charset val="1"/>
      </rPr>
      <t xml:space="preserve">0-20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20-40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40-60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 47</t>
    </r>
    <r>
      <rPr>
        <sz val="10"/>
        <rFont val="Noto Sans CJK SC"/>
        <family val="2"/>
      </rPr>
      <t xml:space="preserve">，實際 </t>
    </r>
    <r>
      <rPr>
        <sz val="10"/>
        <rFont val="Arial"/>
        <family val="0"/>
        <charset val="1"/>
      </rPr>
      <t xml:space="preserve">23.40%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60-80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 42</t>
    </r>
    <r>
      <rPr>
        <sz val="10"/>
        <rFont val="Noto Sans CJK SC"/>
        <family val="2"/>
      </rPr>
      <t xml:space="preserve">，實際 </t>
    </r>
    <r>
      <rPr>
        <sz val="10"/>
        <rFont val="Arial"/>
        <family val="0"/>
        <charset val="1"/>
      </rPr>
      <t xml:space="preserve">35.71%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80-100 </t>
    </r>
    <r>
      <rPr>
        <sz val="10"/>
        <rFont val="Noto Sans CJK SC"/>
        <family val="2"/>
      </rPr>
      <t xml:space="preserve">五桶，滾動校準缺口 −</t>
    </r>
    <r>
      <rPr>
        <sz val="10"/>
        <rFont val="Arial"/>
        <family val="0"/>
        <charset val="1"/>
      </rPr>
      <t xml:space="preserve">46.60% → +0.108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張未到期卡（例 </t>
    </r>
    <r>
      <rPr>
        <sz val="10"/>
        <rFont val="Arial"/>
        <family val="0"/>
        <charset val="1"/>
      </rPr>
      <t xml:space="preserve">#188 due 2026-10-19</t>
    </r>
    <r>
      <rPr>
        <sz val="10"/>
        <rFont val="Noto Sans CJK SC"/>
        <family val="2"/>
      </rPr>
      <t xml:space="preserve">）無一被評分 ✓。花費：</t>
    </r>
    <r>
      <rPr>
        <sz val="10"/>
        <rFont val="Arial"/>
        <family val="0"/>
        <charset val="1"/>
      </rPr>
      <t xml:space="preserve">master_score 49 </t>
    </r>
    <r>
      <rPr>
        <sz val="10"/>
        <rFont val="Noto Sans CJK SC"/>
        <family val="2"/>
      </rPr>
      <t xml:space="preserve">次合計 </t>
    </r>
    <r>
      <rPr>
        <sz val="10"/>
        <rFont val="Arial"/>
        <family val="0"/>
        <charset val="1"/>
      </rPr>
      <t xml:space="preserve">0.0140793</t>
    </r>
    <r>
      <rPr>
        <sz val="10"/>
        <rFont val="Noto Sans CJK SC"/>
        <family val="2"/>
      </rPr>
      <t xml:space="preserve">＝額度 </t>
    </r>
    <r>
      <rPr>
        <sz val="10"/>
        <rFont val="Arial"/>
        <family val="0"/>
        <charset val="1"/>
      </rPr>
      <t xml:space="preserve">3.2949551→3.2808758 </t>
    </r>
    <r>
      <rPr>
        <sz val="10"/>
        <rFont val="Noto Sans CJK SC"/>
        <family val="2"/>
      </rPr>
      <t xml:space="preserve">的扣減</t>
    </r>
  </si>
  <si>
    <r>
      <rPr>
        <sz val="10"/>
        <rFont val="Noto Sans CJK SC"/>
        <family val="2"/>
      </rPr>
      <t xml:space="preserve">評分資料為預期寫入（手冊：會寫入評分資料），無法還原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張已到期預測卡已全數評分（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寫入），</t>
    </r>
    <r>
      <rPr>
        <sz val="10"/>
        <rFont val="Arial"/>
        <family val="0"/>
        <charset val="1"/>
      </rPr>
      <t xml:space="preserve">63 </t>
    </r>
    <r>
      <rPr>
        <sz val="10"/>
        <rFont val="Noto Sans CJK SC"/>
        <family val="2"/>
      </rPr>
      <t xml:space="preserve">張未到期（最早 </t>
    </r>
    <r>
      <rPr>
        <sz val="10"/>
        <rFont val="Arial"/>
        <family val="0"/>
        <charset val="1"/>
      </rPr>
      <t xml:space="preserve">2026-09-28</t>
    </r>
    <r>
      <rPr>
        <sz val="10"/>
        <rFont val="Noto Sans CJK SC"/>
        <family val="2"/>
      </rPr>
      <t xml:space="preserve">）；排程中心 </t>
    </r>
    <r>
      <rPr>
        <sz val="10"/>
        <rFont val="Arial"/>
        <family val="0"/>
        <charset val="1"/>
      </rPr>
      <t xml:space="preserve">evaluate_insights </t>
    </r>
    <r>
      <rPr>
        <sz val="10"/>
        <rFont val="Noto Sans CJK SC"/>
        <family val="2"/>
      </rPr>
      <t xml:space="preserve">立即執行 → </t>
    </r>
    <r>
      <rPr>
        <sz val="10"/>
        <rFont val="Arial"/>
        <family val="0"/>
        <charset val="1"/>
      </rPr>
      <t xml:space="preserve">run #207 ok</t>
    </r>
    <r>
      <rPr>
        <sz val="10"/>
        <rFont val="Noto Sans CJK SC"/>
        <family val="2"/>
      </rPr>
      <t xml:space="preserve">「評分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張；晉升：無」、額度不變、未到期卡未被評分 ③。本機專用測試環境（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資料庫副本、時鐘推進至 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）：先執行個股健檢產生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張新卡（到期 </t>
    </r>
    <r>
      <rPr>
        <sz val="10"/>
        <rFont val="Arial"/>
        <family val="0"/>
        <charset val="1"/>
      </rPr>
      <t xml:space="preserve">10-15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張影子）→ </t>
    </r>
    <r>
      <rPr>
        <sz val="10"/>
        <rFont val="Arial"/>
        <family val="0"/>
        <charset val="1"/>
      </rPr>
      <t xml:space="preserve">evaluate_insights → ① </t>
    </r>
    <r>
      <rPr>
        <sz val="10"/>
        <rFont val="Noto Sans CJK SC"/>
        <family val="2"/>
      </rPr>
      <t xml:space="preserve">到期（</t>
    </r>
    <r>
      <rPr>
        <sz val="10"/>
        <rFont val="Arial"/>
        <family val="0"/>
        <charset val="1"/>
      </rPr>
      <t xml:space="preserve">10-06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張全數評分（</t>
    </r>
    <r>
      <rPr>
        <sz val="10"/>
        <rFont val="Arial"/>
        <family val="0"/>
        <charset val="1"/>
      </rPr>
      <t xml:space="preserve">scored 18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totals n 36→45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63.89%→66.67%</t>
    </r>
    <r>
      <rPr>
        <sz val="10"/>
        <rFont val="Noto Sans CJK SC"/>
        <family val="2"/>
      </rPr>
      <t xml:space="preserve">，校準曲線 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 36→45</t>
    </r>
    <r>
      <rPr>
        <sz val="10"/>
        <rFont val="Noto Sans CJK SC"/>
        <family val="2"/>
      </rPr>
      <t xml:space="preserve">、實際 </t>
    </r>
    <r>
      <rPr>
        <sz val="10"/>
        <rFont val="Arial"/>
        <family val="0"/>
        <charset val="1"/>
      </rPr>
      <t xml:space="preserve">63.89%→66.67%</t>
    </r>
    <r>
      <rPr>
        <sz val="10"/>
        <rFont val="Noto Sans CJK SC"/>
        <family val="2"/>
      </rPr>
      <t xml:space="preserve">、誤差 </t>
    </r>
    <r>
      <rPr>
        <sz val="10"/>
        <rFont val="Arial"/>
        <family val="0"/>
        <charset val="1"/>
      </rPr>
      <t xml:space="preserve">6.11→3.33pp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張未到期新卡無一被評分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evaluate_insights </t>
    </r>
    <r>
      <rPr>
        <sz val="10"/>
        <rFont val="Noto Sans CJK SC"/>
        <family val="2"/>
      </rPr>
      <t xml:space="preserve">立即執行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「評分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張；晉升：無」（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之後陸續到期的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n 94→104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張未到期未被評分；本機時鐘推進：到期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張全評、</t>
    </r>
    <r>
      <rPr>
        <sz val="10"/>
        <rFont val="Arial"/>
        <family val="0"/>
        <charset val="1"/>
      </rPr>
      <t xml:space="preserve">totals n 36→45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張未到期無一被評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evaluate_insights </t>
    </r>
    <r>
      <rPr>
        <sz val="10"/>
        <rFont val="Noto Sans CJK SC"/>
        <family val="2"/>
      </rPr>
      <t xml:space="preserve">立即執行 </t>
    </r>
    <r>
      <rPr>
        <sz val="10"/>
        <rFont val="Arial"/>
        <family val="0"/>
        <charset val="1"/>
      </rPr>
      <t xml:space="preserve">#233</t>
    </r>
    <r>
      <rPr>
        <sz val="10"/>
        <rFont val="Noto Sans CJK SC"/>
        <family val="2"/>
      </rPr>
      <t xml:space="preserve">「評分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張；晉升：無」、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n 104→112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張未到期未被評分；本機時鐘推進：到期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張全評（「評分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張…晉升：個股健檢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totals n 36→45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張未到期無一被評</t>
    </r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</si>
  <si>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</si>
  <si>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</si>
  <si>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</si>
  <si>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</si>
  <si>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</si>
  <si>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</si>
  <si>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r>
      <rPr>
        <sz val="10"/>
        <rFont val="Noto Sans CJK SC"/>
        <family val="2"/>
      </rPr>
      <t xml:space="preserve">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自我進化設定：</t>
    </r>
    <r>
      <rPr>
        <sz val="10"/>
        <rFont val="Arial"/>
        <family val="0"/>
        <charset val="1"/>
      </rPr>
      <t xml:space="preserve">auto_promote false</t>
    </r>
    <r>
      <rPr>
        <sz val="10"/>
        <rFont val="Noto Sans CJK SC"/>
        <family val="2"/>
      </rPr>
      <t xml:space="preserve">、影子評估批次數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、最低樣本數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、同時影子上限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、校準誤差門檻 </t>
    </r>
    <r>
      <rPr>
        <sz val="10"/>
        <rFont val="Arial"/>
        <family val="0"/>
        <charset val="1"/>
      </rPr>
      <t xml:space="preserve">10pp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/api/evolution-config </t>
    </r>
    <r>
      <rPr>
        <sz val="10"/>
        <rFont val="Noto Sans CJK SC"/>
        <family val="2"/>
      </rPr>
      <t xml:space="preserve">相同）；目前兩個自我校正任務（個股健檢、持倉建議與提點）的校正版本皆為空（</t>
    </r>
    <r>
      <rPr>
        <sz val="10"/>
        <rFont val="Arial"/>
        <family val="0"/>
        <charset val="1"/>
      </rPr>
      <t xml:space="preserve">/api/calibrations?insight_type=2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→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戰績中 </t>
    </r>
    <r>
      <rPr>
        <sz val="10"/>
        <rFont val="Arial"/>
        <family val="0"/>
        <charset val="1"/>
      </rPr>
      <t xml:space="preserve">is_shadow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張。完整流程需先產生校正版本、跑影子批次，再等影子卡到期（</t>
    </r>
    <r>
      <rPr>
        <sz val="10"/>
        <rFont val="Arial"/>
        <family val="0"/>
        <charset val="1"/>
      </rPr>
      <t xml:space="preserve">horizon 14 </t>
    </r>
    <r>
      <rPr>
        <sz val="10"/>
        <rFont val="Noto Sans CJK SC"/>
        <family val="2"/>
      </rPr>
      <t xml:space="preserve">天）評分後才會晉升，本輪無法在時間內完成；手冊亦建議非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</si>
  <si>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DEF-069, DEF-070, DEF-071, DEF-073, DEF-079, DEF-080</t>
  </si>
  <si>
    <r>
      <rPr>
        <sz val="10"/>
        <rFont val="Noto Sans CJK SC"/>
        <family val="2"/>
      </rPr>
      <t xml:space="preserve">未觸發 </t>
    </r>
    <r>
      <rPr>
        <sz val="10"/>
        <rFont val="Arial"/>
        <family val="0"/>
        <charset val="1"/>
      </rPr>
      <t xml:space="preserve">generate_calibrations</t>
    </r>
    <r>
      <rPr>
        <sz val="10"/>
        <rFont val="Noto Sans CJK SC"/>
        <family val="2"/>
      </rPr>
      <t xml:space="preserve">（會花額度且寫入不可回復的校正版本）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），伺服器時鐘以 </t>
    </r>
    <r>
      <rPr>
        <sz val="10"/>
        <rFont val="Arial"/>
        <family val="0"/>
        <charset val="1"/>
      </rPr>
      <t xml:space="preserve">freezegun </t>
    </r>
    <r>
      <rPr>
        <sz val="10"/>
        <rFont val="Noto Sans CJK SC"/>
        <family val="2"/>
      </rPr>
      <t xml:space="preserve">推進（</t>
    </r>
    <r>
      <rPr>
        <sz val="10"/>
        <rFont val="Arial"/>
        <family val="0"/>
        <charset val="1"/>
      </rPr>
      <t xml:space="preserve">09-01→09-10→09-11→09-21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檔持股合成收盤、假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：② 最低樣本數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時產生校正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版（抽屜「累積樣本中」）、改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後越權內文（含「加碼」）被關鍵字守門擋下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版、正常內文產生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✓</t>
    </r>
    <r>
      <rPr>
        <sz val="10"/>
        <rFont val="Noto Sans CJK SC"/>
        <family val="2"/>
      </rPr>
      <t xml:space="preserve">；影子評估批次數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＋自動晉升開啟時評分後不晉升（生效版仍空）、改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後下一次評分晉升 ✓；③ 抽屜「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生效中」、之後生效卡 </t>
    </r>
    <r>
      <rPr>
        <sz val="10"/>
        <rFont val="Arial"/>
        <family val="0"/>
        <charset val="1"/>
      </rPr>
      <t xml:space="preserve">calibration_version=2 ✓</t>
    </r>
    <r>
      <rPr>
        <sz val="10"/>
        <rFont val="Noto Sans CJK SC"/>
        <family val="2"/>
      </rPr>
      <t xml:space="preserve">。① ✗：影子卡出現在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與持倉健診（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檔標題卡皆為影子卡）→ 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；上限以累計影子卡計（第一批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張超過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、之後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永無影子）→ </t>
    </r>
    <r>
      <rPr>
        <sz val="10"/>
        <rFont val="Arial"/>
        <family val="0"/>
        <charset val="1"/>
      </rPr>
      <t xml:space="preserve">DEF-070</t>
    </r>
    <r>
      <rPr>
        <sz val="10"/>
        <rFont val="Noto Sans CJK SC"/>
        <family val="2"/>
      </rPr>
      <t xml:space="preserve">；畫面無「設為生效」→ </t>
    </r>
    <r>
      <rPr>
        <sz val="10"/>
        <rFont val="Arial"/>
        <family val="0"/>
        <charset val="1"/>
      </rPr>
      <t xml:space="preserve">DEF-071</t>
    </r>
    <r>
      <rPr>
        <sz val="10"/>
        <rFont val="Noto Sans CJK SC"/>
        <family val="2"/>
      </rPr>
      <t xml:space="preserve">；校正工作明細不說明結果 → </t>
    </r>
    <r>
      <rPr>
        <sz val="10"/>
        <rFont val="Arial"/>
        <family val="0"/>
        <charset val="1"/>
      </rPr>
      <t xml:space="preserve">DEF-073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），伺服器時鐘以 </t>
    </r>
    <r>
      <rPr>
        <sz val="10"/>
        <rFont val="Arial"/>
        <family val="0"/>
        <charset val="1"/>
      </rPr>
      <t xml:space="preserve">freezegun </t>
    </r>
    <r>
      <rPr>
        <sz val="10"/>
        <rFont val="Noto Sans CJK SC"/>
        <family val="2"/>
      </rPr>
      <t xml:space="preserve">推進 </t>
    </r>
    <r>
      <rPr>
        <sz val="10"/>
        <rFont val="Arial"/>
        <family val="0"/>
        <charset val="1"/>
      </rPr>
      <t xml:space="preserve">09-01→09-10→09-18→09-21→09-29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檔合成收盤：② 最低樣本數 </t>
    </r>
    <r>
      <rPr>
        <sz val="10"/>
        <rFont val="Arial"/>
        <family val="0"/>
        <charset val="1"/>
      </rPr>
      <t xml:space="preserve">20 →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個任務（個股健檢 新樣本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20…</t>
    </r>
    <r>
      <rPr>
        <sz val="10"/>
        <rFont val="Noto Sans CJK SC"/>
        <family val="2"/>
      </rPr>
      <t xml:space="preserve">）」、越權內文 →「驗證器拒絕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版（個股健檢：越權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幣別混算關鍵字：加碼）」、正常 →「產生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筆）」、立即重跑 →「產生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版…新樣本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」✓；只有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時診斷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「需手動設為生效」，版本鏈按「設為生效」採用（</t>
    </r>
    <r>
      <rPr>
        <sz val="10"/>
        <rFont val="Arial"/>
        <family val="0"/>
        <charset val="1"/>
      </rPr>
      <t xml:space="preserve">PUT {"version":1} 200</t>
    </r>
    <r>
      <rPr>
        <sz val="10"/>
        <rFont val="Noto Sans CJK SC"/>
        <family val="2"/>
      </rPr>
      <t xml:space="preserve">）✓；</t>
    </r>
    <r>
      <rPr>
        <sz val="10"/>
        <rFont val="Arial"/>
        <family val="0"/>
        <charset val="1"/>
      </rPr>
      <t xml:space="preserve">09-18 v1 </t>
    </r>
    <r>
      <rPr>
        <sz val="10"/>
        <rFont val="Noto Sans CJK SC"/>
        <family val="2"/>
      </rPr>
      <t xml:space="preserve">累積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筆新評分後產生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（失誤樣本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筆），同批生效 </t>
    </r>
    <r>
      <rPr>
        <sz val="10"/>
        <rFont val="Arial"/>
        <family val="0"/>
        <charset val="1"/>
      </rPr>
      <t xml:space="preserve">v1 9 </t>
    </r>
    <r>
      <rPr>
        <sz val="10"/>
        <rFont val="Noto Sans CJK SC"/>
        <family val="2"/>
      </rPr>
      <t xml:space="preserve">張＋影子 </t>
    </r>
    <r>
      <rPr>
        <sz val="10"/>
        <rFont val="Arial"/>
        <family val="0"/>
        <charset val="1"/>
      </rPr>
      <t xml:space="preserve">v2 9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09-21 </t>
    </r>
    <r>
      <rPr>
        <sz val="10"/>
        <rFont val="Noto Sans CJK SC"/>
        <family val="2"/>
      </rPr>
      <t xml:space="preserve">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張（鏈「影子評估中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」）✓；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影子評估中校正工作「暫不產生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個任務（個股健檢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影子評估中）」✓；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批次數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時「晉升：無」（鏈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）、改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後「晉升：個股健檢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」✓，隨後產生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（失誤樣本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筆），下一批生效 </t>
    </r>
    <r>
      <rPr>
        <sz val="10"/>
        <rFont val="Arial"/>
        <family val="0"/>
        <charset val="1"/>
      </rPr>
      <t xml:space="preserve">v2 9 </t>
    </r>
    <r>
      <rPr>
        <sz val="10"/>
        <rFont val="Noto Sans CJK SC"/>
        <family val="2"/>
      </rPr>
      <t xml:space="preserve">張＋影子 </t>
    </r>
    <r>
      <rPr>
        <sz val="10"/>
        <rFont val="Arial"/>
        <family val="0"/>
        <charset val="1"/>
      </rPr>
      <t xml:space="preserve">v3 9 </t>
    </r>
    <r>
      <rPr>
        <sz val="10"/>
        <rFont val="Noto Sans CJK SC"/>
        <family val="2"/>
      </rPr>
      <t xml:space="preserve">張 ✓；③ 生效版 </t>
    </r>
    <r>
      <rPr>
        <sz val="10"/>
        <rFont val="Arial"/>
        <family val="0"/>
        <charset val="1"/>
      </rPr>
      <t xml:space="preserve">1 → 2</t>
    </r>
    <r>
      <rPr>
        <sz val="10"/>
        <rFont val="Noto Sans CJK SC"/>
        <family val="2"/>
      </rPr>
      <t xml:space="preserve">，版本鏈「取消生效」→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、「設為生效」→ </t>
    </r>
    <r>
      <rPr>
        <sz val="10"/>
        <rFont val="Arial"/>
        <family val="0"/>
        <charset val="1"/>
      </rPr>
      <t xml:space="preserve">2 ✓</t>
    </r>
    <r>
      <rPr>
        <sz val="10"/>
        <rFont val="Noto Sans CJK SC"/>
        <family val="2"/>
      </rPr>
      <t xml:space="preserve">；① 影子卡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張進入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三種形狀、持倉健診與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個股抽屜（資料表影子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張）✓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項檢查全過：本機：最低樣本 </t>
    </r>
    <r>
      <rPr>
        <sz val="10"/>
        <rFont val="Arial"/>
        <family val="0"/>
        <charset val="1"/>
      </rPr>
      <t xml:space="preserve">20 →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個任務（個股健檢 新樣本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20…</t>
    </r>
    <r>
      <rPr>
        <sz val="10"/>
        <rFont val="Noto Sans CJK SC"/>
        <family val="2"/>
      </rPr>
      <t xml:space="preserve">）」；越權內文 →「驗證器拒絕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版（個股健檢：越權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幣別混算關鍵字：加碼）」；正常 →「產生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筆）」；批次未滿「晉升：無」、滿後「晉升：個股健檢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」；生效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、取消生效→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、設為生效→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；影子卡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張進入正式清單（平面／分組兩種形狀）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項檢查全過：本機：最低樣本 </t>
    </r>
    <r>
      <rPr>
        <sz val="10"/>
        <rFont val="Arial"/>
        <family val="0"/>
        <charset val="1"/>
      </rPr>
      <t xml:space="preserve">20 →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個任務（個股健檢 新樣本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20…</t>
    </r>
    <r>
      <rPr>
        <sz val="10"/>
        <rFont val="Noto Sans CJK SC"/>
        <family val="2"/>
      </rPr>
      <t xml:space="preserve">）」；越權內文 →「驗證器拒絕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版（個股健檢：越權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幣別混算關鍵字：加碼）」；正常 →「產生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筆）」；批次未滿「晉升：無」、滿後「晉升：個股健檢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」；取消生效→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、設為生效→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；影子卡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張進入正式清單（平面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／分組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，表內影子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</t>
    </r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</si>
  <si>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</si>
  <si>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</si>
  <si>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</si>
  <si>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</si>
  <si>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</si>
  <si>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</si>
  <si>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r>
      <rPr>
        <sz val="10"/>
        <rFont val="Noto Sans CJK SC"/>
        <family val="2"/>
      </rPr>
      <t xml:space="preserve">觀察清單把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目標下限設為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（現價 </t>
    </r>
    <r>
      <rPr>
        <sz val="10"/>
        <rFont val="Arial"/>
        <family val="0"/>
        <charset val="1"/>
      </rPr>
      <t xml:space="preserve">46.45</t>
    </r>
    <r>
      <rPr>
        <sz val="10"/>
        <rFont val="Noto Sans CJK SC"/>
        <family val="2"/>
      </rPr>
      <t xml:space="preserve">，必然跌破）→ 排程中心 › </t>
    </r>
    <r>
      <rPr>
        <sz val="10"/>
        <rFont val="Arial"/>
        <family val="0"/>
        <charset val="1"/>
      </rPr>
      <t xml:space="preserve">alert_scan › </t>
    </r>
    <r>
      <rPr>
        <sz val="10"/>
        <rFont val="Noto Sans CJK SC"/>
        <family val="2"/>
      </rPr>
      <t xml:space="preserve">立即執行 → </t>
    </r>
    <r>
      <rPr>
        <sz val="10"/>
        <rFont val="Arial"/>
        <family val="0"/>
        <charset val="1"/>
      </rPr>
      <t xml:space="preserve">run #158 ok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35 alert(s) [single_weight, sector_weight, stale_price, fx_drift, exdiv_upcoming, drawdown_from_peak, target_cross, portfolio_drawdown, currency_weight], 18 dispatched</t>
    </r>
    <r>
      <rPr>
        <sz val="10"/>
        <rFont val="Noto Sans CJK SC"/>
        <family val="2"/>
      </rPr>
      <t xml:space="preserve">」→ 預警觸發任務「持倉提點」（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，訂閱 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single_weight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vol_spike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consensus_change</t>
    </r>
    <r>
      <rPr>
        <sz val="10"/>
        <rFont val="Noto Sans CJK SC"/>
        <family val="2"/>
      </rPr>
      <t xml:space="preserve">）產生 </t>
    </r>
    <r>
      <rPr>
        <sz val="10"/>
        <rFont val="Arial"/>
        <family val="0"/>
        <charset val="1"/>
      </rPr>
      <t xml:space="preserve">insight:9 run #159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張卡；花費 </t>
    </r>
    <r>
      <rPr>
        <sz val="10"/>
        <rFont val="Arial"/>
        <family val="0"/>
        <charset val="1"/>
      </rPr>
      <t xml:space="preserve">0.008804</t>
    </r>
    <r>
      <rPr>
        <sz val="10"/>
        <rFont val="Noto Sans CJK SC"/>
        <family val="2"/>
      </rPr>
      <t xml:space="preserve">＝各 </t>
    </r>
    <r>
      <rPr>
        <sz val="10"/>
        <rFont val="Arial"/>
        <family val="0"/>
        <charset val="1"/>
      </rPr>
      <t xml:space="preserve">run cost </t>
    </r>
    <r>
      <rPr>
        <sz val="10"/>
        <rFont val="Noto Sans CJK SC"/>
        <family val="2"/>
      </rPr>
      <t xml:space="preserve">加總＝各卡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加總＝額度扣減 ✓。</t>
    </r>
    <r>
      <rPr>
        <sz val="10"/>
        <rFont val="Arial"/>
        <family val="0"/>
        <charset val="1"/>
      </rPr>
      <t xml:space="preserve">target_cross:2884:low → </t>
    </r>
    <r>
      <rPr>
        <sz val="10"/>
        <rFont val="Noto Sans CJK SC"/>
        <family val="2"/>
      </rPr>
      <t xml:space="preserve">產出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#207 ✓</t>
    </r>
    <r>
      <rPr>
        <sz val="10"/>
        <rFont val="Noto Sans CJK SC"/>
        <family val="2"/>
      </rPr>
      <t xml:space="preserve">；未訂閱的 </t>
    </r>
    <r>
      <rPr>
        <sz val="10"/>
        <rFont val="Arial"/>
        <family val="0"/>
        <charset val="1"/>
      </rPr>
      <t xml:space="preserve">stale_price </t>
    </r>
    <r>
      <rPr>
        <sz val="10"/>
        <rFont val="Noto Sans CJK SC"/>
        <family val="2"/>
      </rPr>
      <t xml:space="preserve">未派發 ✓。✗ </t>
    </r>
    <r>
      <rPr>
        <sz val="10"/>
        <rFont val="Arial"/>
        <family val="0"/>
        <charset val="1"/>
      </rPr>
      <t xml:space="preserve">fx_drift:moomoo_my</t>
    </r>
    <r>
      <rPr>
        <sz val="10"/>
        <rFont val="Noto Sans CJK SC"/>
        <family val="2"/>
      </rPr>
      <t xml:space="preserve">（帳戶層級預警）被當成個股派發，產生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」的卡，內容為模型臆測「收到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交易商的『服務不可用』警示…」，並出現在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持倉健診；✗ 卡片沒有任何欄位或畫面標示是哪一條預警觸發（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卡標題「</t>
    </r>
    <r>
      <rPr>
        <sz val="10"/>
        <rFont val="Arial"/>
        <family val="0"/>
        <charset val="1"/>
      </rPr>
      <t xml:space="preserve">RSI</t>
    </r>
    <r>
      <rPr>
        <sz val="10"/>
        <rFont val="Noto Sans CJK SC"/>
        <family val="2"/>
      </rPr>
      <t xml:space="preserve">過熱警示」，未提跌破目標價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），預警與卡片無法互查。測畢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目標價改回空白，全部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檔目標價皆為空</t>
    </r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</si>
  <si>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</si>
  <si>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</si>
  <si>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</si>
  <si>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</si>
  <si>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</si>
  <si>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</si>
  <si>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</si>
  <si>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r>
      <rPr>
        <sz val="10"/>
        <rFont val="Noto Sans CJK SC"/>
        <family val="2"/>
      </rPr>
      <t xml:space="preserve">僅記錄：量化命中率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6/45</t>
    </r>
    <r>
      <rPr>
        <sz val="10"/>
        <rFont val="Noto Sans CJK SC"/>
        <family val="2"/>
      </rPr>
      <t xml:space="preserve">）、滾動校準缺口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（最近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筆）、信心上限違規率 </t>
    </r>
    <r>
      <rPr>
        <sz val="10"/>
        <rFont val="Arial"/>
        <family val="0"/>
        <charset val="1"/>
      </rPr>
      <t xml:space="preserve">96.00%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），與前一輪記錄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46.60% </t>
    </r>
    <r>
      <rPr>
        <sz val="10"/>
        <rFont val="Noto Sans CJK SC"/>
        <family val="2"/>
      </rPr>
      <t xml:space="preserve">相同</t>
    </r>
  </si>
  <si>
    <r>
      <rPr>
        <sz val="10"/>
        <rFont val="Noto Sans CJK SC"/>
        <family val="2"/>
      </rPr>
      <t xml:space="preserve">依手冊 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「僅記錄不判定」（稽核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全面重跑）：僅記錄：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量化命中率 </t>
    </r>
    <r>
      <rPr>
        <sz val="10"/>
        <rFont val="Arial"/>
        <family val="0"/>
        <charset val="1"/>
      </rPr>
      <t xml:space="preserve">31.91%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30/94</t>
    </r>
    <r>
      <rPr>
        <sz val="10"/>
        <rFont val="Noto Sans CJK SC"/>
        <family val="2"/>
      </rPr>
      <t xml:space="preserve">）、失誤率 </t>
    </r>
    <r>
      <rPr>
        <sz val="10"/>
        <rFont val="Arial"/>
        <family val="0"/>
        <charset val="1"/>
      </rPr>
      <t xml:space="preserve">68.09%</t>
    </r>
    <r>
      <rPr>
        <sz val="10"/>
        <rFont val="Noto Sans CJK SC"/>
        <family val="2"/>
      </rPr>
      <t xml:space="preserve">、平均敘事分 </t>
    </r>
    <r>
      <rPr>
        <sz val="10"/>
        <rFont val="Arial"/>
        <family val="0"/>
        <charset val="1"/>
      </rPr>
      <t xml:space="preserve">77.63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評分後相同，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筆）。依手冊 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「僅記錄不判定」（稽核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N/A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）：僅記錄：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n 104</t>
    </r>
    <r>
      <rPr>
        <sz val="10"/>
        <rFont val="Noto Sans CJK SC"/>
        <family val="2"/>
      </rPr>
      <t xml:space="preserve">、量化命中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30.77%</t>
    </r>
    <r>
      <rPr>
        <sz val="10"/>
        <rFont val="Noto Sans CJK SC"/>
        <family val="2"/>
      </rPr>
      <t xml:space="preserve">）、失誤 </t>
    </r>
    <r>
      <rPr>
        <sz val="10"/>
        <rFont val="Arial"/>
        <family val="0"/>
        <charset val="1"/>
      </rPr>
      <t xml:space="preserve">72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69.23%</t>
    </r>
    <r>
      <rPr>
        <sz val="10"/>
        <rFont val="Noto Sans CJK SC"/>
        <family val="2"/>
      </rPr>
      <t xml:space="preserve">）、平均敘事 </t>
    </r>
    <r>
      <rPr>
        <sz val="10"/>
        <rFont val="Arial"/>
        <family val="0"/>
        <charset val="1"/>
      </rPr>
      <t xml:space="preserve">76.17</t>
    </r>
    <r>
      <rPr>
        <sz val="10"/>
        <rFont val="Noto Sans CJK SC"/>
        <family val="2"/>
      </rPr>
      <t xml:space="preserve">。依手冊僅記錄不判定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N/A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）：僅記錄：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、量化命中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30.36%</t>
    </r>
    <r>
      <rPr>
        <sz val="10"/>
        <rFont val="Noto Sans CJK SC"/>
        <family val="2"/>
      </rPr>
      <t xml:space="preserve">）、失誤 </t>
    </r>
    <r>
      <rPr>
        <sz val="10"/>
        <rFont val="Arial"/>
        <family val="0"/>
        <charset val="1"/>
      </rPr>
      <t xml:space="preserve">78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69.64%</t>
    </r>
    <r>
      <rPr>
        <sz val="10"/>
        <rFont val="Noto Sans CJK SC"/>
        <family val="2"/>
      </rPr>
      <t xml:space="preserve">）、平均敘事 </t>
    </r>
    <r>
      <rPr>
        <sz val="10"/>
        <rFont val="Arial"/>
        <family val="0"/>
        <charset val="1"/>
      </rPr>
      <t xml:space="preserve">76.04</t>
    </r>
    <r>
      <rPr>
        <sz val="10"/>
        <rFont val="Noto Sans CJK SC"/>
        <family val="2"/>
      </rPr>
      <t xml:space="preserve">。依手冊僅記錄不判定</t>
    </r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</si>
  <si>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</si>
  <si>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</si>
  <si>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</si>
  <si>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</si>
  <si>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</si>
  <si>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</si>
  <si>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</si>
  <si>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</si>
  <si>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r>
      <rPr>
        <sz val="10"/>
        <rFont val="Noto Sans CJK SC"/>
        <family val="2"/>
      </rPr>
      <t xml:space="preserve">受測站為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金鑰為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專用且受限），手冊前置條件要求非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環境；本輪未更改模型或金鑰、未按測試連線</t>
    </r>
  </si>
  <si>
    <t xml:space="preserve">DEF-078</t>
  </si>
  <si>
    <r>
      <rPr>
        <sz val="10"/>
        <rFont val="Noto Sans CJK SC"/>
        <family val="2"/>
      </rPr>
      <t xml:space="preserve">僅確認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顯示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個已註冊模型（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sonnet-5</t>
    </r>
    <r>
      <rPr>
        <sz val="10"/>
        <rFont val="Noto Sans CJK SC"/>
        <family val="2"/>
      </rPr>
      <t xml:space="preserve">）與角色預設；未讀取或輸入金鑰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新增模型（</t>
    </r>
    <r>
      <rPr>
        <sz val="10"/>
        <rFont val="Arial"/>
        <family val="0"/>
        <charset val="1"/>
      </rPr>
      <t xml:space="preserve">openai-compatible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base URL </t>
    </r>
    <r>
      <rPr>
        <sz val="10"/>
        <rFont val="Noto Sans CJK SC"/>
        <family val="2"/>
      </rPr>
      <t xml:space="preserve">指向假服務），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欄位未經畫面輸入（</t>
    </r>
    <r>
      <rPr>
        <sz val="10"/>
        <rFont val="Arial"/>
        <family val="0"/>
        <charset val="1"/>
      </rPr>
      <t xml:space="preserve">§9-6</t>
    </r>
    <r>
      <rPr>
        <sz val="10"/>
        <rFont val="Noto Sans CJK SC"/>
        <family val="2"/>
      </rPr>
      <t xml:space="preserve">），以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寫入非憑證的假字串；⚡ 測試連線成功「</t>
    </r>
    <r>
      <rPr>
        <sz val="10"/>
        <rFont val="Arial"/>
        <family val="0"/>
        <charset val="1"/>
      </rPr>
      <t xml:space="preserve">Ping 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local-fake · 913 ms</t>
    </r>
    <r>
      <rPr>
        <sz val="10"/>
        <rFont val="Noto Sans CJK SC"/>
        <family val="2"/>
      </rPr>
      <t xml:space="preserve">」、假服務切 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後「</t>
    </r>
    <r>
      <rPr>
        <sz val="10"/>
        <rFont val="Arial"/>
        <family val="0"/>
        <charset val="1"/>
      </rPr>
      <t xml:space="preserve">Ping </t>
    </r>
    <r>
      <rPr>
        <sz val="10"/>
        <rFont val="Noto Sans CJK SC"/>
        <family val="2"/>
      </rPr>
      <t xml:space="preserve">失敗 </t>
    </r>
    <r>
      <rPr>
        <sz val="10"/>
        <rFont val="Arial"/>
        <family val="0"/>
        <charset val="1"/>
      </rPr>
      <t xml:space="preserve">local-fake · litellm.AuthenticationError: … invalid api key</t>
    </r>
    <r>
      <rPr>
        <sz val="10"/>
        <rFont val="Noto Sans CJK SC"/>
        <family val="2"/>
      </rPr>
      <t xml:space="preserve">」→ ① 明確 ✓（失敗句為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英文原文）；② </t>
    </r>
    <r>
      <rPr>
        <sz val="10"/>
        <rFont val="Arial"/>
        <family val="0"/>
        <charset val="1"/>
      </rPr>
      <t xml:space="preserve">/api/llm/config </t>
    </r>
    <r>
      <rPr>
        <sz val="10"/>
        <rFont val="Noto Sans CJK SC"/>
        <family val="2"/>
      </rPr>
      <t xml:space="preserve">只見 </t>
    </r>
    <r>
      <rPr>
        <sz val="10"/>
        <rFont val="Arial"/>
        <family val="0"/>
        <charset val="1"/>
      </rPr>
      <t xml:space="preserve">api_key_masked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sk-•••000</t>
    </r>
    <r>
      <rPr>
        <sz val="10"/>
        <rFont val="Noto Sans CJK SC"/>
        <family val="2"/>
      </rPr>
      <t xml:space="preserve">」，頁面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、所有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回應皆不含假字串 ✓；③ </t>
    </r>
    <r>
      <rPr>
        <sz val="10"/>
        <rFont val="Arial"/>
        <family val="0"/>
        <charset val="1"/>
      </rPr>
      <t xml:space="preserve">action_log </t>
    </r>
    <r>
      <rPr>
        <sz val="10"/>
        <rFont val="Noto Sans CJK SC"/>
        <family val="2"/>
      </rPr>
      <t xml:space="preserve">記「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設定變更／刪除」✓。觀察：金鑰輸入欄為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（重設後輸入以明文顯示）→ 列為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
</t>
    </r>
    <r>
      <rPr>
        <sz val="10"/>
        <rFont val="Arial"/>
        <family val="0"/>
        <charset val="1"/>
      </rPr>
      <t xml:space="preserve">R5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）⑦：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改密碼欄位＋遮罩前後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字元明文，開 </t>
    </r>
    <r>
      <rPr>
        <sz val="10"/>
        <rFont val="Arial"/>
        <family val="0"/>
        <charset val="1"/>
      </rPr>
      <t xml:space="preserve">DEF-078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：模型抽屜、資料來源對話框、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類祕密欄皆 </t>
    </r>
    <r>
      <rPr>
        <sz val="10"/>
        <rFont val="Arial"/>
        <family val="0"/>
        <charset val="1"/>
      </rPr>
      <t xml:space="preserve">type=password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autocomplete=new-password</t>
    </r>
    <r>
      <rPr>
        <sz val="10"/>
        <rFont val="Noto Sans CJK SC"/>
        <family val="2"/>
      </rPr>
      <t xml:space="preserve">；遮罩依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字元：</t>
    </r>
    <r>
      <rPr>
        <sz val="10"/>
        <rFont val="Arial"/>
        <family val="0"/>
        <charset val="1"/>
      </rPr>
      <t xml:space="preserve">sk-•••815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eyJ•••YMY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pd-•••c0b</t>
    </r>
    <r>
      <rPr>
        <sz val="10"/>
        <rFont val="Noto Sans CJK SC"/>
        <family val="2"/>
      </rPr>
      <t xml:space="preserve">；未在任何祕密欄輸入、未儲存）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/api/llm/config </t>
    </r>
    <r>
      <rPr>
        <sz val="10"/>
        <rFont val="Noto Sans CJK SC"/>
        <family val="2"/>
      </rPr>
      <t xml:space="preserve">金鑰只以遮罩（</t>
    </r>
    <r>
      <rPr>
        <sz val="10"/>
        <rFont val="Arial"/>
        <family val="0"/>
        <charset val="1"/>
      </rPr>
      <t xml:space="preserve">sk-•••815</t>
    </r>
    <r>
      <rPr>
        <sz val="10"/>
        <rFont val="Noto Sans CJK SC"/>
        <family val="2"/>
      </rPr>
      <t xml:space="preserve">）出現、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個祕密欄位皆為密碼欄；本機：新增模型 </t>
    </r>
    <r>
      <rPr>
        <sz val="10"/>
        <rFont val="Arial"/>
        <family val="0"/>
        <charset val="1"/>
      </rPr>
      <t xml:space="preserve">qa-r10-fake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設非憑證假金鑰（未在密碼欄輸入，</t>
    </r>
    <r>
      <rPr>
        <sz val="10"/>
        <rFont val="Arial"/>
        <family val="0"/>
        <charset val="1"/>
      </rPr>
      <t xml:space="preserve">§9-6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Ping </t>
    </r>
    <r>
      <rPr>
        <sz val="10"/>
        <rFont val="Noto Sans CJK SC"/>
        <family val="2"/>
      </rPr>
      <t xml:space="preserve">成功「</t>
    </r>
    <r>
      <rPr>
        <sz val="10"/>
        <rFont val="Arial"/>
        <family val="0"/>
        <charset val="1"/>
      </rPr>
      <t xml:space="preserve">qa-r10-fake · 375 ms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模式失敗「金鑰無效或未授權（</t>
    </r>
    <r>
      <rPr>
        <sz val="10"/>
        <rFont val="Arial"/>
        <family val="0"/>
        <charset val="1"/>
      </rPr>
      <t xml:space="preserve">HTTP 401</t>
    </r>
    <r>
      <rPr>
        <sz val="10"/>
        <rFont val="Noto Sans CJK SC"/>
        <family val="2"/>
      </rPr>
      <t xml:space="preserve">）…」；只回遮罩 </t>
    </r>
    <r>
      <rPr>
        <sz val="10"/>
        <rFont val="Arial"/>
        <family val="0"/>
        <charset val="1"/>
      </rPr>
      <t xml:space="preserve">sk-•••000</t>
    </r>
    <r>
      <rPr>
        <sz val="10"/>
        <rFont val="Noto Sans CJK SC"/>
        <family val="2"/>
      </rPr>
      <t xml:space="preserve">、頁面與回應不含金鑰；</t>
    </r>
    <r>
      <rPr>
        <sz val="10"/>
        <rFont val="Arial"/>
        <family val="0"/>
        <charset val="1"/>
      </rPr>
      <t xml:space="preserve">action_log </t>
    </r>
    <r>
      <rPr>
        <sz val="10"/>
        <rFont val="Noto Sans CJK SC"/>
        <family val="2"/>
      </rPr>
      <t xml:space="preserve">記「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操作」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/api/llm/config </t>
    </r>
    <r>
      <rPr>
        <sz val="10"/>
        <rFont val="Noto Sans CJK SC"/>
        <family val="2"/>
      </rPr>
      <t xml:space="preserve">金鑰只以遮罩（</t>
    </r>
    <r>
      <rPr>
        <sz val="10"/>
        <rFont val="Arial"/>
        <family val="0"/>
        <charset val="1"/>
      </rPr>
      <t xml:space="preserve">sk-•••815</t>
    </r>
    <r>
      <rPr>
        <sz val="10"/>
        <rFont val="Noto Sans CJK SC"/>
        <family val="2"/>
      </rPr>
      <t xml:space="preserve">）出現、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個祕密欄位皆為密碼欄（未輸入，</t>
    </r>
    <r>
      <rPr>
        <sz val="10"/>
        <rFont val="Arial"/>
        <family val="0"/>
        <charset val="1"/>
      </rPr>
      <t xml:space="preserve">§9-6</t>
    </r>
    <r>
      <rPr>
        <sz val="10"/>
        <rFont val="Noto Sans CJK SC"/>
        <family val="2"/>
      </rPr>
      <t xml:space="preserve">）；本機：新增模型 </t>
    </r>
    <r>
      <rPr>
        <sz val="10"/>
        <rFont val="Arial"/>
        <family val="0"/>
        <charset val="1"/>
      </rPr>
      <t xml:space="preserve">qa-r11-fake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設非憑證假金鑰（未在密碼欄輸入）→ </t>
    </r>
    <r>
      <rPr>
        <sz val="10"/>
        <rFont val="Arial"/>
        <family val="0"/>
        <charset val="1"/>
      </rPr>
      <t xml:space="preserve">Ping </t>
    </r>
    <r>
      <rPr>
        <sz val="10"/>
        <rFont val="Noto Sans CJK SC"/>
        <family val="2"/>
      </rPr>
      <t xml:space="preserve">成功「</t>
    </r>
    <r>
      <rPr>
        <sz val="10"/>
        <rFont val="Arial"/>
        <family val="0"/>
        <charset val="1"/>
      </rPr>
      <t xml:space="preserve">qa-r11-fake · 1232 ms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模式失敗「金鑰無效或未授權（</t>
    </r>
    <r>
      <rPr>
        <sz val="10"/>
        <rFont val="Arial"/>
        <family val="0"/>
        <charset val="1"/>
      </rPr>
      <t xml:space="preserve">HTTP 401</t>
    </r>
    <r>
      <rPr>
        <sz val="10"/>
        <rFont val="Noto Sans CJK SC"/>
        <family val="2"/>
      </rPr>
      <t xml:space="preserve">）…」；只回遮罩 </t>
    </r>
    <r>
      <rPr>
        <sz val="10"/>
        <rFont val="Arial"/>
        <family val="0"/>
        <charset val="1"/>
      </rPr>
      <t xml:space="preserve">sk-•••000</t>
    </r>
    <r>
      <rPr>
        <sz val="10"/>
        <rFont val="Noto Sans CJK SC"/>
        <family val="2"/>
      </rPr>
      <t xml:space="preserve">、頁面與回應不含金鑰；</t>
    </r>
    <r>
      <rPr>
        <sz val="10"/>
        <rFont val="Arial"/>
        <family val="0"/>
        <charset val="1"/>
      </rPr>
      <t xml:space="preserve">action_log </t>
    </r>
    <r>
      <rPr>
        <sz val="10"/>
        <rFont val="Noto Sans CJK SC"/>
        <family val="2"/>
      </rPr>
      <t xml:space="preserve">記「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操作」</t>
    </r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</si>
  <si>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</si>
  <si>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</si>
  <si>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</si>
  <si>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</si>
  <si>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 = 匯出檔各列 cost 加總 = 卡片上顯示的 cost 加總（三者一致）</t>
  </si>
  <si>
    <t xml:space="preserve">部分（額度顯示已驗）</t>
  </si>
  <si>
    <r>
      <rPr>
        <sz val="10"/>
        <rFont val="Noto Sans CJK SC"/>
        <family val="2"/>
      </rPr>
      <t xml:space="preserve">記錄額度 </t>
    </r>
    <r>
      <rPr>
        <sz val="10"/>
        <rFont val="Arial"/>
        <family val="0"/>
        <charset val="1"/>
      </rPr>
      <t xml:space="preserve">3.2993543 →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產生洞察 執行一次單一標的任務（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張卡）→ 額度 </t>
    </r>
    <r>
      <rPr>
        <sz val="10"/>
        <rFont val="Arial"/>
        <family val="0"/>
        <charset val="1"/>
      </rPr>
      <t xml:space="preserve">3.2965293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0.002825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2026-09-23T05:14:16 google/gemini-2.5-flash-lite insight_generate 18414 2459 0.002825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#190 cost_usd 0.002825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18,414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#156 cost_usd 0.002825 → </t>
    </r>
    <r>
      <rPr>
        <sz val="10"/>
        <rFont val="Noto Sans CJK SC"/>
        <family val="2"/>
      </rPr>
      <t xml:space="preserve">三者（額度扣減＝匯出列加總＝卡片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✓。另做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辨識：額度 </t>
    </r>
    <r>
      <rPr>
        <sz val="10"/>
        <rFont val="Arial"/>
        <family val="0"/>
        <charset val="1"/>
      </rPr>
      <t xml:space="preserve">3.2965293→3.2963725→…→3.2960594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三列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0.0001576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928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1.7034707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3.2965293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</si>
  <si>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</si>
  <si>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</si>
  <si>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</si>
  <si>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</si>
  <si>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</si>
  <si>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</si>
  <si>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r>
      <rPr>
        <sz val="10"/>
        <rFont val="Noto Sans CJK SC"/>
        <family val="2"/>
      </rPr>
      <t xml:space="preserve">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持倉週報策略：在內文末尾加一行「【</t>
    </r>
    <r>
      <rPr>
        <sz val="10"/>
        <rFont val="Arial"/>
        <family val="0"/>
        <charset val="1"/>
      </rPr>
      <t xml:space="preserve">QA H-03 </t>
    </r>
    <r>
      <rPr>
        <sz val="10"/>
        <rFont val="Noto Sans CJK SC"/>
        <family val="2"/>
      </rPr>
      <t xml:space="preserve">測試標記】」→ 儲存（</t>
    </r>
    <r>
      <rPr>
        <sz val="10"/>
        <rFont val="Arial"/>
        <family val="0"/>
        <charset val="1"/>
      </rPr>
      <t xml:space="preserve">PUT /api/strategy-prompts/1 200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「已儲存 … 下次執行生效」）→ 對引用此模板的測試任務做乾跑預檢：</t>
    </r>
    <r>
      <rPr>
        <sz val="10"/>
        <rFont val="Arial"/>
        <family val="0"/>
        <charset val="1"/>
      </rPr>
      <t xml:space="preserve">assembled_preview </t>
    </r>
    <r>
      <rPr>
        <sz val="10"/>
        <rFont val="Noto Sans CJK SC"/>
        <family val="2"/>
      </rPr>
      <t xml:space="preserve">的「持倉週報策略」層含標記、畫面「查看組裝後提示詞」也看得到 ✓（②）。✗ ①③：模板卡只有 儲存／預覽提示詞／測試送出／同步官方 </t>
    </r>
    <r>
      <rPr>
        <sz val="10"/>
        <rFont val="Arial"/>
        <family val="0"/>
        <charset val="1"/>
      </rPr>
      <t xml:space="preserve">v2.5</t>
    </r>
    <r>
      <rPr>
        <sz val="10"/>
        <rFont val="Noto Sans CJK SC"/>
        <family val="2"/>
      </rPr>
      <t xml:space="preserve">／封存，沒有版本記錄可看、也沒有「回復上一版」，後端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直接覆寫 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；只能手動改回。本輪以手動貼回原文還原，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與改前逐字相同（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無法還原：</t>
    </r>
    <r>
      <rPr>
        <sz val="10"/>
        <rFont val="Arial"/>
        <family val="0"/>
        <charset val="1"/>
      </rPr>
      <t xml:space="preserve">2026-08-23 → 2026-09-23 05:17</t>
    </r>
    <r>
      <rPr>
        <sz val="10"/>
        <rFont val="Noto Sans CJK SC"/>
        <family val="2"/>
      </rPr>
      <t xml:space="preserve">）</t>
    </r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</si>
  <si>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</si>
  <si>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</si>
  <si>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</si>
  <si>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</si>
  <si>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</si>
  <si>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</si>
  <si>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</si>
  <si>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r>
      <rPr>
        <sz val="10"/>
        <rFont val="Noto Sans CJK SC"/>
        <family val="2"/>
      </rPr>
      <t xml:space="preserve">① 新增：＋新增洞察任務 精靈（先不排程／單一標的／自選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／個股健檢＋持倉週報模板／命名「</t>
    </r>
    <r>
      <rPr>
        <sz val="10"/>
        <rFont val="Arial"/>
        <family val="0"/>
        <charset val="1"/>
      </rPr>
      <t xml:space="preserve">QA H-04 </t>
    </r>
    <r>
      <rPr>
        <sz val="10"/>
        <rFont val="Noto Sans CJK SC"/>
        <family val="2"/>
      </rPr>
      <t xml:space="preserve">測試任務」）→ </t>
    </r>
    <r>
      <rPr>
        <sz val="10"/>
        <rFont val="Arial"/>
        <family val="0"/>
        <charset val="1"/>
      </rPr>
      <t xml:space="preserve">POST /api/insight-tasks 200 id 10</t>
    </r>
    <r>
      <rPr>
        <sz val="10"/>
        <rFont val="Noto Sans CJK SC"/>
        <family val="2"/>
      </rPr>
      <t xml:space="preserve">，立即顯示乾跑預檢（結論「可以執行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項警告…不會中斷」）✓；② 設排程：抽屜 › 啟動排程 → 每月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日 </t>
    </r>
    <r>
      <rPr>
        <sz val="10"/>
        <rFont val="Arial"/>
        <family val="0"/>
        <charset val="1"/>
      </rPr>
      <t xml:space="preserve">08:00 → POST /api/insight-tasks/10/schedule 200 {job_id insight:10}</t>
    </r>
    <r>
      <rPr>
        <sz val="10"/>
        <rFont val="Noto Sans CJK SC"/>
        <family val="2"/>
      </rPr>
      <t xml:space="preserve">，系統設定 › 排程中心出現 </t>
    </r>
    <r>
      <rPr>
        <sz val="10"/>
        <rFont val="Arial"/>
        <family val="0"/>
        <charset val="1"/>
      </rPr>
      <t xml:space="preserve">insight:10 ✓</t>
    </r>
    <r>
      <rPr>
        <sz val="10"/>
        <rFont val="Noto Sans CJK SC"/>
        <family val="2"/>
      </rPr>
      <t xml:space="preserve">；③ 停用：卡片開關 → </t>
    </r>
    <r>
      <rPr>
        <sz val="10"/>
        <rFont val="Arial"/>
        <family val="0"/>
        <charset val="1"/>
      </rPr>
      <t xml:space="preserve">PUT enabled false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「任務已暫停 … 排程保留、不再執行」，重新整理後五個節點皆「已停用」✓；④ 立即執行：✗ 排程中心 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按「立即執行」→ </t>
    </r>
    <r>
      <rPr>
        <sz val="10"/>
        <rFont val="Arial"/>
        <family val="0"/>
        <charset val="1"/>
      </rPr>
      <t xml:space="preserve">202 run #153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#154 → </t>
    </r>
    <r>
      <rPr>
        <sz val="10"/>
        <rFont val="Noto Sans CJK SC"/>
        <family val="2"/>
      </rPr>
      <t xml:space="preserve">狀態「失敗 </t>
    </r>
    <r>
      <rPr>
        <sz val="10"/>
        <rFont val="Arial"/>
        <family val="0"/>
        <charset val="1"/>
      </rPr>
      <t xml:space="preserve">'insight:10'</t>
    </r>
    <r>
      <rPr>
        <sz val="10"/>
        <rFont val="Noto Sans CJK SC"/>
        <family val="2"/>
      </rPr>
      <t xml:space="preserve">」（停用與啟用時各一次，結果相同；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也一樣失敗 </t>
    </r>
    <r>
      <rPr>
        <sz val="10"/>
        <rFont val="Arial"/>
        <family val="0"/>
        <charset val="1"/>
      </rPr>
      <t xml:space="preserve">#155</t>
    </r>
    <r>
      <rPr>
        <sz val="10"/>
        <rFont val="Noto Sans CJK SC"/>
        <family val="2"/>
      </rPr>
      <t xml:space="preserve">）；改由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產生洞察 › </t>
    </r>
    <r>
      <rPr>
        <sz val="10"/>
        <rFont val="Arial"/>
        <family val="0"/>
        <charset val="1"/>
      </rPr>
      <t xml:space="preserve">QA H-04 </t>
    </r>
    <r>
      <rPr>
        <sz val="10"/>
        <rFont val="Noto Sans CJK SC"/>
        <family val="2"/>
      </rPr>
      <t xml:space="preserve">測試任務 → </t>
    </r>
    <r>
      <rPr>
        <sz val="10"/>
        <rFont val="Arial"/>
        <family val="0"/>
        <charset val="1"/>
      </rPr>
      <t xml:space="preserve">POST /api/insight-types/10/run 202 run #156 </t>
    </r>
    <r>
      <rPr>
        <sz val="10"/>
        <rFont val="Noto Sans CJK SC"/>
        <family val="2"/>
      </rPr>
      <t xml:space="preserve">成功、產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 ✓；⑤ 刪除：抽屜 › 刪除任務 → 確認框「將同步移除排程、整條校正鏈封存；歷史洞察與運行記錄保留」→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，排程中心 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消失，</t>
    </r>
    <r>
      <rPr>
        <sz val="10"/>
        <rFont val="Arial"/>
        <family val="0"/>
        <charset val="1"/>
      </rPr>
      <t xml:space="preserve">/api/insight-tasks </t>
    </r>
    <r>
      <rPr>
        <sz val="10"/>
        <rFont val="Noto Sans CJK SC"/>
        <family val="2"/>
      </rPr>
      <t xml:space="preserve">與建立前字串完全相同 ✓。「停用的任務不得被排程觸發」：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排程器關閉（</t>
    </r>
    <r>
      <rPr>
        <sz val="10"/>
        <rFont val="Arial"/>
        <family val="0"/>
        <charset val="1"/>
      </rPr>
      <t xml:space="preserve">PD_DISABLE_SCHEDULER=1</t>
    </r>
    <r>
      <rPr>
        <sz val="10"/>
        <rFont val="Noto Sans CJK SC"/>
        <family val="2"/>
      </rPr>
      <t xml:space="preserve">）無法實測</t>
    </r>
  </si>
  <si>
    <t xml:space="preserve">DEF-030, DEF-031, DEF-032, DEF-051, DEF-053, DEF-058, DEF-059, DEF-062, DEF-064, DEF-074, DEF-075, DEF-076</t>
  </si>
  <si>
    <r>
      <rPr>
        <sz val="10"/>
        <rFont val="Noto Sans CJK SC"/>
        <family val="2"/>
      </rPr>
      <t xml:space="preserve">排程中心的 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工作只顯示「</t>
    </r>
    <r>
      <rPr>
        <sz val="10"/>
        <rFont val="Arial"/>
        <family val="0"/>
        <charset val="1"/>
      </rPr>
      <t xml:space="preserve">insight:10</t>
    </r>
    <r>
      <rPr>
        <sz val="10"/>
        <rFont val="Noto Sans CJK SC"/>
        <family val="2"/>
      </rPr>
      <t xml:space="preserve">」不顯示任務名；任務暫停後排程中心該列開關仍為開啟；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留下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#156 </t>
    </r>
    <r>
      <rPr>
        <sz val="10"/>
        <rFont val="Noto Sans CJK SC"/>
        <family val="2"/>
      </rPr>
      <t xml:space="preserve">四列運行記錄（屬歷史，無法刪除）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DEF-032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DEF-051</t>
    </r>
    <r>
      <rPr>
        <sz val="10"/>
        <rFont val="Noto Sans CJK SC"/>
        <family val="2"/>
      </rPr>
      <t xml:space="preserve">（立即執行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DEF-053</t>
    </r>
    <r>
      <rPr>
        <sz val="10"/>
        <rFont val="Noto Sans CJK SC"/>
        <family val="2"/>
      </rPr>
      <t xml:space="preserve">（精靈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DEF-058</t>
    </r>
    <r>
      <rPr>
        <sz val="10"/>
        <rFont val="Noto Sans CJK SC"/>
        <family val="2"/>
      </rPr>
      <t xml:space="preserve">（最近批次成本口徑）、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複驗通過結案；附帶新開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（精靈監聽規則顯示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（報價類抓取宇宙排除封存，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複驗通過結案（精靈 </t>
    </r>
    <r>
      <rPr>
        <sz val="10"/>
        <rFont val="Arial"/>
        <family val="0"/>
        <charset val="1"/>
      </rPr>
      <t xml:space="preserve">15/15 </t>
    </r>
    <r>
      <rPr>
        <sz val="10"/>
        <rFont val="Noto Sans CJK SC"/>
        <family val="2"/>
      </rPr>
      <t xml:space="preserve">中文且與 </t>
    </r>
    <r>
      <rPr>
        <sz val="10"/>
        <rFont val="Arial"/>
        <family val="0"/>
        <charset val="1"/>
      </rPr>
      <t xml:space="preserve">/api/alert-rules </t>
    </r>
    <r>
      <rPr>
        <sz val="10"/>
        <rFont val="Noto Sans CJK SC"/>
        <family val="2"/>
      </rPr>
      <t xml:space="preserve">逐字相同；本機封存守門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情境與重新持有自動解除封存）
</t>
    </r>
    <r>
      <rPr>
        <sz val="10"/>
        <rFont val="Arial"/>
        <family val="0"/>
        <charset val="1"/>
      </rPr>
      <t xml:space="preserve">R5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）：①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、②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、⑤ 開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；③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、④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維持現狀不開單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076 </t>
    </r>
    <r>
      <rPr>
        <sz val="10"/>
        <rFont val="Noto Sans CJK SC"/>
        <family val="2"/>
      </rPr>
      <t xml:space="preserve">複驗通過結案（本機收件匣掃描 </t>
    </r>
    <r>
      <rPr>
        <sz val="10"/>
        <rFont val="Arial"/>
        <family val="0"/>
        <charset val="1"/>
      </rPr>
      <t xml:space="preserve">8→</t>
    </r>
    <r>
      <rPr>
        <sz val="10"/>
        <rFont val="Noto Sans CJK SC"/>
        <family val="2"/>
      </rPr>
      <t xml:space="preserve">封存 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7→</t>
    </r>
    <r>
      <rPr>
        <sz val="10"/>
        <rFont val="Noto Sans CJK SC"/>
        <family val="2"/>
      </rPr>
      <t xml:space="preserve">還原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檔；</t>
    </r>
    <r>
      <rPr>
        <sz val="10"/>
        <rFont val="Arial"/>
        <family val="0"/>
        <charset val="1"/>
      </rPr>
      <t xml:space="preserve">demo 0056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股〔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〕後觀察清單與目標配置皆「持有」、移除回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，已刪除並還原；</t>
    </r>
    <r>
      <rPr>
        <sz val="10"/>
        <rFont val="Arial"/>
        <family val="0"/>
        <charset val="1"/>
      </rPr>
      <t xml:space="preserve">demo 19 </t>
    </r>
    <r>
      <rPr>
        <sz val="10"/>
        <rFont val="Noto Sans CJK SC"/>
        <family val="2"/>
      </rPr>
      <t xml:space="preserve">頁「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處、預警「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項檢查全過：建立 → 清單出現 → 停用 → 設排程 </t>
    </r>
    <r>
      <rPr>
        <sz val="10"/>
        <rFont val="Arial"/>
        <family val="0"/>
        <charset val="1"/>
      </rPr>
      <t xml:space="preserve">0 9 * * 1 → </t>
    </r>
    <r>
      <rPr>
        <sz val="10"/>
        <rFont val="Noto Sans CJK SC"/>
        <family val="2"/>
      </rPr>
      <t xml:space="preserve">排程中心以「暫停」呈現（</t>
    </r>
    <r>
      <rPr>
        <sz val="10"/>
        <rFont val="Arial"/>
        <family val="0"/>
        <charset val="1"/>
      </rPr>
      <t xml:space="preserve">effective_enabled false</t>
    </r>
    <r>
      <rPr>
        <sz val="10"/>
        <rFont val="Noto Sans CJK SC"/>
        <family val="2"/>
      </rPr>
      <t xml:space="preserve">、暫停原因「任務已在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洞察管線暫停，排程觸發時不會執行」，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裁定之設計）→ 啟用後立即執行 </t>
    </r>
    <r>
      <rPr>
        <sz val="10"/>
        <rFont val="Arial"/>
        <family val="0"/>
        <charset val="1"/>
      </rPr>
      <t xml:space="preserve">run #227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張卡」（</t>
    </r>
    <r>
      <rPr>
        <sz val="10"/>
        <rFont val="Arial"/>
        <family val="0"/>
        <charset val="1"/>
      </rPr>
      <t xml:space="preserve">0.0012504</t>
    </r>
    <r>
      <rPr>
        <sz val="10"/>
        <rFont val="Noto Sans CJK SC"/>
        <family val="2"/>
      </rPr>
      <t xml:space="preserve">）→ 刪除後清單與排程皆移除（首跑時驗證者的檢查程式沒有照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裁定的暫停呈現判讀，修正檢查後重跑）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項檢查全過：建立 </t>
    </r>
    <r>
      <rPr>
        <sz val="10"/>
        <rFont val="Arial"/>
        <family val="0"/>
        <charset val="1"/>
      </rPr>
      <t xml:space="preserve">#25 → </t>
    </r>
    <r>
      <rPr>
        <sz val="10"/>
        <rFont val="Noto Sans CJK SC"/>
        <family val="2"/>
      </rPr>
      <t xml:space="preserve">清單出現 → 停用 → 設排程 </t>
    </r>
    <r>
      <rPr>
        <sz val="10"/>
        <rFont val="Arial"/>
        <family val="0"/>
        <charset val="1"/>
      </rPr>
      <t xml:space="preserve">0 9 * * 1 → </t>
    </r>
    <r>
      <rPr>
        <sz val="10"/>
        <rFont val="Noto Sans CJK SC"/>
        <family val="2"/>
      </rPr>
      <t xml:space="preserve">排程中心以「暫停」呈現（</t>
    </r>
    <r>
      <rPr>
        <sz val="10"/>
        <rFont val="Arial"/>
        <family val="0"/>
        <charset val="1"/>
      </rPr>
      <t xml:space="preserve">effective_enabled false</t>
    </r>
    <r>
      <rPr>
        <sz val="10"/>
        <rFont val="Noto Sans CJK SC"/>
        <family val="2"/>
      </rPr>
      <t xml:space="preserve">、附暫停原因，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裁定之設計）→ 啟用後立即執行 </t>
    </r>
    <r>
      <rPr>
        <sz val="10"/>
        <rFont val="Arial"/>
        <family val="0"/>
        <charset val="1"/>
      </rPr>
      <t xml:space="preserve">run #243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張卡」（</t>
    </r>
    <r>
      <rPr>
        <sz val="10"/>
        <rFont val="Arial"/>
        <family val="0"/>
        <charset val="1"/>
      </rPr>
      <t xml:space="preserve">0.0013051</t>
    </r>
    <r>
      <rPr>
        <sz val="10"/>
        <rFont val="Noto Sans CJK SC"/>
        <family val="2"/>
      </rPr>
      <t xml:space="preserve">）→ 刪除後清單與排程皆移除</t>
    </r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</si>
  <si>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</si>
  <si>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</si>
  <si>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</si>
  <si>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</si>
  <si>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</si>
  <si>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</si>
  <si>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</si>
  <si>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r>
      <rPr>
        <sz val="10"/>
        <rFont val="Noto Sans CJK SC"/>
        <family val="2"/>
      </rPr>
      <t xml:space="preserve">以測試任務逐一製造：① 模板停用：設定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把任務引用的兩個模板都關掉 → 乾跑預檢「✕ 模板啟用 組合的策略段全空（全部停用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封存）［啟用模板］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」，結論「本任務現在不會成功執行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道閘門擋下。修復上方紅色項目後重跑預檢。」；按「啟用模板」直接跳到模板庫 ✓；兩個模板改回啟用、內文未變。② 價格過期：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顯示「ⓘ 價格新鮮度 價格過期（以舊價產生）：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」，結論「可以執行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項警告會反映在產出…不會中斷」✓。③ 標的宇宙為空：✗ 無法製造——建立後的「編輯標的」按鈕只跳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、不開編輯器；把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全數賣出（</t>
    </r>
    <r>
      <rPr>
        <sz val="10"/>
        <rFont val="Arial"/>
        <family val="0"/>
        <charset val="1"/>
      </rPr>
      <t xml:space="preserve">#96</t>
    </r>
    <r>
      <rPr>
        <sz val="10"/>
        <rFont val="Noto Sans CJK SC"/>
        <family val="2"/>
      </rPr>
      <t xml:space="preserve">，測後刪除並逐位元還原）後自選宇宙仍保留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通過。④ 額度不足：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無法調低額度（只有「＋添加額度」），把低額度警示改成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仍「通過」，已改回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；缺價：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檔已註冊標的皆有報價，無法製造</t>
    </r>
  </si>
  <si>
    <t xml:space="preserve">DEF-031, DEF-043, DEF-085</t>
  </si>
  <si>
    <r>
      <rPr>
        <sz val="10"/>
        <rFont val="Noto Sans CJK SC"/>
        <family val="2"/>
      </rPr>
      <t xml:space="preserve">可測的兩種情境（模板停用、價格過期）結論都明確寫出會不會中斷；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情境因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無法建立；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／缺價受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限制未測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複驗通過結案；附帶新開 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任務的 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／觸發節點誤報「不會自動執行」）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DEF-043 </t>
    </r>
    <r>
      <rPr>
        <sz val="10"/>
        <rFont val="Noto Sans CJK SC"/>
        <family val="2"/>
      </rPr>
      <t xml:space="preserve">複驗通過結案（預警觸發節點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、需注意 </t>
    </r>
    <r>
      <rPr>
        <sz val="10"/>
        <rFont val="Arial"/>
        <family val="0"/>
        <charset val="1"/>
      </rPr>
      <t xml:space="preserve">3→2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項）：①模板停用（設定頁同一個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關閉）→「✕ 模板啟用 組合的策略段全空（全部停用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封存）［啟用模板］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」、結論「本任務現在不會成功執行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道閘門擋下。修復上方紅色項目後重跑預檢。」✓；②標的宇宙為空 →「✕ 標的宇宙 標的宇宙為空（清單已出清）［編輯標的］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」、結論同上 ✓。本機專用測試環境（同一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）：③缺價（刪 </t>
    </r>
    <r>
      <rPr>
        <sz val="10"/>
        <rFont val="Arial"/>
        <family val="0"/>
        <charset val="1"/>
      </rPr>
      <t xml:space="preserve">ORBT </t>
    </r>
    <r>
      <rPr>
        <sz val="10"/>
        <rFont val="Noto Sans CJK SC"/>
        <family val="2"/>
      </rPr>
      <t xml:space="preserve">價格）→「⚠ 價格資料 缺價標的（產確定性『資料異常』卡，零成本）：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」附修正、結論「可以執行 —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項警告會反映在產出…不會中斷。」✓；④額度不足（剩餘 −</t>
    </r>
    <r>
      <rPr>
        <sz val="10"/>
        <rFont val="Arial"/>
        <family val="0"/>
        <charset val="1"/>
      </rPr>
      <t xml:space="preserve">$0.01</t>
    </r>
    <r>
      <rPr>
        <sz val="10"/>
        <rFont val="Noto Sans CJK SC"/>
        <family val="2"/>
      </rPr>
      <t xml:space="preserve">）→「✕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」、結論「本任務現在不會成功執行…」，但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列沒有任何修正指引（無按鈕、無「補充額度／前往額度設定」字樣；同畫面 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皆有一鍵修正），程式註解表示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無一鍵修正為刻意設計（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列舉不含額度加值）→ 與手冊「給出可執行的修正指引」衝突，開 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裁定）。四種情境首次全數實測（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／缺價受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限制未測）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修（期望「給出可執行的修正指引」不變）→ 本案由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，待修復後複驗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）＋本機專用測試環境（同一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demo ①</t>
    </r>
    <r>
      <rPr>
        <sz val="10"/>
        <rFont val="Noto Sans CJK SC"/>
        <family val="2"/>
      </rPr>
      <t xml:space="preserve">模板停用 →「✕ 模板啟用 組合的策略段全空（全部停用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封存）［啟用模板］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」、結論「本任務現在不會成功執行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道閘門擋下。修復上方紅色項目後重跑預檢。」✓；②標的宇宙為空 →「✕ 標的宇宙 標的宇宙為空（清單已出清）［編輯標的］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」、結論同上 ✓。本機 ③缺價（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）→「⚠ 價格資料 缺價標的（產確定性『資料異常』卡，零成本）：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」附修正、結論「可以執行 —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項警告會反映在產出…不會中斷。」✓；④額度不足（剩餘 −</t>
    </r>
    <r>
      <rPr>
        <sz val="10"/>
        <rFont val="Arial"/>
        <family val="0"/>
        <charset val="1"/>
      </rPr>
      <t xml:space="preserve">$0.01</t>
    </r>
    <r>
      <rPr>
        <sz val="10"/>
        <rFont val="Noto Sans CJK SC"/>
        <family val="2"/>
      </rPr>
      <t xml:space="preserve">）→「✕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）［前往額度設定］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fix fund_quota</t>
    </r>
    <r>
      <rPr>
        <sz val="10"/>
        <rFont val="Noto Sans CJK SC"/>
        <family val="2"/>
      </rPr>
      <t xml:space="preserve">）、結論「本任務現在不會成功執行…」✓——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修復後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有可執行的修正指引，乾跑預檢與「為什麼沒跑？」兩個對話框皆有，按下到「設定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與額度」（</t>
    </r>
    <r>
      <rPr>
        <sz val="10"/>
        <rFont val="Arial"/>
        <family val="0"/>
        <charset val="1"/>
      </rPr>
      <t xml:space="preserve">settings.html#llm</t>
    </r>
    <r>
      <rPr>
        <sz val="10"/>
        <rFont val="Noto Sans CJK SC"/>
        <family val="2"/>
      </rPr>
      <t xml:space="preserve">）；金額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位小數與管線節點「餘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」一致。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複驗通過結案</t>
    </r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</si>
  <si>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</si>
  <si>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</si>
  <si>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</si>
  <si>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</si>
  <si>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</si>
  <si>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r>
      <rPr>
        <sz val="10"/>
        <rFont val="Noto Sans CJK SC"/>
        <family val="2"/>
      </rPr>
      <t xml:space="preserve">洞察管線 › 啟用官方套組 → </t>
    </r>
    <r>
      <rPr>
        <sz val="10"/>
        <rFont val="Arial"/>
        <family val="0"/>
        <charset val="1"/>
      </rPr>
      <t xml:space="preserve">POST /api/insight-tasks/official-pack 200 {created: [], skipped: [</t>
    </r>
    <r>
      <rPr>
        <sz val="10"/>
        <rFont val="Noto Sans CJK SC"/>
        <family val="2"/>
      </rPr>
      <t xml:space="preserve">持倉週報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個股健檢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市場週報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持倉建議與提點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持倉提點</t>
    </r>
    <r>
      <rPr>
        <sz val="10"/>
        <rFont val="Arial"/>
        <family val="0"/>
        <charset val="1"/>
      </rPr>
      <t xml:space="preserve">]}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官方套組已存在 已存在跳過：…」；套組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個任務本來就都在（</t>
    </r>
    <r>
      <rPr>
        <sz val="10"/>
        <rFont val="Arial"/>
        <family val="0"/>
        <charset val="1"/>
      </rPr>
      <t xml:space="preserve">id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），每張任務卡都可展開抽屜檢視、有啟用開關（</t>
    </r>
    <r>
      <rPr>
        <sz val="10"/>
        <rFont val="Arial"/>
        <family val="0"/>
        <charset val="1"/>
      </rPr>
      <t xml:space="preserve">H-04 </t>
    </r>
    <r>
      <rPr>
        <sz val="10"/>
        <rFont val="Noto Sans CJK SC"/>
        <family val="2"/>
      </rPr>
      <t xml:space="preserve">已實測停用）；</t>
    </r>
    <r>
      <rPr>
        <sz val="10"/>
        <rFont val="Arial"/>
        <family val="0"/>
        <charset val="1"/>
      </rPr>
      <t xml:space="preserve">/api/insight-tasks </t>
    </r>
    <r>
      <rPr>
        <sz val="10"/>
        <rFont val="Noto Sans CJK SC"/>
        <family val="2"/>
      </rPr>
      <t xml:space="preserve">與排程工作清單在按鈕前後字串完全相同，沒有重複建立 ✓</t>
    </r>
  </si>
  <si>
    <r>
      <rPr>
        <sz val="10"/>
        <rFont val="Noto Sans CJK SC"/>
        <family val="2"/>
      </rPr>
      <t xml:space="preserve">「從無到有建立」需先刪除官方任務（會把其歷史卡片隱藏），本輪未做；以冪等性與現有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個任務驗證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全面重跑）：洞察管線 › 啟用官方套組 → </t>
    </r>
    <r>
      <rPr>
        <sz val="10"/>
        <rFont val="Arial"/>
        <family val="0"/>
        <charset val="1"/>
      </rPr>
      <t xml:space="preserve">POST /api/insight-tasks/official-pack 200 {created: [], skipped: [</t>
    </r>
    <r>
      <rPr>
        <sz val="10"/>
        <rFont val="Noto Sans CJK SC"/>
        <family val="2"/>
      </rPr>
      <t xml:space="preserve">持倉週報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個股健檢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市場週報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持倉建議與提點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持倉提點</t>
    </r>
    <r>
      <rPr>
        <sz val="10"/>
        <rFont val="Arial"/>
        <family val="0"/>
        <charset val="1"/>
      </rPr>
      <t xml:space="preserve">]}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官方套組已存在 已存在跳過：…」；套組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個任務本來就都在（</t>
    </r>
    <r>
      <rPr>
        <sz val="10"/>
        <rFont val="Arial"/>
        <family val="0"/>
        <charset val="1"/>
      </rPr>
      <t xml:space="preserve">id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，皆啟用），每張任務卡可展開抽屜檢視；</t>
    </r>
    <r>
      <rPr>
        <sz val="10"/>
        <rFont val="Arial"/>
        <family val="0"/>
        <charset val="1"/>
      </rPr>
      <t xml:space="preserve">/api/insight-tasks </t>
    </r>
    <r>
      <rPr>
        <sz val="10"/>
        <rFont val="Noto Sans CJK SC"/>
        <family val="2"/>
      </rPr>
      <t xml:space="preserve">與排程工作清單在按鈕前後字串完全相同，沒有重複建立 ✓。（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的測試任務 </t>
    </r>
    <r>
      <rPr>
        <sz val="10"/>
        <rFont val="Arial"/>
        <family val="0"/>
        <charset val="1"/>
      </rPr>
      <t xml:space="preserve">#13 </t>
    </r>
    <r>
      <rPr>
        <sz val="10"/>
        <rFont val="Noto Sans CJK SC"/>
        <family val="2"/>
      </rPr>
      <t xml:space="preserve">已先以抽屜「刪除任務」軟刪除：確認框「將同步移除排程、整條校正鏈封存；歷史洞察與運行記錄保留可反查（軟刪除）」→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，卡片總數 </t>
    </r>
    <r>
      <rPr>
        <sz val="10"/>
        <rFont val="Arial"/>
        <family val="0"/>
        <charset val="1"/>
      </rPr>
      <t xml:space="preserve">209→208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項檢查全過：官方套件已齊 → </t>
    </r>
    <r>
      <rPr>
        <sz val="10"/>
        <rFont val="Arial"/>
        <family val="0"/>
        <charset val="1"/>
      </rPr>
      <t xml:space="preserve">created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skipped 5</t>
    </r>
    <r>
      <rPr>
        <sz val="10"/>
        <rFont val="Noto Sans CJK SC"/>
        <family val="2"/>
      </rPr>
      <t xml:space="preserve">；任務清單與排程不變、管線中心各任務可見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項檢查全過：官方套件已齊 → </t>
    </r>
    <r>
      <rPr>
        <sz val="10"/>
        <rFont val="Arial"/>
        <family val="0"/>
        <charset val="1"/>
      </rPr>
      <t xml:space="preserve">created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skipped 5</t>
    </r>
    <r>
      <rPr>
        <sz val="10"/>
        <rFont val="Noto Sans CJK SC"/>
        <family val="2"/>
      </rPr>
      <t xml:space="preserve">；任務清單與排程不變、管線中心各任務可見</t>
    </r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</si>
  <si>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</si>
  <si>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</si>
  <si>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</si>
  <si>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</si>
  <si>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</si>
  <si>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</si>
  <si>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</si>
  <si>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</si>
  <si>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</si>
  <si>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</si>
  <si>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</si>
  <si>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</si>
  <si>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r>
      <rPr>
        <sz val="10"/>
        <rFont val="Noto Sans CJK SC"/>
        <family val="2"/>
      </rPr>
      <t xml:space="preserve">系統設定 › 通知中心：區塊內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textarea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button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個可操作），顯示「示範站不開放通知設定，請於正式站（受保護模式）設定。」</t>
    </r>
  </si>
  <si>
    <r>
      <rPr>
        <sz val="10"/>
        <rFont val="Noto Sans CJK SC"/>
        <family val="2"/>
      </rPr>
      <t xml:space="preserve">前一輪記錄為「</t>
    </r>
    <r>
      <rPr>
        <sz val="10"/>
        <rFont val="Arial"/>
        <family val="0"/>
        <charset val="1"/>
      </rPr>
      <t xml:space="preserve">62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48</t>
    </r>
    <r>
      <rPr>
        <sz val="10"/>
        <rFont val="Noto Sans CJK SC"/>
        <family val="2"/>
      </rPr>
      <t xml:space="preserve">」，本輪以 </t>
    </r>
    <r>
      <rPr>
        <sz val="10"/>
        <rFont val="Arial"/>
        <family val="0"/>
        <charset val="1"/>
      </rPr>
      <t xml:space="preserve">#view-notify </t>
    </r>
    <r>
      <rPr>
        <sz val="10"/>
        <rFont val="Noto Sans CJK SC"/>
        <family val="2"/>
      </rPr>
      <t xml:space="preserve">範圍計數為 </t>
    </r>
    <r>
      <rPr>
        <sz val="10"/>
        <rFont val="Arial"/>
        <family val="0"/>
        <charset val="1"/>
      </rPr>
      <t xml:space="preserve">48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48
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全面重跑）：系統設定 › 通知中心：</t>
    </r>
    <r>
      <rPr>
        <sz val="10"/>
        <rFont val="Arial"/>
        <family val="0"/>
        <charset val="1"/>
      </rPr>
      <t xml:space="preserve">#view-notify </t>
    </r>
    <r>
      <rPr>
        <sz val="10"/>
        <rFont val="Noto Sans CJK SC"/>
        <family val="2"/>
      </rPr>
      <t xml:space="preserve">範圍內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textarea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button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個可操作），顯示「示範站不開放通知設定，請於正式站（受保護模式）設定。」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項檢查全過：通知設定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個控制項皆停用、顯示「示範站不開放通知設定」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項檢查全過：通知設定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個控制項皆停用、顯示「示範站不開放通知設定」</t>
    </r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</si>
  <si>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</si>
  <si>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</si>
  <si>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</si>
  <si>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</si>
  <si>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逐一觸發：持倉／已實現／帳本 6 類／現金對帳單／持倉報告／帳本報告／再平衡報告／個股明細／稅務包／工作紀錄／LLM 用量／AI 預測</t>
  </si>
  <si>
    <t xml:space="preserve">全部回 200，`Content-Disposition` 檔名正確（UTF-8），內容非空</t>
  </si>
  <si>
    <t xml:space="preserve">✅ 已驗（三輪、19–20 個回應）</t>
  </si>
  <si>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個匯出回應全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；抽樣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個端點讀回 </t>
    </r>
    <r>
      <rPr>
        <sz val="10"/>
        <rFont val="Arial"/>
        <family val="0"/>
        <charset val="1"/>
      </rPr>
      <t xml:space="preserve">header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text/csv; charset=utf-8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text/html; charset=utf-8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filename*=UTF-8''…</t>
    </r>
    <r>
      <rPr>
        <sz val="10"/>
        <rFont val="Noto Sans CJK SC"/>
        <family val="2"/>
      </rPr>
      <t xml:space="preserve">，內容大小 </t>
    </r>
    <r>
      <rPr>
        <sz val="10"/>
        <rFont val="Arial"/>
        <family val="0"/>
        <charset val="1"/>
      </rPr>
      <t xml:space="preserve">186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87,978 bytes </t>
    </r>
    <r>
      <rPr>
        <sz val="10"/>
        <rFont val="Noto Sans CJK SC"/>
        <family val="2"/>
      </rPr>
      <t xml:space="preserve">非空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</si>
  <si>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</si>
  <si>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</si>
  <si>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</si>
  <si>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</si>
  <si>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</si>
  <si>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</si>
  <si>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r>
      <rPr>
        <sz val="10"/>
        <rFont val="Noto Sans CJK SC"/>
        <family val="2"/>
      </rPr>
      <t xml:space="preserve">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3722709.999999999999999999999</t>
    </r>
    <r>
      <rPr>
        <sz val="10"/>
        <rFont val="Noto Sans CJK SC"/>
        <family val="2"/>
      </rPr>
      <t xml:space="preserve">，畫面為 </t>
    </r>
    <r>
      <rPr>
        <sz val="10"/>
        <rFont val="Arial"/>
        <family val="0"/>
        <charset val="1"/>
      </rPr>
      <t xml:space="preserve">+3,722,710</t>
    </r>
    <r>
      <rPr>
        <sz val="10"/>
        <rFont val="Noto Sans CJK SC"/>
        <family val="2"/>
      </rPr>
      <t xml:space="preserve">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8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、欄位 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 </t>
    </r>
    <r>
      <rPr>
        <sz val="10"/>
        <rFont val="Noto Sans CJK SC"/>
        <family val="2"/>
      </rPr>
      <t xml:space="preserve">為原始精度。兩份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as_of=… fx_rates=… generated=…</t>
    </r>
    <r>
      <rPr>
        <sz val="10"/>
        <rFont val="Noto Sans CJK SC"/>
        <family val="2"/>
      </rPr>
      <t xml:space="preserve">」註記列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</si>
  <si>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</si>
  <si>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</si>
  <si>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</si>
  <si>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</si>
  <si>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</si>
  <si>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</si>
  <si>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r>
      <rPr>
        <sz val="10"/>
        <rFont val="Noto Sans CJK SC"/>
        <family val="2"/>
      </rPr>
      <t xml:space="preserve">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/api/export/tax-package {year:2026}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1,931 bytes</t>
    </r>
    <r>
      <rPr>
        <sz val="10"/>
        <rFont val="Noto Sans CJK SC"/>
        <family val="2"/>
      </rPr>
      <t xml:space="preserve">）內含 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列）／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列）／</t>
    </r>
    <r>
      <rPr>
        <sz val="10"/>
        <rFont val="Arial"/>
        <family val="0"/>
        <charset val="1"/>
      </rPr>
      <t xml:space="preserve">fx_realized_2026.csv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列）／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，全為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年資料 ✓；申報欄 </t>
    </r>
    <r>
      <rPr>
        <sz val="10"/>
        <rFont val="Arial"/>
        <family val="0"/>
        <charset val="1"/>
      </rPr>
      <t xml:space="preserve">TWD 16,004.56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97.30 </t>
    </r>
    <r>
      <rPr>
        <sz val="10"/>
        <rFont val="Noto Sans CJK SC"/>
        <family val="2"/>
      </rPr>
      <t xml:space="preserve">＝ 各列 </t>
    </r>
    <r>
      <rPr>
        <sz val="10"/>
        <rFont val="Arial"/>
        <family val="0"/>
        <charset val="1"/>
      </rPr>
      <t xml:space="preserve">realized_original </t>
    </r>
    <r>
      <rPr>
        <sz val="10"/>
        <rFont val="Noto Sans CJK SC"/>
        <family val="2"/>
      </rPr>
      <t xml:space="preserve">加總 ✓；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reporting_realized_original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realized×rate_used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49.96×31.802099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1588.8328660400</t>
    </r>
    <r>
      <rPr>
        <sz val="10"/>
        <rFont val="Noto Sans CJK SC"/>
        <family val="2"/>
      </rPr>
      <t xml:space="preserve">）✓；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已實現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＝ 儀表板 </t>
    </r>
    <r>
      <rPr>
        <sz val="10"/>
        <rFont val="Arial"/>
        <family val="0"/>
        <charset val="1"/>
      </rPr>
      <t xml:space="preserve">fx_realized 0 ✓</t>
    </r>
    <r>
      <rPr>
        <sz val="10"/>
        <rFont val="Noto Sans CJK SC"/>
        <family val="2"/>
      </rPr>
      <t xml:space="preserve">。✗ 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「對帳用：績效基礎已實現…列出僅供與儀表板核對」</t>
    </r>
    <r>
      <rPr>
        <sz val="10"/>
        <rFont val="Arial"/>
        <family val="0"/>
        <charset val="1"/>
      </rPr>
      <t xml:space="preserve">TWD 36,804.56</t>
    </r>
    <r>
      <rPr>
        <sz val="10"/>
        <rFont val="Noto Sans CJK SC"/>
        <family val="2"/>
      </rPr>
      <t xml:space="preserve">，儀表板 </t>
    </r>
    <r>
      <rPr>
        <sz val="10"/>
        <rFont val="Arial"/>
        <family val="0"/>
        <charset val="1"/>
      </rPr>
      <t xml:space="preserve">returns.by_currency.TWD.realized 42,004.56</t>
    </r>
    <r>
      <rPr>
        <sz val="10"/>
        <rFont val="Noto Sans CJK SC"/>
        <family val="2"/>
      </rPr>
      <t xml:space="preserve">，差 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結清後配息 </t>
    </r>
    <r>
      <rPr>
        <sz val="10"/>
        <rFont val="Arial"/>
        <family val="0"/>
        <charset val="1"/>
      </rPr>
      <t xml:space="preserve">2026-08-07 </t>
    </r>
    <r>
      <rPr>
        <sz val="10"/>
        <rFont val="Noto Sans CJK SC"/>
        <family val="2"/>
      </rPr>
      <t xml:space="preserve">被排除，無說明）</t>
    </r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</si>
  <si>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</si>
  <si>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</si>
  <si>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</si>
  <si>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</si>
  <si>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</si>
  <si>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</si>
  <si>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</si>
  <si>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標準範本，六類逐一「下載範本」（</t>
    </r>
    <r>
      <rPr>
        <sz val="10"/>
        <rFont val="Arial"/>
        <family val="0"/>
        <charset val="1"/>
      </rPr>
      <t xml:space="preserve">GET /api/import/template?kind=transactions|dividends|fx|openings|corporate_actions|cash </t>
    </r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，檔名 </t>
    </r>
    <r>
      <rPr>
        <sz val="10"/>
        <rFont val="Arial"/>
        <family val="0"/>
        <charset val="1"/>
      </rPr>
      <t xml:space="preserve">import_template_&lt;kind&gt;.csv</t>
    </r>
    <r>
      <rPr>
        <sz val="10"/>
        <rFont val="Noto Sans CJK SC"/>
        <family val="2"/>
      </rPr>
      <t xml:space="preserve">）；把每份範本原文貼回同類型解析：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類皆無任何欄位名錯誤（欄位全被解析器接受）；資金 </t>
    </r>
    <r>
      <rPr>
        <sz val="10"/>
        <rFont val="Arial"/>
        <family val="0"/>
        <charset val="1"/>
      </rPr>
      <t xml:space="preserve">7/7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2/2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2/2 </t>
    </r>
    <r>
      <rPr>
        <sz val="10"/>
        <rFont val="Noto Sans CJK SC"/>
        <family val="2"/>
      </rPr>
      <t xml:space="preserve">可寫入；交易 </t>
    </r>
    <r>
      <rPr>
        <sz val="10"/>
        <rFont val="Arial"/>
        <family val="0"/>
        <charset val="1"/>
      </rPr>
      <t xml:space="preserve">6/7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0800EA </t>
    </r>
    <r>
      <rPr>
        <sz val="10"/>
        <rFont val="Noto Sans CJK SC"/>
        <family val="2"/>
      </rPr>
      <t xml:space="preserve">未註冊）、換匯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2026-07-10 TWD </t>
    </r>
    <r>
      <rPr>
        <sz val="10"/>
        <rFont val="Noto Sans CJK SC"/>
        <family val="2"/>
      </rPr>
      <t xml:space="preserve">可用餘額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，不可透支）、公司行動 </t>
    </r>
    <r>
      <rPr>
        <sz val="10"/>
        <rFont val="Arial"/>
        <family val="0"/>
        <charset val="1"/>
      </rPr>
      <t xml:space="preserve">1 ok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 warn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SPINCO </t>
    </r>
    <r>
      <rPr>
        <sz val="10"/>
        <rFont val="Noto Sans CJK SC"/>
        <family val="2"/>
      </rPr>
      <t xml:space="preserve">自動建立）＋</t>
    </r>
    <r>
      <rPr>
        <sz val="10"/>
        <rFont val="Arial"/>
        <family val="0"/>
        <charset val="1"/>
      </rPr>
      <t xml:space="preserve">1 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NEWCO </t>
    </r>
    <r>
      <rPr>
        <sz val="10"/>
        <rFont val="Noto Sans CJK SC"/>
        <family val="2"/>
      </rPr>
      <t xml:space="preserve">未註冊）——皆為資料狀態檢核且範本備註已預告（「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以標的登錄為準」「請改成實際已註冊的代號」）</t>
    </r>
  </si>
  <si>
    <t xml:space="preserve">DEF-004</t>
  </si>
  <si>
    <r>
      <rPr>
        <sz val="10"/>
        <rFont val="Noto Sans CJK SC"/>
        <family val="2"/>
      </rPr>
      <t xml:space="preserve">附帶發現：解析預覽表對股利／換匯／期初／公司行動／資金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類沿用交易欄位，金額不顯示（見 </t>
    </r>
    <r>
      <rPr>
        <sz val="10"/>
        <rFont val="Arial"/>
        <family val="0"/>
        <charset val="1"/>
      </rPr>
      <t xml:space="preserve">DEF-004</t>
    </r>
    <r>
      <rPr>
        <sz val="10"/>
        <rFont val="Noto Sans CJK SC"/>
        <family val="2"/>
      </rPr>
      <t xml:space="preserve">，不影響本案判定）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DEF-004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種範本下載後皆可解析、欄名錯誤 </t>
    </r>
    <r>
      <rPr>
        <sz val="10"/>
        <rFont val="Arial"/>
        <family val="0"/>
        <charset val="1"/>
      </rPr>
      <t xml:space="preserve">0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種範本下載後皆可解析、欄名錯誤 </t>
    </r>
    <r>
      <rPr>
        <sz val="10"/>
        <rFont val="Arial"/>
        <family val="0"/>
        <charset val="1"/>
      </rPr>
      <t xml:space="preserve">0</t>
    </r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</si>
  <si>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</si>
  <si>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</si>
  <si>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</si>
  <si>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</si>
  <si>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</si>
  <si>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r>
      <rPr>
        <sz val="10"/>
        <rFont val="Noto Sans CJK SC"/>
        <family val="2"/>
      </rPr>
      <t xml:space="preserve">貼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）→ 預覽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列皆「✓ 可寫入」且預設勾選；解析：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 </t>
    </r>
    <r>
      <rPr>
        <sz val="10"/>
        <rFont val="Noto Sans CJK SC"/>
        <family val="2"/>
      </rPr>
      <t xml:space="preserve">正確；費用依帳戶規則自動計算：</t>
    </r>
    <r>
      <rPr>
        <sz val="10"/>
        <rFont val="Arial"/>
        <family val="0"/>
        <charset val="1"/>
      </rPr>
      <t xml:space="preserve">2884 fee 20</t>
    </r>
    <r>
      <rPr>
        <sz val="10"/>
        <rFont val="Noto Sans CJK SC"/>
        <family val="2"/>
      </rPr>
      <t xml:space="preserve">（最低）</t>
    </r>
    <r>
      <rPr>
        <sz val="10"/>
        <rFont val="Arial"/>
        <family val="0"/>
        <charset val="1"/>
      </rPr>
      <t xml:space="preserve">tax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fee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fee 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tax 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ceil(1040/1000)×RM1</t>
    </r>
    <r>
      <rPr>
        <sz val="10"/>
        <rFont val="Noto Sans CJK SC"/>
        <family val="2"/>
      </rPr>
      <t xml:space="preserve">），與手算相符</t>
    </r>
  </si>
  <si>
    <r>
      <rPr>
        <sz val="10"/>
        <rFont val="Noto Sans CJK SC"/>
        <family val="2"/>
      </rPr>
      <t xml:space="preserve">畫面預覽表不顯示費用欄（僅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回應有），費用正確性以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回應核對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匯入（標準範本・交易）貼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POST /api/import/preview → </t>
    </r>
    <r>
      <rPr>
        <sz val="10"/>
        <rFont val="Noto Sans CJK SC"/>
        <family val="2"/>
      </rPr>
      <t xml:space="preserve">計數「可寫入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・警告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」，預覽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列皆「✓ 可寫入」且預設勾選；解析：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 </t>
    </r>
    <r>
      <rPr>
        <sz val="10"/>
        <rFont val="Noto Sans CJK SC"/>
        <family val="2"/>
      </rPr>
      <t xml:space="preserve">正確；費用依帳戶規則自動計算並顯示在預覽表：</t>
    </r>
    <r>
      <rPr>
        <sz val="10"/>
        <rFont val="Arial"/>
        <family val="0"/>
        <charset val="1"/>
      </rPr>
      <t xml:space="preserve">2884 fee 20</t>
    </r>
    <r>
      <rPr>
        <sz val="10"/>
        <rFont val="Noto Sans CJK SC"/>
        <family val="2"/>
      </rPr>
      <t xml:space="preserve">（最低）</t>
    </r>
    <r>
      <rPr>
        <sz val="10"/>
        <rFont val="Arial"/>
        <family val="0"/>
        <charset val="1"/>
      </rPr>
      <t xml:space="preserve">tax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fee 0.00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 fee 3.91</t>
    </r>
    <r>
      <rPr>
        <sz val="10"/>
        <rFont val="Noto Sans CJK SC"/>
        <family val="2"/>
      </rPr>
      <t xml:space="preserve">（佣金＋平台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＋清算＋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tax 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ceil(1040/1000)×RM1</t>
    </r>
    <r>
      <rPr>
        <sz val="10"/>
        <rFont val="Noto Sans CJK SC"/>
        <family val="2"/>
      </rPr>
      <t xml:space="preserve">），與手算相符（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附記「預覽表不顯示費用欄」已改善）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✓ 可寫入；手續費依帳戶規則 </t>
    </r>
    <r>
      <rPr>
        <sz val="10"/>
        <rFont val="Arial"/>
        <family val="0"/>
        <charset val="1"/>
      </rPr>
      <t xml:space="preserve">2884 20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AAPL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1155 3.91</t>
    </r>
    <r>
      <rPr>
        <sz val="10"/>
        <rFont val="Noto Sans CJK SC"/>
        <family val="2"/>
      </rPr>
      <t xml:space="preserve">＋印花 </t>
    </r>
    <r>
      <rPr>
        <sz val="10"/>
        <rFont val="Arial"/>
        <family val="0"/>
        <charset val="1"/>
      </rPr>
      <t xml:space="preserve">2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✓ 可寫入；手續費依帳戶規則 </t>
    </r>
    <r>
      <rPr>
        <sz val="10"/>
        <rFont val="Arial"/>
        <family val="0"/>
        <charset val="1"/>
      </rPr>
      <t xml:space="preserve">2884 20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AAPL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1155 3.91</t>
    </r>
    <r>
      <rPr>
        <sz val="10"/>
        <rFont val="Noto Sans CJK SC"/>
        <family val="2"/>
      </rPr>
      <t xml:space="preserve">＋印花 </t>
    </r>
    <r>
      <rPr>
        <sz val="10"/>
        <rFont val="Arial"/>
        <family val="0"/>
        <charset val="1"/>
      </rPr>
      <t xml:space="preserve">2</t>
    </r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</si>
  <si>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</si>
  <si>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</si>
  <si>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</si>
  <si>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</si>
  <si>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</si>
  <si>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</si>
  <si>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標準範本／交易，貼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列合法＋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種錯誤）→ </t>
    </r>
    <r>
      <rPr>
        <sz val="10"/>
        <rFont val="Arial"/>
        <family val="0"/>
        <charset val="1"/>
      </rPr>
      <t xml:space="preserve">POST /api/import/preview 200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 </t>
    </r>
    <r>
      <rPr>
        <sz val="10"/>
        <rFont val="Noto Sans CJK SC"/>
        <family val="2"/>
      </rPr>
      <t xml:space="preserve">合法「✓ 可寫入」且預設勾選 ✓；</t>
    </r>
    <r>
      <rPr>
        <sz val="10"/>
        <rFont val="Arial"/>
        <family val="0"/>
        <charset val="1"/>
      </rPr>
      <t xml:space="preserve">#2 </t>
    </r>
    <r>
      <rPr>
        <sz val="10"/>
        <rFont val="Noto Sans CJK SC"/>
        <family val="2"/>
      </rPr>
      <t xml:space="preserve">缺 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「✕ 錯誤 必填欄位不可空白（欄位 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）」✓；</t>
    </r>
    <r>
      <rPr>
        <sz val="10"/>
        <rFont val="Arial"/>
        <family val="0"/>
        <charset val="1"/>
      </rPr>
      <t xml:space="preserve">#3</t>
    </r>
    <r>
      <rPr>
        <sz val="10"/>
        <rFont val="Noto Sans CJK SC"/>
        <family val="2"/>
      </rPr>
      <t xml:space="preserve">「未註冊標的 </t>
    </r>
    <r>
      <rPr>
        <sz val="10"/>
        <rFont val="Arial"/>
        <family val="0"/>
        <charset val="1"/>
      </rPr>
      <t xml:space="preserve">ZZZZ9 — </t>
    </r>
    <r>
      <rPr>
        <sz val="10"/>
        <rFont val="Noto Sans CJK SC"/>
        <family val="2"/>
      </rPr>
      <t xml:space="preserve">請先至「標的管理」註冊」✓；</t>
    </r>
    <r>
      <rPr>
        <sz val="10"/>
        <rFont val="Arial"/>
        <family val="0"/>
        <charset val="1"/>
      </rPr>
      <t xml:space="preserve">#4 </t>
    </r>
    <r>
      <rPr>
        <sz val="10"/>
        <rFont val="Noto Sans CJK SC"/>
        <family val="2"/>
      </rPr>
      <t xml:space="preserve">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」✓；</t>
    </r>
    <r>
      <rPr>
        <sz val="10"/>
        <rFont val="Arial"/>
        <family val="0"/>
        <charset val="1"/>
      </rPr>
      <t xml:space="preserve">#5</t>
    </r>
    <r>
      <rPr>
        <sz val="10"/>
        <rFont val="Noto Sans CJK SC"/>
        <family val="2"/>
      </rPr>
      <t xml:space="preserve">「欄位 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的內容「</t>
    </r>
    <r>
      <rPr>
        <sz val="10"/>
        <rFont val="Arial"/>
        <family val="0"/>
        <charset val="1"/>
      </rPr>
      <t xml:space="preserve">2026-13-45</t>
    </r>
    <r>
      <rPr>
        <sz val="10"/>
        <rFont val="Noto Sans CJK SC"/>
        <family val="2"/>
      </rPr>
      <t xml:space="preserve">」不是有效的日期（請用 </t>
    </r>
    <r>
      <rPr>
        <sz val="10"/>
        <rFont val="Arial"/>
        <family val="0"/>
        <charset val="1"/>
      </rPr>
      <t xml:space="preserve">YYYY-MM-DD</t>
    </r>
    <r>
      <rPr>
        <sz val="10"/>
        <rFont val="Noto Sans CJK SC"/>
        <family val="2"/>
      </rPr>
      <t xml:space="preserve">）」✓；</t>
    </r>
    <r>
      <rPr>
        <sz val="10"/>
        <rFont val="Arial"/>
        <family val="0"/>
        <charset val="1"/>
      </rPr>
      <t xml:space="preserve">#7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xx_broker </t>
    </r>
    <r>
      <rPr>
        <sz val="10"/>
        <rFont val="Noto Sans CJK SC"/>
        <family val="2"/>
      </rPr>
      <t xml:space="preserve">不存在」✓；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「欄位 </t>
    </r>
    <r>
      <rPr>
        <sz val="10"/>
        <rFont val="Arial"/>
        <family val="0"/>
        <charset val="1"/>
      </rPr>
      <t xml:space="preserve">side </t>
    </r>
    <r>
      <rPr>
        <sz val="10"/>
        <rFont val="Noto Sans CJK SC"/>
        <family val="2"/>
      </rPr>
      <t xml:space="preserve">的內容「</t>
    </r>
    <r>
      <rPr>
        <sz val="10"/>
        <rFont val="Arial"/>
        <family val="0"/>
        <charset val="1"/>
      </rPr>
      <t xml:space="preserve">hold</t>
    </r>
    <r>
      <rPr>
        <sz val="10"/>
        <rFont val="Noto Sans CJK SC"/>
        <family val="2"/>
      </rPr>
      <t xml:space="preserve">」不是有效的買賣別（請填 </t>
    </r>
    <r>
      <rPr>
        <sz val="10"/>
        <rFont val="Arial"/>
        <family val="0"/>
        <charset val="1"/>
      </rPr>
      <t xml:space="preserve">BUY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SELL</t>
    </r>
    <r>
      <rPr>
        <sz val="10"/>
        <rFont val="Noto Sans CJK SC"/>
        <family val="2"/>
      </rPr>
      <t xml:space="preserve">）」✓；錯誤列 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。✗ </t>
    </r>
    <r>
      <rPr>
        <sz val="10"/>
        <rFont val="Arial"/>
        <family val="0"/>
        <charset val="1"/>
      </rPr>
      <t xml:space="preserve">#6 </t>
    </r>
    <r>
      <rPr>
        <sz val="10"/>
        <rFont val="Noto Sans CJK SC"/>
        <family val="2"/>
      </rPr>
      <t xml:space="preserve">賣超：狀態只是「⚠ 警告」且預設勾選，按「確認寫入勾選列」→ 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對話框「部分列有警告（如賣超）— 確認後一併寫入？」按確認即可寫入（手冊期望不可寫入）；✗ 賣超列的持股數把錯誤列也算進去：持有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股時，「買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（合法）＋買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（錯誤）＋賣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」顯示「超過持有的 </t>
    </r>
    <r>
      <rPr>
        <sz val="10"/>
        <rFont val="Arial"/>
        <family val="0"/>
        <charset val="1"/>
      </rPr>
      <t xml:space="preserve">200.5 </t>
    </r>
    <r>
      <rPr>
        <sz val="10"/>
        <rFont val="Noto Sans CJK SC"/>
        <family val="2"/>
      </rPr>
      <t xml:space="preserve">股」；「買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（錯誤）＋賣 </t>
    </r>
    <r>
      <rPr>
        <sz val="10"/>
        <rFont val="Arial"/>
        <family val="0"/>
        <charset val="1"/>
      </rPr>
      <t xml:space="preserve">101</t>
    </r>
    <r>
      <rPr>
        <sz val="10"/>
        <rFont val="Noto Sans CJK SC"/>
        <family val="2"/>
      </rPr>
      <t xml:space="preserve">」賣出列顯示「✓ 可寫入」，按寫入 → </t>
    </r>
    <r>
      <rPr>
        <sz val="10"/>
        <rFont val="Arial"/>
        <family val="0"/>
        <charset val="1"/>
      </rPr>
      <t xml:space="preserve">{written 0, skipped 1, rejected 1}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 </t>
    </r>
    <r>
      <rPr>
        <sz val="10"/>
        <rFont val="Noto Sans CJK SC"/>
        <family val="2"/>
      </rPr>
      <t xml:space="preserve">只解釋第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列（使用者根本不能勾的錯誤列），被勾選的賣出列只算「跳過」、沒有任何原因；「買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」取消勾選買進後，賣出列仍顯示「✓ 可寫入」，寫入後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</t>
    </r>
  </si>
  <si>
    <t xml:space="preserve">DEF-024, DEF-025</t>
  </si>
  <si>
    <r>
      <rPr>
        <sz val="10"/>
        <rFont val="Noto Sans CJK SC"/>
        <family val="2"/>
      </rPr>
      <t xml:space="preserve">所有測試均未寫入：每次按寫入後六段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＋計數與 </t>
    </r>
    <r>
      <rPr>
        <sz val="10"/>
        <rFont val="Arial"/>
        <family val="0"/>
        <charset val="1"/>
      </rPr>
      <t xml:space="preserve">I06 </t>
    </r>
    <r>
      <rPr>
        <sz val="10"/>
        <rFont val="Noto Sans CJK SC"/>
        <family val="2"/>
      </rPr>
      <t xml:space="preserve">基準逐位元相同；賣超確認框按取消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DEF-024 </t>
    </r>
    <r>
      <rPr>
        <sz val="10"/>
        <rFont val="Noto Sans CJK SC"/>
        <family val="2"/>
      </rPr>
      <t xml:space="preserve">複驗通過結案；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裁定改程式（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賣超列預設不勾＋逐列確認），待開發者修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賣超列預設不勾、逐列確認、伺服器拒絕整檔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項檢查全過：合法列可寫；缺 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、未註冊 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、台股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2026-13-45</t>
    </r>
    <r>
      <rPr>
        <sz val="10"/>
        <rFont val="Noto Sans CJK SC"/>
        <family val="2"/>
      </rPr>
      <t xml:space="preserve">、未知帳戶 </t>
    </r>
    <r>
      <rPr>
        <sz val="10"/>
        <rFont val="Arial"/>
        <family val="0"/>
        <charset val="1"/>
      </rPr>
      <t xml:space="preserve">xx_broker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side hold </t>
    </r>
    <r>
      <rPr>
        <sz val="10"/>
        <rFont val="Noto Sans CJK SC"/>
        <family val="2"/>
      </rPr>
      <t xml:space="preserve">各有對應錯誤；賣超列警示且預設不勾、確認框點名第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列並說明成本基礎會被捨棄；取消不寫入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項檢查全過：合法列可寫；缺 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、未註冊 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、台股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2026-13-45</t>
    </r>
    <r>
      <rPr>
        <sz val="10"/>
        <rFont val="Noto Sans CJK SC"/>
        <family val="2"/>
      </rPr>
      <t xml:space="preserve">、未知帳戶 </t>
    </r>
    <r>
      <rPr>
        <sz val="10"/>
        <rFont val="Arial"/>
        <family val="0"/>
        <charset val="1"/>
      </rPr>
      <t xml:space="preserve">xx_broker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side hold </t>
    </r>
    <r>
      <rPr>
        <sz val="10"/>
        <rFont val="Noto Sans CJK SC"/>
        <family val="2"/>
      </rPr>
      <t xml:space="preserve">各有對應錯誤；賣超列警示且預設不勾、確認框點名第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列並說明成本基礎會被捨棄；取消不寫入</t>
    </r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</si>
  <si>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</si>
  <si>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</si>
  <si>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</si>
  <si>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</si>
  <si>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</si>
  <si>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</si>
  <si>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I07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2, import_batch_id 4}</t>
    </r>
    <r>
      <rPr>
        <sz val="10"/>
        <rFont val="Noto Sans CJK SC"/>
        <family val="2"/>
      </rPr>
      <t xml:space="preserve">：① 帳本只新增 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2026-09-23 04:56:12 </t>
    </r>
    <r>
      <rPr>
        <sz val="10"/>
        <rFont val="Noto Sans CJK SC"/>
        <family val="2"/>
      </rPr>
      <t xml:space="preserve">交易 —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id 4 row_count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</si>
  <si>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</si>
  <si>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</si>
  <si>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</si>
  <si>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</si>
  <si>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</si>
  <si>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</si>
  <si>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：最近匯入 › 復原 → 確認框「將刪除這批匯入寫進帳本的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筆交易紀錄（來源：未命名）…」→ </t>
    </r>
    <r>
      <rPr>
        <sz val="10"/>
        <rFont val="Arial"/>
        <family val="0"/>
        <charset val="1"/>
      </rPr>
      <t xml:space="preserve">DELETE /api/import/batches/4 200 {deleted 2} → toast</t>
    </r>
    <r>
      <rPr>
        <sz val="10"/>
        <rFont val="Noto Sans CJK SC"/>
        <family val="2"/>
      </rPr>
      <t xml:space="preserve">「✓ 已復原 刪除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筆」；</t>
    </r>
    <r>
      <rPr>
        <sz val="10"/>
        <rFont val="Arial"/>
        <family val="0"/>
        <charset val="1"/>
      </rPr>
      <t xml:space="preserve">#89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#90 </t>
    </r>
    <r>
      <rPr>
        <sz val="10"/>
        <rFont val="Noto Sans CJK SC"/>
        <family val="2"/>
      </rPr>
      <t xml:space="preserve">消失，最近匯入回到「尚無匯入紀錄」；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</t>
    </r>
    <r>
      <rPr>
        <sz val="10"/>
        <rFont val="Noto Sans CJK SC"/>
        <family val="2"/>
      </rPr>
      <t xml:space="preserve">／現金餘額／報告幣別合計與匯入前字串完全相同，各帳本列數與批次數相同</t>
    </r>
  </si>
  <si>
    <t xml:space="preserve">DEF-019, DEF-049</t>
  </si>
  <si>
    <r>
      <rPr>
        <sz val="10"/>
        <rFont val="Noto Sans CJK SC"/>
        <family val="2"/>
      </rPr>
      <t xml:space="preserve">復原後交易表單代號清單未重載的問題見 </t>
    </r>
    <r>
      <rPr>
        <sz val="10"/>
        <rFont val="Arial"/>
        <family val="0"/>
        <charset val="1"/>
      </rPr>
      <t xml:space="preserve">DEF-019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組已登記）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（批次復原造成後續賣超、不確認不稽核；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指示本輪附規格）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複驗通過結案（批次復原與公司行動刪除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＋「賣超確認」框，取消不寫入）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項檢查全過：「最近匯入」列「</t>
    </r>
    <r>
      <rPr>
        <sz val="10"/>
        <rFont val="Arial"/>
        <family val="0"/>
        <charset val="1"/>
      </rPr>
      <t xml:space="preserve">2026-09-28 18:13:53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復原」→ 對話框「將刪除這批匯入寫進帳本的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筆交易紀錄…」→ </t>
    </r>
    <r>
      <rPr>
        <sz val="10"/>
        <rFont val="Arial"/>
        <family val="0"/>
        <charset val="1"/>
      </rPr>
      <t xml:space="preserve">DELETE 200 deleted 2 → </t>
    </r>
    <r>
      <rPr>
        <sz val="10"/>
        <rFont val="Noto Sans CJK SC"/>
        <family val="2"/>
      </rPr>
      <t xml:space="preserve">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與匯入前逐字相同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項檢查全過：「最近匯入」列「</t>
    </r>
    <r>
      <rPr>
        <sz val="10"/>
        <rFont val="Arial"/>
        <family val="0"/>
        <charset val="1"/>
      </rPr>
      <t xml:space="preserve">2026-09-30 01:16:04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復原」→ 對話框「將刪除這批匯入寫進帳本的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筆交易紀錄…」→ </t>
    </r>
    <r>
      <rPr>
        <sz val="10"/>
        <rFont val="Arial"/>
        <family val="0"/>
        <charset val="1"/>
      </rPr>
      <t xml:space="preserve">DELETE 200 deleted 2 → </t>
    </r>
    <r>
      <rPr>
        <sz val="10"/>
        <rFont val="Noto Sans CJK SC"/>
        <family val="2"/>
      </rPr>
      <t xml:space="preserve">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與匯入前逐字相同</t>
    </r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</si>
  <si>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</si>
  <si>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</si>
  <si>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</si>
  <si>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</si>
  <si>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</si>
  <si>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（批次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未復原前）把同一份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原樣再貼一次：預覽第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列「⚠ 警告 相同交易已存在（同帳戶、標的、買賣別、交易日、股數、價格），確認要再次寫入？」，第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列（上次未寫入）「✓ 可寫入」✓。只勾第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確認框 → 確認寫入 → </t>
    </r>
    <r>
      <rPr>
        <sz val="10"/>
        <rFont val="Arial"/>
        <family val="0"/>
        <charset val="1"/>
      </rPr>
      <t xml:space="preserve">200 {written 0, skipped 2, duplicates 2}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筆・已匯入過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筆／重複的列來自先前的匯入批次，已自動略過，帳本沒有變成兩筆。」；交易帳本仍 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列、批次仍只有 </t>
    </r>
    <r>
      <rPr>
        <sz val="10"/>
        <rFont val="Arial"/>
        <family val="0"/>
        <charset val="1"/>
      </rPr>
      <t xml:space="preserve">id 4 ✓ </t>
    </r>
    <r>
      <rPr>
        <sz val="10"/>
        <rFont val="Noto Sans CJK SC"/>
        <family val="2"/>
      </rPr>
      <t xml:space="preserve">未靜默重複寫入</t>
    </r>
  </si>
  <si>
    <r>
      <rPr>
        <sz val="10"/>
        <rFont val="Noto Sans CJK SC"/>
        <family val="2"/>
      </rPr>
      <t xml:space="preserve">重複列預設為勾選；確認框文字固定為「部分列有警告（如賣超）」，未點名是重複列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（批次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復原前）把同一份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原樣再貼一次：計數「可寫入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・警告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」，第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列「⚠ 警告 相同交易已存在（同帳戶、標的、買賣別、交易日、股數、價格），確認要再次寫入？」，第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列「✓ 可寫入」✓。只勾第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對話框「匯入警告確認 —— 交易 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列…有警告…列出 </t>
    </r>
    <r>
      <rPr>
        <sz val="10"/>
        <rFont val="Arial"/>
        <family val="0"/>
        <charset val="1"/>
      </rPr>
      <t xml:space="preserve">#1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 </t>
    </r>
    <r>
      <rPr>
        <sz val="10"/>
        <rFont val="Noto Sans CJK SC"/>
        <family val="2"/>
      </rPr>
      <t xml:space="preserve">與重複原因」，選項「取消，停在這一步／略過所有警告列，只寫入其他列／寫入勾選的警告列」（勾選警告列前最後一鈕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）→ 勾選並寫入 → </t>
    </r>
    <r>
      <rPr>
        <sz val="10"/>
        <rFont val="Arial"/>
        <family val="0"/>
        <charset val="1"/>
      </rPr>
      <t xml:space="preserve">200 {written 0, skipped 2, duplicates 2}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筆・已匯入過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筆／重複的列來自先前的匯入批次，已自動略過，帳本沒有變成兩筆。」；交易帳本仍 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列、已提交批次仍只有 </t>
    </r>
    <r>
      <rPr>
        <sz val="10"/>
        <rFont val="Arial"/>
        <family val="0"/>
        <charset val="1"/>
      </rPr>
      <t xml:space="preserve">#20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附記「確認框未點名重複列」已改善）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項檢查全過：同一份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再貼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列「相同交易已存在」；勾選寫入 → 警告對話框列出 </t>
    </r>
    <r>
      <rPr>
        <sz val="10"/>
        <rFont val="Arial"/>
        <family val="0"/>
        <charset val="1"/>
      </rPr>
      <t xml:space="preserve">#1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#3 → </t>
    </r>
    <r>
      <rPr>
        <sz val="10"/>
        <rFont val="Noto Sans CJK SC"/>
        <family val="2"/>
      </rPr>
      <t xml:space="preserve">「寫入完成：成功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筆・已匯入過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筆」，帳本不產生第二份（仍 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列）；批次復原後逐字相同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項檢查全過：同一份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再貼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列「相同交易已存在」；勾選寫入 → 警告對話框逐列點名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列重複 → 「寫入完成：成功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筆・已匯入過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筆」，帳本不產生第二份（仍 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列）；批次 </t>
    </r>
    <r>
      <rPr>
        <sz val="10"/>
        <rFont val="Arial"/>
        <family val="0"/>
        <charset val="1"/>
      </rPr>
      <t xml:space="preserve">#38 </t>
    </r>
    <r>
      <rPr>
        <sz val="10"/>
        <rFont val="Noto Sans CJK SC"/>
        <family val="2"/>
      </rPr>
      <t xml:space="preserve">復原後逐字相同</t>
    </r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</si>
  <si>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</si>
  <si>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</si>
  <si>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</si>
  <si>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</si>
  <si>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</si>
  <si>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</si>
  <si>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r>
      <rPr>
        <sz val="10"/>
        <rFont val="Noto Sans CJK SC"/>
        <family val="2"/>
      </rPr>
      <t xml:space="preserve">沒有真實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匯出檔，改用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內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格式樣本（</t>
    </r>
    <r>
      <rPr>
        <sz val="10"/>
        <rFont val="Arial"/>
        <family val="0"/>
        <charset val="1"/>
      </rPr>
      <t xml:space="preserve">tests/golden/broker/schwab_2024.csv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schwab_unmapped.csv</t>
    </r>
    <r>
      <rPr>
        <sz val="10"/>
        <rFont val="Noto Sans CJK SC"/>
        <family val="2"/>
      </rPr>
      <t xml:space="preserve">，檔頭註明合成資料）及同格式自製檔，經「交易帳本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券商對帳單」檔案選取上傳。① </t>
    </r>
    <r>
      <rPr>
        <sz val="10"/>
        <rFont val="Arial"/>
        <family val="0"/>
        <charset val="1"/>
      </rPr>
      <t xml:space="preserve">schwab_2024.csv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列）→ </t>
    </r>
    <r>
      <rPr>
        <sz val="10"/>
        <rFont val="Arial"/>
        <family val="0"/>
        <charset val="1"/>
      </rPr>
      <t xml:space="preserve">POST /api/broker/convert 200</t>
    </r>
    <r>
      <rPr>
        <sz val="10"/>
        <rFont val="Noto Sans CJK SC"/>
        <family val="2"/>
      </rPr>
      <t xml:space="preserve">，畫面只顯示「✓ 對帳通過 —— 現金與各代號股數都守恆／讀入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列，產生：交易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股利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資金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」；轉出的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ALFA </t>
    </r>
    <r>
      <rPr>
        <sz val="10"/>
        <rFont val="Noto Sans CJK SC"/>
        <family val="2"/>
      </rPr>
      <t xml:space="preserve">買賣、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、入金／利息／融資利息／</t>
    </r>
    <r>
      <rPr>
        <sz val="10"/>
        <rFont val="Arial"/>
        <family val="0"/>
        <charset val="1"/>
      </rPr>
      <t xml:space="preserve">ADR </t>
    </r>
    <r>
      <rPr>
        <sz val="10"/>
        <rFont val="Noto Sans CJK SC"/>
        <family val="2"/>
      </rPr>
      <t xml:space="preserve">費）與被合併或抵銷的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Journaled ±25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Cancel Buy BETA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NRA Tax Adj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</t>
    </r>
    <r>
      <rPr>
        <sz val="10"/>
        <rFont val="Noto Sans CJK SC"/>
        <family val="2"/>
      </rPr>
      <t xml:space="preserve">）在畫面上都看不到，只在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回應裡 ✗；② </t>
    </r>
    <r>
      <rPr>
        <sz val="10"/>
        <rFont val="Arial"/>
        <family val="0"/>
        <charset val="1"/>
      </rPr>
      <t xml:space="preserve">schwab_unmapped.csv → 422 broker_row_unmapped</t>
    </r>
    <r>
      <rPr>
        <sz val="10"/>
        <rFont val="Noto Sans CJK SC"/>
        <family val="2"/>
      </rPr>
      <t xml:space="preserve">，畫面「✗ 無法轉換：…</t>
    </r>
    <r>
      <rPr>
        <sz val="10"/>
        <rFont val="Arial"/>
        <family val="0"/>
        <charset val="1"/>
      </rPr>
      <t xml:space="preserve">:3: unmapped broker row — action='Journaled Shares' …</t>
    </r>
    <r>
      <rPr>
        <sz val="10"/>
        <rFont val="Noto Sans CJK SC"/>
        <family val="2"/>
      </rPr>
      <t xml:space="preserve">／這個檔案裡有一種本系統還不認得的交易類型。系統不會用猜的…」，「全部寫入」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；③ 自製檔（</t>
    </r>
    <r>
      <rPr>
        <sz val="10"/>
        <rFont val="Arial"/>
        <family val="0"/>
        <charset val="1"/>
      </rPr>
      <t xml:space="preserve">Wire Received $100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Buy AAPL 1@$250</t>
    </r>
    <r>
      <rPr>
        <sz val="10"/>
        <rFont val="Noto Sans CJK SC"/>
        <family val="2"/>
      </rPr>
      <t xml:space="preserve">，匯入嘉信）→ 全部寫入 → 交易批次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、資金批次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各寫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筆，</t>
    </r>
    <r>
      <rPr>
        <sz val="10"/>
        <rFont val="Arial"/>
        <family val="0"/>
        <charset val="1"/>
      </rPr>
      <t xml:space="preserve">AAPL 85.04→86.04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13,515→13,765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398,497.90→398,347.90</t>
    </r>
    <r>
      <rPr>
        <sz val="10"/>
        <rFont val="Noto Sans CJK SC"/>
        <family val="2"/>
      </rPr>
      <t xml:space="preserve">，備註「</t>
    </r>
    <r>
      <rPr>
        <sz val="10"/>
        <rFont val="Arial"/>
        <family val="0"/>
        <charset val="1"/>
      </rPr>
      <t xml:space="preserve">schwab_qa.csv:2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</t>
    </r>
    <r>
      <rPr>
        <sz val="10"/>
        <rFont val="Noto Sans CJK SC"/>
        <family val="2"/>
      </rPr>
      <t xml:space="preserve">」可追溯；兩批逐一復原後與 </t>
    </r>
    <r>
      <rPr>
        <sz val="10"/>
        <rFont val="Arial"/>
        <family val="0"/>
        <charset val="1"/>
      </rPr>
      <t xml:space="preserve">I10 </t>
    </r>
    <r>
      <rPr>
        <sz val="10"/>
        <rFont val="Noto Sans CJK SC"/>
        <family val="2"/>
      </rPr>
      <t xml:space="preserve">基準逐位元相同 ✓。✗ 另測 </t>
    </r>
    <r>
      <rPr>
        <sz val="10"/>
        <rFont val="Arial"/>
        <family val="0"/>
        <charset val="1"/>
      </rPr>
      <t xml:space="preserve">Sell AAPL 1,000 </t>
    </r>
    <r>
      <rPr>
        <sz val="10"/>
        <rFont val="Noto Sans CJK SC"/>
        <family val="2"/>
      </rPr>
      <t xml:space="preserve">股（嘉信只持有 </t>
    </r>
    <r>
      <rPr>
        <sz val="10"/>
        <rFont val="Arial"/>
        <family val="0"/>
        <charset val="1"/>
      </rPr>
      <t xml:space="preserve">85.04 </t>
    </r>
    <r>
      <rPr>
        <sz val="10"/>
        <rFont val="Noto Sans CJK SC"/>
        <family val="2"/>
      </rPr>
      <t xml:space="preserve">股）：轉換只提示補期初庫存，「全部寫入」直接以 </t>
    </r>
    <r>
      <rPr>
        <sz val="10"/>
        <rFont val="Arial"/>
        <family val="0"/>
        <charset val="1"/>
      </rPr>
      <t xml:space="preserve">ack_warnings:true </t>
    </r>
    <r>
      <rPr>
        <sz val="10"/>
        <rFont val="Noto Sans CJK SC"/>
        <family val="2"/>
      </rPr>
      <t xml:space="preserve">送出，無任何賣超確認 → 寫入後 </t>
    </r>
    <r>
      <rPr>
        <sz val="10"/>
        <rFont val="Arial"/>
        <family val="0"/>
        <charset val="1"/>
      </rPr>
      <t xml:space="preserve">AAPL −914.96 </t>
    </r>
    <r>
      <rPr>
        <sz val="10"/>
        <rFont val="Noto Sans CJK SC"/>
        <family val="2"/>
      </rPr>
      <t xml:space="preserve">股、原始成本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oversold=true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變空，畫面「✓ 全部寫入完成」；以批次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復原後逐位元還原</t>
    </r>
  </si>
  <si>
    <t xml:space="preserve">DEF-027, DEF-028, DEF-039</t>
  </si>
  <si>
    <r>
      <rPr>
        <sz val="10"/>
        <rFont val="Noto Sans CJK SC"/>
        <family val="2"/>
      </rPr>
      <t xml:space="preserve">一次匯入會拆成多個批次（交易／資金各一），需逐批復原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複驗通過結案；附帶新開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（期初缺口提示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位小數，低）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複驗通過結案（期初缺口 </t>
    </r>
    <r>
      <rPr>
        <sz val="10"/>
        <rFont val="Arial"/>
        <family val="0"/>
        <charset val="1"/>
      </rPr>
      <t xml:space="preserve">85.039255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914.960745 </t>
    </r>
    <r>
      <rPr>
        <sz val="10"/>
        <rFont val="Noto Sans CJK SC"/>
        <family val="2"/>
      </rPr>
      <t xml:space="preserve">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格式對帳單 → </t>
    </r>
    <r>
      <rPr>
        <sz val="10"/>
        <rFont val="Arial"/>
        <family val="0"/>
        <charset val="1"/>
      </rPr>
      <t xml:space="preserve">convert 200 </t>
    </r>
    <r>
      <rPr>
        <sz val="10"/>
        <rFont val="Noto Sans CJK SC"/>
        <family val="2"/>
      </rPr>
      <t xml:space="preserve">逐列報告（交易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）；未知類型「</t>
    </r>
    <r>
      <rPr>
        <sz val="10"/>
        <rFont val="Arial"/>
        <family val="0"/>
        <charset val="1"/>
      </rPr>
      <t xml:space="preserve">Journaled Shares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422 broker_row_unmapped</t>
    </r>
    <r>
      <rPr>
        <sz val="10"/>
        <rFont val="Noto Sans CJK SC"/>
        <family val="2"/>
      </rPr>
      <t xml:space="preserve">（不猜）；寫入轉換結果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AAPL +1 </t>
    </r>
    <r>
      <rPr>
        <sz val="10"/>
        <rFont val="Noto Sans CJK SC"/>
        <family val="2"/>
      </rPr>
      <t xml:space="preserve">股；兩個批次復原後逐字相同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格式對帳單 → </t>
    </r>
    <r>
      <rPr>
        <sz val="10"/>
        <rFont val="Arial"/>
        <family val="0"/>
        <charset val="1"/>
      </rPr>
      <t xml:space="preserve">convert 200 </t>
    </r>
    <r>
      <rPr>
        <sz val="10"/>
        <rFont val="Noto Sans CJK SC"/>
        <family val="2"/>
      </rPr>
      <t xml:space="preserve">逐列報告（交易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）；未知類型「</t>
    </r>
    <r>
      <rPr>
        <sz val="10"/>
        <rFont val="Arial"/>
        <family val="0"/>
        <charset val="1"/>
      </rPr>
      <t xml:space="preserve">Journaled Shares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422 broker_row_unmapped</t>
    </r>
    <r>
      <rPr>
        <sz val="10"/>
        <rFont val="Noto Sans CJK SC"/>
        <family val="2"/>
      </rPr>
      <t xml:space="preserve">（不猜）；寫入轉換結果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AAPL +1 </t>
    </r>
    <r>
      <rPr>
        <sz val="10"/>
        <rFont val="Noto Sans CJK SC"/>
        <family val="2"/>
      </rPr>
      <t xml:space="preserve">股；批次復原後逐字相同</t>
    </r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</si>
  <si>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</si>
  <si>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</si>
  <si>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</si>
  <si>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</si>
  <si>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r>
      <rPr>
        <sz val="10"/>
        <rFont val="Noto Sans CJK SC"/>
        <family val="2"/>
      </rPr>
      <t xml:space="preserve">同一份嘉信格式檔（</t>
    </r>
    <r>
      <rPr>
        <sz val="10"/>
        <rFont val="Arial"/>
        <family val="0"/>
        <charset val="1"/>
      </rPr>
      <t xml:space="preserve">Wire Received $100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Buy AAPL 1@$250</t>
    </r>
    <r>
      <rPr>
        <sz val="10"/>
        <rFont val="Noto Sans CJK SC"/>
        <family val="2"/>
      </rPr>
      <t xml:space="preserve">），券商選嘉信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：① 匯入到帳戶選「台灣券商（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）」→ 轉換顯示「✓ 對帳通過」、無任何警告，按全部寫入後才在寫入階段被擋：「⚠ 寫入中止 交易 寫入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列：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US </t>
    </r>
    <r>
      <rPr>
        <sz val="10"/>
        <rFont val="Noto Sans CJK SC"/>
        <family val="2"/>
      </rPr>
      <t xml:space="preserve">市場，不可登錄於 台股帳戶」，資金列未送出，帳本未變 ✓（擋下有效）；② 匯入到帳戶選「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）」→ 轉換「✓ 對帳通過」、無警告 → 全部寫入 → 交易批次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、資金批次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寫入成功，嘉信的對帳單被記進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帳戶 ✗。兩批復原後與 </t>
    </r>
    <r>
      <rPr>
        <sz val="10"/>
        <rFont val="Arial"/>
        <family val="0"/>
        <charset val="1"/>
      </rPr>
      <t xml:space="preserve">I11 </t>
    </r>
    <r>
      <rPr>
        <sz val="10"/>
        <rFont val="Noto Sans CJK SC"/>
        <family val="2"/>
      </rPr>
      <t xml:space="preserve">基準逐位元相同</t>
    </r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</si>
  <si>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</si>
  <si>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</si>
  <si>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</si>
  <si>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</si>
  <si>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</si>
  <si>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</si>
  <si>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</si>
  <si>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r>
      <rPr>
        <sz val="10"/>
        <rFont val="Noto Sans CJK SC"/>
        <family val="2"/>
      </rPr>
      <t xml:space="preserve">承 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：不填費用的列依帳戶規則重算——台灣券商 </t>
    </r>
    <r>
      <rPr>
        <sz val="10"/>
        <rFont val="Arial"/>
        <family val="0"/>
        <charset val="1"/>
      </rPr>
      <t xml:space="preserve">2884 100@45.20 fee 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4,520×0.1425%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6.44 →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tax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1155 100@10.40 fee 3.91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2.00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AAPL fee 0 ✓</t>
    </r>
    <r>
      <rPr>
        <sz val="10"/>
        <rFont val="Noto Sans CJK SC"/>
        <family val="2"/>
      </rPr>
      <t xml:space="preserve">；有填費用的列照用——</t>
    </r>
    <r>
      <rPr>
        <sz val="10"/>
        <rFont val="Arial"/>
        <family val="0"/>
        <charset val="1"/>
      </rPr>
      <t xml:space="preserve">2884 1,000@45.20 fee 50</t>
    </r>
    <r>
      <rPr>
        <sz val="10"/>
        <rFont val="Noto Sans CJK SC"/>
        <family val="2"/>
      </rPr>
      <t xml:space="preserve">（系統計算應為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）寫入後帳本 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 ✓</t>
    </r>
    <r>
      <rPr>
        <sz val="10"/>
        <rFont val="Noto Sans CJK SC"/>
        <family val="2"/>
      </rPr>
      <t xml:space="preserve">。與手動輸入同一路徑比對：手動交易草稿 </t>
    </r>
    <r>
      <rPr>
        <sz val="10"/>
        <rFont val="Arial"/>
        <family val="0"/>
        <charset val="1"/>
      </rPr>
      <t xml:space="preserve">2884 100@45.20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100@10.40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1,045.91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fee_rule_label</t>
    </r>
    <r>
      <rPr>
        <sz val="10"/>
        <rFont val="Noto Sans CJK SC"/>
        <family val="2"/>
      </rPr>
      <t xml:space="preserve">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・印花 </t>
    </r>
    <r>
      <rPr>
        <sz val="10"/>
        <rFont val="Arial"/>
        <family val="0"/>
        <charset val="1"/>
      </rPr>
      <t xml:space="preserve">ceil(</t>
    </r>
    <r>
      <rPr>
        <sz val="10"/>
        <rFont val="Noto Sans CJK SC"/>
        <family val="2"/>
      </rPr>
      <t xml:space="preserve">金額</t>
    </r>
    <r>
      <rPr>
        <sz val="10"/>
        <rFont val="Arial"/>
        <family val="0"/>
        <charset val="1"/>
      </rPr>
      <t xml:space="preserve">/1000)×RM1</t>
    </r>
    <r>
      <rPr>
        <sz val="10"/>
        <rFont val="Noto Sans CJK SC"/>
        <family val="2"/>
      </rPr>
      <t xml:space="preserve">」）與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解析結果完全相同 ✓</t>
    </r>
  </si>
  <si>
    <r>
      <rPr>
        <sz val="10"/>
        <rFont val="Noto Sans CJK SC"/>
        <family val="2"/>
      </rPr>
      <t xml:space="preserve">手動草稿只試算不寫入，已按清除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：不填費用的列依帳戶規則重算——台灣券商 </t>
    </r>
    <r>
      <rPr>
        <sz val="10"/>
        <rFont val="Arial"/>
        <family val="0"/>
        <charset val="1"/>
      </rPr>
      <t xml:space="preserve">2884 100@45.20 fee 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4,520×0.1425%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6.44 → </t>
    </r>
    <r>
      <rPr>
        <sz val="10"/>
        <rFont val="Noto Sans CJK SC"/>
        <family val="2"/>
      </rPr>
      <t xml:space="preserve">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tax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1155 100@10.40 fee 3.91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2.00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AAPL fee 0 ✓</t>
    </r>
    <r>
      <rPr>
        <sz val="10"/>
        <rFont val="Noto Sans CJK SC"/>
        <family val="2"/>
      </rPr>
      <t xml:space="preserve">；有填費用的列照用——</t>
    </r>
    <r>
      <rPr>
        <sz val="10"/>
        <rFont val="Arial"/>
        <family val="0"/>
        <charset val="1"/>
      </rPr>
      <t xml:space="preserve">2884 1,000@45.20 fee 50</t>
    </r>
    <r>
      <rPr>
        <sz val="10"/>
        <rFont val="Noto Sans CJK SC"/>
        <family val="2"/>
      </rPr>
      <t xml:space="preserve">（規則計算應為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）寫入後帳本 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 ✓</t>
    </r>
    <r>
      <rPr>
        <sz val="10"/>
        <rFont val="Noto Sans CJK SC"/>
        <family val="2"/>
      </rPr>
      <t xml:space="preserve">。與手動輸入同一路徑比對：手動交易草稿 </t>
    </r>
    <r>
      <rPr>
        <sz val="10"/>
        <rFont val="Arial"/>
        <family val="0"/>
        <charset val="1"/>
      </rPr>
      <t xml:space="preserve">2884 100@45.20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100@10.40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1,045.91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fee_rule_label</t>
    </r>
    <r>
      <rPr>
        <sz val="10"/>
        <rFont val="Noto Sans CJK SC"/>
        <family val="2"/>
      </rPr>
      <t xml:space="preserve">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・印花 </t>
    </r>
    <r>
      <rPr>
        <sz val="10"/>
        <rFont val="Arial"/>
        <family val="0"/>
        <charset val="1"/>
      </rPr>
      <t xml:space="preserve">ceil(</t>
    </r>
    <r>
      <rPr>
        <sz val="10"/>
        <rFont val="Noto Sans CJK SC"/>
        <family val="2"/>
      </rPr>
      <t xml:space="preserve">金額</t>
    </r>
    <r>
      <rPr>
        <sz val="10"/>
        <rFont val="Arial"/>
        <family val="0"/>
        <charset val="1"/>
      </rPr>
      <t xml:space="preserve">/1000)×RM1</t>
    </r>
    <r>
      <rPr>
        <sz val="10"/>
        <rFont val="Noto Sans CJK SC"/>
        <family val="2"/>
      </rPr>
      <t xml:space="preserve">」）與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解析結果完全相同 ✓。手動草稿只試算不寫入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項檢查全過：空白手續費依帳戶規則重算（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），有填則照用（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，不改為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），與手動輸入路徑一致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項檢查全過：空白手續費依帳戶規則重算（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），有填則照用（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，不改為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），與手動輸入路徑一致</t>
    </r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</si>
  <si>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</si>
  <si>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</si>
  <si>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</si>
  <si>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</si>
  <si>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</si>
  <si>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r>
      <rPr>
        <sz val="10"/>
        <rFont val="Noto Sans CJK SC"/>
        <family val="2"/>
      </rPr>
      <t xml:space="preserve">交易帳本 › 交易 › ⬇匯出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列，表頭 </t>
    </r>
    <r>
      <rPr>
        <sz val="10"/>
        <rFont val="Arial"/>
        <family val="0"/>
        <charset val="1"/>
      </rPr>
      <t xml:space="preserve">id,account_id,symbol,side,quantity,price,fees,tax,trade_date,fee_rule_snapshot,note,daytrade,short_sale,import_batch_id,source_row_hash</t>
    </r>
    <r>
      <rPr>
        <sz val="10"/>
        <rFont val="Noto Sans CJK SC"/>
        <family val="2"/>
      </rPr>
      <t xml:space="preserve">）→ 原樣貼到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匯入（標準範本／交易）：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列全部「✕ 錯誤 缺少必要欄位（欄位 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）」，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列可寫入。改用人工繞道（只把表頭 </t>
    </r>
    <r>
      <rPr>
        <sz val="10"/>
        <rFont val="Arial"/>
        <family val="0"/>
        <charset val="1"/>
      </rPr>
      <t xml:space="preserve">account_id→account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，其餘不動）取 </t>
    </r>
    <r>
      <rPr>
        <sz val="10"/>
        <rFont val="Arial"/>
        <family val="0"/>
        <charset val="1"/>
      </rPr>
      <t xml:space="preserve">#7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2,000@185.5 fee 529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2603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500@190 fee 135 tax 285</t>
    </r>
    <r>
      <rPr>
        <sz val="10"/>
        <rFont val="Noto Sans CJK SC"/>
        <family val="2"/>
      </rPr>
      <t xml:space="preserve">）匯入 → 兩列「⚠ 相同交易已存在」→ 確認寫入 → 批次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#92</t>
    </r>
    <r>
      <rPr>
        <sz val="10"/>
        <rFont val="Noto Sans CJK SC"/>
        <family val="2"/>
      </rPr>
      <t xml:space="preserve">：帳戶／代號／買賣／股數／價格／手續費／稅／日期／備註／當沖／放空旗標與原列一致，但 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由原本 </t>
    </r>
    <r>
      <rPr>
        <sz val="10"/>
        <rFont val="Arial"/>
        <family val="0"/>
        <charset val="1"/>
      </rPr>
      <t xml:space="preserve">{brokerage 0.001425, discount 1, min_fee 20, (tax_rate 0.003)} </t>
    </r>
    <r>
      <rPr>
        <sz val="10"/>
        <rFont val="Noto Sans CJK SC"/>
        <family val="2"/>
      </rPr>
      <t xml:space="preserve">變成 </t>
    </r>
    <r>
      <rPr>
        <sz val="10"/>
        <rFont val="Arial"/>
        <family val="0"/>
        <charset val="1"/>
      </rPr>
      <t xml:space="preserve">{engine: supplied, fee, tax}</t>
    </r>
    <r>
      <rPr>
        <sz val="10"/>
        <rFont val="Noto Sans CJK SC"/>
        <family val="2"/>
      </rPr>
      <t xml:space="preserve">，費率快照未能重建。最近匯入 › 復原批次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deleted 2</t>
    </r>
    <r>
      <rPr>
        <sz val="10"/>
        <rFont val="Noto Sans CJK SC"/>
        <family val="2"/>
      </rPr>
      <t xml:space="preserve">）後六段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＋計數與 </t>
    </r>
    <r>
      <rPr>
        <sz val="10"/>
        <rFont val="Arial"/>
        <family val="0"/>
        <charset val="1"/>
      </rPr>
      <t xml:space="preserve">I13 </t>
    </r>
    <r>
      <rPr>
        <sz val="10"/>
        <rFont val="Noto Sans CJK SC"/>
        <family val="2"/>
      </rPr>
      <t xml:space="preserve">基準逐位元相同</t>
    </r>
  </si>
  <si>
    <t xml:space="preserve">DEF-026</t>
  </si>
  <si>
    <r>
      <rPr>
        <sz val="10"/>
        <rFont val="Noto Sans CJK SC"/>
        <family val="2"/>
      </rPr>
      <t xml:space="preserve">本題無獨立測試帳戶，改以同帳戶匯入重複列並立即以批次復原；第一次讀到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列是我的網路攔截器截斷回應本文所致，改用直接下載重讀為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列（排除量測錯誤）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項檢查全過：交易帳本匯出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列可直接當匯入解析（缺欄錯誤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56/56 </t>
    </r>
    <r>
      <rPr>
        <sz val="10"/>
        <rFont val="Noto Sans CJK SC"/>
        <family val="2"/>
      </rPr>
      <t xml:space="preserve">列皆偵測為相同交易（</t>
    </r>
    <r>
      <rPr>
        <sz val="10"/>
        <rFont val="Arial"/>
        <family val="0"/>
        <charset val="1"/>
      </rPr>
      <t xml:space="preserve">kinds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duplicate_trade</t>
    </r>
    <r>
      <rPr>
        <sz val="10"/>
        <rFont val="Noto Sans CJK SC"/>
        <family val="2"/>
      </rPr>
      <t xml:space="preserve">）；回寫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列與原列逐欄相同；批次復原後逐字相同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項檢查全過：交易帳本匯出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列可直接當匯入解析（缺欄錯誤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56/56 </t>
    </r>
    <r>
      <rPr>
        <sz val="10"/>
        <rFont val="Noto Sans CJK SC"/>
        <family val="2"/>
      </rPr>
      <t xml:space="preserve">列皆偵測為相同交易（</t>
    </r>
    <r>
      <rPr>
        <sz val="10"/>
        <rFont val="Arial"/>
        <family val="0"/>
        <charset val="1"/>
      </rPr>
      <t xml:space="preserve">kinds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duplicate_trade</t>
    </r>
    <r>
      <rPr>
        <sz val="10"/>
        <rFont val="Noto Sans CJK SC"/>
        <family val="2"/>
      </rPr>
      <t xml:space="preserve">）；回寫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列與原列逐欄相同；批次 </t>
    </r>
    <r>
      <rPr>
        <sz val="10"/>
        <rFont val="Arial"/>
        <family val="0"/>
        <charset val="1"/>
      </rPr>
      <t xml:space="preserve">#41 </t>
    </r>
    <r>
      <rPr>
        <sz val="10"/>
        <rFont val="Noto Sans CJK SC"/>
        <family val="2"/>
      </rPr>
      <t xml:space="preserve">復原後逐字相同</t>
    </r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</si>
  <si>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</si>
  <si>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</si>
  <si>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</si>
  <si>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</si>
  <si>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</si>
  <si>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</si>
  <si>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字串（</t>
    </r>
    <r>
      <rPr>
        <sz val="10"/>
        <rFont val="Arial"/>
        <family val="0"/>
        <charset val="1"/>
      </rPr>
      <t xml:space="preserve">BigInt </t>
    </r>
    <r>
      <rPr>
        <sz val="10"/>
        <rFont val="Noto Sans CJK SC"/>
        <family val="2"/>
      </rPr>
      <t xml:space="preserve">定點運算，不經 </t>
    </r>
    <r>
      <rPr>
        <sz val="10"/>
        <rFont val="Arial"/>
        <family val="0"/>
        <charset val="1"/>
      </rPr>
      <t xml:space="preserve">float</t>
    </r>
    <r>
      <rPr>
        <sz val="10"/>
        <rFont val="Noto Sans CJK SC"/>
        <family val="2"/>
      </rPr>
      <t xml:space="preserve">）重算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項總表（</t>
    </r>
    <r>
      <rPr>
        <sz val="10"/>
        <rFont val="Arial"/>
        <family val="0"/>
        <charset val="1"/>
      </rPr>
      <t xml:space="preserve">T1 </t>
    </r>
    <r>
      <rPr>
        <sz val="10"/>
        <rFont val="Noto Sans CJK SC"/>
        <family val="2"/>
      </rPr>
      <t xml:space="preserve">已實現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未實現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資產損益；</t>
    </r>
    <r>
      <rPr>
        <sz val="10"/>
        <rFont val="Arial"/>
        <family val="0"/>
        <charset val="1"/>
      </rPr>
      <t xml:space="preserve">T2 </t>
    </r>
    <r>
      <rPr>
        <sz val="10"/>
        <rFont val="Noto Sans CJK SC"/>
        <family val="2"/>
      </rPr>
      <t xml:space="preserve">含匯兌總損益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資產損益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本金匯率效果</t>
    </r>
    <r>
      <rPr>
        <sz val="10"/>
        <rFont val="Arial"/>
        <family val="0"/>
        <charset val="1"/>
      </rPr>
      <t xml:space="preserve">(−33,153.58)+</t>
    </r>
    <r>
      <rPr>
        <sz val="10"/>
        <rFont val="Noto Sans CJK SC"/>
        <family val="2"/>
      </rPr>
      <t xml:space="preserve">交易與融資成本</t>
    </r>
    <r>
      <rPr>
        <sz val="10"/>
        <rFont val="Arial"/>
        <family val="0"/>
        <charset val="1"/>
      </rPr>
      <t xml:space="preserve">(191)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T3 Σ</t>
    </r>
    <r>
      <rPr>
        <sz val="10"/>
        <rFont val="Noto Sans CJK SC"/>
        <family val="2"/>
      </rPr>
      <t xml:space="preserve">帳戶市值；</t>
    </r>
    <r>
      <rPr>
        <sz val="10"/>
        <rFont val="Arial"/>
        <family val="0"/>
        <charset val="1"/>
      </rPr>
      <t xml:space="preserve">T4 Σ</t>
    </r>
    <r>
      <rPr>
        <sz val="10"/>
        <rFont val="Noto Sans CJK SC"/>
        <family val="2"/>
      </rPr>
      <t xml:space="preserve">市場市值；</t>
    </r>
    <r>
      <rPr>
        <sz val="10"/>
        <rFont val="Arial"/>
        <family val="0"/>
        <charset val="1"/>
      </rPr>
      <t xml:space="preserve">T5 Σ</t>
    </r>
    <r>
      <rPr>
        <sz val="10"/>
        <rFont val="Noto Sans CJK SC"/>
        <family val="2"/>
      </rPr>
      <t xml:space="preserve">幣別報告幣；</t>
    </r>
    <r>
      <rPr>
        <sz val="10"/>
        <rFont val="Arial"/>
        <family val="0"/>
        <charset val="1"/>
      </rPr>
      <t xml:space="preserve">T6 Σ</t>
    </r>
    <r>
      <rPr>
        <sz val="10"/>
        <rFont val="Noto Sans CJK SC"/>
        <family val="2"/>
      </rPr>
      <t xml:space="preserve">產業配置＝總市值 </t>
    </r>
    <r>
      <rPr>
        <sz val="10"/>
        <rFont val="Arial"/>
        <family val="0"/>
        <charset val="1"/>
      </rPr>
      <t xml:space="preserve">34,912,272.92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T7 Σ</t>
    </r>
    <r>
      <rPr>
        <sz val="10"/>
        <rFont val="Noto Sans CJK SC"/>
        <family val="2"/>
      </rPr>
      <t xml:space="preserve">產業權重</t>
    </r>
    <r>
      <rPr>
        <sz val="10"/>
        <rFont val="Arial"/>
        <family val="0"/>
        <charset val="1"/>
      </rPr>
      <t xml:space="preserve">=1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T8 Σ</t>
    </r>
    <r>
      <rPr>
        <sz val="10"/>
        <rFont val="Noto Sans CJK SC"/>
        <family val="2"/>
      </rPr>
      <t xml:space="preserve">逐檔權重</t>
    </r>
    <r>
      <rPr>
        <sz val="10"/>
        <rFont val="Arial"/>
        <family val="0"/>
        <charset val="1"/>
      </rPr>
      <t xml:space="preserve">=1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T9 Σ</t>
    </r>
    <r>
      <rPr>
        <sz val="10"/>
        <rFont val="Noto Sans CJK SC"/>
        <family val="2"/>
      </rPr>
      <t xml:space="preserve">帳戶未實現</t>
    </r>
    <r>
      <rPr>
        <sz val="10"/>
        <rFont val="Arial"/>
        <family val="0"/>
        <charset val="1"/>
      </rPr>
      <t xml:space="preserve">=23,608,312.80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T10 returns.reporting_total_return=kpis.total_return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×6 </t>
    </r>
    <r>
      <rPr>
        <sz val="10"/>
        <rFont val="Noto Sans CJK SC"/>
        <family val="2"/>
      </rPr>
      <t xml:space="preserve">項。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全過，最大絕對誤差 </t>
    </r>
    <r>
      <rPr>
        <sz val="10"/>
        <rFont val="Arial"/>
        <family val="0"/>
        <charset val="1"/>
      </rPr>
      <t xml:space="preserve">1e-20</t>
    </r>
    <r>
      <rPr>
        <sz val="10"/>
        <rFont val="Noto Sans CJK SC"/>
        <family val="2"/>
      </rPr>
      <t xml:space="preserve">。附加：</t>
    </r>
    <r>
      <rPr>
        <sz val="10"/>
        <rFont val="Arial"/>
        <family val="0"/>
        <charset val="1"/>
      </rPr>
      <t xml:space="preserve">Σ</t>
    </r>
    <r>
      <rPr>
        <sz val="10"/>
        <rFont val="Noto Sans CJK SC"/>
        <family val="2"/>
      </rPr>
      <t xml:space="preserve">逐檔原幣市值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幣別原幣市值（</t>
    </r>
    <r>
      <rPr>
        <sz val="10"/>
        <rFont val="Arial"/>
        <family val="0"/>
        <charset val="1"/>
      </rPr>
      <t xml:space="preserve">TWD/USD/MYR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3/3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三角 </t>
    </r>
    <r>
      <rPr>
        <sz val="10"/>
        <rFont val="Arial"/>
        <family val="0"/>
        <charset val="1"/>
      </rPr>
      <t xml:space="preserve">direct 31.698999 vs implied 31.698997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</si>
  <si>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DEF-077</t>
  </si>
  <si>
    <r>
      <rPr>
        <sz val="10"/>
        <rFont val="Noto Sans CJK SC"/>
        <family val="2"/>
      </rPr>
      <t xml:space="preserve">排除：先以自測確認比對器會抓錯（</t>
    </r>
    <r>
      <rPr>
        <sz val="10"/>
        <rFont val="Arial"/>
        <family val="0"/>
        <charset val="1"/>
      </rPr>
      <t xml:space="preserve">1 vs 1.000000001 → ok=false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100 vs 100.5 → ok=false</t>
    </r>
    <r>
      <rPr>
        <sz val="10"/>
        <rFont val="Noto Sans CJK SC"/>
        <family val="2"/>
      </rPr>
      <t xml:space="preserve">），再重算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1.01e−20
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1.01e−20
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；附帶三幣別原幣市值加總 </t>
    </r>
    <r>
      <rPr>
        <sz val="10"/>
        <rFont val="Arial"/>
        <family val="0"/>
        <charset val="1"/>
      </rPr>
      <t xml:space="preserve">3/3 </t>
    </r>
    <r>
      <rPr>
        <sz val="10"/>
        <rFont val="Noto Sans CJK SC"/>
        <family val="2"/>
      </rPr>
      <t xml:space="preserve">相符。觀察：</t>
    </r>
    <r>
      <rPr>
        <sz val="10"/>
        <rFont val="Arial"/>
        <family val="0"/>
        <charset val="1"/>
      </rPr>
      <t xml:space="preserve">fx_triangulation USD/TWD gap −0.0938%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），因還原 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時只更新了部分匯率，見規格 </t>
    </r>
    <r>
      <rPr>
        <sz val="10"/>
        <rFont val="Arial"/>
        <family val="0"/>
        <charset val="1"/>
      </rPr>
      <t xml:space="preserve">§5
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；三幣別原幣市值加總 </t>
    </r>
    <r>
      <rPr>
        <sz val="10"/>
        <rFont val="Arial"/>
        <family val="0"/>
        <charset val="1"/>
      </rPr>
      <t xml:space="preserve">3/3 </t>
    </r>
    <r>
      <rPr>
        <sz val="10"/>
        <rFont val="Noto Sans CJK SC"/>
        <family val="2"/>
      </rPr>
      <t xml:space="preserve">相符；</t>
    </r>
    <r>
      <rPr>
        <sz val="10"/>
        <rFont val="Arial"/>
        <family val="0"/>
        <charset val="1"/>
      </rPr>
      <t xml:space="preserve">R5_START </t>
    </r>
    <r>
      <rPr>
        <sz val="10"/>
        <rFont val="Noto Sans CJK SC"/>
        <family val="2"/>
      </rPr>
      <t xml:space="preserve">比對六段逐字相同（僅額度差）
</t>
    </r>
    <r>
      <rPr>
        <sz val="10"/>
        <rFont val="Arial"/>
        <family val="0"/>
        <charset val="1"/>
      </rPr>
      <t xml:space="preserve">R5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）⑥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：匯率三角改在最新共同日期比較，開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（本輪 </t>
    </r>
    <r>
      <rPr>
        <sz val="10"/>
        <rFont val="Arial"/>
        <family val="0"/>
        <charset val="1"/>
      </rPr>
      <t xml:space="preserve">tri USD/TWD gap −0.0938%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即此情況）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；匯率三角 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（以共同日期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比較、</t>
    </r>
    <r>
      <rPr>
        <sz val="10"/>
        <rFont val="Arial"/>
        <family val="0"/>
        <charset val="1"/>
      </rPr>
      <t xml:space="preserve">dates_differ true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比對六段逐字相同。附帶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複驗未過：判定正確，但「（一致）」提示以琥珀色警示框呈現（計算樣式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），屬顯示問題，不影響本案數值判定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；三幣別原幣市值加總 </t>
    </r>
    <r>
      <rPr>
        <sz val="10"/>
        <rFont val="Arial"/>
        <family val="0"/>
        <charset val="1"/>
      </rPr>
      <t xml:space="preserve">3/3 </t>
    </r>
    <r>
      <rPr>
        <sz val="10"/>
        <rFont val="Noto Sans CJK SC"/>
        <family val="2"/>
      </rPr>
      <t xml:space="preserve">相符；匯率三角 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（共同日期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複驗通過結案（三角提示實際顯示為中性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為琥珀）。</t>
    </r>
    <r>
      <rPr>
        <sz val="10"/>
        <rFont val="Arial"/>
        <family val="0"/>
        <charset val="1"/>
      </rPr>
      <t xml:space="preserve">R7_START </t>
    </r>
    <r>
      <rPr>
        <sz val="10"/>
        <rFont val="Noto Sans CJK SC"/>
        <family val="2"/>
      </rPr>
      <t xml:space="preserve">比對六段逐字相同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全過，最大誤差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；三幣別原幣市值加總 </t>
    </r>
    <r>
      <rPr>
        <sz val="10"/>
        <rFont val="Arial"/>
        <family val="0"/>
        <charset val="1"/>
      </rPr>
      <t xml:space="preserve">3/3 </t>
    </r>
    <r>
      <rPr>
        <sz val="10"/>
        <rFont val="Noto Sans CJK SC"/>
        <family val="2"/>
      </rPr>
      <t xml:space="preserve">相符（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9.8e−23</t>
    </r>
    <r>
      <rPr>
        <sz val="10"/>
        <rFont val="Noto Sans CJK SC"/>
        <family val="2"/>
      </rPr>
      <t xml:space="preserve">）；匯率三角 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（以共同日期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比較、</t>
    </r>
    <r>
      <rPr>
        <sz val="10"/>
        <rFont val="Arial"/>
        <family val="0"/>
        <charset val="1"/>
      </rPr>
      <t xml:space="preserve">dates_differ true</t>
    </r>
    <r>
      <rPr>
        <sz val="10"/>
        <rFont val="Noto Sans CJK SC"/>
        <family val="2"/>
      </rPr>
      <t xml:space="preserve">；各腿 </t>
    </r>
    <r>
      <rPr>
        <sz val="10"/>
        <rFont val="Arial"/>
        <family val="0"/>
        <charset val="1"/>
      </rPr>
      <t xml:space="preserve">USD/MYR 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MYR/TWD 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USD/TWD 09-25</t>
    </r>
    <r>
      <rPr>
        <sz val="10"/>
        <rFont val="Noto Sans CJK SC"/>
        <family val="2"/>
      </rPr>
      <t xml:space="preserve">），首頁三角提示仍為中性 </t>
    </r>
    <r>
      <rPr>
        <sz val="10"/>
        <rFont val="Arial"/>
        <family val="0"/>
        <charset val="1"/>
      </rPr>
      <t xml:space="preserve">fresh-note-info rgb(154,166,181)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R9_START </t>
    </r>
    <r>
      <rPr>
        <sz val="10"/>
        <rFont val="Noto Sans CJK SC"/>
        <family val="2"/>
      </rPr>
      <t xml:space="preserve">比對六段逐字相同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恆等式（最大誤差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）、三幣別原幣市值加總 </t>
    </r>
    <r>
      <rPr>
        <sz val="10"/>
        <rFont val="Arial"/>
        <family val="0"/>
        <charset val="1"/>
      </rPr>
      <t xml:space="preserve">3/3</t>
    </r>
    <r>
      <rPr>
        <sz val="10"/>
        <rFont val="Noto Sans CJK SC"/>
        <family val="2"/>
      </rPr>
      <t xml:space="preserve">、匯率三角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（共同日期 </t>
    </r>
    <r>
      <rPr>
        <sz val="10"/>
        <rFont val="Arial"/>
        <family val="0"/>
        <charset val="1"/>
      </rPr>
      <t xml:space="preserve">2026-09-28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恆等式（最大誤差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）、三幣別原幣市值加總 </t>
    </r>
    <r>
      <rPr>
        <sz val="10"/>
        <rFont val="Arial"/>
        <family val="0"/>
        <charset val="1"/>
      </rPr>
      <t xml:space="preserve">3/3</t>
    </r>
    <r>
      <rPr>
        <sz val="10"/>
        <rFont val="Noto Sans CJK SC"/>
        <family val="2"/>
      </rPr>
      <t xml:space="preserve">、匯率三角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31.836999 vs 31.837000</t>
    </r>
    <r>
      <rPr>
        <sz val="10"/>
        <rFont val="Noto Sans CJK SC"/>
        <family val="2"/>
      </rPr>
      <t xml:space="preserve">，共同日期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</t>
    </r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</si>
  <si>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</si>
  <si>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</si>
  <si>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</si>
  <si>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</si>
  <si>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</si>
  <si>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r>
      <rPr>
        <sz val="10"/>
        <rFont val="Noto Sans CJK SC"/>
        <family val="2"/>
      </rPr>
      <t xml:space="preserve">手動交易草稿試算（</t>
    </r>
    <r>
      <rPr>
        <sz val="10"/>
        <rFont val="Arial"/>
        <family val="0"/>
        <charset val="1"/>
      </rPr>
      <t xml:space="preserve">POST /api/input/manual/preview</t>
    </r>
    <r>
      <rPr>
        <sz val="10"/>
        <rFont val="Noto Sans CJK SC"/>
        <family val="2"/>
      </rPr>
      <t xml:space="preserve">，不寫入）：① 台股買 </t>
    </r>
    <r>
      <rPr>
        <sz val="10"/>
        <rFont val="Arial"/>
        <family val="0"/>
        <charset val="1"/>
      </rPr>
      <t xml:space="preserve">2884 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floor(64.41)=64</t>
    </r>
    <r>
      <rPr>
        <sz val="10"/>
        <rFont val="Noto Sans CJK SC"/>
        <family val="2"/>
      </rPr>
      <t xml:space="preserve">）；② 台股賣 </t>
    </r>
    <r>
      <rPr>
        <sz val="10"/>
        <rFont val="Arial"/>
        <family val="0"/>
        <charset val="1"/>
      </rPr>
      <t xml:space="preserve">100@46.00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floor(6.555)=6→</t>
    </r>
    <r>
      <rPr>
        <sz val="10"/>
        <rFont val="Noto Sans CJK SC"/>
        <family val="2"/>
      </rPr>
      <t xml:space="preserve">最低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）、證交稅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floor(13.8)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；③ 當沖賣 </t>
    </r>
    <r>
      <rPr>
        <sz val="10"/>
        <rFont val="Arial"/>
        <family val="0"/>
        <charset val="1"/>
      </rPr>
      <t xml:space="preserve">100@46.00</t>
    </r>
    <r>
      <rPr>
        <sz val="10"/>
        <rFont val="Noto Sans CJK SC"/>
        <family val="2"/>
      </rPr>
      <t xml:space="preserve">：稅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floor(6.9)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）；④ 零股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（最低）。四情境全數與手算相符</t>
    </r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</si>
  <si>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</si>
  <si>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</si>
  <si>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</si>
  <si>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</si>
  <si>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</t>
  </si>
  <si>
    <t xml:space="preserve">四組 JSON 與基準**字串完全相同**</t>
  </si>
  <si>
    <t xml:space="preserve">會寫入，步驟本身含還原</t>
  </si>
  <si>
    <r>
      <rPr>
        <sz val="10"/>
        <rFont val="Noto Sans CJK SC"/>
        <family val="2"/>
      </rPr>
      <t xml:space="preserve">基準 → 建交易 </t>
    </r>
    <r>
      <rPr>
        <sz val="10"/>
        <rFont val="Arial"/>
        <family val="0"/>
        <charset val="1"/>
      </rPr>
      <t xml:space="preserve">#71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編輯股數 </t>
    </r>
    <r>
      <rPr>
        <sz val="10"/>
        <rFont val="Arial"/>
        <family val="0"/>
        <charset val="1"/>
      </rPr>
      <t xml:space="preserve">100→150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×1</t>
    </r>
    <r>
      <rPr>
        <sz val="10"/>
        <rFont val="Noto Sans CJK SC"/>
        <family val="2"/>
      </rPr>
      <t xml:space="preserve">）→ 刪除（確認框→刪除）。刪除後 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</t>
    </r>
    <r>
      <rPr>
        <sz val="10"/>
        <rFont val="Noto Sans CJK SC"/>
        <family val="2"/>
      </rPr>
      <t xml:space="preserve">／現金池／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六段 </t>
    </r>
    <r>
      <rPr>
        <sz val="10"/>
        <rFont val="Arial"/>
        <family val="0"/>
        <charset val="1"/>
      </rPr>
      <t xml:space="preserve">SHA-256 </t>
    </r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碼與基準完全相同（</t>
    </r>
    <r>
      <rPr>
        <sz val="10"/>
        <rFont val="Arial"/>
        <family val="0"/>
        <charset val="1"/>
      </rPr>
      <t xml:space="preserve">kpis 8aa0fd83113b48b6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holdings f229ad153a5c3c04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0d7968c5f7397106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allocation 3ef6fb5779d553ed</t>
    </r>
    <r>
      <rPr>
        <sz val="10"/>
        <rFont val="Noto Sans CJK SC"/>
        <family val="2"/>
      </rPr>
      <t xml:space="preserve">），交易列數 </t>
    </r>
    <r>
      <rPr>
        <sz val="10"/>
        <rFont val="Arial"/>
        <family val="0"/>
        <charset val="1"/>
      </rPr>
      <t xml:space="preserve">56→57→56</t>
    </r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</si>
  <si>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</t>
    </r>
  </si>
  <si>
    <t xml:space="preserve">J-04</t>
  </si>
  <si>
    <t xml:space="preserve">匯出全端點</t>
  </si>
  <si>
    <t xml:space="preserve">逐一觸發所有匯出</t>
  </si>
  <si>
    <t xml:space="preserve">全部 200、檔名正確</t>
  </si>
  <si>
    <r>
      <rPr>
        <sz val="10"/>
        <rFont val="Noto Sans CJK SC"/>
        <family val="2"/>
      </rPr>
      <t xml:space="preserve">以真實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按鈕逐一觸發（攔截 </t>
    </r>
    <r>
      <rPr>
        <sz val="10"/>
        <rFont val="Arial"/>
        <family val="0"/>
        <charset val="1"/>
      </rPr>
      <t xml:space="preserve">&lt;a download&gt;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blob</t>
    </r>
    <r>
      <rPr>
        <sz val="10"/>
        <rFont val="Noto Sans CJK SC"/>
        <family val="2"/>
      </rPr>
      <t xml:space="preserve">、不落地到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電腦）：匯出中心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 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job-runs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tax-package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類帳本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transactions 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 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opening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actions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 34 </t>
    </r>
    <r>
      <rPr>
        <sz val="10"/>
        <rFont val="Noto Sans CJK SC"/>
        <family val="2"/>
      </rPr>
      <t xml:space="preserve">列）＋帳本報告＋稅務包、儀表板 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／持倉報告／已實現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、個股抽屜配息史、再平衡執行報告、資金管理 現金對帳單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＋報告、資料中心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預測明細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、排程中心 執行歷史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：共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個回應全部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皆含 </t>
    </r>
    <r>
      <rPr>
        <sz val="10"/>
        <rFont val="Arial"/>
        <family val="0"/>
        <charset val="1"/>
      </rPr>
      <t xml:space="preserve">filename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filename*=UTF-8</t>
    </r>
    <r>
      <rPr>
        <sz val="10"/>
        <rFont val="Noto Sans CJK SC"/>
        <family val="2"/>
      </rPr>
      <t xml:space="preserve">，檔名正確、內容非空</t>
    </r>
  </si>
  <si>
    <t xml:space="preserve">DEF-045</t>
  </si>
  <si>
    <r>
      <rPr>
        <sz val="10"/>
        <rFont val="Noto Sans CJK SC"/>
        <family val="2"/>
      </rPr>
      <t xml:space="preserve">附記（非判定依據）：</t>
    </r>
    <r>
      <rPr>
        <sz val="10"/>
        <rFont val="Arial"/>
        <family val="0"/>
        <charset val="1"/>
      </rPr>
      <t xml:space="preserve">job_runs CSV #1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+08:00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finished_at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+00:00</t>
    </r>
    <r>
      <rPr>
        <sz val="10"/>
        <rFont val="Noto Sans CJK SC"/>
        <family val="2"/>
      </rPr>
      <t xml:space="preserve">，兩者為同一時刻不同時區表示；</t>
    </r>
    <r>
      <rPr>
        <sz val="10"/>
        <rFont val="Arial"/>
        <family val="0"/>
        <charset val="1"/>
      </rPr>
      <t xml:space="preserve">#47 </t>
    </r>
    <r>
      <rPr>
        <sz val="10"/>
        <rFont val="Noto Sans CJK SC"/>
        <family val="2"/>
      </rPr>
      <t xml:space="preserve">以後一致，屬舊資料，未開單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列、報告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皆可下載；附帶新開 </t>
    </r>
    <r>
      <rPr>
        <sz val="10"/>
        <rFont val="Arial"/>
        <family val="0"/>
        <charset val="1"/>
      </rPr>
      <t xml:space="preserve">DEF-045</t>
    </r>
    <r>
      <rPr>
        <sz val="10"/>
        <rFont val="Noto Sans CJK SC"/>
        <family val="2"/>
      </rPr>
      <t xml:space="preserve">（報告用英文帳戶名）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分頁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／換匯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／期初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／資金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列）、稅務包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、帳本報告與資金對帳單皆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DEF-045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個匯出全數取得（攔截不落地）：帳本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分頁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列）、帳本報告、稅務包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檔）；匯出中心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項；資金對帳單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＋報告；儀表板持倉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＋報告＋已實現 </t>
    </r>
    <r>
      <rPr>
        <sz val="10"/>
        <rFont val="Arial"/>
        <family val="0"/>
        <charset val="1"/>
      </rPr>
      <t xml:space="preserve">CSV
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個匯出端點全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攔截不落地）：持倉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、交易／股利／換匯／期初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、資金對帳單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（單幣別與全幣別）＋報告、再平衡報告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攔截不落地）：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個＋新增的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/api/llm-fail-log/export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、檔名正確（頁內 </t>
    </r>
    <r>
      <rPr>
        <sz val="10"/>
        <rFont val="Arial"/>
        <family val="0"/>
        <charset val="1"/>
      </rPr>
      <t xml:space="preserve">fetch</t>
    </r>
    <r>
      <rPr>
        <sz val="10"/>
        <rFont val="Noto Sans CJK SC"/>
        <family val="2"/>
      </rPr>
      <t xml:space="preserve">，不落地）：持倉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、交易／股利／換匯／期初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、資金對帳單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（單幣別與全幣別）＋報告、再平衡報告、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
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、檔名正確（頁內 </t>
    </r>
    <r>
      <rPr>
        <sz val="10"/>
        <rFont val="Arial"/>
        <family val="0"/>
        <charset val="1"/>
      </rPr>
      <t xml:space="preserve">fetch</t>
    </r>
    <r>
      <rPr>
        <sz val="10"/>
        <rFont val="Noto Sans CJK SC"/>
        <family val="2"/>
      </rPr>
      <t xml:space="preserve">，不落地）：持倉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、交易／股利／換匯／期初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Noto Sans CJK SC"/>
        <family val="2"/>
      </rPr>
      <t xml:space="preserve">）、資金對帳單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（單幣別 </t>
    </r>
    <r>
      <rPr>
        <sz val="10"/>
        <rFont val="Arial"/>
        <family val="0"/>
        <charset val="1"/>
      </rPr>
      <t xml:space="preserve">tw_broker TWD </t>
    </r>
    <r>
      <rPr>
        <sz val="10"/>
        <rFont val="Noto Sans CJK SC"/>
        <family val="2"/>
      </rPr>
      <t xml:space="preserve">與全幣別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；額度未變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、檔名正確（於頁內取得，不存檔）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、檔名正確（例 </t>
    </r>
    <r>
      <rPr>
        <sz val="10"/>
        <rFont val="Arial"/>
        <family val="0"/>
        <charset val="1"/>
      </rPr>
      <t xml:space="preserve">holdings_snapshot_2026-09-30.csv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ledgers_2026-09-30.zip</t>
    </r>
    <r>
      <rPr>
        <sz val="10"/>
        <rFont val="Noto Sans CJK SC"/>
        <family val="2"/>
      </rPr>
      <t xml:space="preserve">；於頁內取得，不存檔）</t>
    </r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</si>
  <si>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</si>
  <si>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</si>
  <si>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</si>
  <si>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</si>
  <si>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</si>
  <si>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</si>
  <si>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r>
      <rPr>
        <sz val="10"/>
        <rFont val="Noto Sans CJK SC"/>
        <family val="2"/>
      </rPr>
      <t xml:space="preserve">初測量器對「收合中的 </t>
    </r>
    <r>
      <rPr>
        <sz val="10"/>
        <rFont val="Arial"/>
        <family val="0"/>
        <charset val="1"/>
      </rPr>
      <t xml:space="preserve">details</t>
    </r>
    <r>
      <rPr>
        <sz val="10"/>
        <rFont val="Noto Sans CJK SC"/>
        <family val="2"/>
      </rPr>
      <t xml:space="preserve">」誤判為溢位（內容未渲染但有 </t>
    </r>
    <r>
      <rPr>
        <sz val="10"/>
        <rFont val="Arial"/>
        <family val="0"/>
        <charset val="1"/>
      </rPr>
      <t xml:space="preserve">layout</t>
    </r>
    <r>
      <rPr>
        <sz val="10"/>
        <rFont val="Noto Sans CJK SC"/>
        <family val="2"/>
      </rPr>
      <t xml:space="preserve">），已改為展開後實測並截圖確認，排除量測誤報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DEF-002 </t>
    </r>
    <r>
      <rPr>
        <sz val="10"/>
        <rFont val="Noto Sans CJK SC"/>
        <family val="2"/>
      </rPr>
      <t xml:space="preserve">複驗通過結案；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無程式錯誤（僅本輪刻意觸發的 </t>
    </r>
    <r>
      <rPr>
        <sz val="10"/>
        <rFont val="Arial"/>
        <family val="0"/>
        <charset val="1"/>
      </rPr>
      <t xml:space="preserve">4xx </t>
    </r>
    <r>
      <rPr>
        <sz val="10"/>
        <rFont val="Noto Sans CJK SC"/>
        <family val="2"/>
      </rPr>
      <t xml:space="preserve">請求）。觀察：收件匣折讓款副標題 </t>
    </r>
    <r>
      <rPr>
        <sz val="10"/>
        <rFont val="Arial"/>
        <family val="0"/>
        <charset val="1"/>
      </rPr>
      <t xml:space="preserve">nowrap </t>
    </r>
    <r>
      <rPr>
        <sz val="10"/>
        <rFont val="Noto Sans CJK SC"/>
        <family val="2"/>
      </rPr>
      <t xml:space="preserve">截掉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新增的關鍵句（卡片與頁尾仍完整）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390px 13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皆 ≤ 視窗（</t>
    </r>
    <r>
      <rPr>
        <sz val="10"/>
        <rFont val="Arial"/>
        <family val="0"/>
        <charset val="1"/>
      </rPr>
      <t xml:space="preserve">375</t>
    </r>
    <r>
      <rPr>
        <sz val="10"/>
        <rFont val="Noto Sans CJK SC"/>
        <family val="2"/>
      </rPr>
      <t xml:space="preserve">，含捲軸 </t>
    </r>
    <r>
      <rPr>
        <sz val="10"/>
        <rFont val="Arial"/>
        <family val="0"/>
        <charset val="1"/>
      </rPr>
      <t xml:space="preserve">15px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例外（僅本輪刻意觸發的 </t>
    </r>
    <r>
      <rPr>
        <sz val="10"/>
        <rFont val="Arial"/>
        <family val="0"/>
        <charset val="1"/>
      </rPr>
      <t xml:space="preserve">4xx </t>
    </r>
    <r>
      <rPr>
        <sz val="10"/>
        <rFont val="Noto Sans CJK SC"/>
        <family val="2"/>
      </rPr>
      <t xml:space="preserve">請求）；附帶 </t>
    </r>
    <r>
      <rPr>
        <sz val="10"/>
        <rFont val="Arial"/>
        <family val="0"/>
        <charset val="1"/>
      </rPr>
      <t xml:space="preserve">DEF-050</t>
    </r>
    <r>
      <rPr>
        <sz val="10"/>
        <rFont val="Noto Sans CJK SC"/>
        <family val="2"/>
      </rPr>
      <t xml:space="preserve">（收件匣副標題截斷）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DEF-050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390px 20 </t>
    </r>
    <r>
      <rPr>
        <sz val="10"/>
        <rFont val="Noto Sans CJK SC"/>
        <family val="2"/>
      </rPr>
      <t xml:space="preserve">頁／分頁（設定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個子分頁以實際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開啟並確認作用中分頁）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個標題列副標題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；全新分頁連續走訪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次載入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：全新分頁 </t>
    </r>
    <r>
      <rPr>
        <sz val="10"/>
        <rFont val="Arial"/>
        <family val="0"/>
        <charset val="1"/>
      </rPr>
      <t xml:space="preserve">390×844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個子分頁（帳戶與費率、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提示詞、排程中心、資料來源、預警規則、通知中心、匯出中心）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；連續走訪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：全新分頁 </t>
    </r>
    <r>
      <rPr>
        <sz val="10"/>
        <rFont val="Arial"/>
        <family val="0"/>
        <charset val="1"/>
      </rPr>
      <t xml:space="preserve">390×844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；連續走訪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內嵌框架逐頁載入（捲軸後可用寬 </t>
    </r>
    <r>
      <rPr>
        <sz val="10"/>
        <rFont val="Arial"/>
        <family val="0"/>
        <charset val="1"/>
      </rPr>
      <t xml:space="preserve">375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皆等於可用寬、溢位元素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、頁面錯誤 </t>
    </r>
    <r>
      <rPr>
        <sz val="10"/>
        <rFont val="Arial"/>
        <family val="0"/>
        <charset val="1"/>
      </rPr>
      <t xml:space="preserve">0
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內嵌框架逐頁載入（捲軸後可用寬 </t>
    </r>
    <r>
      <rPr>
        <sz val="10"/>
        <rFont val="Arial"/>
        <family val="0"/>
        <charset val="1"/>
      </rPr>
      <t xml:space="preserve">375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個子分頁（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prompts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scheduler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datasources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exports</t>
    </r>
    <r>
      <rPr>
        <sz val="10"/>
        <rFont val="Noto Sans CJK SC"/>
        <family val="2"/>
      </rPr>
      <t xml:space="preserve">，逐頁確認作用中分頁）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375</t>
    </r>
    <r>
      <rPr>
        <sz val="10"/>
        <rFont val="Noto Sans CJK SC"/>
        <family val="2"/>
      </rPr>
      <t xml:space="preserve">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、頁面錯誤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；分頁主控台無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例外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內嵌框架逐頁載入：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 </t>
    </r>
    <r>
      <rPr>
        <sz val="10"/>
        <rFont val="Arial"/>
        <family val="0"/>
        <charset val="1"/>
      </rPr>
      <t xml:space="preserve">scrollWidth ≤ </t>
    </r>
    <r>
      <rPr>
        <sz val="10"/>
        <rFont val="Noto Sans CJK SC"/>
        <family val="2"/>
      </rPr>
      <t xml:space="preserve">可用寬、溢位元素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、頁面錯誤 </t>
    </r>
    <r>
      <rPr>
        <sz val="10"/>
        <rFont val="Arial"/>
        <family val="0"/>
        <charset val="1"/>
      </rPr>
      <t xml:space="preserve">0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內嵌框架逐頁載入：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 </t>
    </r>
    <r>
      <rPr>
        <sz val="10"/>
        <rFont val="Arial"/>
        <family val="0"/>
        <charset val="1"/>
      </rPr>
      <t xml:space="preserve">scrollWidth ≤ </t>
    </r>
    <r>
      <rPr>
        <sz val="10"/>
        <rFont val="Noto Sans CJK SC"/>
        <family val="2"/>
      </rPr>
      <t xml:space="preserve">可用寬、溢位元素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、頁面錯誤 </t>
    </r>
    <r>
      <rPr>
        <sz val="10"/>
        <rFont val="Arial"/>
        <family val="0"/>
        <charset val="1"/>
      </rPr>
      <t xml:space="preserve">0</t>
    </r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</si>
  <si>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</si>
  <si>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</si>
  <si>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</si>
  <si>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</si>
  <si>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</si>
  <si>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</si>
  <si>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r>
      <rPr>
        <sz val="10"/>
        <rFont val="Noto Sans CJK SC"/>
        <family val="2"/>
      </rPr>
      <t xml:space="preserve">於獨立副本（</t>
    </r>
    <r>
      <rPr>
        <sz val="10"/>
        <rFont val="Arial"/>
        <family val="0"/>
        <charset val="1"/>
      </rPr>
      <t xml:space="preserve">git clone → checkout 755c88a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Python 3.12</t>
    </r>
    <r>
      <rPr>
        <sz val="10"/>
        <rFont val="Noto Sans CJK SC"/>
        <family val="2"/>
      </rPr>
      <t xml:space="preserve">；套件版本逐一對齊開發機 </t>
    </r>
    <r>
      <rPr>
        <sz val="10"/>
        <rFont val="Arial"/>
        <family val="0"/>
        <charset val="1"/>
      </rPr>
      <t xml:space="preserve">.venv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dist-info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fastapi 0.136.3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starlette 1.3.1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pydantic 2.13.4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mypy 2.1.0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ruff 0.15.16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pytest 9.0.3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playwright 1.60.0…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core.autocrlf=true </t>
    </r>
    <r>
      <rPr>
        <sz val="10"/>
        <rFont val="Noto Sans CJK SC"/>
        <family val="2"/>
      </rPr>
      <t xml:space="preserve">比照 </t>
    </r>
    <r>
      <rPr>
        <sz val="10"/>
        <rFont val="Arial"/>
        <family val="0"/>
        <charset val="1"/>
      </rPr>
      <t xml:space="preserve">Windows</t>
    </r>
    <r>
      <rPr>
        <sz val="10"/>
        <rFont val="Noto Sans CJK SC"/>
        <family val="2"/>
      </rPr>
      <t xml:space="preserve">）執行：</t>
    </r>
    <r>
      <rPr>
        <sz val="10"/>
        <rFont val="Arial"/>
        <family val="0"/>
        <charset val="1"/>
      </rPr>
      <t xml:space="preserve">ruff check portfolio_dash tests → All checks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mypy --strict → Success: no issues found in 798 source files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tests --ignore=tests/e2e → 5,235 passed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392.65s</t>
    </r>
    <r>
      <rPr>
        <sz val="10"/>
        <rFont val="Noto Sans CJK SC"/>
        <family val="2"/>
      </rPr>
      <t xml:space="preserve">）。變異測試（自己做）：① </t>
    </r>
    <r>
      <rPr>
        <sz val="10"/>
        <rFont val="Arial"/>
        <family val="0"/>
        <charset val="1"/>
      </rPr>
      <t xml:space="preserve">web/broker-import.js </t>
    </r>
    <r>
      <rPr>
        <sz val="10"/>
        <rFont val="Noto Sans CJK SC"/>
        <family val="2"/>
      </rPr>
      <t xml:space="preserve">換回 </t>
    </r>
    <r>
      <rPr>
        <sz val="10"/>
        <rFont val="Arial"/>
        <family val="0"/>
        <charset val="1"/>
      </rPr>
      <t xml:space="preserve">755c88a^ → test_account_name_single_source 3 </t>
    </r>
    <r>
      <rPr>
        <sz val="10"/>
        <rFont val="Noto Sans CJK SC"/>
        <family val="2"/>
      </rPr>
      <t xml:space="preserve">則失敗（…</t>
    </r>
    <r>
      <rPr>
        <sz val="10"/>
        <rFont val="Arial"/>
        <family val="0"/>
        <charset val="1"/>
      </rPr>
      <t xml:space="preserve">english_name_is_never_rendered_either</t>
    </r>
    <r>
      <rPr>
        <sz val="10"/>
        <rFont val="Noto Sans CJK SC"/>
        <family val="2"/>
      </rPr>
      <t xml:space="preserve">／…</t>
    </r>
    <r>
      <rPr>
        <sz val="10"/>
        <rFont val="Arial"/>
        <family val="0"/>
        <charset val="1"/>
      </rPr>
      <t xml:space="preserve">every_broker_adapter_has_a_display_name</t>
    </r>
    <r>
      <rPr>
        <sz val="10"/>
        <rFont val="Noto Sans CJK SC"/>
        <family val="2"/>
      </rPr>
      <t xml:space="preserve">／…</t>
    </r>
    <r>
      <rPr>
        <sz val="10"/>
        <rFont val="Arial"/>
        <family val="0"/>
        <charset val="1"/>
      </rPr>
      <t xml:space="preserve">every_account_option_label_comes_from_the_one_definition</t>
    </r>
    <r>
      <rPr>
        <sz val="10"/>
        <rFont val="Noto Sans CJK SC"/>
        <family val="2"/>
      </rPr>
      <t xml:space="preserve">），改回 → 全過；② </t>
    </r>
    <r>
      <rPr>
        <sz val="10"/>
        <rFont val="Arial"/>
        <family val="0"/>
        <charset val="1"/>
      </rPr>
      <t xml:space="preserve">portfolio_dash/api/digest_service.py </t>
    </r>
    <r>
      <rPr>
        <sz val="10"/>
        <rFont val="Noto Sans CJK SC"/>
        <family val="2"/>
      </rPr>
      <t xml:space="preserve">換回修復前 → </t>
    </r>
    <r>
      <rPr>
        <sz val="10"/>
        <rFont val="Arial"/>
        <family val="0"/>
        <charset val="1"/>
      </rPr>
      <t xml:space="preserve">test_zh_punctuation_fullwidth 1 </t>
    </r>
    <r>
      <rPr>
        <sz val="10"/>
        <rFont val="Noto Sans CJK SC"/>
        <family val="2"/>
      </rPr>
      <t xml:space="preserve">則失敗，訊息點名 </t>
    </r>
    <r>
      <rPr>
        <sz val="10"/>
        <rFont val="Arial"/>
        <family val="0"/>
        <charset val="1"/>
      </rPr>
      <t xml:space="preserve">line 498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組合」「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警示」、</t>
    </r>
    <r>
      <rPr>
        <sz val="10"/>
        <rFont val="Arial"/>
        <family val="0"/>
        <charset val="1"/>
      </rPr>
      <t xml:space="preserve">line 499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訊號」，改回 → 全過；③ 舊版守門測試＋修復前程式 → </t>
    </r>
    <r>
      <rPr>
        <sz val="10"/>
        <rFont val="Arial"/>
        <family val="0"/>
        <charset val="1"/>
      </rPr>
      <t xml:space="preserve">303 passed</t>
    </r>
    <r>
      <rPr>
        <sz val="10"/>
        <rFont val="Noto Sans CJK SC"/>
        <family val="2"/>
      </rPr>
      <t xml:space="preserve">（重現當初的盲點，證明新規則才是攔下者）</t>
    </r>
  </si>
  <si>
    <t xml:space="preserve">DEF-065</t>
  </si>
  <si>
    <r>
      <rPr>
        <sz val="10"/>
        <rFont val="Noto Sans CJK SC"/>
        <family val="2"/>
      </rPr>
      <t xml:space="preserve">環境附記：若以 </t>
    </r>
    <r>
      <rPr>
        <sz val="10"/>
        <rFont val="Arial"/>
        <family val="0"/>
        <charset val="1"/>
      </rPr>
      <t xml:space="preserve">LF </t>
    </r>
    <r>
      <rPr>
        <sz val="10"/>
        <rFont val="Noto Sans CJK SC"/>
        <family val="2"/>
      </rPr>
      <t xml:space="preserve">檢出（</t>
    </r>
    <r>
      <rPr>
        <sz val="10"/>
        <rFont val="Arial"/>
        <family val="0"/>
        <charset val="1"/>
      </rPr>
      <t xml:space="preserve">Linux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CI </t>
    </r>
    <r>
      <rPr>
        <sz val="10"/>
        <rFont val="Noto Sans CJK SC"/>
        <family val="2"/>
      </rPr>
      <t xml:space="preserve">預設），</t>
    </r>
    <r>
      <rPr>
        <sz val="10"/>
        <rFont val="Arial"/>
        <family val="0"/>
        <charset val="1"/>
      </rPr>
      <t xml:space="preserve">tests/data_ingestion/test_broker_adapter.py::test_the_committed_corpus_matches_its_generator </t>
    </r>
    <r>
      <rPr>
        <sz val="10"/>
        <rFont val="Noto Sans CJK SC"/>
        <family val="2"/>
      </rPr>
      <t xml:space="preserve">會因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換行 </t>
    </r>
    <r>
      <rPr>
        <sz val="10"/>
        <rFont val="Arial"/>
        <family val="0"/>
        <charset val="1"/>
      </rPr>
      <t xml:space="preserve">CRLF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LF </t>
    </r>
    <r>
      <rPr>
        <sz val="10"/>
        <rFont val="Noto Sans CJK SC"/>
        <family val="2"/>
      </rPr>
      <t xml:space="preserve">不同回報 </t>
    </r>
    <r>
      <rPr>
        <sz val="10"/>
        <rFont val="Arial"/>
        <family val="0"/>
        <charset val="1"/>
      </rPr>
      <t xml:space="preserve">DRIFT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autocrlf=true </t>
    </r>
    <r>
      <rPr>
        <sz val="10"/>
        <rFont val="Noto Sans CJK SC"/>
        <family val="2"/>
      </rPr>
      <t xml:space="preserve">檢出則 </t>
    </r>
    <r>
      <rPr>
        <sz val="10"/>
        <rFont val="Arial"/>
        <family val="0"/>
        <charset val="1"/>
      </rPr>
      <t xml:space="preserve">87/87 </t>
    </r>
    <r>
      <rPr>
        <sz val="10"/>
        <rFont val="Noto Sans CJK SC"/>
        <family val="2"/>
      </rPr>
      <t xml:space="preserve">通過。案例指定在開發機（</t>
    </r>
    <r>
      <rPr>
        <sz val="10"/>
        <rFont val="Arial"/>
        <family val="0"/>
        <charset val="1"/>
      </rPr>
      <t xml:space="preserve">Windows</t>
    </r>
    <r>
      <rPr>
        <sz val="10"/>
        <rFont val="Noto Sans CJK SC"/>
        <family val="2"/>
      </rPr>
      <t xml:space="preserve">）執行，故不影響本案判定，交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243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5,918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。附帶：帳戶名守門未涵蓋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載入與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模組（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；驗證者對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張各自重做變異（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組）全數被攔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6,227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；驗證者對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張程式缺陷各重做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組變異＋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變異（</t>
    </r>
    <r>
      <rPr>
        <sz val="10"/>
        <rFont val="Arial"/>
        <family val="0"/>
        <charset val="1"/>
      </rPr>
      <t xml:space="preserve">DEF-050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051</t>
    </r>
    <r>
      <rPr>
        <sz val="10"/>
        <rFont val="Noto Sans CJK SC"/>
        <family val="2"/>
      </rPr>
      <t xml:space="preserve">）全數被攔。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次：</t>
    </r>
    <r>
      <rPr>
        <sz val="10"/>
        <rFont val="Arial"/>
        <family val="0"/>
        <charset val="1"/>
      </rPr>
      <t xml:space="preserve">287/1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287/2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289/0</t>
    </r>
    <r>
      <rPr>
        <sz val="10"/>
        <rFont val="Noto Sans CJK SC"/>
        <family val="2"/>
      </rPr>
      <t xml:space="preserve">，失敗都來自間歇性「</t>
    </r>
    <r>
      <rPr>
        <sz val="10"/>
        <rFont val="Arial"/>
        <family val="0"/>
        <charset val="1"/>
      </rPr>
      <t xml:space="preserve">500 GET /api/ui-prefs</t>
    </r>
    <r>
      <rPr>
        <sz val="10"/>
        <rFont val="Noto Sans CJK SC"/>
        <family val="2"/>
      </rPr>
      <t xml:space="preserve">」（新開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），功能斷言皆通過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DEF-065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repo 3be67db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926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6,326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（開發者分段計 </t>
    </r>
    <r>
      <rPr>
        <sz val="10"/>
        <rFont val="Arial"/>
        <family val="0"/>
        <charset val="1"/>
      </rPr>
      <t xml:space="preserve">6,308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，收集範圍不同）；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295/295 ×3</t>
    </r>
    <r>
      <rPr>
        <sz val="10"/>
        <rFont val="Noto Sans CJK SC"/>
        <family val="2"/>
      </rPr>
      <t xml:space="preserve">，伺服器記錄 </t>
    </r>
    <r>
      <rPr>
        <sz val="10"/>
        <rFont val="Arial"/>
        <family val="0"/>
        <charset val="1"/>
      </rPr>
      <t xml:space="preserve">0 traceback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 /api/ui-prefs 638 </t>
    </r>
    <r>
      <rPr>
        <sz val="10"/>
        <rFont val="Noto Sans CJK SC"/>
        <family val="2"/>
      </rPr>
      <t xml:space="preserve">次全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；守門變異：帳戶下拉改回 </t>
    </r>
    <r>
      <rPr>
        <sz val="10"/>
        <rFont val="Arial"/>
        <family val="0"/>
        <charset val="1"/>
      </rPr>
      <t xml:space="preserve">a.name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、明細分隔句改半形標點（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；本輪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缺陷各自變異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repo 696934e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6,504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（開發者分段計 </t>
    </r>
    <r>
      <rPr>
        <sz val="10"/>
        <rFont val="Arial"/>
        <family val="0"/>
        <charset val="1"/>
      </rPr>
      <t xml:space="preserve">6,486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，收集範圍不同）；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</t>
    </r>
    <r>
      <rPr>
        <sz val="10"/>
        <rFont val="Noto Sans CJK SC"/>
        <family val="2"/>
      </rPr>
      <t xml:space="preserve">；守門變異：帳戶下拉改回 </t>
    </r>
    <r>
      <rPr>
        <sz val="10"/>
        <rFont val="Arial"/>
        <family val="0"/>
        <charset val="1"/>
      </rPr>
      <t xml:space="preserve">a.name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、明細分隔句改半形標點（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；本輪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張缺陷的變異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組單元／契約、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）全數被攔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repo a16210a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6,510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（開發者分段計 </t>
    </r>
    <r>
      <rPr>
        <sz val="10"/>
        <rFont val="Arial"/>
        <family val="0"/>
        <charset val="1"/>
      </rPr>
      <t xml:space="preserve">6,492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，收集範圍不同）；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×3</t>
    </r>
    <r>
      <rPr>
        <sz val="10"/>
        <rFont val="Noto Sans CJK SC"/>
        <family val="2"/>
      </rPr>
      <t xml:space="preserve">，伺服器記錄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</t>
    </r>
    <r>
      <rPr>
        <sz val="10"/>
        <rFont val="Noto Sans CJK SC"/>
        <family val="2"/>
      </rPr>
      <t xml:space="preserve">只有測試刻意注入；守門變異：帳戶下拉改回 </t>
    </r>
    <r>
      <rPr>
        <sz val="10"/>
        <rFont val="Arial"/>
        <family val="0"/>
        <charset val="1"/>
      </rPr>
      <t xml:space="preserve">a.name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、明細分隔句改半形標點（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；新守門 </t>
    </r>
    <r>
      <rPr>
        <sz val="10"/>
        <rFont val="Arial"/>
        <family val="0"/>
        <charset val="1"/>
      </rPr>
      <t xml:space="preserve">test_def077_state_colour_is_a_class </t>
    </r>
    <r>
      <rPr>
        <sz val="10"/>
        <rFont val="Noto Sans CJK SC"/>
        <family val="2"/>
      </rPr>
      <t xml:space="preserve">對未列管檔案新增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 → </t>
    </r>
    <r>
      <rPr>
        <sz val="10"/>
        <rFont val="Arial"/>
        <family val="0"/>
        <charset val="1"/>
      </rPr>
      <t xml:space="preserve">1 failed
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repo 3a35454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6,516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（開發者分段計 </t>
    </r>
    <r>
      <rPr>
        <sz val="10"/>
        <rFont val="Arial"/>
        <family val="0"/>
        <charset val="1"/>
      </rPr>
      <t xml:space="preserve">6,498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，收集範圍不同）；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×4</t>
    </r>
    <r>
      <rPr>
        <sz val="10"/>
        <rFont val="Noto Sans CJK SC"/>
        <family val="2"/>
      </rPr>
      <t xml:space="preserve">（後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次保留伺服器記錄：</t>
    </r>
    <r>
      <rPr>
        <sz val="10"/>
        <rFont val="Arial"/>
        <family val="0"/>
        <charset val="1"/>
      </rPr>
      <t xml:space="preserve">594 </t>
    </r>
    <r>
      <rPr>
        <sz val="10"/>
        <rFont val="Noto Sans CJK SC"/>
        <family val="2"/>
      </rPr>
      <t xml:space="preserve">個伺服器行程，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）；瀏覽器端 </t>
    </r>
    <r>
      <rPr>
        <sz val="10"/>
        <rFont val="Arial"/>
        <family val="0"/>
        <charset val="1"/>
      </rPr>
      <t xml:space="preserve">5xx </t>
    </r>
    <r>
      <rPr>
        <sz val="10"/>
        <rFont val="Noto Sans CJK SC"/>
        <family val="2"/>
      </rPr>
      <t xml:space="preserve">只來自測試刻意注入（</t>
    </r>
    <r>
      <rPr>
        <sz val="10"/>
        <rFont val="Arial"/>
        <family val="0"/>
        <charset val="1"/>
      </rPr>
      <t xml:space="preserve">test_ai_input_union_flow.py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test_m1_01_panel_loading_state_flow.py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test_m6_04_instruments_empty_states_flow.py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test_whatif_drawer_flow.py 3</t>
    </r>
    <r>
      <rPr>
        <sz val="10"/>
        <rFont val="Noto Sans CJK SC"/>
        <family val="2"/>
      </rPr>
      <t xml:space="preserve">）；守門變異：帳戶下拉改回 </t>
    </r>
    <r>
      <rPr>
        <sz val="10"/>
        <rFont val="Arial"/>
        <family val="0"/>
        <charset val="1"/>
      </rPr>
      <t xml:space="preserve">a.name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、明細分隔句改半形標點（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、未列管檔案新增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狀態色（</t>
    </r>
    <r>
      <rPr>
        <sz val="10"/>
        <rFont val="Arial"/>
        <family val="0"/>
        <charset val="1"/>
      </rPr>
      <t xml:space="preserve">news.js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修復前寫法放回 → </t>
    </r>
    <r>
      <rPr>
        <sz val="10"/>
        <rFont val="Arial"/>
        <family val="0"/>
        <charset val="1"/>
      </rPr>
      <t xml:space="preserve">5 failed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本機乾淨工作樹（</t>
    </r>
    <r>
      <rPr>
        <sz val="10"/>
        <rFont val="Arial"/>
        <family val="0"/>
        <charset val="1"/>
      </rPr>
      <t xml:space="preserve">git worktree 3a35454</t>
    </r>
    <r>
      <rPr>
        <sz val="10"/>
        <rFont val="Noto Sans CJK SC"/>
        <family val="2"/>
      </rPr>
      <t xml:space="preserve">，無未提交變更），本機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repo 3a35454</t>
    </r>
    <r>
      <rPr>
        <sz val="10"/>
        <rFont val="Noto Sans CJK SC"/>
        <family val="2"/>
      </rPr>
      <t xml:space="preserve">（乾淨工作樹）：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6,516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198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組皆被攔（帳戶名稱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、全形標點 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 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本機乾淨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git worktree 91ec1b0</t>
    </r>
    <r>
      <rPr>
        <sz val="10"/>
        <rFont val="Noto Sans CJK SC"/>
        <family val="2"/>
      </rPr>
      <t xml:space="preserve">，無未提交變更），本機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repo 91ec1b0</t>
    </r>
    <r>
      <rPr>
        <sz val="10"/>
        <rFont val="Noto Sans CJK SC"/>
        <family val="2"/>
      </rPr>
      <t xml:space="preserve">（乾淨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全過；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6,571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個伺服器行程 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）；守門變異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組皆被攔（帳戶名稱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、全形標點 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 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</si>
  <si>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</si>
  <si>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</si>
  <si>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</si>
  <si>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</si>
  <si>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</si>
  <si>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</si>
  <si>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</si>
  <si>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</si>
  <si>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</si>
  <si>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</si>
  <si>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</si>
  <si>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</si>
  <si>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</si>
  <si>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</si>
  <si>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</si>
  <si>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</si>
  <si>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r>
      <rPr>
        <sz val="10"/>
        <rFont val="Noto Sans CJK SC"/>
        <family val="2"/>
      </rPr>
      <t xml:space="preserve">稅務包 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「對帳用：績效基礎已實現」與儀表板已實現對不上（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，未說明）</t>
    </r>
  </si>
  <si>
    <r>
      <rPr>
        <sz val="10"/>
        <rFont val="Noto Sans CJK SC"/>
        <family val="2"/>
      </rPr>
      <t xml:space="preserve">交易帳本（或系統設定 › 匯出中心）→ 下載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年度稅務包 </t>
    </r>
    <r>
      <rPr>
        <sz val="10"/>
        <rFont val="Arial"/>
        <family val="0"/>
        <charset val="1"/>
      </rPr>
      <t xml:space="preserve">ZIP → </t>
    </r>
    <r>
      <rPr>
        <sz val="10"/>
        <rFont val="Noto Sans CJK SC"/>
        <family val="2"/>
      </rPr>
      <t xml:space="preserve">解壓讀 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## </t>
    </r>
    <r>
      <rPr>
        <sz val="10"/>
        <rFont val="Noto Sans CJK SC"/>
        <family val="2"/>
      </rPr>
      <t xml:space="preserve">對帳用：績效基礎已實現…列出僅供與儀表板核對」</t>
    </r>
    <r>
      <rPr>
        <sz val="10"/>
        <rFont val="Arial"/>
        <family val="0"/>
        <charset val="1"/>
      </rPr>
      <t xml:space="preserve">TWD = 36804.55597014925373134328360</t>
    </r>
    <r>
      <rPr>
        <sz val="10"/>
        <rFont val="Noto Sans CJK SC"/>
        <family val="2"/>
      </rPr>
      <t xml:space="preserve">；同時讀 </t>
    </r>
    <r>
      <rPr>
        <sz val="10"/>
        <rFont val="Arial"/>
        <family val="0"/>
        <charset val="1"/>
      </rPr>
      <t xml:space="preserve">GET /api/dashboard returns.by_currency.TWD.realized = 42004.55597014925373134328360</t>
    </r>
    <r>
      <rPr>
        <sz val="10"/>
        <rFont val="Noto Sans CJK SC"/>
        <family val="2"/>
      </rPr>
      <t xml:space="preserve">（儀表板「損益拆解・已實現」口徑）。差額 </t>
    </r>
    <r>
      <rPr>
        <sz val="10"/>
        <rFont val="Arial"/>
        <family val="0"/>
        <charset val="1"/>
      </rPr>
      <t xml:space="preserve">5,200 = realized.rows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kind=dividend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已結清部位配息（</t>
    </r>
    <r>
      <rPr>
        <sz val="10"/>
        <rFont val="Arial"/>
        <family val="0"/>
        <charset val="1"/>
      </rPr>
      <t xml:space="preserve">2026-08-07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5200.0</t>
    </r>
    <r>
      <rPr>
        <sz val="10"/>
        <rFont val="Noto Sans CJK SC"/>
        <family val="2"/>
      </rPr>
      <t xml:space="preserve">），該筆被 </t>
    </r>
    <r>
      <rPr>
        <sz val="10"/>
        <rFont val="Arial"/>
        <family val="0"/>
        <charset val="1"/>
      </rPr>
      <t xml:space="preserve">realized_gains_2026.csv </t>
    </r>
    <r>
      <rPr>
        <sz val="10"/>
        <rFont val="Noto Sans CJK SC"/>
        <family val="2"/>
      </rPr>
      <t xml:space="preserve">排除、改列 </t>
    </r>
    <r>
      <rPr>
        <sz val="10"/>
        <rFont val="Arial"/>
        <family val="0"/>
        <charset val="1"/>
      </rPr>
      <t xml:space="preserve">dividends_2026.csv</t>
    </r>
    <r>
      <rPr>
        <sz val="10"/>
        <rFont val="Noto Sans CJK SC"/>
        <family val="2"/>
      </rPr>
      <t xml:space="preserve">，但對帳欄沒有任何說明</t>
    </r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</si>
  <si>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</si>
  <si>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</si>
  <si>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</si>
  <si>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視窗 </t>
    </r>
    <r>
      <rPr>
        <sz val="10"/>
        <rFont val="Arial"/>
        <family val="0"/>
        <charset val="1"/>
      </rPr>
      <t xml:space="preserve">390×844 → </t>
    </r>
    <r>
      <rPr>
        <sz val="10"/>
        <rFont val="Noto Sans CJK SC"/>
        <family val="2"/>
      </rPr>
      <t xml:space="preserve">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→ 點「▶ 數據變數總表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個變數」展開 → 頁面可左右捲動；</t>
    </r>
    <r>
      <rPr>
        <sz val="10"/>
        <rFont val="Arial"/>
        <family val="0"/>
        <charset val="1"/>
      </rPr>
      <t xml:space="preserve">document.documentElement.scrollWidth = 3673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= 390</t>
    </r>
    <r>
      <rPr>
        <sz val="10"/>
        <rFont val="Noto Sans CJK SC"/>
        <family val="2"/>
      </rPr>
      <t xml:space="preserve">）；最寬一張表 </t>
    </r>
    <r>
      <rPr>
        <sz val="10"/>
        <rFont val="Arial"/>
        <family val="0"/>
        <charset val="1"/>
      </rPr>
      <t xml:space="preserve">3,652px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{{backtest_json}} </t>
    </r>
    <r>
      <rPr>
        <sz val="10"/>
        <rFont val="Noto Sans CJK SC"/>
        <family val="2"/>
      </rPr>
      <t xml:space="preserve">回測命中分佈…」那一類）</t>
    </r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</si>
  <si>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</si>
  <si>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</si>
  <si>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r>
      <rPr>
        <sz val="10"/>
        <rFont val="Noto Sans CJK SC"/>
        <family val="2"/>
      </rPr>
      <t xml:space="preserve">沒有預測（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）但有信心值的洞察卡顯示「信心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」，不顯示「純描述・無預測」（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</si>
  <si>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</si>
  <si>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</si>
  <si>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</si>
  <si>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</si>
  <si>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</si>
  <si>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</si>
  <si>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標準範本 › 資料類型選「資金」→ 下載範本 → 原文貼回 → 預覽表每列只顯示「</t>
    </r>
    <r>
      <rPr>
        <sz val="10"/>
        <rFont val="Arial"/>
        <family val="0"/>
        <charset val="1"/>
      </rPr>
      <t xml:space="preserve">#1 2026-07-01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DEPOSIT — — ✓ </t>
    </r>
    <r>
      <rPr>
        <sz val="10"/>
        <rFont val="Noto Sans CJK SC"/>
        <family val="2"/>
      </rPr>
      <t xml:space="preserve">可寫入」，範本的 </t>
    </r>
    <r>
      <rPr>
        <sz val="10"/>
        <rFont val="Arial"/>
        <family val="0"/>
        <charset val="1"/>
      </rPr>
      <t xml:space="preserve">600,000 TWD </t>
    </r>
    <r>
      <rPr>
        <sz val="10"/>
        <rFont val="Noto Sans CJK SC"/>
        <family val="2"/>
      </rPr>
      <t xml:space="preserve">不出現；「股利」列 </t>
    </r>
    <r>
      <rPr>
        <sz val="10"/>
        <rFont val="Arial"/>
        <family val="0"/>
        <charset val="1"/>
      </rPr>
      <t xml:space="preserve">gross 5000 </t>
    </r>
    <r>
      <rPr>
        <sz val="10"/>
        <rFont val="Noto Sans CJK SC"/>
        <family val="2"/>
      </rPr>
      <t xml:space="preserve">不出現；「換匯」列 </t>
    </r>
    <r>
      <rPr>
        <sz val="10"/>
        <rFont val="Arial"/>
        <family val="0"/>
        <charset val="1"/>
      </rPr>
      <t xml:space="preserve">32000 TWD→1000 USD </t>
    </r>
    <r>
      <rPr>
        <sz val="10"/>
        <rFont val="Noto Sans CJK SC"/>
        <family val="2"/>
      </rPr>
      <t xml:space="preserve">不出現；「期初」列日期顯示「—」（範本 </t>
    </r>
    <r>
      <rPr>
        <sz val="10"/>
        <rFont val="Arial"/>
        <family val="0"/>
        <charset val="1"/>
      </rPr>
      <t xml:space="preserve">build_date 2026-01-02</t>
    </r>
    <r>
      <rPr>
        <sz val="10"/>
        <rFont val="Noto Sans CJK SC"/>
        <family val="2"/>
      </rPr>
      <t xml:space="preserve">）、成本 </t>
    </r>
    <r>
      <rPr>
        <sz val="10"/>
        <rFont val="Arial"/>
        <family val="0"/>
        <charset val="1"/>
      </rPr>
      <t xml:space="preserve">500000 </t>
    </r>
    <r>
      <rPr>
        <sz val="10"/>
        <rFont val="Noto Sans CJK SC"/>
        <family val="2"/>
      </rPr>
      <t xml:space="preserve">不出現；「公司行動」比例 </t>
    </r>
    <r>
      <rPr>
        <sz val="10"/>
        <rFont val="Arial"/>
        <family val="0"/>
        <charset val="1"/>
      </rPr>
      <t xml:space="preserve">10:1 </t>
    </r>
    <r>
      <rPr>
        <sz val="10"/>
        <rFont val="Noto Sans CJK SC"/>
        <family val="2"/>
      </rPr>
      <t xml:space="preserve">不出現</t>
    </r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</si>
  <si>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</si>
  <si>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</si>
  <si>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r>
      <rPr>
        <sz val="10"/>
        <rFont val="Noto Sans CJK SC"/>
        <family val="2"/>
      </rPr>
      <t xml:space="preserve">公司行動比例欄輸入小數不會被擋，小數點被前端直接刪掉：輸入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變成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，試算與登錄都用 </t>
    </r>
    <r>
      <rPr>
        <sz val="10"/>
        <rFont val="Arial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</si>
  <si>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交易帳本 › 公司行動分頁 › ＋補登公司行動 → 選「同一檔股票，股數變多或變少」→ 帳戶 台灣券商、代號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、日期 </t>
    </r>
    <r>
      <rPr>
        <sz val="10"/>
        <rFont val="Arial"/>
        <family val="0"/>
        <charset val="1"/>
      </rPr>
      <t xml:space="preserve">2026-09-23 → </t>
    </r>
    <r>
      <rPr>
        <sz val="10"/>
        <rFont val="Noto Sans CJK SC"/>
        <family val="2"/>
      </rPr>
      <t xml:space="preserve">「每持有」欄鍵入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、「變成」欄 </t>
    </r>
    <r>
      <rPr>
        <sz val="10"/>
        <rFont val="Arial"/>
        <family val="0"/>
        <charset val="1"/>
      </rPr>
      <t xml:space="preserve">3 → </t>
    </r>
    <r>
      <rPr>
        <sz val="10"/>
        <rFont val="Noto Sans CJK SC"/>
        <family val="2"/>
      </rPr>
      <t xml:space="preserve">欄位顯示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，試算「行動後 </t>
    </r>
    <r>
      <rPr>
        <sz val="10"/>
        <rFont val="Arial"/>
        <family val="0"/>
        <charset val="1"/>
      </rPr>
      <t xml:space="preserve">2884 20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</t>
    </r>
    <r>
      <rPr>
        <sz val="10"/>
        <rFont val="Noto Sans CJK SC"/>
        <family val="2"/>
      </rPr>
      <t xml:space="preserve">」，登錄鈕可按</t>
    </r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</si>
  <si>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</si>
  <si>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</si>
  <si>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r>
      <rPr>
        <sz val="10"/>
        <rFont val="Noto Sans CJK SC"/>
        <family val="2"/>
      </rPr>
      <t xml:space="preserve">資金收支方向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為中性灰（入金實心、出金外框），與手冊「入金綠色／出金扣款色」不符</t>
    </r>
  </si>
  <si>
    <r>
      <rPr>
        <sz val="10"/>
        <rFont val="Noto Sans CJK SC"/>
        <family val="2"/>
      </rPr>
      <t xml:space="preserve">資金管理 › 出金入金 → 寫入一筆入金 → 看資金收支列「方向」欄：入金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底色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；既有出金列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為透明底＋灰框；折讓款同入金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</si>
  <si>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</si>
  <si>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</si>
  <si>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r>
      <rPr>
        <sz val="10"/>
        <rFont val="Noto Sans CJK SC"/>
        <family val="2"/>
      </rPr>
      <t xml:space="preserve">資金管理 › 出金入金 → 入金 → 帳戶 嘉信 </t>
    </r>
    <r>
      <rPr>
        <sz val="10"/>
        <rFont val="Arial"/>
        <family val="0"/>
        <charset val="1"/>
      </rPr>
      <t xml:space="preserve">Schwab → </t>
    </r>
    <r>
      <rPr>
        <sz val="10"/>
        <rFont val="Noto Sans CJK SC"/>
        <family val="2"/>
      </rPr>
      <t xml:space="preserve">幣別 </t>
    </r>
    <r>
      <rPr>
        <sz val="10"/>
        <rFont val="Arial"/>
        <family val="0"/>
        <charset val="1"/>
      </rPr>
      <t xml:space="preserve">USD →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2026-09-23 → </t>
    </r>
    <r>
      <rPr>
        <sz val="10"/>
        <rFont val="Noto Sans CJK SC"/>
        <family val="2"/>
      </rPr>
      <t xml:space="preserve">金額 </t>
    </r>
    <r>
      <rPr>
        <sz val="10"/>
        <rFont val="Arial"/>
        <family val="0"/>
        <charset val="1"/>
      </rPr>
      <t xml:space="preserve">1,000 → </t>
    </r>
    <r>
      <rPr>
        <sz val="10"/>
        <rFont val="Noto Sans CJK SC"/>
        <family val="2"/>
      </rPr>
      <t xml:space="preserve">取得成本「匯率」填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（在 </t>
    </r>
    <r>
      <rPr>
        <sz val="10"/>
        <rFont val="Arial"/>
        <family val="0"/>
        <charset val="1"/>
      </rPr>
      <t xml:space="preserve">GET /api/cash/acq-rate </t>
    </r>
    <r>
      <rPr>
        <sz val="10"/>
        <rFont val="Noto Sans CJK SC"/>
        <family val="2"/>
      </rPr>
      <t xml:space="preserve">回應前完成）→ 確認寫入：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acq_rate="31.698999"</t>
    </r>
    <r>
      <rPr>
        <sz val="10"/>
        <rFont val="Noto Sans CJK SC"/>
        <family val="2"/>
      </rPr>
      <t xml:space="preserve">、資金收支該列 </t>
    </r>
    <r>
      <rPr>
        <sz val="10"/>
        <rFont val="Arial"/>
        <family val="0"/>
        <charset val="1"/>
      </rPr>
      <t xml:space="preserve">acq_home_amount=31699</t>
    </r>
    <r>
      <rPr>
        <sz val="10"/>
        <rFont val="Noto Sans CJK SC"/>
        <family val="2"/>
      </rPr>
      <t xml:space="preserve">（應為 </t>
    </r>
    <r>
      <rPr>
        <sz val="10"/>
        <rFont val="Arial"/>
        <family val="0"/>
        <charset val="1"/>
      </rPr>
      <t xml:space="preserve">31500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</si>
  <si>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</si>
  <si>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</si>
  <si>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出金透支的後端訊息：當日透支不指出日期；帳戶名用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英文原名「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帶原始錯誤碼與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位小數原值</t>
    </r>
  </si>
  <si>
    <r>
      <rPr>
        <sz val="10"/>
        <rFont val="Noto Sans CJK SC"/>
        <family val="2"/>
      </rPr>
      <t xml:space="preserve">① 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送出（或前端未擋的情境）出金 </t>
    </r>
    <r>
      <rPr>
        <sz val="10"/>
        <rFont val="Arial"/>
        <family val="0"/>
        <charset val="1"/>
      </rPr>
      <t xml:space="preserve">tw_broker TWD 3,033,799</t>
    </r>
    <r>
      <rPr>
        <sz val="10"/>
        <rFont val="Noto Sans CJK SC"/>
        <family val="2"/>
      </rPr>
      <t xml:space="preserve">（餘額 </t>
    </r>
    <r>
      <rPr>
        <sz val="10"/>
        <rFont val="Arial"/>
        <family val="0"/>
        <charset val="1"/>
      </rPr>
      <t xml:space="preserve">3,033,798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「出金金額 </t>
    </r>
    <r>
      <rPr>
        <sz val="10"/>
        <rFont val="Arial"/>
        <family val="0"/>
        <charset val="1"/>
      </rPr>
      <t xml:space="preserve">3033799 TWD </t>
    </r>
    <r>
      <rPr>
        <sz val="10"/>
        <rFont val="Noto Sans CJK SC"/>
        <family val="2"/>
      </rPr>
      <t xml:space="preserve">超過 </t>
    </r>
    <r>
      <rPr>
        <sz val="10"/>
        <rFont val="Arial"/>
        <family val="0"/>
        <charset val="1"/>
      </rPr>
      <t xml:space="preserve">TW Broker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3033798.0000 — </t>
    </r>
    <r>
      <rPr>
        <sz val="10"/>
        <rFont val="Noto Sans CJK SC"/>
        <family val="2"/>
      </rPr>
      <t xml:space="preserve">出金不可透支…」，無日期；② 資金管理 › 出金入金 → 台灣券商 </t>
    </r>
    <r>
      <rPr>
        <sz val="10"/>
        <rFont val="Arial"/>
        <family val="0"/>
        <charset val="1"/>
      </rPr>
      <t xml:space="preserve">2026-07-14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4,000,000 → toast</t>
    </r>
    <r>
      <rPr>
        <sz val="10"/>
        <rFont val="Noto Sans CJK SC"/>
        <family val="2"/>
      </rPr>
      <t xml:space="preserve">「✕ 此筆出金會使 </t>
    </r>
    <r>
      <rPr>
        <sz val="10"/>
        <rFont val="Arial"/>
        <family val="0"/>
        <charset val="1"/>
      </rPr>
      <t xml:space="preserve">TW Broker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</t>
    </r>
    <r>
      <rPr>
        <sz val="10"/>
        <rFont val="Arial"/>
        <family val="0"/>
        <charset val="1"/>
      </rPr>
      <t xml:space="preserve">-253820.0000</t>
    </r>
    <r>
      <rPr>
        <sz val="10"/>
        <rFont val="Noto Sans CJK SC"/>
        <family val="2"/>
      </rPr>
      <t xml:space="preserve">（出金日早於資金到位）— … </t>
    </r>
    <r>
      <rPr>
        <sz val="10"/>
        <rFont val="Arial"/>
        <family val="0"/>
        <charset val="1"/>
      </rPr>
      <t xml:space="preserve">withdraw_insufficient_balance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</si>
  <si>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</si>
  <si>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折讓款列可以編輯金額（日期／類型／備註鎖定），手冊期望整列鎖定不可編輯</t>
  </si>
  <si>
    <r>
      <rPr>
        <sz val="10"/>
        <rFont val="Noto Sans CJK SC"/>
        <family val="2"/>
      </rPr>
      <t xml:space="preserve">資金管理 › 出金入金 → 資金收支找「</t>
    </r>
    <r>
      <rPr>
        <sz val="10"/>
        <rFont val="Arial"/>
        <family val="0"/>
        <charset val="1"/>
      </rPr>
      <t xml:space="preserve">2026-02-01 </t>
    </r>
    <r>
      <rPr>
        <sz val="10"/>
        <rFont val="Noto Sans CJK SC"/>
        <family val="2"/>
      </rPr>
      <t xml:space="preserve">台灣券商 折讓款 </t>
    </r>
    <r>
      <rPr>
        <sz val="10"/>
        <rFont val="Arial"/>
        <family val="0"/>
        <charset val="1"/>
      </rPr>
      <t xml:space="preserve">191 TWD</t>
    </r>
    <r>
      <rPr>
        <sz val="10"/>
        <rFont val="Noto Sans CJK SC"/>
        <family val="2"/>
      </rPr>
      <t xml:space="preserve">」→ 按「編輯」→ 對話框「編輯資金紀錄 </t>
    </r>
    <r>
      <rPr>
        <sz val="10"/>
        <rFont val="Arial"/>
        <family val="0"/>
        <charset val="1"/>
      </rPr>
      <t xml:space="preserve">#34</t>
    </r>
    <r>
      <rPr>
        <sz val="10"/>
        <rFont val="Noto Sans CJK SC"/>
        <family val="2"/>
      </rPr>
      <t xml:space="preserve">」：日期、類型、備註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，金額 </t>
    </r>
    <r>
      <rPr>
        <sz val="10"/>
        <rFont val="Arial"/>
        <family val="0"/>
        <charset val="1"/>
      </rPr>
      <t xml:space="preserve">191 </t>
    </r>
    <r>
      <rPr>
        <sz val="10"/>
        <rFont val="Noto Sans CJK SC"/>
        <family val="2"/>
      </rPr>
      <t xml:space="preserve">可修改，有「儲存」鈕</t>
    </r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</si>
  <si>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</si>
  <si>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</si>
  <si>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</si>
  <si>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</si>
  <si>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r>
      <rPr>
        <sz val="10"/>
        <rFont val="Noto Sans CJK SC"/>
        <family val="2"/>
      </rPr>
      <t xml:space="preserve">折讓款預估對「費率快照 </t>
    </r>
    <r>
      <rPr>
        <sz val="10"/>
        <rFont val="Arial"/>
        <family val="0"/>
        <charset val="1"/>
      </rPr>
      <t xml:space="preserve">discount=0.23</t>
    </r>
    <r>
      <rPr>
        <sz val="10"/>
        <rFont val="Noto Sans CJK SC"/>
        <family val="2"/>
      </rPr>
      <t xml:space="preserve">（下單已打折）」的交易仍預估 </t>
    </r>
    <r>
      <rPr>
        <sz val="10"/>
        <rFont val="Arial"/>
        <family val="0"/>
        <charset val="1"/>
      </rPr>
      <t xml:space="preserve">77% </t>
    </r>
    <r>
      <rPr>
        <sz val="10"/>
        <rFont val="Noto Sans CJK SC"/>
        <family val="2"/>
      </rPr>
      <t xml:space="preserve">退款，同一優惠被算兩次</t>
    </r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</si>
  <si>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</si>
  <si>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</si>
  <si>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</si>
  <si>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</si>
  <si>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r>
      <rPr>
        <sz val="10"/>
        <rFont val="Noto Sans CJK SC"/>
        <family val="2"/>
      </rPr>
      <t xml:space="preserve">收件匣折讓款文案寫「不計入成本／損益／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」，但確認入帳後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與「含匯兌總損益」都會變動</t>
    </r>
  </si>
  <si>
    <r>
      <rPr>
        <sz val="10"/>
        <rFont val="Noto Sans CJK SC"/>
        <family val="2"/>
      </rPr>
      <t xml:space="preserve">收件匣 › 待確認退款（折讓款）區塊標題下方文案「確認實際入帳後記入該帳戶現金池，不計入成本／損益／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」→ 確認 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折讓款 </t>
    </r>
    <r>
      <rPr>
        <sz val="10"/>
        <rFont val="Arial"/>
        <family val="0"/>
        <charset val="1"/>
      </rPr>
      <t xml:space="preserve">620 TWD → GET /api/dashboard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kpis.xirr 10.22406575305222→10.224722584268248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23620439.11…→23621059.11…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+620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trading_financing_cost 191→811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</t>
    </r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</si>
  <si>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</si>
  <si>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</si>
  <si>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r>
      <rPr>
        <sz val="10"/>
        <rFont val="Noto Sans CJK SC"/>
        <family val="2"/>
      </rPr>
      <t xml:space="preserve">交易帳本 › 手動交易，台灣券商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（原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），同一天依序：① 買 </t>
    </r>
    <r>
      <rPr>
        <sz val="10"/>
        <rFont val="Arial"/>
        <family val="0"/>
        <charset val="1"/>
      </rPr>
      <t xml:space="preserve">200@44 ②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100@45</t>
    </r>
    <r>
      <rPr>
        <sz val="10"/>
        <rFont val="Noto Sans CJK SC"/>
        <family val="2"/>
      </rPr>
      <t xml:space="preserve">（此時草稿顯示已實現 −</t>
    </r>
    <r>
      <rPr>
        <sz val="10"/>
        <rFont val="Arial"/>
        <family val="0"/>
        <charset val="1"/>
      </rPr>
      <t xml:space="preserve">1,580</t>
    </r>
    <r>
      <rPr>
        <sz val="10"/>
        <rFont val="Noto Sans CJK SC"/>
        <family val="2"/>
      </rPr>
      <t xml:space="preserve">、成本移除 </t>
    </r>
    <r>
      <rPr>
        <sz val="10"/>
        <rFont val="Arial"/>
        <family val="0"/>
        <charset val="1"/>
      </rPr>
      <t xml:space="preserve">6,047</t>
    </r>
    <r>
      <rPr>
        <sz val="10"/>
        <rFont val="Noto Sans CJK SC"/>
        <family val="2"/>
      </rPr>
      <t xml:space="preserve">）③ 買 </t>
    </r>
    <r>
      <rPr>
        <sz val="10"/>
        <rFont val="Arial"/>
        <family val="0"/>
        <charset val="1"/>
      </rPr>
      <t xml:space="preserve">100@46 → </t>
    </r>
    <r>
      <rPr>
        <sz val="10"/>
        <rFont val="Noto Sans CJK SC"/>
        <family val="2"/>
      </rPr>
      <t xml:space="preserve">已實現損益列變為 −</t>
    </r>
    <r>
      <rPr>
        <sz val="10"/>
        <rFont val="Arial"/>
        <family val="0"/>
        <charset val="1"/>
      </rPr>
      <t xml:space="preserve">1,223.00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cost_removed 5,690.00</t>
    </r>
    <r>
      <rPr>
        <sz val="10"/>
        <rFont val="Noto Sans CJK SC"/>
        <family val="2"/>
      </rPr>
      <t xml:space="preserve">；持倉成本 </t>
    </r>
    <r>
      <rPr>
        <sz val="10"/>
        <rFont val="Arial"/>
        <family val="0"/>
        <charset val="1"/>
      </rPr>
      <t xml:space="preserve">17,070.00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16,713.33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</si>
  <si>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</si>
  <si>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</si>
  <si>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r>
      <rPr>
        <sz val="10"/>
        <rFont val="Noto Sans CJK SC"/>
        <family val="2"/>
      </rPr>
      <t xml:space="preserve">交易帳本 › 手動交易 → 台灣券商 → 賣出 </t>
    </r>
    <r>
      <rPr>
        <sz val="10"/>
        <rFont val="Arial"/>
        <family val="0"/>
        <charset val="1"/>
      </rPr>
      <t xml:space="preserve">2454 100@4,530 → </t>
    </r>
    <r>
      <rPr>
        <sz val="10"/>
        <rFont val="Noto Sans CJK SC"/>
        <family val="2"/>
      </rPr>
      <t xml:space="preserve">勾「放空」再勾「當沖」→ 兩者皆為勾選、皆可操作；預覽請求本文 </t>
    </r>
    <r>
      <rPr>
        <sz val="10"/>
        <rFont val="Arial"/>
        <family val="0"/>
        <charset val="1"/>
      </rPr>
      <t xml:space="preserve">daytrade:true, short_sale:true</t>
    </r>
    <r>
      <rPr>
        <sz val="10"/>
        <rFont val="Noto Sans CJK SC"/>
        <family val="2"/>
      </rPr>
      <t xml:space="preserve">，交易稅 </t>
    </r>
    <r>
      <rPr>
        <sz val="10"/>
        <rFont val="Arial"/>
        <family val="0"/>
        <charset val="1"/>
      </rPr>
      <t xml:space="preserve">679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），無警告</t>
    </r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</si>
  <si>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</si>
  <si>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</si>
  <si>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</si>
  <si>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</si>
  <si>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r>
      <rPr>
        <sz val="10"/>
        <rFont val="Noto Sans CJK SC"/>
        <family val="2"/>
      </rPr>
      <t xml:space="preserve">交易帳本 › 手動交易 → 台灣券商 → 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（期初庫存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股、建檔日 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）→ 買進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、日期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草稿「✓ 草稿檢核通過，可寫入」→ 確認寫入 → 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「寫入成功」；另：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、日期 </t>
    </r>
    <r>
      <rPr>
        <sz val="10"/>
        <rFont val="Arial"/>
        <family val="0"/>
        <charset val="1"/>
      </rPr>
      <t xml:space="preserve">2025-01-02</t>
    </r>
    <r>
      <rPr>
        <sz val="10"/>
        <rFont val="Noto Sans CJK SC"/>
        <family val="2"/>
      </rPr>
      <t xml:space="preserve">（帳本最早紀錄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）同樣無提示</t>
    </r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</si>
  <si>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</si>
  <si>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</si>
  <si>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</si>
  <si>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r>
      <rPr>
        <sz val="10"/>
        <rFont val="Noto Sans CJK SC"/>
        <family val="2"/>
      </rPr>
      <t xml:space="preserve">配息「重新偵測」只回報「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檔失敗」，不說明是哪一檔、失敗原因</t>
    </r>
  </si>
  <si>
    <r>
      <rPr>
        <sz val="10"/>
        <rFont val="Noto Sans CJK SC"/>
        <family val="2"/>
      </rPr>
      <t xml:space="preserve">收件匣 → 待確認匯入 → 重新偵測 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／狀態列「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筆」；</t>
    </r>
    <r>
      <rPr>
        <sz val="10"/>
        <rFont val="Arial"/>
        <family val="0"/>
        <charset val="1"/>
      </rPr>
      <t xml:space="preserve">GET /api/dividend-inbox?refresh=1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refreshed:"14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內無失敗資訊</t>
    </r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</si>
  <si>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</si>
  <si>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</si>
  <si>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</si>
  <si>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</si>
  <si>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r>
      <rPr>
        <sz val="10"/>
        <rFont val="Noto Sans CJK SC"/>
        <family val="2"/>
      </rPr>
      <t xml:space="preserve">已確認但入帳日（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）在未來的股利，被放進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現金流且日期晚於期末估值日</t>
    </r>
  </si>
  <si>
    <r>
      <rPr>
        <sz val="10"/>
        <rFont val="Noto Sans CJK SC"/>
        <family val="2"/>
      </rPr>
      <t xml:space="preserve">收件匣確認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除息 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pay_date 2026-10-08 </t>
    </r>
    <r>
      <rPr>
        <sz val="10"/>
        <rFont val="Noto Sans CJK SC"/>
        <family val="2"/>
      </rPr>
      <t xml:space="preserve">的現金股利 </t>
    </r>
    <r>
      <rPr>
        <sz val="10"/>
        <rFont val="Arial"/>
        <family val="0"/>
        <charset val="1"/>
      </rPr>
      <t xml:space="preserve">18,200 → </t>
    </r>
    <r>
      <rPr>
        <sz val="10"/>
        <rFont val="Noto Sans CJK SC"/>
        <family val="2"/>
      </rPr>
      <t xml:space="preserve">股利帳本列 </t>
    </r>
    <r>
      <rPr>
        <sz val="10"/>
        <rFont val="Arial"/>
        <family val="0"/>
        <charset val="1"/>
      </rPr>
      <t xml:space="preserve">date=2026-10-08 → GET /api/dashboard kpis.xirr 10.22406575305222→10.23407372439353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trend </t>
    </r>
    <r>
      <rPr>
        <sz val="10"/>
        <rFont val="Noto Sans CJK SC"/>
        <family val="2"/>
      </rPr>
      <t xml:space="preserve">最後一點（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net_invested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今日餘額不變</t>
    </r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</si>
  <si>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</si>
  <si>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</si>
  <si>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</si>
  <si>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r>
      <rPr>
        <sz val="10"/>
        <rFont val="Noto Sans CJK SC"/>
        <family val="2"/>
      </rPr>
      <t xml:space="preserve">手動「股利」表單以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匯入路徑寫入，會在「最近匯入」產生一筆批次；從帳本刪除該股利後批次仍殘留（</t>
    </r>
    <r>
      <rPr>
        <sz val="10"/>
        <rFont val="Arial"/>
        <family val="0"/>
        <charset val="1"/>
      </rPr>
      <t xml:space="preserve">row_count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committed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</si>
  <si>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交易帳本 › 交易輸入 › 股利 →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配股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 → 確認寫入：網路請求為 </t>
    </r>
    <r>
      <rPr>
        <sz val="10"/>
        <rFont val="Arial"/>
        <family val="0"/>
        <charset val="1"/>
      </rPr>
      <t xml:space="preserve">POST /api/import/preview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POST /api/import/commit</t>
    </r>
    <r>
      <rPr>
        <sz val="10"/>
        <rFont val="Noto Sans CJK SC"/>
        <family val="2"/>
      </rPr>
      <t xml:space="preserve">（非股利專用端點），</t>
    </r>
    <r>
      <rPr>
        <sz val="10"/>
        <rFont val="Arial"/>
        <family val="0"/>
        <charset val="1"/>
      </rPr>
      <t xml:space="preserve">GET /api/import/batches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{id:1, kind:dividends, source_name:null, row_count:1}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匯入分頁「最近匯入」顯示「</t>
    </r>
    <r>
      <rPr>
        <sz val="10"/>
        <rFont val="Arial"/>
        <family val="0"/>
        <charset val="1"/>
      </rPr>
      <t xml:space="preserve">2026-09-23 04:21:13 </t>
    </r>
    <r>
      <rPr>
        <sz val="10"/>
        <rFont val="Noto Sans CJK SC"/>
        <family val="2"/>
      </rPr>
      <t xml:space="preserve">股利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復原」→ 於股利分頁刪除該筆後，批次仍在；按批次「復原」對話框寫「…手動輸入的紀錄與其他批次不受影響」，實際刪除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</t>
    </r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</si>
  <si>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</si>
  <si>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</si>
  <si>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</si>
  <si>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</si>
  <si>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r>
      <rPr>
        <sz val="10"/>
        <rFont val="Noto Sans CJK SC"/>
        <family val="2"/>
      </rPr>
      <t xml:space="preserve">交易帳本 › 交易輸入 › 股利 → 嘉信 </t>
    </r>
    <r>
      <rPr>
        <sz val="10"/>
        <rFont val="Arial"/>
        <family val="0"/>
        <charset val="1"/>
      </rPr>
      <t xml:space="preserve">Schwab AAPL → </t>
    </r>
    <r>
      <rPr>
        <sz val="10"/>
        <rFont val="Noto Sans CJK SC"/>
        <family val="2"/>
      </rPr>
      <t xml:space="preserve">再投資（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Gross 10</t>
    </r>
    <r>
      <rPr>
        <sz val="10"/>
        <rFont val="Noto Sans CJK SC"/>
        <family val="2"/>
      </rPr>
      <t xml:space="preserve">、再投資 </t>
    </r>
    <r>
      <rPr>
        <sz val="10"/>
        <rFont val="Arial"/>
        <family val="0"/>
        <charset val="1"/>
      </rPr>
      <t xml:space="preserve">0.028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@250 → </t>
    </r>
    <r>
      <rPr>
        <sz val="10"/>
        <rFont val="Noto Sans CJK SC"/>
        <family val="2"/>
      </rPr>
      <t xml:space="preserve">寫入後持倉 </t>
    </r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original_cost_total 13,515→13,515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158.9266→158.8743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</si>
  <si>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</si>
  <si>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</si>
  <si>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</si>
  <si>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</si>
  <si>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r>
      <rPr>
        <sz val="10"/>
        <rFont val="Noto Sans CJK SC"/>
        <family val="2"/>
      </rPr>
      <t xml:space="preserve">交易帳本 › 股利寫入 </t>
    </r>
    <r>
      <rPr>
        <sz val="10"/>
        <rFont val="Arial"/>
        <family val="0"/>
        <charset val="1"/>
      </rPr>
      <t xml:space="preserve">Schwab AAPL DRIP 0.028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最近匯入 › 復原 → 回到交易輸入輸入代號 </t>
    </r>
    <r>
      <rPr>
        <sz val="10"/>
        <rFont val="Arial"/>
        <family val="0"/>
        <charset val="1"/>
      </rPr>
      <t xml:space="preserve">AA</t>
    </r>
    <r>
      <rPr>
        <sz val="10"/>
        <rFont val="Noto Sans CJK SC"/>
        <family val="2"/>
      </rPr>
      <t xml:space="preserve">：挑選清單顯示「</t>
    </r>
    <r>
      <rPr>
        <sz val="10"/>
        <rFont val="Arial"/>
        <family val="0"/>
        <charset val="1"/>
      </rPr>
      <t xml:space="preserve">AAPL Apple 85.067255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158.87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/api/input/holdings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85.039255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158.9266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C-05 </t>
    </r>
    <r>
      <rPr>
        <sz val="10"/>
        <rFont val="Noto Sans CJK SC"/>
        <family val="2"/>
      </rPr>
      <t xml:space="preserve">復原後同樣顯示「均價 </t>
    </r>
    <r>
      <rPr>
        <sz val="10"/>
        <rFont val="Arial"/>
        <family val="0"/>
        <charset val="1"/>
      </rPr>
      <t xml:space="preserve">158.84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</si>
  <si>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</si>
  <si>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</si>
  <si>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</si>
  <si>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</si>
  <si>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r>
      <rPr>
        <sz val="10"/>
        <rFont val="Noto Sans CJK SC"/>
        <family val="2"/>
      </rPr>
      <t xml:space="preserve">交易帳本 › 公司行動 › ＋補登 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股、重組費用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登錄（前端送兩支請求：</t>
    </r>
    <r>
      <rPr>
        <sz val="10"/>
        <rFont val="Arial"/>
        <family val="0"/>
        <charset val="1"/>
      </rPr>
      <t xml:space="preserve">POST /api/ledgers/corporate-actions 201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POST /api/cash/movements WITHDRAW 50 201</t>
    </r>
    <r>
      <rPr>
        <sz val="10"/>
        <rFont val="Noto Sans CJK SC"/>
        <family val="2"/>
      </rPr>
      <t xml:space="preserve">）→ 於公司行動分頁刪除該列（確認框只寫「確定刪除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的分割？股數、成本與價格基準都會由帳本重建。」）→ </t>
    </r>
    <r>
      <rPr>
        <sz val="10"/>
        <rFont val="Arial"/>
        <family val="0"/>
        <charset val="1"/>
      </rPr>
      <t xml:space="preserve">DELETE 200 → </t>
    </r>
    <r>
      <rPr>
        <sz val="10"/>
        <rFont val="Noto Sans CJK SC"/>
        <family val="2"/>
      </rPr>
      <t xml:space="preserve">資金收支仍有「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50 TWD </t>
    </r>
    <r>
      <rPr>
        <sz val="10"/>
        <rFont val="Noto Sans CJK SC"/>
        <family val="2"/>
      </rPr>
      <t xml:space="preserve">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池停在 </t>
    </r>
    <r>
      <rPr>
        <sz val="10"/>
        <rFont val="Arial"/>
        <family val="0"/>
        <charset val="1"/>
      </rPr>
      <t xml:space="preserve">6,067,545</t>
    </r>
    <r>
      <rPr>
        <sz val="10"/>
        <rFont val="Noto Sans CJK SC"/>
        <family val="2"/>
      </rPr>
      <t xml:space="preserve">（行動前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</si>
  <si>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</si>
  <si>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</si>
  <si>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</si>
  <si>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</si>
  <si>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r>
      <rPr>
        <sz val="10"/>
        <rFont val="Noto Sans CJK SC"/>
        <family val="2"/>
      </rPr>
      <t xml:space="preserve">刪除換股（</t>
    </r>
    <r>
      <rPr>
        <sz val="10"/>
        <rFont val="Arial"/>
        <family val="0"/>
        <charset val="1"/>
      </rPr>
      <t xml:space="preserve">EXCHANGE</t>
    </r>
    <r>
      <rPr>
        <sz val="10"/>
        <rFont val="Noto Sans CJK SC"/>
        <family val="2"/>
      </rPr>
      <t xml:space="preserve">）後，隨行動移到新代號的目標價不會移回原代號；試算與刪除確認框都沒有告知這一點</t>
    </r>
  </si>
  <si>
    <r>
      <rPr>
        <sz val="10"/>
        <rFont val="Noto Sans CJK SC"/>
        <family val="2"/>
      </rPr>
      <t xml:space="preserve">觀察清單把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目標價設為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→ </t>
    </r>
    <r>
      <rPr>
        <sz val="10"/>
        <rFont val="Noto Sans CJK SC"/>
        <family val="2"/>
      </rPr>
      <t xml:space="preserve">交易帳本 › 公司行動 › ＋補登 → 整個部位換成另一檔股票，</t>
    </r>
    <r>
      <rPr>
        <sz val="10"/>
        <rFont val="Arial"/>
        <family val="0"/>
        <charset val="1"/>
      </rPr>
      <t xml:space="preserve">2884 → 2882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股換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股（試算顯示「✓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的目標價（下限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、上限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）會一併移到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，數值不變」）→ 登錄（</t>
    </r>
    <r>
      <rPr>
        <sz val="10"/>
        <rFont val="Arial"/>
        <family val="0"/>
        <charset val="1"/>
      </rPr>
      <t xml:space="preserve">id 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band_moved 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）→ 在公司行動分頁刪除該列（確認框「確定刪除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的換股？股數、成本與價格基準都會由帳本重建。」）→ </t>
    </r>
    <r>
      <rPr>
        <sz val="10"/>
        <rFont val="Arial"/>
        <family val="0"/>
        <charset val="1"/>
      </rPr>
      <t xml:space="preserve">GET /api/instruments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仍為空</t>
    </r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</si>
  <si>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</si>
  <si>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</si>
  <si>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</si>
  <si>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</si>
  <si>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目標價設定日（</t>
    </r>
    <r>
      <rPr>
        <sz val="10"/>
        <rFont val="Arial"/>
        <family val="0"/>
        <charset val="1"/>
      </rPr>
      <t xml:space="preserve">target_set_at</t>
    </r>
    <r>
      <rPr>
        <sz val="10"/>
        <rFont val="Noto Sans CJK SC"/>
        <family val="2"/>
      </rPr>
      <t xml:space="preserve">）以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日期記錄：台北 </t>
    </r>
    <r>
      <rPr>
        <sz val="10"/>
        <rFont val="Arial"/>
        <family val="0"/>
        <charset val="1"/>
      </rPr>
      <t xml:space="preserve">00:00–07:59 </t>
    </r>
    <r>
      <rPr>
        <sz val="10"/>
        <rFont val="Noto Sans CJK SC"/>
        <family val="2"/>
      </rPr>
      <t xml:space="preserve">設定的目標價會記成前一天，同日分割因此誤報「目標價設定於前一天、早於這筆分割」</t>
    </r>
  </si>
  <si>
    <r>
      <rPr>
        <sz val="10"/>
        <rFont val="Noto Sans CJK SC"/>
        <family val="2"/>
      </rPr>
      <t xml:space="preserve">台北時間 </t>
    </r>
    <r>
      <rPr>
        <sz val="10"/>
        <rFont val="Arial"/>
        <family val="0"/>
        <charset val="1"/>
      </rPr>
      <t xml:space="preserve">2026-09-23 04:3x </t>
    </r>
    <r>
      <rPr>
        <sz val="10"/>
        <rFont val="Noto Sans CJK SC"/>
        <family val="2"/>
      </rPr>
      <t xml:space="preserve">在觀察清單設定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→ </t>
    </r>
    <r>
      <rPr>
        <sz val="10"/>
        <rFont val="Noto Sans CJK SC"/>
        <family val="2"/>
      </rPr>
      <t xml:space="preserve">換股試算／登錄回應的 </t>
    </r>
    <r>
      <rPr>
        <sz val="10"/>
        <rFont val="Arial"/>
        <family val="0"/>
        <charset val="1"/>
      </rPr>
      <t xml:space="preserve">band_move.set_at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」→ 之後對同一目標價所在標的登錄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的分割，試算出現「⚠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的目標價設定於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，早於這筆分割…」並要求勾選「我已確認上述警告」才能登錄</t>
    </r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</si>
  <si>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</si>
  <si>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</si>
  <si>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r>
      <rPr>
        <sz val="10"/>
        <rFont val="Noto Sans CJK SC"/>
        <family val="2"/>
      </rPr>
      <t xml:space="preserve">公司行動無法套用時，儀表板只有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「資料不足」與總損益口徑一句話，沒有可點的入口；明細只在滑鼠提示與個股抽屜，且原因句顯示帳戶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</t>
    </r>
  </si>
  <si>
    <r>
      <rPr>
        <sz val="10"/>
        <rFont val="Noto Sans CJK SC"/>
        <family val="2"/>
      </rPr>
      <t xml:space="preserve">台灣券商買 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）→ 登錄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刪除該筆買進（刪除框沒有警告會讓公司行動無法套用）→ 儀表板：年化報酬（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）「— 資料不足」，滑鼠移上去才看到「帳本中有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筆公司行動無法套用（待釐清）：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）…」；總損益口徑「帳本中有公司行動無法套用（待釐清）…」；行動清單／資料與系統待辦沒有這一筆；公司行動帳本該列沒有未套用標記；只有打開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個股抽屜才看到「⚠ 公司行動未套用（台灣券商・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・拆併股 </t>
    </r>
    <r>
      <rPr>
        <sz val="10"/>
        <rFont val="Arial"/>
        <family val="0"/>
        <charset val="1"/>
      </rPr>
      <t xml:space="preserve">2882→2882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沒有持倉…」</t>
    </r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</si>
  <si>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</si>
  <si>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</si>
  <si>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</si>
  <si>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</si>
  <si>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持有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→ 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標準範本／交易，貼上「</t>
    </r>
    <r>
      <rPr>
        <sz val="10"/>
        <rFont val="Arial"/>
        <family val="0"/>
        <charset val="1"/>
      </rPr>
      <t xml:space="preserve">tw_broker,2884,buy,2026-09-23,1.5,45.20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tw_broker,2884,sell,2026-09-23,101,45.20</t>
    </r>
    <r>
      <rPr>
        <sz val="10"/>
        <rFont val="Noto Sans CJK SC"/>
        <family val="2"/>
      </rPr>
      <t xml:space="preserve">」→ 預覽：第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 ✕ 錯誤（台股股數必須是整數）、第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列「✓ 可寫入」且已勾選 → 按「確認寫入勾選列」→ </t>
    </r>
    <r>
      <rPr>
        <sz val="10"/>
        <rFont val="Arial"/>
        <family val="0"/>
        <charset val="1"/>
      </rPr>
      <t xml:space="preserve">POST /api/import/commit 200 {written 0, skipped 1, rejected 1}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筆」只列出第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列；另例：「買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＋買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（錯誤）＋賣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」顯示「超過持有的 </t>
    </r>
    <r>
      <rPr>
        <sz val="10"/>
        <rFont val="Arial"/>
        <family val="0"/>
        <charset val="1"/>
      </rPr>
      <t xml:space="preserve">200.5 </t>
    </r>
    <r>
      <rPr>
        <sz val="10"/>
        <rFont val="Noto Sans CJK SC"/>
        <family val="2"/>
      </rPr>
      <t xml:space="preserve">股」；「買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」取消勾選買進後賣出列仍 ✓ 可寫入，寫入結果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</t>
    </r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</si>
  <si>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</si>
  <si>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</si>
  <si>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</si>
  <si>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</si>
  <si>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持有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匯入貼「</t>
    </r>
    <r>
      <rPr>
        <sz val="10"/>
        <rFont val="Arial"/>
        <family val="0"/>
        <charset val="1"/>
      </rPr>
      <t xml:space="preserve">tw_broker,2884,sell,2026-09-23,150,45.20</t>
    </r>
    <r>
      <rPr>
        <sz val="10"/>
        <rFont val="Noto Sans CJK SC"/>
        <family val="2"/>
      </rPr>
      <t xml:space="preserve">」→ 預覽「⚠ 警告 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股」且 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已勾選 → 按「確認寫入勾選列」→ 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對話框「匯入警告確認 — 部分列有警告（如賣超）— 確認後一併寫入？ 取消／確認寫入」（本輪按取消，未寫入）</t>
    </r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</si>
  <si>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</si>
  <si>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</si>
  <si>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r>
      <rPr>
        <sz val="10"/>
        <rFont val="Noto Sans CJK SC"/>
        <family val="2"/>
      </rPr>
      <t xml:space="preserve">交易帳本匯出的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不能原樣匯回：匯出用資料庫欄名（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</t>
    </r>
    <r>
      <rPr>
        <sz val="10"/>
        <rFont val="Noto Sans CJK SC"/>
        <family val="2"/>
      </rPr>
      <t xml:space="preserve">），匯入只認範本欄名（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date</t>
    </r>
    <r>
      <rPr>
        <sz val="10"/>
        <rFont val="Noto Sans CJK SC"/>
        <family val="2"/>
      </rPr>
      <t xml:space="preserve">）；改表頭後可匯入，但費率快照（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）無法重建</t>
    </r>
  </si>
  <si>
    <r>
      <rPr>
        <sz val="10"/>
        <rFont val="Noto Sans CJK SC"/>
        <family val="2"/>
      </rPr>
      <t xml:space="preserve">交易帳本 › 交易 › ⬇匯出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列）→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標準範本 › 交易 → 把匯出內容原樣貼上 → 預覽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列全部「✕ 錯誤 缺少必要欄位（欄位 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）」；把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個表頭改名後再貼 </t>
    </r>
    <r>
      <rPr>
        <sz val="10"/>
        <rFont val="Arial"/>
        <family val="0"/>
        <charset val="1"/>
      </rPr>
      <t xml:space="preserve">#7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 → </t>
    </r>
    <r>
      <rPr>
        <sz val="10"/>
        <rFont val="Noto Sans CJK SC"/>
        <family val="2"/>
      </rPr>
      <t xml:space="preserve">可寫入，寫入後 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變成 </t>
    </r>
    <r>
      <rPr>
        <sz val="10"/>
        <rFont val="Arial"/>
        <family val="0"/>
        <charset val="1"/>
      </rPr>
      <t xml:space="preserve">{"engine":"supplied","fee":"529","tax":"0"}</t>
    </r>
    <r>
      <rPr>
        <sz val="10"/>
        <rFont val="Noto Sans CJK SC"/>
        <family val="2"/>
      </rPr>
      <t xml:space="preserve">（原列為 </t>
    </r>
    <r>
      <rPr>
        <sz val="10"/>
        <rFont val="Arial"/>
        <family val="0"/>
        <charset val="1"/>
      </rPr>
      <t xml:space="preserve">{"brokerage":"0.001425","discount":"1","min_fee":"20"}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</si>
  <si>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</si>
  <si>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</si>
  <si>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</si>
  <si>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r>
      <rPr>
        <sz val="10"/>
        <rFont val="Noto Sans CJK SC"/>
        <family val="2"/>
      </rPr>
      <t xml:space="preserve">券商對帳單「全部寫入」一律帶 </t>
    </r>
    <r>
      <rPr>
        <sz val="10"/>
        <rFont val="Arial"/>
        <family val="0"/>
        <charset val="1"/>
      </rPr>
      <t xml:space="preserve">ack_warnings:true</t>
    </r>
    <r>
      <rPr>
        <sz val="10"/>
        <rFont val="Noto Sans CJK SC"/>
        <family val="2"/>
      </rPr>
      <t xml:space="preserve">：賣超等需要確認的警告不經使用者確認就寫入，成本基礎被歸零且畫面顯示「✓ 全部寫入完成」</t>
    </r>
  </si>
  <si>
    <r>
      <rPr>
        <sz val="10"/>
        <rFont val="Noto Sans CJK SC"/>
        <family val="2"/>
      </rPr>
      <t xml:space="preserve">嘉信帳戶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持有 </t>
    </r>
    <r>
      <rPr>
        <sz val="10"/>
        <rFont val="Arial"/>
        <family val="0"/>
        <charset val="1"/>
      </rPr>
      <t xml:space="preserve">85.04 </t>
    </r>
    <r>
      <rPr>
        <sz val="10"/>
        <rFont val="Noto Sans CJK SC"/>
        <family val="2"/>
      </rPr>
      <t xml:space="preserve">股 → 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券商對帳單，券商嘉信、帳戶嘉信，上傳一列「</t>
    </r>
    <r>
      <rPr>
        <sz val="10"/>
        <rFont val="Arial"/>
        <family val="0"/>
        <charset val="1"/>
      </rPr>
      <t xml:space="preserve">09/22/2026, Sell, AAPL, 1000, $250.00, $250,000.00</t>
    </r>
    <r>
      <rPr>
        <sz val="10"/>
        <rFont val="Noto Sans CJK SC"/>
        <family val="2"/>
      </rPr>
      <t xml:space="preserve">」的嘉信格式檔 → 轉換顯示「✓ 對帳通過」並只要求補期初庫存（留白）→ 按「全部寫入」→ </t>
    </r>
    <r>
      <rPr>
        <sz val="10"/>
        <rFont val="Arial"/>
        <family val="0"/>
        <charset val="1"/>
      </rPr>
      <t xml:space="preserve">POST /api/import/commit {…"ack_warnings":true…} 200 {written 1} → </t>
    </r>
    <r>
      <rPr>
        <sz val="10"/>
        <rFont val="Noto Sans CJK SC"/>
        <family val="2"/>
      </rPr>
      <t xml:space="preserve">畫面「✓ 全部寫入完成 交易 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筆」，沒有任何確認框</t>
    </r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</si>
  <si>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</si>
  <si>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</si>
  <si>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</si>
  <si>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</si>
  <si>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券商對帳單，上傳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格式 </t>
    </r>
    <r>
      <rPr>
        <sz val="10"/>
        <rFont val="Arial"/>
        <family val="0"/>
        <charset val="1"/>
      </rPr>
      <t xml:space="preserve">schwab_2024.csv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列）→ 畫面只有「✓ 對帳通過 —— 現金與各代號股數都守恆／讀入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列，產生：交易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股利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資金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」與「全部寫入」；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files.transactions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列明細（含來源行號 </t>
    </r>
    <r>
      <rPr>
        <sz val="10"/>
        <rFont val="Arial"/>
        <family val="0"/>
        <charset val="1"/>
      </rPr>
      <t xml:space="preserve">schwab_2024.csv:4 </t>
    </r>
    <r>
      <rPr>
        <sz val="10"/>
        <rFont val="Noto Sans CJK SC"/>
        <family val="2"/>
      </rPr>
      <t xml:space="preserve">等），畫面沒有任何表格或展開區</t>
    </r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</si>
  <si>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</si>
  <si>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r>
      <rPr>
        <sz val="10"/>
        <rFont val="Noto Sans CJK SC"/>
        <family val="2"/>
      </rPr>
      <t xml:space="preserve">券商對帳單匯入不檢查「所選券商」與「匯入到帳戶」是否相符：嘉信對帳單可直接寫進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帳戶；寫進台灣券商時要到寫入階段才被市場規則擋下，轉換步驟一律顯示「✓ 對帳通過」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</si>
  <si>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券商對帳單，券商選「嘉信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」、匯入到帳戶選「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MYR</t>
    </r>
    <r>
      <rPr>
        <sz val="10"/>
        <rFont val="Noto Sans CJK SC"/>
        <family val="2"/>
      </rPr>
      <t xml:space="preserve">）」→ 上傳嘉信格式檔（</t>
    </r>
    <r>
      <rPr>
        <sz val="10"/>
        <rFont val="Arial"/>
        <family val="0"/>
        <charset val="1"/>
      </rPr>
      <t xml:space="preserve">Wire Received $100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Buy AAPL 1@$250</t>
    </r>
    <r>
      <rPr>
        <sz val="10"/>
        <rFont val="Noto Sans CJK SC"/>
        <family val="2"/>
      </rPr>
      <t xml:space="preserve">）→ 轉換「✓ 對帳通過」→ 全部寫入 → 交易批次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、資金批次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寫入成功（</t>
    </r>
    <r>
      <rPr>
        <sz val="10"/>
        <rFont val="Arial"/>
        <family val="0"/>
        <charset val="1"/>
      </rPr>
      <t xml:space="preserve">moomoo_my AAPL buy</t>
    </r>
    <r>
      <rPr>
        <sz val="10"/>
        <rFont val="Noto Sans CJK SC"/>
        <family val="2"/>
      </rPr>
      <t xml:space="preserve">，備註 </t>
    </r>
    <r>
      <rPr>
        <sz val="10"/>
        <rFont val="Arial"/>
        <family val="0"/>
        <charset val="1"/>
      </rPr>
      <t xml:space="preserve">schwab_qa.csv:3</t>
    </r>
    <r>
      <rPr>
        <sz val="10"/>
        <rFont val="Noto Sans CJK SC"/>
        <family val="2"/>
      </rPr>
      <t xml:space="preserve">）；帳戶改選「台灣券商（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）」→ 轉換同樣「✓ 對帳通過」，寫入才被擋「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US </t>
    </r>
    <r>
      <rPr>
        <sz val="10"/>
        <rFont val="Noto Sans CJK SC"/>
        <family val="2"/>
      </rPr>
      <t xml:space="preserve">市場，不可登錄於 台股帳戶」</t>
    </r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</si>
  <si>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</si>
  <si>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</si>
  <si>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r>
      <rPr>
        <sz val="10"/>
        <rFont val="Noto Sans CJK SC"/>
        <family val="2"/>
      </rPr>
      <t xml:space="preserve">排程中心的洞察任務（</t>
    </r>
    <r>
      <rPr>
        <sz val="10"/>
        <rFont val="Arial"/>
        <family val="0"/>
        <charset val="1"/>
      </rPr>
      <t xml:space="preserve">insight:*</t>
    </r>
    <r>
      <rPr>
        <sz val="10"/>
        <rFont val="Noto Sans CJK SC"/>
        <family val="2"/>
      </rPr>
      <t xml:space="preserve">）按「立即執行」一律失敗，狀態只顯示原始例外字串「</t>
    </r>
    <r>
      <rPr>
        <sz val="10"/>
        <rFont val="Arial"/>
        <family val="0"/>
        <charset val="1"/>
      </rPr>
      <t xml:space="preserve">'insight:10'</t>
    </r>
    <r>
      <rPr>
        <sz val="10"/>
        <rFont val="Noto Sans CJK SC"/>
        <family val="2"/>
      </rPr>
      <t xml:space="preserve">」；該列也只顯示 </t>
    </r>
    <r>
      <rPr>
        <sz val="10"/>
        <rFont val="Arial"/>
        <family val="0"/>
        <charset val="1"/>
      </rPr>
      <t xml:space="preserve">insight:N</t>
    </r>
    <r>
      <rPr>
        <sz val="10"/>
        <rFont val="Noto Sans CJK SC"/>
        <family val="2"/>
      </rPr>
      <t xml:space="preserve">、不顯示任務名稱，任務暫停後排程開關仍顯示開啟</t>
    </r>
  </si>
  <si>
    <r>
      <rPr>
        <sz val="10"/>
        <rFont val="Noto Sans CJK SC"/>
        <family val="2"/>
      </rPr>
      <t xml:space="preserve">洞察管線建立任務並啟動排程（</t>
    </r>
    <r>
      <rPr>
        <sz val="10"/>
        <rFont val="Arial"/>
        <family val="0"/>
        <charset val="1"/>
      </rPr>
      <t xml:space="preserve">insight:10</t>
    </r>
    <r>
      <rPr>
        <sz val="10"/>
        <rFont val="Noto Sans CJK SC"/>
        <family val="2"/>
      </rPr>
      <t xml:space="preserve">）→ 系統設定 › 排程中心 › </t>
    </r>
    <r>
      <rPr>
        <sz val="10"/>
        <rFont val="Arial"/>
        <family val="0"/>
        <charset val="1"/>
      </rPr>
      <t xml:space="preserve">insight:10 › </t>
    </r>
    <r>
      <rPr>
        <sz val="10"/>
        <rFont val="Noto Sans CJK SC"/>
        <family val="2"/>
      </rPr>
      <t xml:space="preserve">立即執行 → </t>
    </r>
    <r>
      <rPr>
        <sz val="10"/>
        <rFont val="Arial"/>
        <family val="0"/>
        <charset val="1"/>
      </rPr>
      <t xml:space="preserve">202 {run_id 153} → </t>
    </r>
    <r>
      <rPr>
        <sz val="10"/>
        <rFont val="Noto Sans CJK SC"/>
        <family val="2"/>
      </rPr>
      <t xml:space="preserve">數秒後該列「失敗 </t>
    </r>
    <r>
      <rPr>
        <sz val="10"/>
        <rFont val="Arial"/>
        <family val="0"/>
        <charset val="1"/>
      </rPr>
      <t xml:space="preserve">'insight:10'</t>
    </r>
    <r>
      <rPr>
        <sz val="10"/>
        <rFont val="Noto Sans CJK SC"/>
        <family val="2"/>
      </rPr>
      <t xml:space="preserve">」、執行歷史 </t>
    </r>
    <r>
      <rPr>
        <sz val="10"/>
        <rFont val="Arial"/>
        <family val="0"/>
        <charset val="1"/>
      </rPr>
      <t xml:space="preserve">#153 status error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"'insight:10'"</t>
    </r>
    <r>
      <rPr>
        <sz val="10"/>
        <rFont val="Noto Sans CJK SC"/>
        <family val="2"/>
      </rPr>
      <t xml:space="preserve">、耗時 </t>
    </r>
    <r>
      <rPr>
        <sz val="10"/>
        <rFont val="Arial"/>
        <family val="0"/>
        <charset val="1"/>
      </rPr>
      <t xml:space="preserve">0.0s</t>
    </r>
    <r>
      <rPr>
        <sz val="10"/>
        <rFont val="Noto Sans CJK SC"/>
        <family val="2"/>
      </rPr>
      <t xml:space="preserve">；任務啟用時再按一次（</t>
    </r>
    <r>
      <rPr>
        <sz val="10"/>
        <rFont val="Arial"/>
        <family val="0"/>
        <charset val="1"/>
      </rPr>
      <t xml:space="preserve">#154</t>
    </r>
    <r>
      <rPr>
        <sz val="10"/>
        <rFont val="Noto Sans CJK SC"/>
        <family val="2"/>
      </rPr>
      <t xml:space="preserve">）結果相同；既有任務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按立即執行（</t>
    </r>
    <r>
      <rPr>
        <sz val="10"/>
        <rFont val="Arial"/>
        <family val="0"/>
        <charset val="1"/>
      </rPr>
      <t xml:space="preserve">#155</t>
    </r>
    <r>
      <rPr>
        <sz val="10"/>
        <rFont val="Noto Sans CJK SC"/>
        <family val="2"/>
      </rPr>
      <t xml:space="preserve">）同樣「失敗 </t>
    </r>
    <r>
      <rPr>
        <sz val="10"/>
        <rFont val="Arial"/>
        <family val="0"/>
        <charset val="1"/>
      </rPr>
      <t xml:space="preserve">'insight:7'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</si>
  <si>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</si>
  <si>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</si>
  <si>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</si>
  <si>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</si>
  <si>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r>
      <rPr>
        <sz val="10"/>
        <rFont val="Noto Sans CJK SC"/>
        <family val="2"/>
      </rPr>
      <t xml:space="preserve">洞察任務抽屜的「編輯標的」按鈕沒有功能，只跳出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「沿用既有標的選擇器（持倉＋觀察清單）」；任務建立後無法修改標的宇宙，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的修正指引也導向這顆按鈕</t>
    </r>
  </si>
  <si>
    <r>
      <rPr>
        <sz val="10"/>
        <rFont val="Noto Sans CJK SC"/>
        <family val="2"/>
      </rPr>
      <t xml:space="preserve">洞察管線 › 任一單一標的任務 › 點「② 輸入」節點開抽屜 → 「編輯標的」→ 只出現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編輯標的 沿用既有標的選擇器（持倉＋觀察清單）」，沒有任何對話框或網路請求</t>
    </r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</si>
  <si>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</si>
  <si>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</si>
  <si>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r>
      <rPr>
        <sz val="10"/>
        <rFont val="Noto Sans CJK SC"/>
        <family val="2"/>
      </rPr>
      <t xml:space="preserve">新增洞察任務精靈的標的清單以「持倉列」而非「代號」計數：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（嘉信＋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兩帳戶）出現兩個勾選框，「全部持倉」顯示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檔・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張卡・</t>
    </r>
    <r>
      <rPr>
        <sz val="10"/>
        <rFont val="Arial"/>
        <family val="0"/>
        <charset val="1"/>
      </rPr>
      <t xml:space="preserve">~$0.14</t>
    </r>
    <r>
      <rPr>
        <sz val="10"/>
        <rFont val="Noto Sans CJK SC"/>
        <family val="2"/>
      </rPr>
      <t xml:space="preserve">，而既有單一標的任務與實際批次都是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</t>
    </r>
  </si>
  <si>
    <r>
      <rPr>
        <sz val="10"/>
        <rFont val="Noto Sans CJK SC"/>
        <family val="2"/>
      </rPr>
      <t xml:space="preserve">洞察管線 › ＋新增洞察任務 → 先不排程 → 單一標的 → 範圍選項顯示「全部持倉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檔」、管線預覽「產出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張洞察卡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次 估算成本 </t>
    </r>
    <r>
      <rPr>
        <sz val="10"/>
        <rFont val="Arial"/>
        <family val="0"/>
        <charset val="1"/>
      </rPr>
      <t xml:space="preserve">~$0.14</t>
    </r>
    <r>
      <rPr>
        <sz val="10"/>
        <rFont val="Noto Sans CJK SC"/>
        <family val="2"/>
      </rPr>
      <t xml:space="preserve">」→ 選「自選標的」清單出現兩個「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持倉」；既有任務卡「② 輸入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檔標的」，最近批次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卡</t>
    </r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</si>
  <si>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</si>
  <si>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</si>
  <si>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</si>
  <si>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</si>
  <si>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r>
      <rPr>
        <sz val="10"/>
        <rFont val="Noto Sans CJK SC"/>
        <family val="2"/>
      </rPr>
      <t xml:space="preserve">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任一策略卡 → 修改內文 → 儲存（</t>
    </r>
    <r>
      <rPr>
        <sz val="10"/>
        <rFont val="Arial"/>
        <family val="0"/>
        <charset val="1"/>
      </rPr>
      <t xml:space="preserve">PUT /api/strategy-prompts/{id} 200</t>
    </r>
    <r>
      <rPr>
        <sz val="10"/>
        <rFont val="Noto Sans CJK SC"/>
        <family val="2"/>
      </rPr>
      <t xml:space="preserve">）→ 卡片上只有 儲存／預覽提示詞／測試送出／同步官方 </t>
    </r>
    <r>
      <rPr>
        <sz val="10"/>
        <rFont val="Arial"/>
        <family val="0"/>
        <charset val="1"/>
      </rPr>
      <t xml:space="preserve">v2.5</t>
    </r>
    <r>
      <rPr>
        <sz val="10"/>
        <rFont val="Noto Sans CJK SC"/>
        <family val="2"/>
      </rPr>
      <t xml:space="preserve">／封存，找不到版本清單或回復</t>
    </r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</si>
  <si>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</si>
  <si>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</si>
  <si>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r>
      <rPr>
        <sz val="10"/>
        <rFont val="Noto Sans CJK SC"/>
        <family val="2"/>
      </rPr>
      <t xml:space="preserve">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與額度：每儲存一次低額度警示閾值，「代號查無時自動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辨識」開關就多綁一個點擊監聽，之後點一下會送出多次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、跳出多個相同 </t>
    </r>
    <r>
      <rPr>
        <sz val="10"/>
        <rFont val="Arial"/>
        <family val="0"/>
        <charset val="1"/>
      </rPr>
      <t xml:space="preserve">toast</t>
    </r>
  </si>
  <si>
    <r>
      <rPr>
        <sz val="10"/>
        <rFont val="Noto Sans CJK SC"/>
        <family val="2"/>
      </rPr>
      <t xml:space="preserve">開啟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→ 把低額度警示改成 </t>
    </r>
    <r>
      <rPr>
        <sz val="10"/>
        <rFont val="Arial"/>
        <family val="0"/>
        <charset val="1"/>
      </rPr>
      <t xml:space="preserve">1.50 </t>
    </r>
    <r>
      <rPr>
        <sz val="10"/>
        <rFont val="Noto Sans CJK SC"/>
        <family val="2"/>
      </rPr>
      <t xml:space="preserve">並離開欄位 → 再改回 </t>
    </r>
    <r>
      <rPr>
        <sz val="10"/>
        <rFont val="Arial"/>
        <family val="0"/>
        <charset val="1"/>
      </rPr>
      <t xml:space="preserve">1.00 → </t>
    </r>
    <r>
      <rPr>
        <sz val="10"/>
        <rFont val="Noto Sans CJK SC"/>
        <family val="2"/>
      </rPr>
      <t xml:space="preserve">點一下「代號查無時自動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辨識」開關 → 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 /api/ui-prefs {auto_ai_resolve:false}</t>
    </r>
    <r>
      <rPr>
        <sz val="10"/>
        <rFont val="Noto Sans CJK SC"/>
        <family val="2"/>
      </rPr>
      <t xml:space="preserve">、出現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個「已儲存 不再自動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辨識…」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；重新整理頁面後只點開關則為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</t>
    </r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</si>
  <si>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</si>
  <si>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</si>
  <si>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→ 貼上「</t>
    </r>
    <r>
      <rPr>
        <sz val="10"/>
        <rFont val="Arial"/>
        <family val="0"/>
        <charset val="1"/>
      </rPr>
      <t xml:space="preserve">2026/09/22 </t>
    </r>
    <r>
      <rPr>
        <sz val="10"/>
        <rFont val="Noto Sans CJK SC"/>
        <family val="2"/>
      </rPr>
      <t xml:space="preserve">台灣券商 買進 玉山金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46.45</t>
    </r>
    <r>
      <rPr>
        <sz val="10"/>
        <rFont val="Noto Sans CJK SC"/>
        <family val="2"/>
      </rPr>
      <t xml:space="preserve">」等文字 → 解析 → 草稿表格列出「</t>
    </r>
    <r>
      <rPr>
        <sz val="10"/>
        <rFont val="Arial"/>
        <family val="0"/>
        <charset val="1"/>
      </rPr>
      <t xml:space="preserve">tw_broker 2026-09-22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100 46.45 20 0 ✓ </t>
    </r>
    <r>
      <rPr>
        <sz val="10"/>
        <rFont val="Noto Sans CJK SC"/>
        <family val="2"/>
      </rPr>
      <t xml:space="preserve">解析完整」；點擊或雙擊任何儲存格都沒有輸入框，列內只有 </t>
    </r>
    <r>
      <rPr>
        <sz val="10"/>
        <rFont val="Arial"/>
        <family val="0"/>
        <charset val="1"/>
      </rPr>
      <t xml:space="preserve">checkbox</t>
    </r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</si>
  <si>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</si>
  <si>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</si>
  <si>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→ 貼上「</t>
    </r>
    <r>
      <rPr>
        <sz val="10"/>
        <rFont val="Arial"/>
        <family val="0"/>
        <charset val="1"/>
      </rPr>
      <t xml:space="preserve">2026/09/22 </t>
    </r>
    <r>
      <rPr>
        <sz val="10"/>
        <rFont val="Noto Sans CJK SC"/>
        <family val="2"/>
      </rPr>
      <t xml:space="preserve">台灣券商 買進 玉山金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元」→ 解析 → 草稿「</t>
    </r>
    <r>
      <rPr>
        <sz val="10"/>
        <rFont val="Arial"/>
        <family val="0"/>
        <charset val="1"/>
      </rPr>
      <t xml:space="preserve">tw_broker 2026-09-22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2884 100 46.00 20 0 ✓ </t>
    </r>
    <r>
      <rPr>
        <sz val="10"/>
        <rFont val="Noto Sans CJK SC"/>
        <family val="2"/>
      </rPr>
      <t xml:space="preserve">解析完整」，</t>
    </r>
    <r>
      <rPr>
        <sz val="10"/>
        <rFont val="Arial"/>
        <family val="0"/>
        <charset val="1"/>
      </rPr>
      <t xml:space="preserve">API data.note</t>
    </r>
    <r>
      <rPr>
        <sz val="10"/>
        <rFont val="Noto Sans CJK SC"/>
        <family val="2"/>
      </rPr>
      <t xml:space="preserve">＝「成交金額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元」，</t>
    </r>
    <r>
      <rPr>
        <sz val="10"/>
        <rFont val="Arial"/>
        <family val="0"/>
        <charset val="1"/>
      </rPr>
      <t xml:space="preserve">status ok</t>
    </r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</si>
  <si>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</si>
  <si>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</si>
  <si>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r>
      <rPr>
        <sz val="10"/>
        <rFont val="Noto Sans CJK SC"/>
        <family val="2"/>
      </rPr>
      <t xml:space="preserve">預警觸發產卡：帳戶層級的 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預警被當成個股派發，產生代號為「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」的洞察卡（內容為模型臆測）；各張卡也沒有記錄是哪條預警觸發，卡片與預警無法互查</t>
    </r>
  </si>
  <si>
    <r>
      <rPr>
        <sz val="10"/>
        <rFont val="Noto Sans CJK SC"/>
        <family val="2"/>
      </rPr>
      <t xml:space="preserve">觀察清單把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系統設定 › 排程中心 › </t>
    </r>
    <r>
      <rPr>
        <sz val="10"/>
        <rFont val="Arial"/>
        <family val="0"/>
        <charset val="1"/>
      </rPr>
      <t xml:space="preserve">alert_scan › </t>
    </r>
    <r>
      <rPr>
        <sz val="10"/>
        <rFont val="Noto Sans CJK SC"/>
        <family val="2"/>
      </rPr>
      <t xml:space="preserve">立即執行 → </t>
    </r>
    <r>
      <rPr>
        <sz val="10"/>
        <rFont val="Arial"/>
        <family val="0"/>
        <charset val="1"/>
      </rPr>
      <t xml:space="preserve">run #158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35 alert(s)…, 18 dispatched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出現「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 ｜ 收到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交易商的『服務不可用』警示…」卡；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的新卡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標題「玉山金</t>
    </r>
    <r>
      <rPr>
        <sz val="10"/>
        <rFont val="Arial"/>
        <family val="0"/>
        <charset val="1"/>
      </rPr>
      <t xml:space="preserve">(2884) - RSI</t>
    </r>
    <r>
      <rPr>
        <sz val="10"/>
        <rFont val="Noto Sans CJK SC"/>
        <family val="2"/>
      </rPr>
      <t xml:space="preserve">過熱警示」，卡片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欄位（</t>
    </r>
    <r>
      <rPr>
        <sz val="10"/>
        <rFont val="Arial"/>
        <family val="0"/>
        <charset val="1"/>
      </rPr>
      <t xml:space="preserve">id, insight_type_id, symbol, title, summary, body_md, tags, confidence, prediction, figure_flags, horizon_days, due_at, model, cost_usd, tokens…</t>
    </r>
    <r>
      <rPr>
        <sz val="10"/>
        <rFont val="Noto Sans CJK SC"/>
        <family val="2"/>
      </rPr>
      <t xml:space="preserve">）沒有觸發規則或預警 </t>
    </r>
    <r>
      <rPr>
        <sz val="10"/>
        <rFont val="Arial"/>
        <family val="0"/>
        <charset val="1"/>
      </rPr>
      <t xml:space="preserve">id</t>
    </r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</si>
  <si>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</si>
  <si>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</si>
  <si>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</si>
  <si>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介面殘留文案與錯誤連結：儀表板「⟳重新整理」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寫「更新報價或重建統計（後端接線後生效）」，功能其實已可用；洞察管線「進化設定」卡片連到 </t>
    </r>
    <r>
      <rPr>
        <sz val="10"/>
        <rFont val="Arial"/>
        <family val="0"/>
        <charset val="1"/>
      </rPr>
      <t xml:space="preserve">settings.html</t>
    </r>
    <r>
      <rPr>
        <sz val="10"/>
        <rFont val="Noto Sans CJK SC"/>
        <family val="2"/>
      </rPr>
      <t xml:space="preserve">，落在「帳戶與費率」分頁而不是「自我進化設定」面板</t>
    </r>
  </si>
  <si>
    <r>
      <rPr>
        <sz val="10"/>
        <rFont val="Noto Sans CJK SC"/>
        <family val="2"/>
      </rPr>
      <t xml:space="preserve">① 儀表板 → 滑鼠移到右上「⟳重新整理▾」→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「更新報價或重建統計（後端接線後生效）」，但選單內「更新報價」實際可執行（</t>
    </r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）；② 洞察管線中心 → 點「進化設定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項安全邊界」→ 進到系統設定首頁（帳戶與費率），需自行切到「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提示詞」捲到最下方才看到「自我進化設定」</t>
    </r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</si>
  <si>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</si>
  <si>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</si>
  <si>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</si>
  <si>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券商對帳單（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）轉換頁的期初缺口／帳本持股提示直接印出後端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原文（小數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位），未依股數格式化</t>
    </r>
  </si>
  <si>
    <r>
      <rPr>
        <sz val="10"/>
        <rFont val="Noto Sans CJK SC"/>
        <family val="2"/>
      </rPr>
      <t xml:space="preserve">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 → 上傳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對帳單轉換 → 賣超列的期初缺口提示（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修法新增、改讀帳本持股）顯示持股為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位小數的原始字串；缺口數字本身正確（</t>
    </r>
    <r>
      <rPr>
        <sz val="10"/>
        <rFont val="Arial"/>
        <family val="0"/>
        <charset val="1"/>
      </rPr>
      <t xml:space="preserve">914.96 </t>
    </r>
    <r>
      <rPr>
        <sz val="10"/>
        <rFont val="Noto Sans CJK SC"/>
        <family val="2"/>
      </rPr>
      <t xml:space="preserve">股）</t>
    </r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</si>
  <si>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</si>
  <si>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</si>
  <si>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</si>
  <si>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</si>
  <si>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r>
      <rPr>
        <sz val="10"/>
        <rFont val="Noto Sans CJK SC"/>
        <family val="2"/>
      </rPr>
      <t xml:space="preserve">分拆（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）登錄時寫入的子公司起始價（</t>
    </r>
    <r>
      <rPr>
        <sz val="10"/>
        <rFont val="Arial"/>
        <family val="0"/>
        <charset val="1"/>
      </rPr>
      <t xml:space="preserve">_seed_child_price</t>
    </r>
    <r>
      <rPr>
        <sz val="10"/>
        <rFont val="Noto Sans CJK SC"/>
        <family val="2"/>
      </rPr>
      <t xml:space="preserve">）在刪除該公司行動時不會移除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</si>
  <si>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交接提出的觀察 </t>
    </r>
    <r>
      <rPr>
        <sz val="10"/>
        <rFont val="Arial"/>
        <family val="0"/>
        <charset val="1"/>
      </rPr>
      <t xml:space="preserve">OBS-1</t>
    </r>
    <r>
      <rPr>
        <sz val="10"/>
        <rFont val="Noto Sans CJK SC"/>
        <family val="2"/>
      </rPr>
      <t xml:space="preserve">：公司行動 › 原持股不變另拿到新股 → 登錄時於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後寫入子公司起始價 → 刪除該行動，子公司價格仍留在價格表</t>
    </r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</si>
  <si>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</si>
  <si>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</si>
  <si>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</si>
  <si>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</si>
  <si>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</si>
  <si>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r>
      <rPr>
        <sz val="10"/>
        <rFont val="Noto Sans CJK SC"/>
        <family val="2"/>
      </rPr>
      <t xml:space="preserve">預警觸發的「持倉提點」會替只在觀察清單、未持有的標的產卡（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</si>
  <si>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系統設定 ›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預警清單含 </t>
    </r>
    <r>
      <rPr>
        <sz val="10"/>
        <rFont val="Arial"/>
        <family val="0"/>
        <charset val="1"/>
      </rPr>
      <t xml:space="preserve">drawdown_from_peak:1234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1235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SPCX</t>
    </r>
    <r>
      <rPr>
        <sz val="10"/>
        <rFont val="Noto Sans CJK SC"/>
        <family val="2"/>
      </rPr>
      <t xml:space="preserve">（皆為觀察標的）→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時這些都產了「持倉提點」卡</t>
    </r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</si>
  <si>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</si>
  <si>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</si>
  <si>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</si>
  <si>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</si>
  <si>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r>
      <rPr>
        <sz val="10"/>
        <rFont val="Noto Sans CJK SC"/>
        <family val="2"/>
      </rPr>
      <t xml:space="preserve">帳本「編輯」更正交易不走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：新增時的日期類提示（早於期初建檔日、早於帳本起點、未來日期）與賣超確認在更正時都不會出現</t>
    </r>
  </si>
  <si>
    <r>
      <rPr>
        <sz val="10"/>
        <rFont val="Noto Sans CJK SC"/>
        <family val="2"/>
      </rPr>
      <t xml:space="preserve">交易帳本 › 交易 › 任一列「編輯」→ 把日期改到該標的期初建檔日之前 → 儲存（</t>
    </r>
    <r>
      <rPr>
        <sz val="10"/>
        <rFont val="Arial"/>
        <family val="0"/>
        <charset val="1"/>
      </rPr>
      <t xml:space="preserve">PUT /api/ledgers/transactions/{id}</t>
    </r>
    <r>
      <rPr>
        <sz val="10"/>
        <rFont val="Noto Sans CJK SC"/>
        <family val="2"/>
      </rPr>
      <t xml:space="preserve">）直接成功，沒有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新增的提示</t>
    </r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</si>
  <si>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</si>
  <si>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</si>
  <si>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</si>
  <si>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</si>
  <si>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預警觸發（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）任務的觸發節點與乾跑預檢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顯示「未排程（手動）不會自動執行」並列為需注意，實際上它會在預警命中時自動執行</t>
    </r>
  </si>
  <si>
    <r>
      <rPr>
        <sz val="10"/>
        <rFont val="Noto Sans CJK SC"/>
        <family val="2"/>
      </rPr>
      <t xml:space="preserve">洞察管線 → 「持倉提點」卡（標籤「預警觸發」）的 ① 觸發節點寫「未排程（手動） 不會自動執行」，頁首「任務狀態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個需注意」把它算進去；同一任務 </t>
    </r>
    <r>
      <rPr>
        <sz val="10"/>
        <rFont val="Arial"/>
        <family val="0"/>
        <charset val="1"/>
      </rPr>
      <t xml:space="preserve">R2 alert_scan #183 </t>
    </r>
    <r>
      <rPr>
        <sz val="10"/>
        <rFont val="Noto Sans CJK SC"/>
        <family val="2"/>
      </rPr>
      <t xml:space="preserve">確實自動派發了 </t>
    </r>
    <r>
      <rPr>
        <sz val="10"/>
        <rFont val="Arial"/>
        <family val="0"/>
        <charset val="1"/>
      </rPr>
      <t xml:space="preserve">run #184</t>
    </r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</si>
  <si>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</si>
  <si>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portfolio_dash/llm_insight/pipeline_status.py:86-87 `_trigger`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f.scheduled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版本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同樣寫法，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漏報）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複驗通過（黑箱＋驗證者變異）。附註：新發現（另開 </t>
    </r>
    <r>
      <rPr>
        <sz val="10"/>
        <rFont val="Arial"/>
        <family val="0"/>
        <charset val="1"/>
      </rPr>
      <t xml:space="preserve">DEF-058</t>
    </r>
    <r>
      <rPr>
        <sz val="10"/>
        <rFont val="Noto Sans CJK SC"/>
        <family val="2"/>
      </rPr>
      <t xml:space="preserve">）：同頁「最近批次 </t>
    </r>
    <r>
      <rPr>
        <sz val="10"/>
        <rFont val="Arial"/>
        <family val="0"/>
        <charset val="1"/>
      </rPr>
      <t xml:space="preserve">2026-09-24 21:40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$0.001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張卡來自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，合計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，但成本只取最後一個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0.0005979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⑧（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停用時預警觸發任務改顯示警告）見本輪裁定</t>
    </r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</si>
  <si>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</si>
  <si>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</si>
  <si>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r>
      <rPr>
        <sz val="10"/>
        <rFont val="Noto Sans CJK SC"/>
        <family val="2"/>
      </rPr>
      <t xml:space="preserve">帳戶記號縫在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個頁面失效：</t>
    </r>
    <r>
      <rPr>
        <sz val="10"/>
        <rFont val="Arial"/>
        <family val="0"/>
        <charset val="1"/>
      </rPr>
      <t xml:space="preserve">settings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data-center </t>
    </r>
    <r>
      <rPr>
        <sz val="10"/>
        <rFont val="Noto Sans CJK SC"/>
        <family val="2"/>
      </rPr>
      <t xml:space="preserve">未載入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{account:id} </t>
    </r>
    <r>
      <rPr>
        <sz val="10"/>
        <rFont val="Noto Sans CJK SC"/>
        <family val="2"/>
      </rPr>
      <t xml:space="preserve">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（例：排程中心「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」）</t>
    </r>
  </si>
  <si>
    <r>
      <rPr>
        <sz val="10"/>
        <rFont val="Noto Sans CJK SC"/>
        <family val="2"/>
      </rPr>
      <t xml:space="preserve">系統設定 › 排程中心 →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詳情「略過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條非個股預警（不產個股卡）：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原文 </t>
    </r>
    <r>
      <rPr>
        <sz val="10"/>
        <rFont val="Arial"/>
        <family val="0"/>
        <charset val="1"/>
      </rPr>
      <t xml:space="preserve">{account:moomoo_my}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web/*.html </t>
    </r>
    <r>
      <rPr>
        <sz val="10"/>
        <rFont val="Noto Sans CJK SC"/>
        <family val="2"/>
      </rPr>
      <t xml:space="preserve">掃描：</t>
    </r>
    <r>
      <rPr>
        <sz val="10"/>
        <rFont val="Arial"/>
        <family val="0"/>
        <charset val="1"/>
      </rPr>
      <t xml:space="preserve">settings.html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names.js</t>
    </r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</si>
  <si>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</si>
  <si>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缺席時的退化路徑）＋ 上列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未載入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的類別修法（帳戶記號縫）只在有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的頁面生效；守門測試沒有檢查「用到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的頁面都載入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</si>
  <si>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</si>
  <si>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r>
      <rPr>
        <sz val="10"/>
        <rFont val="Noto Sans CJK SC"/>
        <family val="2"/>
      </rPr>
      <t xml:space="preserve">帳本報告（可列印 </t>
    </r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）的帳戶欄用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英文名「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」，與畫面的中文顯示名（台灣券商、嘉信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）不一致</t>
    </r>
  </si>
  <si>
    <r>
      <rPr>
        <sz val="10"/>
        <rFont val="Noto Sans CJK SC"/>
        <family val="2"/>
      </rPr>
      <t xml:space="preserve">交易帳本 › ⎙匯出報告 → </t>
    </r>
    <r>
      <rPr>
        <sz val="10"/>
        <rFont val="Arial"/>
        <family val="0"/>
        <charset val="1"/>
      </rPr>
      <t xml:space="preserve">ledger-report-20260924-0259.html </t>
    </r>
    <r>
      <rPr>
        <sz val="10"/>
        <rFont val="Noto Sans CJK SC"/>
        <family val="2"/>
      </rPr>
      <t xml:space="preserve">各帳本表的帳戶欄為「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</si>
  <si>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</si>
  <si>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352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406 </t>
    </r>
    <r>
      <rPr>
        <sz val="10"/>
        <rFont val="Noto Sans CJK SC"/>
        <family val="2"/>
      </rPr>
      <t xml:space="preserve">行使用）。與 </t>
    </r>
    <r>
      <rPr>
        <sz val="10"/>
        <rFont val="Arial"/>
        <family val="0"/>
        <charset val="1"/>
      </rPr>
      <t xml:space="preserve">DEF-008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023 </t>
    </r>
    <r>
      <rPr>
        <sz val="10"/>
        <rFont val="Noto Sans CJK SC"/>
        <family val="2"/>
      </rPr>
      <t xml:space="preserve">同類（帳戶顯示名單一來源），後端守門未涵蓋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</si>
  <si>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</si>
  <si>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</si>
  <si>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</si>
  <si>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</si>
  <si>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r>
      <rPr>
        <sz val="10"/>
        <rFont val="Noto Sans CJK SC"/>
        <family val="2"/>
      </rPr>
      <t xml:space="preserve">資料殘留：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修復前 </t>
    </r>
    <r>
      <rPr>
        <sz val="10"/>
        <rFont val="Arial"/>
        <family val="0"/>
        <charset val="1"/>
      </rPr>
      <t xml:space="preserve">portfolio_dash/scheduler/jobs.py:918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e6fd9f4^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`conn, rule_id=alert.rule, symbol=_alert_symbol(alert), now=now,` </t>
    </r>
    <r>
      <rPr>
        <sz val="10"/>
        <rFont val="Noto Sans CJK SC"/>
        <family val="2"/>
      </rPr>
      <t xml:space="preserve">把帳戶代號當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產卡（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已刪）；卡片只增不改、沒有刪卡的資料門，所以留著。⚠ 更正：錯卡是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 moomoo_my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交易商警示」），不是 </t>
    </r>
    <r>
      <rPr>
        <sz val="10"/>
        <rFont val="Arial"/>
        <family val="0"/>
        <charset val="1"/>
      </rPr>
      <t xml:space="preserve">#207——#207 </t>
    </r>
    <r>
      <rPr>
        <sz val="10"/>
        <rFont val="Noto Sans CJK SC"/>
        <family val="2"/>
      </rPr>
      <t xml:space="preserve">是正常的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預警卡，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交接備註的卡號寫錯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</si>
  <si>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</si>
  <si>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</si>
  <si>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</si>
  <si>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收件匣「重新偵測」把本來就不配息的標的（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無配息資料）算成「失敗」，整次偵測以警告色顯示「部分標的失敗」</t>
    </r>
  </si>
  <si>
    <r>
      <rPr>
        <sz val="10"/>
        <rFont val="Noto Sans CJK SC"/>
        <family val="2"/>
      </rPr>
      <t xml:space="preserve">收件匣 › 待確認匯入 › 重新偵測 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偵測完成（部分標的失敗）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</t>
    </r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</si>
  <si>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</si>
  <si>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</si>
  <si>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</si>
  <si>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</si>
  <si>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手動交易草稿的「持股 </t>
    </r>
    <r>
      <rPr>
        <sz val="10"/>
        <rFont val="Arial"/>
        <family val="0"/>
        <charset val="1"/>
      </rPr>
      <t xml:space="preserve">A → B</t>
    </r>
    <r>
      <rPr>
        <sz val="10"/>
        <rFont val="Noto Sans CJK SC"/>
        <family val="2"/>
      </rPr>
      <t xml:space="preserve">／均價」用今天的持股計算，補登過去日期時與交易日當時不符（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補登 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：當時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</si>
  <si>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交易帳本 › 手動交易 →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100@30</t>
    </r>
    <r>
      <rPr>
        <sz val="10"/>
        <rFont val="Noto Sans CJK SC"/>
        <family val="2"/>
      </rPr>
      <t xml:space="preserve">、日期 </t>
    </r>
    <r>
      <rPr>
        <sz val="10"/>
        <rFont val="Arial"/>
        <family val="0"/>
        <charset val="1"/>
      </rPr>
      <t xml:space="preserve">2025-01-02 → </t>
    </r>
    <r>
      <rPr>
        <sz val="10"/>
        <rFont val="Noto Sans CJK SC"/>
        <family val="2"/>
      </rPr>
      <t xml:space="preserve">草稿「持股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、原始均價 </t>
    </r>
    <r>
      <rPr>
        <sz val="10"/>
        <rFont val="Arial"/>
        <family val="0"/>
        <charset val="1"/>
      </rPr>
      <t xml:space="preserve">93.20 → 61.70</t>
    </r>
    <r>
      <rPr>
        <sz val="10"/>
        <rFont val="Noto Sans CJK SC"/>
        <family val="2"/>
      </rPr>
      <t xml:space="preserve">」；帳本最早紀錄 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，當時應為 </t>
    </r>
    <r>
      <rPr>
        <sz val="10"/>
        <rFont val="Arial"/>
        <family val="0"/>
        <charset val="1"/>
      </rPr>
      <t xml:space="preserve">0 → 100</t>
    </r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</si>
  <si>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</si>
  <si>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</si>
  <si>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</si>
  <si>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</si>
  <si>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匯入批次「復原」繞過重播防護與稽核：批次列被刪後，之後的賣出變成賣超（成本基礎被捨棄），過程不確認、不寫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；帳本逐筆刪除同一列則會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並要求確認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</si>
  <si>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</si>
  <si>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</si>
  <si>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</si>
  <si>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</si>
  <si>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</si>
  <si>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r>
      <rPr>
        <sz val="10"/>
        <rFont val="Noto Sans CJK SC"/>
        <family val="2"/>
      </rPr>
      <t xml:space="preserve">收件匣「待確認退款」標題下的副標題在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 </t>
    </r>
    <r>
      <rPr>
        <sz val="10"/>
        <rFont val="Noto Sans CJK SC"/>
        <family val="2"/>
      </rPr>
      <t xml:space="preserve">截斷，截掉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與含匯兌總損益」</t>
    </r>
  </si>
  <si>
    <r>
      <rPr>
        <sz val="10"/>
        <rFont val="Noto Sans CJK SC"/>
        <family val="2"/>
      </rPr>
      <t xml:space="preserve">視窗 </t>
    </r>
    <r>
      <rPr>
        <sz val="10"/>
        <rFont val="Arial"/>
        <family val="0"/>
        <charset val="1"/>
      </rPr>
      <t xml:space="preserve">390×844 → </t>
    </r>
    <r>
      <rPr>
        <sz val="10"/>
        <rFont val="Noto Sans CJK SC"/>
        <family val="2"/>
      </rPr>
      <t xml:space="preserve">收件匣 → 待確認退款（折讓款）副標題：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，句尾被省略號截掉（卡片內文與頁尾仍完整）</t>
    </r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</si>
  <si>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</si>
  <si>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觀察，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指示本輪開單附規格。定位：</t>
    </r>
    <r>
      <rPr>
        <sz val="10"/>
        <rFont val="Arial"/>
        <family val="0"/>
        <charset val="1"/>
      </rPr>
      <t xml:space="preserve">web/styles.css:1942 `.panel-head .panel-sub { white-space: nowrap; }`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docs/audit/2026-09-24-r3-dev-specs.md §3
R4 </t>
    </r>
    <r>
      <rPr>
        <sz val="10"/>
        <rFont val="Noto Sans CJK SC"/>
        <family val="2"/>
      </rPr>
      <t xml:space="preserve">複驗通過（黑箱＋驗證者變異）</t>
    </r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</si>
  <si>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</si>
  <si>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</si>
  <si>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排程中心「立即執行」的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顯示機器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（「已排入執行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alert_scan #185</t>
    </r>
    <r>
      <rPr>
        <sz val="10"/>
        <rFont val="Noto Sans CJK SC"/>
        <family val="2"/>
      </rPr>
      <t xml:space="preserve">」），不是列上已顯示的名稱</t>
    </r>
  </si>
  <si>
    <r>
      <rPr>
        <sz val="10"/>
        <rFont val="Noto Sans CJK SC"/>
        <family val="2"/>
      </rPr>
      <t xml:space="preserve">系統設定 › 排程中心 → 市場週報列「立即執行」→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列 → 「✓ 已排入執行 </t>
    </r>
    <r>
      <rPr>
        <sz val="10"/>
        <rFont val="Arial"/>
        <family val="0"/>
        <charset val="1"/>
      </rPr>
      <t xml:space="preserve">alert_scan #185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</si>
  <si>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</si>
  <si>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觀察（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再現），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指示本輪開單附規格。定位：</t>
    </r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shell.js DIAG_CODE </t>
    </r>
    <r>
      <rPr>
        <sz val="10"/>
        <rFont val="Noto Sans CJK SC"/>
        <family val="2"/>
      </rPr>
      <t xml:space="preserve">攔不到含冒號的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docs/audit/2026-09-24-r3-dev-specs.md §4
R4 </t>
    </r>
    <r>
      <rPr>
        <sz val="10"/>
        <rFont val="Noto Sans CJK SC"/>
        <family val="2"/>
      </rPr>
      <t xml:space="preserve">複驗通過（黑箱＋驗證者變異）。附註：未測：摘要「立即產生」與發送時間編輯（前者會寫入摘要紀錄，後者改排程時間；開發者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已涵蓋）</t>
    </r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</si>
  <si>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</si>
  <si>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</si>
  <si>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</si>
  <si>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r>
      <rPr>
        <sz val="10"/>
        <rFont val="Noto Sans CJK SC"/>
        <family val="2"/>
      </rPr>
      <t xml:space="preserve">公司行動 › 補登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＋重組費用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帳本列「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台灣券商 分割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—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 —」，無費用；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列有 </t>
    </r>
    <r>
      <rPr>
        <sz val="10"/>
        <rFont val="Arial"/>
        <family val="0"/>
        <charset val="1"/>
      </rPr>
      <t xml:space="preserve">reorg_fee</t>
    </r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</si>
  <si>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</si>
  <si>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觀察，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指示本輪開單附規格。定位：</t>
    </r>
    <r>
      <rPr>
        <sz val="10"/>
        <rFont val="Arial"/>
        <family val="0"/>
        <charset val="1"/>
      </rPr>
      <t xml:space="preserve">web/ledger.js:1079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只在刪除框用）。規格見 </t>
    </r>
    <r>
      <rPr>
        <sz val="10"/>
        <rFont val="Arial"/>
        <family val="0"/>
        <charset val="1"/>
      </rPr>
      <t xml:space="preserve">docs/audit/2026-09-24-r3-dev-specs.md §5
R4 </t>
    </r>
    <r>
      <rPr>
        <sz val="10"/>
        <rFont val="Noto Sans CJK SC"/>
        <family val="2"/>
      </rPr>
      <t xml:space="preserve">複驗通過（黑箱＋驗證者變異）</t>
    </r>
  </si>
  <si>
    <t xml:space="preserve">DEF-053</t>
  </si>
  <si>
    <r>
      <rPr>
        <sz val="10"/>
        <rFont val="Noto Sans CJK SC"/>
        <family val="2"/>
      </rPr>
      <t xml:space="preserve">新增洞察任務精靈建立預警觸發任務時，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直接顯示識別字「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」（「：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任務預設停用，確認監聽規則後再啟用」）</t>
    </r>
  </si>
  <si>
    <r>
      <rPr>
        <sz val="10"/>
        <rFont val="Noto Sans CJK SC"/>
        <family val="2"/>
      </rPr>
      <t xml:space="preserve">洞察管線 › 新增洞察任務 → 觸發選「預警觸發」→ 建立 →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副行含「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</si>
  <si>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</si>
  <si>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回報（手冊 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禁止順手修改），驗證者讀碼確認 </t>
    </r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指示本輪開單附規格。規格見 </t>
    </r>
    <r>
      <rPr>
        <sz val="10"/>
        <rFont val="Arial"/>
        <family val="0"/>
        <charset val="1"/>
      </rPr>
      <t xml:space="preserve">docs/audit/2026-09-24-r3-dev-specs.md §6
R4 </t>
    </r>
    <r>
      <rPr>
        <sz val="10"/>
        <rFont val="Noto Sans CJK SC"/>
        <family val="2"/>
      </rPr>
      <t xml:space="preserve">複驗通過（黑箱＋驗證者變異）。附註：新增：同一精靈「觸發」步驟的監聽規則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個勾選框中有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個直接顯示規則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vol_spike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consensus_change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web/pipeline-wizard.js:23-29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ruleLabel() </t>
    </r>
    <r>
      <rPr>
        <sz val="10"/>
        <rFont val="Noto Sans CJK SC"/>
        <family val="2"/>
      </rPr>
      <t xml:space="preserve">查不到就回傳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；設定 › 預警規則（</t>
    </r>
    <r>
      <rPr>
        <sz val="10"/>
        <rFont val="Arial"/>
        <family val="0"/>
        <charset val="1"/>
      </rPr>
      <t xml:space="preserve">settings-alerts.js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條都有中文名。開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（低）。本輪 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的同類掃描只涵蓋「範圍」識別字。不可回復的痕跡：任務 </t>
    </r>
    <r>
      <rPr>
        <sz val="10"/>
        <rFont val="Arial"/>
        <family val="0"/>
        <charset val="1"/>
      </rPr>
      <t xml:space="preserve">#12 </t>
    </r>
    <r>
      <rPr>
        <sz val="10"/>
        <rFont val="Noto Sans CJK SC"/>
        <family val="2"/>
      </rPr>
      <t xml:space="preserve">以封存列保留（與 </t>
    </r>
    <r>
      <rPr>
        <sz val="10"/>
        <rFont val="Arial"/>
        <family val="0"/>
        <charset val="1"/>
      </rPr>
      <t xml:space="preserve">R1 H-04 </t>
    </r>
    <r>
      <rPr>
        <sz val="10"/>
        <rFont val="Noto Sans CJK SC"/>
        <family val="2"/>
      </rPr>
      <t xml:space="preserve">相同）</t>
    </r>
  </si>
  <si>
    <t xml:space="preserve">DEF-054</t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</si>
  <si>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交易暫停」）仍在持倉健診</t>
    </r>
  </si>
  <si>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全部卡片：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的只剩 </t>
    </r>
    <r>
      <rPr>
        <sz val="10"/>
        <rFont val="Arial"/>
        <family val="0"/>
        <charset val="1"/>
      </rPr>
      <t xml:space="preserve">#97</t>
    </r>
  </si>
  <si>
    <r>
      <rPr>
        <sz val="10"/>
        <rFont val="Noto Sans CJK SC"/>
        <family val="2"/>
      </rPr>
      <t xml:space="preserve">資料殘留（無程式行）：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洞察卡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「持倉提點」、</t>
    </r>
    <r>
      <rPr>
        <sz val="10"/>
        <rFont val="Arial"/>
        <family val="0"/>
        <charset val="1"/>
      </rPr>
      <t xml:space="preserve">symbol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交易暫停」）與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同根因——修正前帳戶代號被當成標的產卡；產生它的程式已於 </t>
    </r>
    <r>
      <rPr>
        <sz val="10"/>
        <rFont val="Arial"/>
        <family val="0"/>
        <charset val="1"/>
      </rPr>
      <t xml:space="preserve">R3 DEF-041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修正（只對持倉標的產卡），殘留的卡需依裁定刪除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</si>
  <si>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</si>
  <si>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</si>
  <si>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</si>
  <si>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</si>
  <si>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交易帳本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snapshot 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；編輯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開框 → </t>
    </r>
    <r>
      <rPr>
        <sz val="10"/>
        <rFont val="Arial"/>
        <family val="0"/>
        <charset val="1"/>
      </rPr>
      <t xml:space="preserve">POST /api/input/manual/preview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replaces_txn_id 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 285</t>
    </r>
    <r>
      <rPr>
        <sz val="10"/>
        <rFont val="Noto Sans CJK SC"/>
        <family val="2"/>
      </rPr>
      <t xml:space="preserve">）回 </t>
    </r>
    <r>
      <rPr>
        <sz val="10"/>
        <rFont val="Arial"/>
        <family val="0"/>
        <charset val="1"/>
      </rPr>
      <t xml:space="preserve">rebate_estimate "219"</t>
    </r>
    <r>
      <rPr>
        <sz val="10"/>
        <rFont val="Noto Sans CJK SC"/>
        <family val="2"/>
      </rPr>
      <t xml:space="preserve">（畫面未顯示）</t>
    </r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</si>
  <si>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</si>
  <si>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</si>
  <si>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</si>
  <si>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r>
      <rPr>
        <sz val="10"/>
        <rFont val="Noto Sans CJK SC"/>
        <family val="2"/>
      </rPr>
      <t xml:space="preserve">未來日期的交易／期初庫存／換匯會立即計入持股與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（只有股利依 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到入帳日才計入）；各帳本列也沒有「未來日期」標示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</si>
  <si>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決策項 ③：</t>
    </r>
    <r>
      <rPr>
        <sz val="10"/>
        <rFont val="Arial"/>
        <family val="0"/>
        <charset val="1"/>
      </rPr>
      <t xml:space="preserve">LedgerBundle.received_by </t>
    </r>
    <r>
      <rPr>
        <sz val="10"/>
        <rFont val="Noto Sans CJK SC"/>
        <family val="2"/>
      </rPr>
      <t xml:space="preserve">只切股利（</t>
    </r>
    <r>
      <rPr>
        <sz val="10"/>
        <rFont val="Arial"/>
        <family val="0"/>
        <charset val="1"/>
      </rPr>
      <t xml:space="preserve">shared/models/ledger.py:178 docstring </t>
    </r>
    <r>
      <rPr>
        <sz val="10"/>
        <rFont val="Noto Sans CJK SC"/>
        <family val="2"/>
      </rPr>
      <t xml:space="preserve">註明交易未切）。驗證者 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複驗時另見：未來股利寫入後帳本列無任何「入帳日前不計入」標示</t>
    </r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</si>
  <si>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</si>
  <si>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</si>
  <si>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</si>
  <si>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</si>
  <si>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</si>
  <si>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系統提示詞與新聞整理提示詞沒有版本記錄（策略提示詞已依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做完整版本）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</si>
  <si>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決策項 ④；</t>
    </r>
    <r>
      <rPr>
        <sz val="10"/>
        <rFont val="Arial"/>
        <family val="0"/>
        <charset val="1"/>
      </rPr>
      <t xml:space="preserve">PUT /api/system-prompt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POST /api/system-prompt/reset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PUT /api/news-prompt </t>
    </r>
    <r>
      <rPr>
        <sz val="10"/>
        <rFont val="Noto Sans CJK SC"/>
        <family val="2"/>
      </rPr>
      <t xml:space="preserve">皆直接覆寫</t>
    </r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</si>
  <si>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</si>
  <si>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</t>
    </r>
  </si>
  <si>
    <t xml:space="preserve">DEF-058</t>
  </si>
  <si>
    <r>
      <rPr>
        <sz val="10"/>
        <rFont val="Noto Sans CJK SC"/>
        <family val="2"/>
      </rPr>
      <t xml:space="preserve">洞察管線頁首「最近批次」卡數與成本口徑不一致：預警一次派發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，顯示「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$0.001</t>
    </r>
    <r>
      <rPr>
        <sz val="10"/>
        <rFont val="Noto Sans CJK SC"/>
        <family val="2"/>
      </rPr>
      <t xml:space="preserve">」（實際合計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，只取了最後一個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</si>
  <si>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#186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）→ 洞察管線頁首「最近批次 </t>
    </r>
    <r>
      <rPr>
        <sz val="10"/>
        <rFont val="Arial"/>
        <family val="0"/>
        <charset val="1"/>
      </rPr>
      <t xml:space="preserve">2026-09-24 21:40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$0.001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/api/insight-tasks/status last_batch {cards 7, cost_usd "0.0005979"}</t>
    </r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</si>
  <si>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</si>
  <si>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新發現。定位：</t>
    </r>
    <r>
      <rPr>
        <sz val="10"/>
        <rFont val="Arial"/>
        <family val="0"/>
        <charset val="1"/>
      </rPr>
      <t xml:space="preserve">portfolio_dash/api/insight_service.py:1165 _last_batch——</t>
    </r>
    <r>
      <rPr>
        <sz val="10"/>
        <rFont val="Noto Sans CJK SC"/>
        <family val="2"/>
      </rPr>
      <t xml:space="preserve">卡數以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計（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共用同一 </t>
    </r>
    <r>
      <rPr>
        <sz val="10"/>
        <rFont val="Arial"/>
        <family val="0"/>
        <charset val="1"/>
      </rPr>
      <t xml:space="preserve">now</t>
    </r>
    <r>
      <rPr>
        <sz val="10"/>
        <rFont val="Noto Sans CJK SC"/>
        <family val="2"/>
      </rPr>
      <t xml:space="preserve">），成本只取 </t>
    </r>
    <r>
      <rPr>
        <sz val="10"/>
        <rFont val="Arial"/>
        <family val="0"/>
        <charset val="1"/>
      </rPr>
      <t xml:space="preserve">ORDER BY id DESC LIMIT 1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docs/audit/2026-09-24-r3-dev-specs.md §11
R4 </t>
    </r>
    <r>
      <rPr>
        <sz val="10"/>
        <rFont val="Noto Sans CJK SC"/>
        <family val="2"/>
      </rPr>
      <t xml:space="preserve">複驗通過（黑箱＋驗證者變異）。附註：觀察：</t>
    </r>
    <r>
      <rPr>
        <sz val="10"/>
        <rFont val="Arial"/>
        <family val="0"/>
        <charset val="1"/>
      </rPr>
      <t xml:space="preserve">/api/insight-tasks/status </t>
    </r>
    <r>
      <rPr>
        <sz val="10"/>
        <rFont val="Noto Sans CJK SC"/>
        <family val="2"/>
      </rPr>
      <t xml:space="preserve">單次約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秒，頁首要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秒才出現（多個請求排隊時更久）；不影響正確性，列為觀察</t>
    </r>
  </si>
  <si>
    <t xml:space="preserve">DEF-059</t>
  </si>
  <si>
    <r>
      <rPr>
        <sz val="10"/>
        <rFont val="Noto Sans CJK SC"/>
        <family val="2"/>
      </rPr>
      <t xml:space="preserve">「全部已註冊標的」（</t>
    </r>
    <r>
      <rPr>
        <sz val="10"/>
        <rFont val="Arial"/>
        <family val="0"/>
        <charset val="1"/>
      </rPr>
      <t xml:space="preserve">mode:all_registered</t>
    </r>
    <r>
      <rPr>
        <sz val="10"/>
        <rFont val="Noto Sans CJK SC"/>
        <family val="2"/>
      </rPr>
      <t xml:space="preserve">）任務會把已封存標的也納入產卡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</si>
  <si>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決策項 ⑤；</t>
    </r>
    <r>
      <rPr>
        <sz val="10"/>
        <rFont val="Arial"/>
        <family val="0"/>
        <charset val="1"/>
      </rPr>
      <t xml:space="preserve">api/insight_service.py:148 _all_registered_symbols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全部</t>
    </r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</si>
  <si>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</si>
  <si>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</si>
  <si>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</si>
  <si>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</si>
  <si>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決策項 ⑩；</t>
    </r>
    <r>
      <rPr>
        <sz val="10"/>
        <rFont val="Arial"/>
        <family val="0"/>
        <charset val="1"/>
      </rPr>
      <t xml:space="preserve">PUT /api/ledgers/corporate-actions/{id} </t>
    </r>
    <r>
      <rPr>
        <sz val="10"/>
        <rFont val="Noto Sans CJK SC"/>
        <family val="2"/>
      </rPr>
      <t xml:space="preserve">改日期時未處理種子價</t>
    </r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</si>
  <si>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</si>
  <si>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</si>
  <si>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</si>
  <si>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</si>
  <si>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股利帳本「編輯更正」未走新增路徑的驗證器，缺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種股利型別的檢查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</si>
  <si>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決策項 ⑪；</t>
    </r>
    <r>
      <rPr>
        <sz val="10"/>
        <rFont val="Arial"/>
        <family val="0"/>
        <charset val="1"/>
      </rPr>
      <t xml:space="preserve">ledgers.py:778 edit_dividend </t>
    </r>
    <r>
      <rPr>
        <sz val="10"/>
        <rFont val="Noto Sans CJK SC"/>
        <family val="2"/>
      </rPr>
      <t xml:space="preserve">只檢查型別字串與金額守恆（</t>
    </r>
    <r>
      <rPr>
        <sz val="10"/>
        <rFont val="Arial"/>
        <family val="0"/>
        <charset val="1"/>
      </rPr>
      <t xml:space="preserve">check_amounts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</si>
  <si>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</si>
  <si>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</si>
  <si>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</si>
  <si>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r>
      <rPr>
        <sz val="10"/>
        <rFont val="Noto Sans CJK SC"/>
        <family val="2"/>
      </rPr>
      <t xml:space="preserve">新增洞察任務精靈「預警觸發」的監聽規則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個勾選框中，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個直接顯示規則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vol_spike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consensus_change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</si>
  <si>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洞察管線 › ＋新增洞察任務 → 觸發選「預警觸發」→ 監聽規則清單：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個中文、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；同一組規則在 系統設定 › 預警規則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條都有中文名（高點回撤、波動突升、配置漂移…）</t>
    </r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</si>
  <si>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</si>
  <si>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複驗時）。定位：</t>
    </r>
    <r>
      <rPr>
        <sz val="10"/>
        <rFont val="Arial"/>
        <family val="0"/>
        <charset val="1"/>
      </rPr>
      <t xml:space="preserve">web/pipeline-wizard.js:23-29 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ruleLabel() </t>
    </r>
    <r>
      <rPr>
        <sz val="10"/>
        <rFont val="Noto Sans CJK SC"/>
        <family val="2"/>
      </rPr>
      <t xml:space="preserve">查不到回傳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；名稱另有 </t>
    </r>
    <r>
      <rPr>
        <sz val="10"/>
        <rFont val="Arial"/>
        <family val="0"/>
        <charset val="1"/>
      </rPr>
      <t xml:space="preserve">web/settings-alerts.js:25-70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ops/notify.py:86 </t>
    </r>
    <r>
      <rPr>
        <sz val="10"/>
        <rFont val="Noto Sans CJK SC"/>
        <family val="2"/>
      </rPr>
      <t xml:space="preserve">兩份且用語不一。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起即如此，非回歸。規格見 </t>
    </r>
    <r>
      <rPr>
        <sz val="10"/>
        <rFont val="Arial"/>
        <family val="0"/>
        <charset val="1"/>
      </rPr>
      <t xml:space="preserve">docs/audit/2026-09-25-r4-dev-specs.md §2
R5 </t>
    </r>
    <r>
      <rPr>
        <sz val="10"/>
        <rFont val="Noto Sans CJK SC"/>
        <family val="2"/>
      </rPr>
      <t xml:space="preserve">複驗通過（黑箱＋驗證者變異）。附註：附帶：依開發者指示立即執行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，這次派發未被去重（距上次派發已逾一日），產生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＝額度 </t>
    </r>
    <r>
      <rPr>
        <sz val="10"/>
        <rFont val="Arial"/>
        <family val="0"/>
        <charset val="1"/>
      </rPr>
      <t xml:space="preserve">3.2606018→3.2577460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partial——</t>
    </r>
    <r>
      <rPr>
        <sz val="10"/>
        <rFont val="Noto Sans CJK SC"/>
        <family val="2"/>
      </rPr>
      <t xml:space="preserve">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兩次回傳截斷的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invalid_json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失敗原因為「</t>
    </r>
    <r>
      <rPr>
        <sz val="10"/>
        <rFont val="Arial"/>
        <family val="0"/>
        <charset val="1"/>
      </rPr>
      <t xml:space="preserve">tenacity import failed please run `pip install tenacity`. ErrorNo module named 'tenacity'</t>
    </r>
    <r>
      <rPr>
        <sz val="10"/>
        <rFont val="Noto Sans CJK SC"/>
        <family val="2"/>
      </rPr>
      <t xml:space="preserve">」。開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（中）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額度偏低」→開 </t>
    </r>
    <r>
      <rPr>
        <sz val="10"/>
        <rFont val="Arial"/>
        <family val="0"/>
        <charset val="1"/>
      </rPr>
      <t xml:space="preserve">DEF-076</t>
    </r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</si>
  <si>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</si>
  <si>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</si>
  <si>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決策項 ④；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只寫空白日期、刪除只收回 </t>
    </r>
    <r>
      <rPr>
        <sz val="10"/>
        <rFont val="Arial"/>
        <family val="0"/>
        <charset val="1"/>
      </rPr>
      <t xml:space="preserve">child_seed_json </t>
    </r>
    <r>
      <rPr>
        <sz val="10"/>
        <rFont val="Noto Sans CJK SC"/>
        <family val="2"/>
      </rPr>
      <t xml:space="preserve">記錄的列，舊孤兒因此永久留下</t>
    </r>
  </si>
  <si>
    <r>
      <rPr>
        <sz val="10"/>
        <rFont val="Noto Sans CJK SC"/>
        <family val="2"/>
      </rPr>
      <t xml:space="preserve">資料殘留：</t>
    </r>
    <r>
      <rPr>
        <sz val="10"/>
        <rFont val="Arial"/>
        <family val="0"/>
        <charset val="1"/>
      </rPr>
      <t xml:space="preserve">portfolio_dash/pricing/seed.py:140 `if (skip := occupied_slot(conn, symbol=symbol, on=on)) is not None:`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起永不覆寫既有列，孤兒也不覆寫）與 </t>
    </r>
    <r>
      <rPr>
        <sz val="10"/>
        <rFont val="Arial"/>
        <family val="0"/>
        <charset val="1"/>
      </rPr>
      <t xml:space="preserve">portfolio_dash/api/routers/ledgers.py:2476 `if spin is None or (slot := _owned_slot(spin)) is None: return None`</t>
    </r>
    <r>
      <rPr>
        <sz val="10"/>
        <rFont val="Noto Sans CJK SC"/>
        <family val="2"/>
      </rPr>
      <t xml:space="preserve">（刪除只收回有擁有者的起始價）（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）——前向行為正確，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程式留下的孤兒起始價因此沒有任何路徑會移除，需要一次性清理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</si>
  <si>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</si>
  <si>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</si>
  <si>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r>
      <rPr>
        <sz val="10"/>
        <rFont val="Noto Sans CJK SC"/>
        <family val="2"/>
      </rPr>
      <t xml:space="preserve">報價類抓取宇宙（</t>
    </r>
    <r>
      <rPr>
        <sz val="10"/>
        <rFont val="Arial"/>
        <family val="0"/>
        <charset val="1"/>
      </rPr>
      <t xml:space="preserve">pricing/ingest.py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籌碼、估值、基本面、月營收與共識共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個排程）仍含已封存標的，消耗外部額度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</si>
  <si>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決策項 ⑦；</t>
    </r>
    <r>
      <rPr>
        <sz val="10"/>
        <rFont val="Arial"/>
        <family val="0"/>
        <charset val="1"/>
      </rPr>
      <t xml:space="preserve">ingest.py:52-57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:60-73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全表，無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條件（對照 </t>
    </r>
    <r>
      <rPr>
        <sz val="10"/>
        <rFont val="Arial"/>
        <family val="0"/>
        <charset val="1"/>
      </rPr>
      <t xml:space="preserve">scheduler/jobs.py:1292 </t>
    </r>
    <r>
      <rPr>
        <sz val="10"/>
        <rFont val="Noto Sans CJK SC"/>
        <family val="2"/>
      </rPr>
      <t xml:space="preserve">報價宇宙已排除封存、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洞察宇宙已排除）</t>
    </r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</si>
  <si>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</si>
  <si>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</si>
  <si>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</si>
  <si>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</si>
  <si>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</si>
  <si>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</si>
  <si>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新發現（開發者回報 </t>
    </r>
    <r>
      <rPr>
        <sz val="10"/>
        <rFont val="Arial"/>
        <family val="0"/>
        <charset val="1"/>
      </rPr>
      <t xml:space="preserve">e2e 288 </t>
    </r>
    <r>
      <rPr>
        <sz val="10"/>
        <rFont val="Noto Sans CJK SC"/>
        <family val="2"/>
      </rPr>
      <t xml:space="preserve">全過）。未取得伺服器 </t>
    </r>
    <r>
      <rPr>
        <sz val="10"/>
        <rFont val="Arial"/>
        <family val="0"/>
        <charset val="1"/>
      </rPr>
      <t xml:space="preserve">traceback</t>
    </r>
    <r>
      <rPr>
        <sz val="10"/>
        <rFont val="Noto Sans CJK SC"/>
        <family val="2"/>
      </rPr>
      <t xml:space="preserve">（第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次以 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份伺服器記錄，當次未發生）。讀碼疑點：</t>
    </r>
    <r>
      <rPr>
        <sz val="10"/>
        <rFont val="Arial"/>
        <family val="0"/>
        <charset val="1"/>
      </rPr>
      <t xml:space="preserve">shared/ui_prefs.py:55 get_ui_prefs → config_store.ensure_seeded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都執行 </t>
    </r>
    <r>
      <rPr>
        <sz val="10"/>
        <rFont val="Arial"/>
        <family val="0"/>
        <charset val="1"/>
      </rPr>
      <t xml:space="preserve">CREATE TABLE IF NOT EXISTS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PRAGMA</t>
    </r>
    <r>
      <rPr>
        <sz val="10"/>
        <rFont val="Noto Sans CJK SC"/>
        <family val="2"/>
      </rPr>
      <t xml:space="preserve">（首次還會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），讀取路徑帶寫入，在並發寫入時可能拿到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鎖錯誤。規格見 </t>
    </r>
    <r>
      <rPr>
        <sz val="10"/>
        <rFont val="Arial"/>
        <family val="0"/>
        <charset val="1"/>
      </rPr>
      <t xml:space="preserve">docs/audit/2026-09-25-r4-dev-specs.md §5
R5 </t>
    </r>
    <r>
      <rPr>
        <sz val="10"/>
        <rFont val="Noto Sans CJK SC"/>
        <family val="2"/>
      </rPr>
      <t xml:space="preserve">複驗通過（黑箱＋驗證者變異）。附註：同類：開發者稱 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個原本會寫入；驗證者抽驗 </t>
    </r>
    <r>
      <rPr>
        <sz val="10"/>
        <rFont val="Arial"/>
        <family val="0"/>
        <charset val="1"/>
      </rPr>
      <t xml:space="preserve">/api/insight-tasks/status </t>
    </r>
    <r>
      <rPr>
        <sz val="10"/>
        <rFont val="Noto Sans CJK SC"/>
        <family val="2"/>
      </rPr>
      <t xml:space="preserve">並發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秒，本輪 </t>
    </r>
    <r>
      <rPr>
        <sz val="10"/>
        <rFont val="Arial"/>
        <family val="0"/>
        <charset val="1"/>
      </rPr>
      <t xml:space="preserve">812 ms</t>
    </r>
    <r>
      <rPr>
        <sz val="10"/>
        <rFont val="Noto Sans CJK SC"/>
        <family val="2"/>
      </rPr>
      <t xml:space="preserve">）</t>
    </r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</si>
  <si>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</si>
  <si>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</si>
  <si>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</si>
  <si>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</si>
  <si>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</si>
  <si>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</si>
  <si>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複驗附帶）。讀碼：</t>
    </r>
    <r>
      <rPr>
        <sz val="10"/>
        <rFont val="Arial"/>
        <family val="0"/>
        <charset val="1"/>
      </rPr>
      <t xml:space="preserve">shared/llm.py:323-329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:524-530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num_retries=model.max_retries</t>
    </r>
    <r>
      <rPr>
        <sz val="10"/>
        <rFont val="Noto Sans CJK SC"/>
        <family val="2"/>
      </rPr>
      <t xml:space="preserve">（預設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）呼叫 </t>
    </r>
    <r>
      <rPr>
        <sz val="10"/>
        <rFont val="Arial"/>
        <family val="0"/>
        <charset val="1"/>
      </rPr>
      <t xml:space="preserve">litellm.completion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於重試路徑動態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額度因此次派發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（卡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）。規格見 </t>
    </r>
    <r>
      <rPr>
        <sz val="10"/>
        <rFont val="Arial"/>
        <family val="0"/>
        <charset val="1"/>
      </rPr>
      <t xml:space="preserve">docs/audit/2026-09-25-r5-dev-specs.md §1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碼，供應商原文只進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失敗記錄）驗收。附註：備援模型名稱不在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支援清單時以提示詞要求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（不帶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），驗證者假服務需回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才能模擬成功，屬測試夾具差異，非產品問題</t>
    </r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</si>
  <si>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</si>
  <si>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</si>
  <si>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）：排程中心把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22:38</t>
    </r>
    <r>
      <rPr>
        <sz val="10"/>
        <rFont val="Noto Sans CJK SC"/>
        <family val="2"/>
      </rPr>
      <t xml:space="preserve">（畫面改、畫面還原）等待自然觸發；外網封鎖使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全失敗 →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quotes_my </t>
    </r>
    <r>
      <rPr>
        <sz val="10"/>
        <rFont val="Noto Sans CJK SC"/>
        <family val="2"/>
      </rPr>
      <t xml:space="preserve">為「部分」並點名失敗標的；</t>
    </r>
    <r>
      <rPr>
        <sz val="10"/>
        <rFont val="Arial"/>
        <family val="0"/>
        <charset val="1"/>
      </rPr>
      <t xml:space="preserve">dividends_daily run #1 status ok</t>
    </r>
    <r>
      <rPr>
        <sz val="10"/>
        <rFont val="Noto Sans CJK SC"/>
        <family val="2"/>
      </rPr>
      <t xml:space="preserve">、明細「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回應錯誤；…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回應錯誤）」</t>
    </r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</si>
  <si>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</si>
  <si>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首次可執行）。讀碼：</t>
    </r>
    <r>
      <rPr>
        <sz val="10"/>
        <rFont val="Arial"/>
        <family val="0"/>
        <charset val="1"/>
      </rPr>
      <t xml:space="preserve">scheduler/jobs.py:620-626 dividends_daily </t>
    </r>
    <r>
      <rPr>
        <sz val="10"/>
        <rFont val="Noto Sans CJK SC"/>
        <family val="2"/>
      </rPr>
      <t xml:space="preserve">回傳字串，</t>
    </r>
    <r>
      <rPr>
        <sz val="10"/>
        <rFont val="Arial"/>
        <family val="0"/>
        <charset val="1"/>
      </rPr>
      <t xml:space="preserve">:208-210 _outcome_of </t>
    </r>
    <r>
      <rPr>
        <sz val="10"/>
        <rFont val="Noto Sans CJK SC"/>
        <family val="2"/>
      </rPr>
      <t xml:space="preserve">把字串一律包成 </t>
    </r>
    <r>
      <rPr>
        <sz val="10"/>
        <rFont val="Arial"/>
        <family val="0"/>
        <charset val="1"/>
      </rPr>
      <t xml:space="preserve">JobOutcome("ok")</t>
    </r>
    <r>
      <rPr>
        <sz val="10"/>
        <rFont val="Noto Sans CJK SC"/>
        <family val="2"/>
      </rPr>
      <t xml:space="preserve">；報價工作自行回傳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docs/audit/2026-09-25-r5-dev-specs.md §2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對話裁定（報價工作全部失敗記「失敗」、歷史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棒只把供應商錯誤算失敗）驗收</t>
    </r>
  </si>
  <si>
    <r>
      <rPr>
        <sz val="10"/>
        <rFont val="Noto Sans CJK SC"/>
        <family val="2"/>
      </rPr>
      <t xml:space="preserve">更新報價全部失敗時，提示仍說「其餘已更新，重新整理頁面即可看到新價」，且不提匯率失敗（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</si>
  <si>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）（外網封鎖＝所有資料來源無效）：儀表板 ⟳ 重新整理 › 更新報價 → 三個工作皆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、明細「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項失敗」→ 提示「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報價更新部分完成　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。其餘已更新，重新整理頁面即可看到新價。」；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 </t>
    </r>
    <r>
      <rPr>
        <sz val="10"/>
        <rFont val="Noto Sans CJK SC"/>
        <family val="2"/>
      </rPr>
      <t xml:space="preserve">失敗未提；價格表前後雜湊相同</t>
    </r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</si>
  <si>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</si>
  <si>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E-11 </t>
    </r>
    <r>
      <rPr>
        <sz val="10"/>
        <rFont val="Noto Sans CJK SC"/>
        <family val="2"/>
      </rPr>
      <t xml:space="preserve">首次可執行）。定位：</t>
    </r>
    <r>
      <rPr>
        <sz val="10"/>
        <rFont val="Arial"/>
        <family val="0"/>
        <charset val="1"/>
      </rPr>
      <t xml:space="preserve">web/shell.js:463-470 partial </t>
    </r>
    <r>
      <rPr>
        <sz val="10"/>
        <rFont val="Noto Sans CJK SC"/>
        <family val="2"/>
      </rPr>
      <t xml:space="preserve">分支固定接「其餘已更新」、只讀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docs/audit/2026-09-25-r5-dev-specs.md §6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</si>
  <si>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DEF-069</t>
  </si>
  <si>
    <r>
      <rPr>
        <sz val="10"/>
        <rFont val="Noto Sans CJK SC"/>
        <family val="2"/>
      </rPr>
      <t xml:space="preserve">影子卡出現在正式清單：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（平面、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</t>
    </r>
    <r>
      <rPr>
        <sz val="10"/>
        <rFont val="Noto Sans CJK SC"/>
        <family val="2"/>
      </rPr>
      <t xml:space="preserve">）都含 </t>
    </r>
    <r>
      <rPr>
        <sz val="10"/>
        <rFont val="Arial"/>
        <family val="0"/>
        <charset val="1"/>
      </rPr>
      <t xml:space="preserve">is_shadow </t>
    </r>
    <r>
      <rPr>
        <sz val="10"/>
        <rFont val="Noto Sans CJK SC"/>
        <family val="2"/>
      </rPr>
      <t xml:space="preserve">卡；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檔全部以影子卡當標題卡，同批生效卡被收進歷史；個股抽屜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建議同樣會拿到影子卡（</t>
    </r>
    <r>
      <rPr>
        <sz val="10"/>
        <rFont val="Arial"/>
        <family val="0"/>
        <charset val="1"/>
      </rPr>
      <t xml:space="preserve">G-08 ①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</si>
  <si>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）：個股健檢（</t>
    </r>
    <r>
      <rPr>
        <sz val="10"/>
        <rFont val="Arial"/>
        <family val="0"/>
        <charset val="1"/>
      </rPr>
      <t xml:space="preserve">self_correct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2026-09-10 </t>
    </r>
    <r>
      <rPr>
        <sz val="10"/>
        <rFont val="Noto Sans CJK SC"/>
        <family val="2"/>
      </rPr>
      <t xml:space="preserve">產生生效卡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＋影子卡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（校正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GET /api/insights?insight_type=2 total_count 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is_shadow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?symbol=2330 </t>
    </r>
    <r>
      <rPr>
        <sz val="10"/>
        <rFont val="Noto Sans CJK SC"/>
        <family val="2"/>
      </rPr>
      <t xml:space="preserve">第一張為影子卡 </t>
    </r>
    <r>
      <rPr>
        <sz val="10"/>
        <rFont val="Arial"/>
        <family val="0"/>
        <charset val="1"/>
      </rPr>
      <t xml:space="preserve">#21</t>
    </r>
    <r>
      <rPr>
        <sz val="10"/>
        <rFont val="Noto Sans CJK SC"/>
        <family val="2"/>
      </rPr>
      <t xml:space="preserve">；持倉健診分頁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檔標題卡皆為「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卡（已套校正）…校正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」、「未套校正」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</si>
  <si>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</si>
  <si>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首次可執行）。定位：</t>
    </r>
    <r>
      <rPr>
        <sz val="10"/>
        <rFont val="Arial"/>
        <family val="0"/>
        <charset val="1"/>
      </rPr>
      <t xml:space="preserve">llm_insight/insights_store.py 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有），</t>
    </r>
    <r>
      <rPr>
        <sz val="10"/>
        <rFont val="Arial"/>
        <family val="0"/>
        <charset val="1"/>
      </rPr>
      <t xml:space="preserve">api/routers/insights.py:1230 </t>
    </r>
    <r>
      <rPr>
        <sz val="10"/>
        <rFont val="Noto Sans CJK SC"/>
        <family val="2"/>
      </rPr>
      <t xml:space="preserve">直接使用。規格見 </t>
    </r>
    <r>
      <rPr>
        <sz val="10"/>
        <rFont val="Arial"/>
        <family val="0"/>
        <charset val="1"/>
      </rPr>
      <t xml:space="preserve">docs/audit/2026-09-25-r5-dev-specs.md §3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</si>
  <si>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DEF-070</t>
  </si>
  <si>
    <r>
      <rPr>
        <sz val="10"/>
        <rFont val="Noto Sans CJK SC"/>
        <family val="2"/>
      </rPr>
      <t xml:space="preserve">「同時影子評估上限」以任務的累計影子卡張數計算：第一批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約束，之後永遠不再產影子——晉升後的新版本（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）永遠無法被評估或晉升；</t>
    </r>
    <r>
      <rPr>
        <sz val="10"/>
        <rFont val="Arial"/>
        <family val="0"/>
        <charset val="1"/>
      </rPr>
      <t xml:space="preserve">portfolio </t>
    </r>
    <r>
      <rPr>
        <sz val="10"/>
        <rFont val="Noto Sans CJK SC"/>
        <family val="2"/>
      </rPr>
      <t xml:space="preserve">任務累計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張即停、達不到最小批次數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</si>
  <si>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max_shadows 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2026-09-10 </t>
    </r>
    <r>
      <rPr>
        <sz val="10"/>
        <rFont val="Noto Sans CJK SC"/>
        <family val="2"/>
      </rPr>
      <t xml:space="preserve">第一批影子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 → </t>
    </r>
    <r>
      <rPr>
        <sz val="10"/>
        <rFont val="Arial"/>
        <family val="0"/>
        <charset val="1"/>
      </rPr>
      <t xml:space="preserve">09-11 </t>
    </r>
    <r>
      <rPr>
        <sz val="10"/>
        <rFont val="Noto Sans CJK SC"/>
        <family val="2"/>
      </rPr>
      <t xml:space="preserve">再跑：影子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（假模型收到帶校正層呼叫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次）→ </t>
    </r>
    <r>
      <rPr>
        <sz val="10"/>
        <rFont val="Arial"/>
        <family val="0"/>
        <charset val="1"/>
      </rPr>
      <t xml:space="preserve">09-21 v2 </t>
    </r>
    <r>
      <rPr>
        <sz val="10"/>
        <rFont val="Noto Sans CJK SC"/>
        <family val="2"/>
      </rPr>
      <t xml:space="preserve">晉升後產生 </t>
    </r>
    <r>
      <rPr>
        <sz val="10"/>
        <rFont val="Arial"/>
        <family val="0"/>
        <charset val="1"/>
      </rPr>
      <t xml:space="preserve">v3 → </t>
    </r>
    <r>
      <rPr>
        <sz val="10"/>
        <rFont val="Noto Sans CJK SC"/>
        <family val="2"/>
      </rPr>
      <t xml:space="preserve">再跑：生效卡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張套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仍「有未套用的校正版本」</t>
    </r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</si>
  <si>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</si>
  <si>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新發現。定位：</t>
    </r>
    <r>
      <rPr>
        <sz val="10"/>
        <rFont val="Arial"/>
        <family val="0"/>
        <charset val="1"/>
      </rPr>
      <t xml:space="preserve">api/insight_service.py:402-407 _shadow_card_count </t>
    </r>
    <r>
      <rPr>
        <sz val="10"/>
        <rFont val="Noto Sans CJK SC"/>
        <family val="2"/>
      </rPr>
      <t xml:space="preserve">計全部歷史 </t>
    </r>
    <r>
      <rPr>
        <sz val="10"/>
        <rFont val="Arial"/>
        <family val="0"/>
        <charset val="1"/>
      </rPr>
      <t xml:space="preserve">is_shadow </t>
    </r>
    <r>
      <rPr>
        <sz val="10"/>
        <rFont val="Noto Sans CJK SC"/>
        <family val="2"/>
      </rPr>
      <t xml:space="preserve">卡，</t>
    </r>
    <r>
      <rPr>
        <sz val="10"/>
        <rFont val="Arial"/>
        <family val="0"/>
        <charset val="1"/>
      </rPr>
      <t xml:space="preserve">:436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&gt;= max_shadows </t>
    </r>
    <r>
      <rPr>
        <sz val="10"/>
        <rFont val="Noto Sans CJK SC"/>
        <family val="2"/>
      </rPr>
      <t xml:space="preserve">跳過。計算單位待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 ⑧，建議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：同時處於影子期的任務數）。規格見 </t>
    </r>
    <r>
      <rPr>
        <sz val="10"/>
        <rFont val="Arial"/>
        <family val="0"/>
        <charset val="1"/>
      </rPr>
      <t xml:space="preserve">docs/audit/2026-09-25-r5-dev-specs.md §4
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）⑧：</t>
    </r>
    <r>
      <rPr>
        <sz val="10"/>
        <rFont val="Arial"/>
        <family val="0"/>
        <charset val="1"/>
      </rPr>
      <t xml:space="preserve">A——</t>
    </r>
    <r>
      <rPr>
        <sz val="10"/>
        <rFont val="Noto Sans CJK SC"/>
        <family val="2"/>
      </rPr>
      <t xml:space="preserve">上限計「同時處於影子期的任務數」，超過排隊（規格見 </t>
    </r>
    <r>
      <rPr>
        <sz val="10"/>
        <rFont val="Arial"/>
        <family val="0"/>
        <charset val="1"/>
      </rPr>
      <t xml:space="preserve">docs/audit/2026-09-25-r5-dev-specs.md §4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對話裁定（批次數計評分筆數、晉升比較各版本自己的紀錄、只有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時由使用者按「設為生效」）驗收</t>
    </r>
  </si>
  <si>
    <t xml:space="preserve">DEF-071</t>
  </si>
  <si>
    <r>
      <rPr>
        <sz val="10"/>
        <rFont val="Noto Sans CJK SC"/>
        <family val="2"/>
      </rPr>
      <t xml:space="preserve">畫面沒有「設為生效」／手動版本選擇器：自我進化設定寫「關閉時需人工按「設為生效」」，但校正版本鏈只有「封存」；</t>
    </r>
    <r>
      <rPr>
        <sz val="10"/>
        <rFont val="Arial"/>
        <family val="0"/>
        <charset val="1"/>
      </rPr>
      <t xml:space="preserve">auto_promote </t>
    </r>
    <r>
      <rPr>
        <sz val="10"/>
        <rFont val="Noto Sans CJK SC"/>
        <family val="2"/>
      </rPr>
      <t xml:space="preserve">關閉（預設）時勝出的影子版本與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都無法經畫面採用，診斷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的修復動作落地後無可操作項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</si>
  <si>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）：產生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後開 洞察管線 › 個股健檢 抽屜 ④ 校正版本鏈：「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最新版 封存」「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封存」；全頁搜尋「設為生效／套用／生效」按鈕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個；診斷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「有未套用的校正版本」→ 修復動作「前往校正版本鏈」；</t>
    </r>
    <r>
      <rPr>
        <sz val="10"/>
        <rFont val="Arial"/>
        <family val="0"/>
        <charset val="1"/>
      </rPr>
      <t xml:space="preserve">API PUT /api/insight-tasks/{id}/active-calibration </t>
    </r>
    <r>
      <rPr>
        <sz val="10"/>
        <rFont val="Noto Sans CJK SC"/>
        <family val="2"/>
      </rPr>
      <t xml:space="preserve">存在但前端無呼叫點</t>
    </r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</si>
  <si>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</si>
  <si>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新發現。</t>
    </r>
    <r>
      <rPr>
        <sz val="10"/>
        <rFont val="Arial"/>
        <family val="0"/>
        <charset val="1"/>
      </rPr>
      <t xml:space="preserve">spec 04 §4.6</t>
    </r>
    <r>
      <rPr>
        <sz val="10"/>
        <rFont val="Noto Sans CJK SC"/>
        <family val="2"/>
      </rPr>
      <t xml:space="preserve">「生效版＝使用者手動選定」、</t>
    </r>
    <r>
      <rPr>
        <sz val="10"/>
        <rFont val="Arial"/>
        <family val="0"/>
        <charset val="1"/>
      </rPr>
      <t xml:space="preserve">§4.7</t>
    </r>
    <r>
      <rPr>
        <sz val="10"/>
        <rFont val="Noto Sans CJK SC"/>
        <family val="2"/>
      </rPr>
      <t xml:space="preserve">「手動版本選擇器」。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全部檔案「設為生效」只出現在 </t>
    </r>
    <r>
      <rPr>
        <sz val="10"/>
        <rFont val="Arial"/>
        <family val="0"/>
        <charset val="1"/>
      </rPr>
      <t xml:space="preserve">settings-prompts.js:1100 </t>
    </r>
    <r>
      <rPr>
        <sz val="10"/>
        <rFont val="Noto Sans CJK SC"/>
        <family val="2"/>
      </rPr>
      <t xml:space="preserve">的說明句。規格見 </t>
    </r>
    <r>
      <rPr>
        <sz val="10"/>
        <rFont val="Arial"/>
        <family val="0"/>
        <charset val="1"/>
      </rPr>
      <t xml:space="preserve">docs/audit/2026-09-25-r5-dev-specs.md §5
R6 </t>
    </r>
    <r>
      <rPr>
        <sz val="10"/>
        <rFont val="Noto Sans CJK SC"/>
        <family val="2"/>
      </rPr>
      <t xml:space="preserve">複驗通過（黑箱重放＋驗證者變異）</t>
    </r>
  </si>
  <si>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（個股抽屜「補登公司行動」）預填的帳戶是清單第一個（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），不是對帳不一致的持有帳戶（台灣券商）；單一帳戶持有時抽屜沒有帳戶篩選鈕，無法先切換</t>
    </r>
  </si>
  <si>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），前置狀態與開發者 </t>
    </r>
    <r>
      <rPr>
        <sz val="10"/>
        <rFont val="Arial"/>
        <family val="0"/>
        <charset val="1"/>
      </rPr>
      <t xml:space="preserve">e2e _seed_red_footer </t>
    </r>
    <r>
      <rPr>
        <sz val="10"/>
        <rFont val="Noto Sans CJK SC"/>
        <family val="2"/>
      </rPr>
      <t xml:space="preserve">同形（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2026-01-05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〔首筆買進前〕＋ </t>
    </r>
    <r>
      <rPr>
        <sz val="10"/>
        <rFont val="Arial"/>
        <family val="0"/>
        <charset val="1"/>
      </rPr>
      <t xml:space="preserve">2026-04-01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2:1</t>
    </r>
    <r>
      <rPr>
        <sz val="10"/>
        <rFont val="Noto Sans CJK SC"/>
        <family val="2"/>
      </rPr>
      <t xml:space="preserve">）：儀表板開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抽屜 → 頁尾「…＝ 部位摘要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 ⚠ 對帳不一致（差額 </t>
    </r>
    <r>
      <rPr>
        <sz val="10"/>
        <rFont val="Arial"/>
        <family val="0"/>
        <charset val="1"/>
      </rPr>
      <t xml:space="preserve">1,900 </t>
    </r>
    <r>
      <rPr>
        <sz val="10"/>
        <rFont val="Noto Sans CJK SC"/>
        <family val="2"/>
      </rPr>
      <t xml:space="preserve">股）」＋「補登公司行動」→ 表單代號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、原因列正確，帳戶下拉＝</t>
    </r>
    <r>
      <rPr>
        <sz val="10"/>
        <rFont val="Arial"/>
        <family val="0"/>
        <charset val="1"/>
      </rPr>
      <t xml:space="preserve">Moomoo MY</t>
    </r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</si>
  <si>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</si>
  <si>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D-00 </t>
    </r>
    <r>
      <rPr>
        <sz val="10"/>
        <rFont val="Noto Sans CJK SC"/>
        <family val="2"/>
      </rPr>
      <t xml:space="preserve">首次可執行）。定位：</t>
    </r>
    <r>
      <rPr>
        <sz val="10"/>
        <rFont val="Arial"/>
        <family val="0"/>
        <charset val="1"/>
      </rPr>
      <t xml:space="preserve">web/detail.js:1272 account_id: filterAcct || ''</t>
    </r>
    <r>
      <rPr>
        <sz val="10"/>
        <rFont val="Noto Sans CJK SC"/>
        <family val="2"/>
      </rPr>
      <t xml:space="preserve">；開發者 </t>
    </r>
    <r>
      <rPr>
        <sz val="10"/>
        <rFont val="Arial"/>
        <family val="0"/>
        <charset val="1"/>
      </rPr>
      <t xml:space="preserve">e2e tests/e2e/test_corporate_actions_flow.py:1058-1062 </t>
    </r>
    <r>
      <rPr>
        <sz val="10"/>
        <rFont val="Noto Sans CJK SC"/>
        <family val="2"/>
      </rPr>
      <t xml:space="preserve">註解已記下此行為。規格見 </t>
    </r>
    <r>
      <rPr>
        <sz val="10"/>
        <rFont val="Arial"/>
        <family val="0"/>
        <charset val="1"/>
      </rPr>
      <t xml:space="preserve">docs/audit/2026-09-25-r5-dev-specs.md §8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</si>
  <si>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DEF-073</t>
  </si>
  <si>
    <r>
      <rPr>
        <sz val="10"/>
        <rFont val="Noto Sans CJK SC"/>
        <family val="2"/>
      </rPr>
      <t xml:space="preserve">排程中心執行明細仍有英文句且校正產生工作不說明結果：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 alert(s)…dispatched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evaluate_insights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evaluate pass complete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generate_calibrations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」（產生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版、被驗證器拒絕、產生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版時明細完全相同）</t>
    </r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</si>
  <si>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</si>
  <si>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</si>
  <si>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新發現（</t>
    </r>
    <r>
      <rPr>
        <sz val="10"/>
        <rFont val="Arial"/>
        <family val="0"/>
        <charset val="1"/>
      </rPr>
      <t xml:space="preserve">E-05 ①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正確且為全形標點」、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附帶）。定位：</t>
    </r>
    <r>
      <rPr>
        <sz val="10"/>
        <rFont val="Arial"/>
        <family val="0"/>
        <charset val="1"/>
      </rPr>
      <t xml:space="preserve">scheduler/jobs.py:1077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:1136 </t>
    </r>
    <r>
      <rPr>
        <sz val="10"/>
        <rFont val="Noto Sans CJK SC"/>
        <family val="2"/>
      </rPr>
      <t xml:space="preserve">等（請附同類掃描數字）。規格見 </t>
    </r>
    <r>
      <rPr>
        <sz val="10"/>
        <rFont val="Arial"/>
        <family val="0"/>
        <charset val="1"/>
      </rPr>
      <t xml:space="preserve">docs/audit/2026-09-25-r5-dev-specs.md §7
R6 </t>
    </r>
    <r>
      <rPr>
        <sz val="10"/>
        <rFont val="Noto Sans CJK SC"/>
        <family val="2"/>
      </rPr>
      <t xml:space="preserve">複驗通過（黑箱重放＋驗證者變異）。附註：失敗時的例外原文（</t>
    </r>
    <r>
      <rPr>
        <sz val="10"/>
        <rFont val="Arial"/>
        <family val="0"/>
        <charset val="1"/>
      </rPr>
      <t xml:space="preserve">failure_detail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保留英文類別名與原文，未列入本張</t>
    </r>
  </si>
  <si>
    <t xml:space="preserve">DEF-074</t>
  </si>
  <si>
    <r>
      <rPr>
        <sz val="10"/>
        <rFont val="Noto Sans CJK SC"/>
        <family val="2"/>
      </rPr>
      <t xml:space="preserve">股利收件匣的掃描宇宙（</t>
    </r>
    <r>
      <rPr>
        <sz val="10"/>
        <rFont val="Arial"/>
        <family val="0"/>
        <charset val="1"/>
      </rPr>
      <t xml:space="preserve">api/dividend_inbox.py:216-222</t>
    </r>
    <r>
      <rPr>
        <sz val="10"/>
        <rFont val="Noto Sans CJK SC"/>
        <family val="2"/>
      </rPr>
      <t xml:space="preserve">）仍含已封存但有買入歷史的標的，同一排程的後備路徑卻已排除封存——同一工作兩套口徑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</si>
  <si>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決策項 ①（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附帶）：</t>
    </r>
    <r>
      <rPr>
        <sz val="10"/>
        <rFont val="Arial"/>
        <family val="0"/>
        <charset val="1"/>
      </rPr>
      <t xml:space="preserve">dividend_inbox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中「有最早取得日」的標的組成掃描清單，不看封存；後備路徑走 </t>
    </r>
    <r>
      <rPr>
        <sz val="10"/>
        <rFont val="Arial"/>
        <family val="0"/>
        <charset val="1"/>
      </rPr>
      <t xml:space="preserve">build_worklist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共用判定）</t>
    </r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</si>
  <si>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</si>
  <si>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</si>
  <si>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</si>
  <si>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r>
      <rPr>
        <sz val="10"/>
        <rFont val="Noto Sans CJK SC"/>
        <family val="2"/>
      </rPr>
      <t xml:space="preserve">觀察清單「持有」徽章與永久移除守門仍用舊判定（</t>
    </r>
    <r>
      <rPr>
        <sz val="10"/>
        <rFont val="Arial"/>
        <family val="0"/>
        <charset val="1"/>
      </rPr>
      <t xml:space="preserve">current_shares &gt; 0</t>
    </r>
    <r>
      <rPr>
        <sz val="10"/>
        <rFont val="Noto Sans CJK SC"/>
        <family val="2"/>
      </rPr>
      <t xml:space="preserve">，全日期淨額）：只靠未來日期賣出清倉、或放空中的標的顯示「觀察」，按移除卻回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</si>
  <si>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 → 加一筆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 → 觀察清單徽章由「持有」變「觀察」；同一狀態下「移除（隱藏）」跳「無法移除」（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守門已改用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）；前置以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備份還原</t>
    </r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</si>
  <si>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</si>
  <si>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決策項 ②；驗證者本機重現。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）②：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；理由「未來賣出還未到期，所以還算持有」。定位：</t>
    </r>
    <r>
      <rPr>
        <sz val="10"/>
        <rFont val="Arial"/>
        <family val="0"/>
        <charset val="1"/>
      </rPr>
      <t xml:space="preserve">api/routers/instruments.py:61-62 _held</t>
    </r>
    <r>
      <rPr>
        <sz val="10"/>
        <rFont val="Noto Sans CJK SC"/>
        <family val="2"/>
      </rPr>
      <t xml:space="preserve">，用於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（徽章）、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（永久移除守門）。規格見 </t>
    </r>
    <r>
      <rPr>
        <sz val="10"/>
        <rFont val="Arial"/>
        <family val="0"/>
        <charset val="1"/>
      </rPr>
      <t xml:space="preserve">docs/audit/2026-09-25-r5-dev-specs.md §12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</si>
  <si>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</si>
  <si>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</si>
  <si>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附帶）：預警規則頁與 </t>
    </r>
    <r>
      <rPr>
        <sz val="10"/>
        <rFont val="Arial"/>
        <family val="0"/>
        <charset val="1"/>
      </rPr>
      <t xml:space="preserve">/api/alert-rules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額度偏低」，預警事件標題與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提示詞中的預警標題為「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</t>
    </r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</si>
  <si>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</si>
  <si>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</si>
  <si>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</si>
  <si>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匯率三角一致性拿各匯率的「最新一筆」比較：三條腿日期不同時顯示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，實際沒有資料錯誤（</t>
    </r>
    <r>
      <rPr>
        <sz val="10"/>
        <rFont val="Arial"/>
        <family val="0"/>
        <charset val="1"/>
      </rPr>
      <t xml:space="preserve">R5 J-01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推導 </t>
    </r>
    <r>
      <rPr>
        <sz val="10"/>
        <rFont val="Arial"/>
        <family val="0"/>
        <charset val="1"/>
      </rPr>
      <t xml:space="preserve">31.799144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31.829000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gap −0.0938%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</si>
  <si>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</si>
  <si>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</si>
  <si>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</si>
  <si>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觀察、開發者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決策項 ⑥。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）⑥：</t>
    </r>
    <r>
      <rPr>
        <sz val="10"/>
        <rFont val="Arial"/>
        <family val="0"/>
        <charset val="1"/>
      </rPr>
      <t xml:space="preserve">A——</t>
    </r>
    <r>
      <rPr>
        <sz val="10"/>
        <rFont val="Noto Sans CJK SC"/>
        <family val="2"/>
      </rPr>
      <t xml:space="preserve">在三條腿的最新共同日期上比較，日期不同另外標示「日期不同」。定位：</t>
    </r>
    <r>
      <rPr>
        <sz val="10"/>
        <rFont val="Arial"/>
        <family val="0"/>
        <charset val="1"/>
      </rPr>
      <t xml:space="preserve">portfolio/dashboard.py:163 _fx_triangulation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docs/audit/2026-09-25-r5-dev-specs.md §14
R6 </t>
    </r>
    <r>
      <rPr>
        <sz val="10"/>
        <rFont val="Noto Sans CJK SC"/>
        <family val="2"/>
      </rPr>
      <t xml:space="preserve">複驗未過（部分通過）：共同日期比較與判定正確（</t>
    </r>
    <r>
      <rPr>
        <sz val="10"/>
        <rFont val="Arial"/>
        <family val="0"/>
        <charset val="1"/>
      </rPr>
      <t xml:space="preserve">demo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 true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三角 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），但「（一致）」提示的計算樣式為琥珀色警示框 </t>
    </r>
    <r>
      <rPr>
        <sz val="10"/>
        <rFont val="Arial"/>
        <family val="0"/>
        <charset val="1"/>
      </rPr>
      <t xml:space="preserve">color rgb(217,161,63)</t>
    </r>
    <r>
      <rPr>
        <sz val="10"/>
        <rFont val="Noto Sans CJK SC"/>
        <family val="2"/>
      </rPr>
      <t xml:space="preserve">／背景 </t>
    </r>
    <r>
      <rPr>
        <sz val="10"/>
        <rFont val="Arial"/>
        <family val="0"/>
        <charset val="1"/>
      </rPr>
      <t xml:space="preserve">rgba(217,161,63,0.14)——web/styles.css:1240-1247 .fresh-note </t>
    </r>
    <r>
      <rPr>
        <sz val="10"/>
        <rFont val="Noto Sans CJK SC"/>
        <family val="2"/>
      </rPr>
      <t xml:space="preserve">預設琥珀，</t>
    </r>
    <r>
      <rPr>
        <sz val="10"/>
        <rFont val="Arial"/>
        <family val="0"/>
        <charset val="1"/>
      </rPr>
      <t xml:space="preserve">web/app.js:1393-1420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設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琥珀；開發者 </t>
    </r>
    <r>
      <rPr>
        <sz val="10"/>
        <rFont val="Arial"/>
        <family val="0"/>
        <charset val="1"/>
      </rPr>
      <t xml:space="preserve">e2e 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n.style.color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）而未驗計算樣式。還差：①匯率三角提示在 </t>
    </r>
    <r>
      <rPr>
        <sz val="10"/>
        <rFont val="Arial"/>
        <family val="0"/>
        <charset val="1"/>
      </rPr>
      <t xml:space="preserve">ok === true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時改為中性樣式（例如另設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覆寫 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的琥珀色與琥珀底，或把三角提示移出 </t>
    </r>
    <r>
      <rPr>
        <sz val="10"/>
        <rFont val="Arial"/>
        <family val="0"/>
        <charset val="1"/>
      </rPr>
      <t xml:space="preserve">.fresh-note</t>
    </r>
    <r>
      <rPr>
        <sz val="10"/>
        <rFont val="Noto Sans CJK SC"/>
        <family val="2"/>
      </rPr>
      <t xml:space="preserve">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改以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color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（現行 </t>
    </r>
    <r>
      <rPr>
        <sz val="10"/>
        <rFont val="Arial"/>
        <family val="0"/>
        <charset val="1"/>
      </rPr>
      <t xml:space="preserve">n.style.color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預設琥珀時仍通過）；③同類掃描：其他以 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判斷顏色、但容器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已有預設警示色的提示。規格見 </t>
    </r>
    <r>
      <rPr>
        <sz val="10"/>
        <rFont val="Arial"/>
        <family val="0"/>
        <charset val="1"/>
      </rPr>
      <t xml:space="preserve">docs/audit/2026-09-26-r6-dev-specs.md §1
R7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對話裁定一併驗收「推導」改中性灰與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狀態徽章不殘留琥珀</t>
    </r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</si>
  <si>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</si>
  <si>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</si>
  <si>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）：模型抽屜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按「重設」後 </t>
    </r>
    <r>
      <rPr>
        <sz val="10"/>
        <rFont val="Arial"/>
        <family val="0"/>
        <charset val="1"/>
      </rPr>
      <t xml:space="preserve">type=text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「輸入新的 </t>
    </r>
    <r>
      <rPr>
        <sz val="10"/>
        <rFont val="Arial"/>
        <family val="0"/>
        <charset val="1"/>
      </rPr>
      <t xml:space="preserve">API Key…</t>
    </r>
    <r>
      <rPr>
        <sz val="10"/>
        <rFont val="Noto Sans CJK SC"/>
        <family val="2"/>
      </rPr>
      <t xml:space="preserve">」；讀碼：</t>
    </r>
    <r>
      <rPr>
        <sz val="10"/>
        <rFont val="Arial"/>
        <family val="0"/>
        <charset val="1"/>
      </rPr>
      <t xml:space="preserve">web/settings.html:631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web/settings-datasources.js </t>
    </r>
    <r>
      <rPr>
        <sz val="10"/>
        <rFont val="Noto Sans CJK SC"/>
        <family val="2"/>
      </rPr>
      <t xml:space="preserve">重設對話框 </t>
    </r>
    <r>
      <rPr>
        <sz val="10"/>
        <rFont val="Arial"/>
        <family val="0"/>
        <charset val="1"/>
      </rPr>
      <t xml:space="preserve">inp.type = 'text'</t>
    </r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</si>
  <si>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</si>
  <si>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觀察（</t>
    </r>
    <r>
      <rPr>
        <sz val="10"/>
        <rFont val="Arial"/>
        <family val="0"/>
        <charset val="1"/>
      </rPr>
      <t xml:space="preserve">H-01 </t>
    </r>
    <r>
      <rPr>
        <sz val="10"/>
        <rFont val="Noto Sans CJK SC"/>
        <family val="2"/>
      </rPr>
      <t xml:space="preserve">本身通過：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只見遮罩 </t>
    </r>
    <r>
      <rPr>
        <sz val="10"/>
        <rFont val="Arial"/>
        <family val="0"/>
        <charset val="1"/>
      </rPr>
      <t xml:space="preserve">sk-•••000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並加條件——改密碼欄位，且「前後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char </t>
    </r>
    <r>
      <rPr>
        <sz val="10"/>
        <rFont val="Noto Sans CJK SC"/>
        <family val="2"/>
      </rPr>
      <t xml:space="preserve">顯示明文」。驗證者解讀：輸入時為密碼欄；已存金鑰的遮罩改為前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（伺服器產生，短金鑰不露出一半以上）；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只適用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（模型金鑰、資料來源），密碼與權杖維持現行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。規格見 </t>
    </r>
    <r>
      <rPr>
        <sz val="10"/>
        <rFont val="Arial"/>
        <family val="0"/>
        <charset val="1"/>
      </rPr>
      <t xml:space="preserve">docs/audit/2026-09-25-r5-dev-specs.md §15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字元，取代規格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）驗收</t>
    </r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</si>
  <si>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</si>
  <si>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</si>
  <si>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校正版本以錯誤依據產生：沒有生效版時第一版的失誤樣本為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筆，之後的版本以最新版而非生效版的內文為底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</si>
  <si>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時讀碼＋測試重現：個股健檢沒有生效版時，卡片與評分的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Loop 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取失誤樣本 →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筆失誤、交給大師模型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筆；之後的版本以最新版（可能是未採用或已輸掉的影子）內文為底</t>
    </r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</si>
  <si>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</si>
  <si>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在對話中裁定本輪一起修。
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複驗通過（黑箱重放＋驗證者變異）</t>
    </r>
  </si>
  <si>
    <t xml:space="preserve">DEF-080</t>
  </si>
  <si>
    <t xml:space="preserve">校正產生的觸發條件讀取任務全部歷史，同一批舊失誤每週重複觸發產生新版本</t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</si>
  <si>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時讀碼＋測試重現：產生新版本不會「消耗」用過的失誤，下一個週日同一批失誤再觸發一次（驗證者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連續產生可能即此）；既有 </t>
    </r>
    <r>
      <rPr>
        <sz val="10"/>
        <rFont val="Arial"/>
        <family val="0"/>
        <charset val="1"/>
      </rPr>
      <t xml:space="preserve">test_second_run_appends_version </t>
    </r>
    <r>
      <rPr>
        <sz val="10"/>
        <rFont val="Noto Sans CJK SC"/>
        <family val="2"/>
      </rPr>
      <t xml:space="preserve">把重複觸發當預期行為釘住</t>
    </r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</si>
  <si>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</si>
  <si>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</si>
  <si>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</si>
  <si>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r>
      <rPr>
        <sz val="10"/>
        <rFont val="Noto Sans CJK SC"/>
        <family val="2"/>
      </rPr>
      <t xml:space="preserve">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戰績：各洞察任務命中率的列名與預測明細第一欄為「任務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」「任務 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」「任務 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」；排程中心、管線中心都以任務名稱稱呼同一批任務，使用者無從對應（驗證者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</si>
  <si>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</si>
  <si>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（未裁定）。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在對話中裁定：本輪改顯示任務名稱，滑鼠提示保留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編號；已刪除的任務比照排程中心寫法。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對話裁定（顯示任務名稱、滑鼠提示保留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編號、已刪除比照排程中心）驗收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</si>
  <si>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</si>
  <si>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</si>
  <si>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</si>
  <si>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</si>
  <si>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</si>
  <si>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）新發現。讀碼：</t>
    </r>
    <r>
      <rPr>
        <sz val="10"/>
        <rFont val="Arial"/>
        <family val="0"/>
        <charset val="1"/>
      </rPr>
      <t xml:space="preserve">portfolio_dash/llm_insight/figure_check.py:151 _CODE_RE </t>
    </r>
    <r>
      <rPr>
        <sz val="10"/>
        <rFont val="Noto Sans CJK SC"/>
        <family val="2"/>
      </rPr>
      <t xml:space="preserve">把全大寫英文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只比對已註冊「代號」（</t>
    </r>
    <r>
      <rPr>
        <sz val="10"/>
        <rFont val="Arial"/>
        <family val="0"/>
        <charset val="1"/>
      </rPr>
      <t xml:space="preserve">_known_forms</t>
    </r>
    <r>
      <rPr>
        <sz val="10"/>
        <rFont val="Noto Sans CJK SC"/>
        <family val="2"/>
      </rPr>
      <t xml:space="preserve">），不比對已註冊標的「名稱」；該檔自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時沒有這種寫法的卡片，屬既有規則漏網、本輪資料才暴露，非回歸。全部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張卡中括號內寫已註冊標的英文名者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被誤標（其餘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中指標、縮寫、幣別皆未誤報；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」真陽性仍正確）。建議：</t>
    </r>
    <r>
      <rPr>
        <sz val="10"/>
        <rFont val="Arial"/>
        <family val="0"/>
        <charset val="1"/>
      </rPr>
      <t xml:space="preserve">known forms </t>
    </r>
    <r>
      <rPr>
        <sz val="10"/>
        <rFont val="Noto Sans CJK SC"/>
        <family val="2"/>
      </rPr>
      <t xml:space="preserve">納入已註冊標的名稱（不分大小寫）；補「代號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」的契約測試與變異；同類掃描其他會出現在括號內的名稱形態（中文名不受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影響）
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修（不改判非缺陷）；名稱比對不分大小寫，整名＋多字名稱的單字（「</t>
    </r>
    <r>
      <rPr>
        <sz val="10"/>
        <rFont val="Arial"/>
        <family val="0"/>
        <charset val="1"/>
      </rPr>
      <t xml:space="preserve">5225 (IHH)</t>
    </r>
    <r>
      <rPr>
        <sz val="10"/>
        <rFont val="Noto Sans CJK SC"/>
        <family val="2"/>
      </rPr>
      <t xml:space="preserve">」視同 </t>
    </r>
    <r>
      <rPr>
        <sz val="10"/>
        <rFont val="Arial"/>
        <family val="0"/>
        <charset val="1"/>
      </rPr>
      <t xml:space="preserve">IHH Healthcare</t>
    </r>
    <r>
      <rPr>
        <sz val="10"/>
        <rFont val="Noto Sans CJK SC"/>
        <family val="2"/>
      </rPr>
      <t xml:space="preserve">）；全數字與單一字母不算名稱，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」維持被標。
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複驗通過（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黑箱＋本機直接呼叫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與真實路由；驗證者自做變異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組為測試未釘住的邊界〔現行行為正確〕列觀察）；依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對話裁定（不分大小寫、整名＋多字名稱的單字、全數字與單一字母不算名稱）驗收</t>
    </r>
  </si>
  <si>
    <t xml:space="preserve">DEF-083</t>
  </si>
  <si>
    <r>
      <rPr>
        <sz val="10"/>
        <rFont val="Noto Sans CJK SC"/>
        <family val="2"/>
      </rPr>
      <t xml:space="preserve">主模型失敗時的備援模型（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，經 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）一律被供應商以 </t>
    </r>
    <r>
      <rPr>
        <sz val="10"/>
        <rFont val="Arial"/>
        <family val="0"/>
        <charset val="1"/>
      </rPr>
      <t xml:space="preserve">HTTP 400 </t>
    </r>
    <r>
      <rPr>
        <sz val="10"/>
        <rFont val="Noto Sans CJK SC"/>
        <family val="2"/>
      </rPr>
      <t xml:space="preserve">拒絕：送出的 </t>
    </r>
    <r>
      <rPr>
        <sz val="10"/>
        <rFont val="Arial"/>
        <family val="0"/>
        <charset val="1"/>
      </rPr>
      <t xml:space="preserve">JSON 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欄位的負向前瞻正規式「</t>
    </r>
    <r>
      <rPr>
        <sz val="10"/>
        <rFont val="Arial"/>
        <family val="0"/>
        <charset val="1"/>
      </rPr>
      <t xml:space="preserve">(?!…)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結構化輸出不支援 → 備援在真實供應商上完全失效</t>
    </r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</si>
  <si>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</si>
  <si>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</si>
  <si>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</si>
  <si>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</si>
  <si>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r>
      <rPr>
        <sz val="10"/>
        <rFont val="Noto Sans CJK SC"/>
        <family val="2"/>
      </rPr>
      <t xml:space="preserve">讀碼定位（根因欄留給修復方）：</t>
    </r>
    <r>
      <rPr>
        <sz val="10"/>
        <rFont val="Arial"/>
        <family val="0"/>
        <charset val="1"/>
      </rPr>
      <t xml:space="preserve">portfolio_dash/shared/llm.py:453-454 `if _supports_response_format(model): extra["response_format"] = _response_format_for(schema)`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:175-187 `_response_format_for` </t>
    </r>
    <r>
      <rPr>
        <sz val="10"/>
        <rFont val="Noto Sans CJK SC"/>
        <family val="2"/>
      </rPr>
      <t xml:space="preserve">原樣送出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，未剔除供應商不支援的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portfolio_dash/llm_insight/cards.py:33 `target_pct: Decimal | None`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產生含負向前瞻的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:203-209 `_json_instruction` </t>
    </r>
    <r>
      <rPr>
        <sz val="10"/>
        <rFont val="Noto Sans CJK SC"/>
        <family val="2"/>
      </rPr>
      <t xml:space="preserve">的註解假設「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」，與已安裝的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不符（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）新發現。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（備援缺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）修復後，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以本機假服務複驗（假端點不驗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），直到本輪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才第一次有真實的備援呼叫送達供應商，非回歸。影響：主模型任何一次失敗（本輪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）都救不回，洞察卡直接失敗；同類：同一段程式送出的其他結構化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也含相同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（本機以 </t>
    </r>
    <r>
      <rPr>
        <sz val="10"/>
        <rFont val="Arial"/>
        <family val="0"/>
        <charset val="1"/>
      </rPr>
      <t xml:space="preserve">model_json_schema </t>
    </r>
    <r>
      <rPr>
        <sz val="10"/>
        <rFont val="Noto Sans CJK SC"/>
        <family val="2"/>
      </rPr>
      <t xml:space="preserve">掃描：</t>
    </r>
    <r>
      <rPr>
        <sz val="10"/>
        <rFont val="Arial"/>
        <family val="0"/>
        <charset val="1"/>
      </rPr>
      <t xml:space="preserve">AiDraftList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TxnDraft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輸入、</t>
    </r>
    <r>
      <rPr>
        <sz val="10"/>
        <rFont val="Arial"/>
        <family val="0"/>
        <charset val="1"/>
      </rPr>
      <t xml:space="preserve">OrganizedNews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 </t>
    </r>
    <r>
      <rPr>
        <sz val="10"/>
        <rFont val="Noto Sans CJK SC"/>
        <family val="2"/>
      </rPr>
      <t xml:space="preserve">等皆有），三個角色的備援都指向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輸入、新聞整理、大師評分走到備援時同樣會被拒。建議：送出前清洗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（移除或改寫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lookaround</t>
    </r>
    <r>
      <rPr>
        <sz val="10"/>
        <rFont val="Noto Sans CJK SC"/>
        <family val="2"/>
      </rPr>
      <t xml:space="preserve">），或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欄位以不帶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的字串型別輸出；補「實際送出的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不得含供應商不支援關鍵字」的契約測試與變異；修正 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的過時註解
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補充（驗證者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可直接重現（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），證實同類（</t>
    </r>
    <r>
      <rPr>
        <sz val="10"/>
        <rFont val="Arial"/>
        <family val="0"/>
        <charset val="1"/>
      </rPr>
      <t xml:space="preserve">AiDraftList</t>
    </r>
    <r>
      <rPr>
        <sz val="10"/>
        <rFont val="Noto Sans CJK SC"/>
        <family val="2"/>
      </rPr>
      <t xml:space="preserve">）在真實供應商同樣被拒；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另拒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，修法須讓送出的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同時避開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lookaround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oneOf </t>
    </r>
    <r>
      <rPr>
        <sz val="10"/>
        <rFont val="Noto Sans CJK SC"/>
        <family val="2"/>
      </rPr>
      <t xml:space="preserve">等供應商不支援的關鍵字。另：使用者明確指定的模型失敗時，畫面只以「模型」欄顯示實際產出的模型，未說明指定模型失敗，可一併檢討。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在對話中裁定：交由開發者修復（本輪修）
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複驗通過（驗證者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）：①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真實供應商——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 → 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本身產出（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）、無琥珀提示條、失敗記錄無新增；暫時把主模型設為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產一張洞察卡 →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#250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</t>
    </r>
    <r>
      <rPr>
        <sz val="10"/>
        <rFont val="Arial"/>
        <family val="0"/>
        <charset val="1"/>
      </rPr>
      <t xml:space="preserve">$0.029194</t>
    </r>
    <r>
      <rPr>
        <sz val="10"/>
        <rFont val="Noto Sans CJK SC"/>
        <family val="2"/>
      </rPr>
      <t xml:space="preserve">），角色測後改回；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）後由備援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#256——</t>
    </r>
    <r>
      <rPr>
        <sz val="10"/>
        <rFont val="Noto Sans CJK SC"/>
        <family val="2"/>
      </rPr>
      <t xml:space="preserve">修復前這條路徑一律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，本輪首次在真實供應商上救回；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全程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。②本機驗證者自寫的嚴格假端點（依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限制自行檢查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全部被拒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、改由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產出；在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產出、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個問題；送出的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無「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（提示詞仍附完整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，屬設計）。③本機失敗路徑重放：主模型截斷 </t>
    </r>
    <r>
      <rPr>
        <sz val="10"/>
        <rFont val="Arial"/>
        <family val="0"/>
        <charset val="1"/>
      </rPr>
      <t xml:space="preserve">JSON ×2 → 3a35454 run partial</t>
    </r>
    <r>
      <rPr>
        <sz val="10"/>
        <rFont val="Noto Sans CJK SC"/>
        <family val="2"/>
      </rPr>
      <t xml:space="preserve">「備援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張卡；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、卡由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產出。④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輸入指定模型回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琥珀提示條「指定模型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產出。」（色 </t>
    </r>
    <r>
      <rPr>
        <sz val="10"/>
        <rFont val="Arial"/>
        <family val="0"/>
        <charset val="1"/>
      </rPr>
      <t xml:space="preserve">#d9a13f</t>
    </r>
    <r>
      <rPr>
        <sz val="10"/>
        <rFont val="Noto Sans CJK SC"/>
        <family val="2"/>
      </rPr>
      <t xml:space="preserve">）＋警示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；指定模型成功時不出現。⑤驗證者自做變異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組全攔（原始 </t>
    </r>
    <r>
      <rPr>
        <sz val="10"/>
        <rFont val="Arial"/>
        <family val="0"/>
        <charset val="1"/>
      </rPr>
      <t xml:space="preserve">schema 10 failed</t>
    </r>
    <r>
      <rPr>
        <sz val="10"/>
        <rFont val="Noto Sans CJK SC"/>
        <family val="2"/>
      </rPr>
      <t xml:space="preserve">、保留 </t>
    </r>
    <r>
      <rPr>
        <sz val="10"/>
        <rFont val="Arial"/>
        <family val="0"/>
        <charset val="1"/>
      </rPr>
      <t xml:space="preserve">oneOf 3</t>
    </r>
    <r>
      <rPr>
        <sz val="10"/>
        <rFont val="Noto Sans CJK SC"/>
        <family val="2"/>
      </rPr>
      <t xml:space="preserve">、不補 </t>
    </r>
    <r>
      <rPr>
        <sz val="10"/>
        <rFont val="Arial"/>
        <family val="0"/>
        <charset val="1"/>
      </rPr>
      <t xml:space="preserve">additionalProperties 9</t>
    </r>
    <r>
      <rPr>
        <sz val="10"/>
        <rFont val="Noto Sans CJK SC"/>
        <family val="2"/>
      </rPr>
      <t xml:space="preserve">、複製 </t>
    </r>
    <r>
      <rPr>
        <sz val="10"/>
        <rFont val="Arial"/>
        <family val="0"/>
        <charset val="1"/>
      </rPr>
      <t xml:space="preserve">pattern 5</t>
    </r>
    <r>
      <rPr>
        <sz val="10"/>
        <rFont val="Noto Sans CJK SC"/>
        <family val="2"/>
      </rPr>
      <t xml:space="preserve">、不回報備援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），且每組同時在嚴格假端點重現對應的 </t>
    </r>
    <r>
      <rPr>
        <sz val="10"/>
        <rFont val="Arial"/>
        <family val="0"/>
        <charset val="1"/>
      </rPr>
      <t xml:space="preserve">400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</si>
  <si>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</si>
  <si>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</si>
  <si>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</si>
  <si>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讀碼定位（根因欄留給修復方）：</t>
    </r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；同一函式稍後才以 </t>
    </r>
    <r>
      <rPr>
        <sz val="10"/>
        <rFont val="Arial"/>
        <family val="0"/>
        <charset val="1"/>
      </rPr>
      <t xml:space="preserve">:221-229 `_latest_meta(conn)` </t>
    </r>
    <r>
      <rPr>
        <sz val="10"/>
        <rFont val="Noto Sans CJK SC"/>
        <family val="2"/>
      </rPr>
      <t xml:space="preserve">取得本次模型（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）新發現；自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起即存在（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#501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的紀錄），非回歸。手冊 </t>
    </r>
    <r>
      <rPr>
        <sz val="10"/>
        <rFont val="Arial"/>
        <family val="0"/>
        <charset val="1"/>
      </rPr>
      <t xml:space="preserve">F-08 </t>
    </r>
    <r>
      <rPr>
        <sz val="10"/>
        <rFont val="Noto Sans CJK SC"/>
        <family val="2"/>
      </rPr>
      <t xml:space="preserve">期望「失敗留下可下載的紀錄（時間、模型、錯誤）」。更正：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本案備註寫「每筆有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outcome</t>
    </r>
    <r>
      <rPr>
        <sz val="10"/>
        <rFont val="Noto Sans CJK SC"/>
        <family val="2"/>
      </rPr>
      <t xml:space="preserve">」不精確，當時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筆中已有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為空。建議：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時帶入本次呼叫的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，並補「每筆失敗記錄都有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」的契約測試與變異
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在對話中裁定：修（交由開發者，本輪修）
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複驗通過（驗證者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demo #521</t>
    </r>
    <r>
      <rPr>
        <sz val="10"/>
        <rFont val="Noto Sans CJK SC"/>
        <family val="2"/>
      </rPr>
      <t xml:space="preserve">（開發者驗證，</t>
    </r>
    <r>
      <rPr>
        <sz val="10"/>
        <rFont val="Arial"/>
        <family val="0"/>
        <charset val="1"/>
      </rPr>
      <t xml:space="preserve">gemini usage 1083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one shot 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產生的 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 1088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1089</t>
    </r>
    <r>
      <rPr>
        <sz val="10"/>
        <rFont val="Noto Sans CJK SC"/>
        <family val="2"/>
      </rPr>
      <t xml:space="preserve">）皆帶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，與同秒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列對上；</t>
    </r>
    <r>
      <rPr>
        <sz val="10"/>
        <rFont val="Arial"/>
        <family val="0"/>
        <charset val="1"/>
      </rPr>
      <t xml:space="preserve">F-08 </t>
    </r>
    <r>
      <rPr>
        <sz val="10"/>
        <rFont val="Noto Sans CJK SC"/>
        <family val="2"/>
      </rPr>
      <t xml:space="preserve">下載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筆＝畫面 </t>
    </r>
    <r>
      <rPr>
        <sz val="10"/>
        <rFont val="Arial"/>
        <family val="0"/>
        <charset val="1"/>
      </rPr>
      <t xml:space="preserve">26 / 300</t>
    </r>
    <r>
      <rPr>
        <sz val="10"/>
        <rFont val="Noto Sans CJK SC"/>
        <family val="2"/>
      </rPr>
      <t xml:space="preserve">。驗證者變異：把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。修復前寫入的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仍為空，屬資料殘留（程式已正確；筆數上限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會自然淘汰），未另開單，是否清除由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</t>
    </r>
  </si>
  <si>
    <t xml:space="preserve">DEF-085</t>
  </si>
  <si>
    <r>
      <rPr>
        <sz val="10"/>
        <rFont val="Noto Sans CJK SC"/>
        <family val="2"/>
      </rPr>
      <t xml:space="preserve">乾跑預檢「✕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列沒有修正指引（無按鈕、無「補充額度／前往額度設定」字樣），結論只說「修復上方紅色項目後重跑預檢」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</si>
  <si>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、非憑證假金鑰）：建立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任務（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）→ 以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補一筆使剩餘額度 −</t>
    </r>
    <r>
      <rPr>
        <sz val="10"/>
        <rFont val="Arial"/>
        <family val="0"/>
        <charset val="1"/>
      </rPr>
      <t xml:space="preserve">$0.01 → </t>
    </r>
    <r>
      <rPr>
        <sz val="10"/>
        <rFont val="Noto Sans CJK SC"/>
        <family val="2"/>
      </rPr>
      <t xml:space="preserve">洞察管線 › 任務抽屜 › 乾跑預檢：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」無按鈕（同畫面 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「啟動排程」、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「編輯標的」、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「啟用模板」皆有）；結論「本任務現在不會成功執行 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道閘門擋下。修復上方紅色項目後重跑預檢。」；</t>
    </r>
    <r>
      <rPr>
        <sz val="10"/>
        <rFont val="Arial"/>
        <family val="0"/>
        <charset val="1"/>
      </rPr>
      <t xml:space="preserve">POST /preflight gates R6 {lv:"fail",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/diagnose first_blocker 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fix null</t>
    </r>
    <r>
      <rPr>
        <sz val="10"/>
        <rFont val="Noto Sans CJK SC"/>
        <family val="2"/>
      </rPr>
      <t xml:space="preserve">。對照 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：額度用盡的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與橫幅有「補充額度後即可繼續使用・前往額度設定」。截圖 </t>
    </r>
    <r>
      <rPr>
        <sz val="10"/>
        <rFont val="Arial"/>
        <family val="0"/>
        <charset val="1"/>
      </rPr>
      <t xml:space="preserve">R10_H05_R6_preflight.png</t>
    </r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</si>
  <si>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</si>
  <si>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讀碼定位（根因欄留給修復方）：</t>
    </r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刻意不含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fix.kind </t>
    </r>
    <r>
      <rPr>
        <sz val="10"/>
        <rFont val="Noto Sans CJK SC"/>
        <family val="2"/>
      </rPr>
      <t xml:space="preserve">列舉）；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存在時加按鈕，</t>
    </r>
    <r>
      <rPr>
        <sz val="10"/>
        <rFont val="Arial"/>
        <family val="0"/>
        <charset val="1"/>
      </rPr>
      <t xml:space="preserve">msg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gating.py:168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$…</t>
    </r>
    <r>
      <rPr>
        <sz val="10"/>
        <rFont val="Noto Sans CJK SC"/>
        <family val="2"/>
      </rPr>
      <t xml:space="preserve">）」（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）發現；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情境受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限制未測，本輪首次實測。手冊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期望「對應的 </t>
    </r>
    <r>
      <rPr>
        <sz val="10"/>
        <rFont val="Arial"/>
        <family val="0"/>
        <charset val="1"/>
      </rPr>
      <t xml:space="preserve">R1–R8 </t>
    </r>
    <r>
      <rPr>
        <sz val="10"/>
        <rFont val="Noto Sans CJK SC"/>
        <family val="2"/>
      </rPr>
      <t xml:space="preserve">顯示 ✗ 或 ⓘ 並給出可執行的修正指引」，程式註解則表示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無一鍵修正是刻意設計，兩者衝突 → </t>
    </r>
    <r>
      <rPr>
        <sz val="10"/>
        <rFont val="Arial"/>
        <family val="0"/>
        <charset val="1"/>
      </rPr>
      <t xml:space="preserve">OBSERVE</t>
    </r>
    <r>
      <rPr>
        <sz val="10"/>
        <rFont val="Noto Sans CJK SC"/>
        <family val="2"/>
      </rPr>
      <t xml:space="preserve">，請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補一句可執行的指引，例如「補充額度：設定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與額度」或連結；不必是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的一鍵修正）；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以狀態訊息＋結論為足，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、本張改判非缺陷）。附：訊息金額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位小數「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」與管線節點「餘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」寫法不一，可一併處理
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修——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額度不足時要給出可執行的修正指引（形式由開發者設計，例如指引文字或前往「設定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與額度」的入口，不必是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的一鍵修正；金額小數位與管線節點不一的寫法可一併處理）。處置：改程式；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期望不變；狀態由「待裁定」改「新開」交開發者
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複驗通過（驗證者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）：本機剩餘額度 −</t>
    </r>
    <r>
      <rPr>
        <sz val="10"/>
        <rFont val="Arial"/>
        <family val="0"/>
        <charset val="1"/>
      </rPr>
      <t xml:space="preserve">$0.01 → </t>
    </r>
    <r>
      <rPr>
        <sz val="10"/>
        <rFont val="Noto Sans CJK SC"/>
        <family val="2"/>
      </rPr>
      <t xml:space="preserve">乾跑預檢與「為什麼沒跑？」的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列皆為「✕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）［前往額度設定］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」，按下到 </t>
    </r>
    <r>
      <rPr>
        <sz val="10"/>
        <rFont val="Arial"/>
        <family val="0"/>
        <charset val="1"/>
      </rPr>
      <t xml:space="preserve">settings.html#llm</t>
    </r>
    <r>
      <rPr>
        <sz val="10"/>
        <rFont val="Noto Sans CJK SC"/>
        <family val="2"/>
      </rPr>
      <t xml:space="preserve">（設定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與額度，角色欄可見）；</t>
    </r>
    <r>
      <rPr>
        <sz val="10"/>
        <rFont val="Arial"/>
        <family val="0"/>
        <charset val="1"/>
      </rPr>
      <t xml:space="preserve">/preflight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/diagnose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fix fund_quota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處，金額寫法一致。同類抽樣（開發者未點名者）：停用任務的 </t>
    </r>
    <r>
      <rPr>
        <sz val="10"/>
        <rFont val="Arial"/>
        <family val="0"/>
        <charset val="1"/>
      </rPr>
      <t xml:space="preserve">G0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enable_task </t>
    </r>
    <r>
      <rPr>
        <sz val="10"/>
        <rFont val="Noto Sans CJK SC"/>
        <family val="2"/>
      </rPr>
      <t xml:space="preserve">修正、開啟自我校正但未設大師模型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 </t>
    </r>
    <r>
      <rPr>
        <sz val="10"/>
        <rFont val="Noto Sans CJK SC"/>
        <family val="2"/>
      </rPr>
      <t xml:space="preserve">訊息改為「剩餘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」（−</t>
    </r>
    <r>
      <rPr>
        <sz val="10"/>
        <rFont val="Arial"/>
        <family val="0"/>
        <charset val="1"/>
      </rPr>
      <t xml:space="preserve">0.00036 </t>
    </r>
    <r>
      <rPr>
        <sz val="10"/>
        <rFont val="Noto Sans CJK SC"/>
        <family val="2"/>
      </rPr>
      <t xml:space="preserve">四捨五入）。驗證者變異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組全攔（拿掉 </t>
    </r>
    <r>
      <rPr>
        <sz val="10"/>
        <rFont val="Arial"/>
        <family val="0"/>
        <charset val="1"/>
      </rPr>
      <t xml:space="preserve">R6 fix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2</t>
    </r>
    <r>
      <rPr>
        <sz val="10"/>
        <rFont val="Noto Sans CJK SC"/>
        <family val="2"/>
      </rPr>
      <t xml:space="preserve">）。分類：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開單時為「規格未定」，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修並已改程式 →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改列「程式缺陷」。觀察（不開單）：</t>
    </r>
    <r>
      <rPr>
        <sz val="10"/>
        <rFont val="Arial"/>
        <family val="0"/>
        <charset val="1"/>
      </rPr>
      <t xml:space="preserve">strategy/alerts.py:154-156 `_usd`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額度偏低」預警明細，</t>
    </r>
    <r>
      <rPr>
        <sz val="10"/>
        <rFont val="Arial"/>
        <family val="0"/>
        <charset val="1"/>
      </rPr>
      <t xml:space="preserve">:363</t>
    </r>
    <r>
      <rPr>
        <sz val="10"/>
        <rFont val="Noto Sans CJK SC"/>
        <family val="2"/>
      </rPr>
      <t xml:space="preserve">）仍自行 </t>
    </r>
    <r>
      <rPr>
        <sz val="10"/>
        <rFont val="Arial"/>
        <family val="0"/>
        <charset val="1"/>
      </rPr>
      <t xml:space="preserve">quantize</t>
    </r>
    <r>
      <rPr>
        <sz val="10"/>
        <rFont val="Noto Sans CJK SC"/>
        <family val="2"/>
      </rPr>
      <t xml:space="preserve">（銀行家捨入、無千分位），未改用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目前額度高於門檻未觸發，屬同類顯示一致性，供開發者日後順手統一</t>
    </r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</si>
  <si>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</si>
  <si>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</si>
  <si>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</si>
  <si>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</si>
  <si>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</si>
  <si>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</si>
  <si>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</si>
  <si>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</si>
  <si>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</si>
  <si>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</si>
  <si>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</si>
  <si>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</si>
  <si>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</si>
  <si>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</si>
  <si>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</si>
  <si>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</si>
  <si>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</si>
  <si>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</si>
  <si>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</si>
  <si>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</si>
  <si>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</si>
  <si>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</si>
  <si>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</si>
  <si>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</si>
  <si>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</si>
  <si>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</si>
  <si>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</si>
  <si>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</si>
  <si>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</si>
  <si>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</si>
  <si>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</si>
  <si>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</si>
  <si>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</si>
  <si>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</si>
  <si>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</si>
  <si>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</si>
  <si>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</si>
  <si>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</si>
  <si>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r>
      <rPr>
        <sz val="10"/>
        <rFont val="Noto Sans CJK SC"/>
        <family val="2"/>
      </rPr>
      <t xml:space="preserve">真實瀏覽器點「下載該年度稅務包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」（攔截 </t>
    </r>
    <r>
      <rPr>
        <sz val="10"/>
        <rFont val="Arial"/>
        <family val="0"/>
        <charset val="1"/>
      </rPr>
      <t xml:space="preserve">blob </t>
    </r>
    <r>
      <rPr>
        <sz val="10"/>
        <rFont val="Noto Sans CJK SC"/>
        <family val="2"/>
      </rPr>
      <t xml:space="preserve">不落地）→ 解壓讀 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realized_gains_2026.csv</t>
    </r>
    <r>
      <rPr>
        <sz val="10"/>
        <rFont val="Noto Sans CJK SC"/>
        <family val="2"/>
      </rPr>
      <t xml:space="preserve">；同頁再從匯出中心下載一次比對；以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returns.by_currency </t>
    </r>
    <r>
      <rPr>
        <sz val="10"/>
        <rFont val="Noto Sans CJK SC"/>
        <family val="2"/>
      </rPr>
      <t xml:space="preserve">做數值比對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</si>
  <si>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summary.md </t>
    </r>
    <r>
      <rPr>
        <sz val="10"/>
        <rFont val="Noto Sans CJK SC"/>
        <family val="2"/>
      </rPr>
      <t xml:space="preserve">對帳欄 </t>
    </r>
    <r>
      <rPr>
        <sz val="10"/>
        <rFont val="Arial"/>
        <family val="0"/>
        <charset val="1"/>
      </rPr>
      <t xml:space="preserve">TWD 36,804.56</t>
    </r>
    <r>
      <rPr>
        <sz val="10"/>
        <rFont val="Noto Sans CJK SC"/>
        <family val="2"/>
      </rPr>
      <t xml:space="preserve">，儀表板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已實現 </t>
    </r>
    <r>
      <rPr>
        <sz val="10"/>
        <rFont val="Arial"/>
        <family val="0"/>
        <charset val="1"/>
      </rPr>
      <t xml:space="preserve">42,004.56</t>
    </r>
    <r>
      <rPr>
        <sz val="10"/>
        <rFont val="Noto Sans CJK SC"/>
        <family val="2"/>
      </rPr>
      <t xml:space="preserve">，差 </t>
    </r>
    <r>
      <rPr>
        <sz val="10"/>
        <rFont val="Arial"/>
        <family val="0"/>
        <charset val="1"/>
      </rPr>
      <t xml:space="preserve">5,200.00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realized_gains_2026.csv 10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dashboard realized.rows 11 </t>
    </r>
    <r>
      <rPr>
        <sz val="10"/>
        <rFont val="Noto Sans CJK SC"/>
        <family val="2"/>
      </rPr>
      <t xml:space="preserve">列
假設：①稅務包只收 </t>
    </r>
    <r>
      <rPr>
        <sz val="10"/>
        <rFont val="Arial"/>
        <family val="0"/>
        <charset val="1"/>
      </rPr>
      <t xml:space="preserve">sale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short_cover</t>
    </r>
    <r>
      <rPr>
        <sz val="10"/>
        <rFont val="Noto Sans CJK SC"/>
        <family val="2"/>
      </rPr>
      <t xml:space="preserve">，漏了 </t>
    </r>
    <r>
      <rPr>
        <sz val="10"/>
        <rFont val="Arial"/>
        <family val="0"/>
        <charset val="1"/>
      </rPr>
      <t xml:space="preserve">kind=dividend </t>
    </r>
    <r>
      <rPr>
        <sz val="10"/>
        <rFont val="Noto Sans CJK SC"/>
        <family val="2"/>
      </rPr>
      <t xml:space="preserve">的結清後配息；②儀表板把結清後配息重複算進已實現；③我讀錯欄（把申報欄當對帳欄）
排除：申報欄 </t>
    </r>
    <r>
      <rPr>
        <sz val="10"/>
        <rFont val="Arial"/>
        <family val="0"/>
        <charset val="1"/>
      </rPr>
      <t xml:space="preserve">16,004.56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realized_original </t>
    </r>
    <r>
      <rPr>
        <sz val="10"/>
        <rFont val="Noto Sans CJK SC"/>
        <family val="2"/>
      </rPr>
      <t xml:space="preserve">加總、對帳欄 </t>
    </r>
    <r>
      <rPr>
        <sz val="10"/>
        <rFont val="Arial"/>
        <family val="0"/>
        <charset val="1"/>
      </rPr>
      <t xml:space="preserve">36,804.56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加總（自行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加總相符），排除③；儀表板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列逐列列出，第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kind=dividend 2412 5200.0</t>
    </r>
    <r>
      <rPr>
        <sz val="10"/>
        <rFont val="Noto Sans CJK SC"/>
        <family val="2"/>
      </rPr>
      <t xml:space="preserve">，其 </t>
    </r>
    <r>
      <rPr>
        <sz val="10"/>
        <rFont val="Arial"/>
        <family val="0"/>
        <charset val="1"/>
      </rPr>
      <t xml:space="preserve">cost_removed=0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T1 </t>
    </r>
    <r>
      <rPr>
        <sz val="10"/>
        <rFont val="Noto Sans CJK SC"/>
        <family val="2"/>
      </rPr>
      <t xml:space="preserve">恆等式（已實現＋未實現＝資產損益）成立，儀表板口徑自洽，排除②；兩次下載（交易帳本、匯出中心）內容相同
定位：</t>
    </r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:105 `adjusted_subtotal[...] += r.realized` </t>
    </r>
    <r>
      <rPr>
        <sz val="10"/>
        <rFont val="Noto Sans CJK SC"/>
        <family val="2"/>
      </rPr>
      <t xml:space="preserve">之前，同一過濾同時作用在申報欄與對帳欄
判定：</t>
    </r>
    <r>
      <rPr>
        <sz val="10"/>
        <rFont val="Arial"/>
        <family val="0"/>
        <charset val="1"/>
      </rPr>
      <t xml:space="preserve">FAIL — </t>
    </r>
    <r>
      <rPr>
        <sz val="10"/>
        <rFont val="Noto Sans CJK SC"/>
        <family val="2"/>
      </rPr>
      <t xml:space="preserve">案例 </t>
    </r>
    <r>
      <rPr>
        <sz val="10"/>
        <rFont val="Arial"/>
        <family val="0"/>
        <charset val="1"/>
      </rPr>
      <t xml:space="preserve">I-03 ③</t>
    </r>
    <r>
      <rPr>
        <sz val="10"/>
        <rFont val="Noto Sans CJK SC"/>
        <family val="2"/>
      </rPr>
      <t xml:space="preserve">「已實現損益可交叉對帳」不成立；該欄自稱「僅供與儀表板核對」卻差 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且無說明</t>
    </r>
  </si>
  <si>
    <r>
      <rPr>
        <sz val="10"/>
        <rFont val="Noto Sans CJK SC"/>
        <family val="2"/>
      </rPr>
      <t xml:space="preserve">對帳欄 </t>
    </r>
    <r>
      <rPr>
        <sz val="10"/>
        <rFont val="Arial"/>
        <family val="0"/>
        <charset val="1"/>
      </rPr>
      <t xml:space="preserve">TWD 36804.55597014925373134328360 vs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42004.55597014925373134328360</t>
    </r>
    <r>
      <rPr>
        <sz val="10"/>
        <rFont val="Noto Sans CJK SC"/>
        <family val="2"/>
      </rPr>
      <t xml:space="preserve">（差 </t>
    </r>
    <r>
      <rPr>
        <sz val="10"/>
        <rFont val="Arial"/>
        <family val="0"/>
        <charset val="1"/>
      </rPr>
      <t xml:space="preserve">5200.0000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兩邊皆 </t>
    </r>
    <r>
      <rPr>
        <sz val="10"/>
        <rFont val="Arial"/>
        <family val="0"/>
        <charset val="1"/>
      </rPr>
      <t xml:space="preserve">97.300573928633231474982722</t>
    </r>
    <r>
      <rPr>
        <sz val="10"/>
        <rFont val="Noto Sans CJK SC"/>
        <family val="2"/>
      </rPr>
      <t xml:space="preserve">（相符）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</si>
  <si>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DEF-001</t>
    </r>
    <r>
      <rPr>
        <sz val="10"/>
        <rFont val="Noto Sans CJK SC"/>
        <family val="2"/>
      </rPr>
      <t xml:space="preserve">；需由修復方決定：把 </t>
    </r>
    <r>
      <rPr>
        <sz val="10"/>
        <rFont val="Arial"/>
        <family val="0"/>
        <charset val="1"/>
      </rPr>
      <t xml:space="preserve">kind=dividend </t>
    </r>
    <r>
      <rPr>
        <sz val="10"/>
        <rFont val="Noto Sans CJK SC"/>
        <family val="2"/>
      </rPr>
      <t xml:space="preserve">併入對帳欄，或在 </t>
    </r>
    <r>
      <rPr>
        <sz val="10"/>
        <rFont val="Arial"/>
        <family val="0"/>
        <charset val="1"/>
      </rPr>
      <t xml:space="preserve">summary.md </t>
    </r>
    <r>
      <rPr>
        <sz val="10"/>
        <rFont val="Noto Sans CJK SC"/>
        <family val="2"/>
      </rPr>
      <t xml:space="preserve">加一行差額說明（金額＋來源）；申報欄 </t>
    </r>
    <r>
      <rPr>
        <sz val="10"/>
        <rFont val="Arial"/>
        <family val="0"/>
        <charset val="1"/>
      </rPr>
      <t xml:space="preserve">16,004.56 </t>
    </r>
    <r>
      <rPr>
        <sz val="10"/>
        <rFont val="Noto Sans CJK SC"/>
        <family val="2"/>
      </rPr>
      <t xml:space="preserve">目前正確，修法不得動到它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</si>
  <si>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2026-09-23</t>
    </r>
  </si>
  <si>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模擬（</t>
    </r>
    <r>
      <rPr>
        <sz val="10"/>
        <rFont val="Arial"/>
        <family val="0"/>
        <charset val="1"/>
      </rPr>
      <t xml:space="preserve">resize_window</t>
    </r>
    <r>
      <rPr>
        <sz val="10"/>
        <rFont val="Noto Sans CJK SC"/>
        <family val="2"/>
      </rPr>
      <t xml:space="preserve">），走訪後逐一量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與越界元素；對可疑處展開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後再量、</t>
    </r>
    <r>
      <rPr>
        <sz val="10"/>
        <rFont val="Arial"/>
        <family val="0"/>
        <charset val="1"/>
      </rPr>
      <t xml:space="preserve">window.scrollTo(600) </t>
    </r>
    <r>
      <rPr>
        <sz val="10"/>
        <rFont val="Noto Sans CJK SC"/>
        <family val="2"/>
      </rPr>
      <t xml:space="preserve">驗證可橫捲、截圖目視</t>
    </r>
  </si>
  <si>
    <r>
      <rPr>
        <sz val="10"/>
        <rFont val="Noto Sans CJK SC"/>
        <family val="2"/>
      </rPr>
      <t xml:space="preserve">觀察：展開前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、量測器卻回報 </t>
    </r>
    <r>
      <rPr>
        <sz val="10"/>
        <rFont val="Arial"/>
        <family val="0"/>
        <charset val="1"/>
      </rPr>
      <t xml:space="preserve">table.data </t>
    </r>
    <r>
      <rPr>
        <sz val="10"/>
        <rFont val="Noto Sans CJK SC"/>
        <family val="2"/>
      </rPr>
      <t xml:space="preserve">右緣 </t>
    </r>
    <r>
      <rPr>
        <sz val="10"/>
        <rFont val="Arial"/>
        <family val="0"/>
        <charset val="1"/>
      </rPr>
      <t xml:space="preserve">1,800px</t>
    </r>
    <r>
      <rPr>
        <sz val="10"/>
        <rFont val="Noto Sans CJK SC"/>
        <family val="2"/>
      </rPr>
      <t xml:space="preserve">；展開後 </t>
    </r>
    <r>
      <rPr>
        <sz val="10"/>
        <rFont val="Arial"/>
        <family val="0"/>
        <charset val="1"/>
      </rPr>
      <t xml:space="preserve">scrollWidth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scrollX </t>
    </r>
    <r>
      <rPr>
        <sz val="10"/>
        <rFont val="Noto Sans CJK SC"/>
        <family val="2"/>
      </rPr>
      <t xml:space="preserve">可到 </t>
    </r>
    <r>
      <rPr>
        <sz val="10"/>
        <rFont val="Arial"/>
        <family val="0"/>
        <charset val="1"/>
      </rPr>
      <t xml:space="preserve">600</t>
    </r>
    <r>
      <rPr>
        <sz val="10"/>
        <rFont val="Noto Sans CJK SC"/>
        <family val="2"/>
      </rPr>
      <t xml:space="preserve">，截圖可見表格欄位超出卡片右緣
假設：①量測器誤判（收合的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內容有 </t>
    </r>
    <r>
      <rPr>
        <sz val="10"/>
        <rFont val="Arial"/>
        <family val="0"/>
        <charset val="1"/>
      </rPr>
      <t xml:space="preserve">layout </t>
    </r>
    <r>
      <rPr>
        <sz val="10"/>
        <rFont val="Noto Sans CJK SC"/>
        <family val="2"/>
      </rPr>
      <t xml:space="preserve">無渲染）；②變數表沒有包在 </t>
    </r>
    <r>
      <rPr>
        <sz val="10"/>
        <rFont val="Arial"/>
        <family val="0"/>
        <charset val="1"/>
      </rPr>
      <t xml:space="preserve">overflow-x:auto </t>
    </r>
    <r>
      <rPr>
        <sz val="10"/>
        <rFont val="Noto Sans CJK SC"/>
        <family val="2"/>
      </rPr>
      <t xml:space="preserve">容器；③全域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在窄版失效
排除：展開前的回報確為誤判（</t>
    </r>
    <r>
      <rPr>
        <sz val="10"/>
        <rFont val="Arial"/>
        <family val="0"/>
        <charset val="1"/>
      </rPr>
      <t xml:space="preserve">details.open=false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th innerText </t>
    </r>
    <r>
      <rPr>
        <sz val="10"/>
        <rFont val="Noto Sans CJK SC"/>
        <family val="2"/>
      </rPr>
      <t xml:space="preserve">為空），故改以展開後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與實際可橫捲為準；同頁其他子分頁與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個頁面的表格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（它們包在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styles.css:836/2058 overflow-x:auto</t>
    </r>
    <r>
      <rPr>
        <sz val="10"/>
        <rFont val="Noto Sans CJK SC"/>
        <family val="2"/>
      </rPr>
      <t xml:space="preserve">），排除③
定位：</t>
    </r>
    <r>
      <rPr>
        <sz val="10"/>
        <rFont val="Arial"/>
        <family val="0"/>
        <charset val="1"/>
      </rPr>
      <t xml:space="preserve">web/settings-prompts.js:725 `el('table', 'data vars-table')`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append </t>
    </r>
    <r>
      <rPr>
        <sz val="10"/>
        <rFont val="Noto Sans CJK SC"/>
        <family val="2"/>
      </rPr>
      <t xml:space="preserve">到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settings.css:347 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</t>
    </r>
    <r>
      <rPr>
        <sz val="10"/>
        <rFont val="Noto Sans CJK SC"/>
        <family val="2"/>
      </rPr>
      <t xml:space="preserve">），祖先鏈 </t>
    </r>
    <r>
      <rPr>
        <sz val="10"/>
        <rFont val="Arial"/>
        <family val="0"/>
        <charset val="1"/>
      </rPr>
      <t xml:space="preserve">.vars-cat→.vars-wrap→#vars-panel→#view-prompts→.page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overflow-x:visible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 — J-05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處橫向溢位」不成立</t>
    </r>
  </si>
  <si>
    <r>
      <rPr>
        <sz val="10"/>
        <rFont val="Noto Sans CJK SC"/>
        <family val="2"/>
      </rPr>
      <t xml:space="preserve">展開前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；展開後 </t>
    </r>
    <r>
      <rPr>
        <sz val="10"/>
        <rFont val="Arial"/>
        <family val="0"/>
        <charset val="1"/>
      </rPr>
      <t xml:space="preserve">3,673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viewport 390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張表寬 </t>
    </r>
    <r>
      <rPr>
        <sz val="10"/>
        <rFont val="Arial"/>
        <family val="0"/>
        <charset val="1"/>
      </rPr>
      <t xml:space="preserve">1780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747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3652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775 px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</si>
  <si>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DEF-002</t>
    </r>
    <r>
      <rPr>
        <sz val="10"/>
        <rFont val="Noto Sans CJK SC"/>
        <family val="2"/>
      </rPr>
      <t xml:space="preserve">；請一併掃描其他未包 </t>
    </r>
    <r>
      <rPr>
        <sz val="10"/>
        <rFont val="Arial"/>
        <family val="0"/>
        <charset val="1"/>
      </rPr>
      <t xml:space="preserve">.table-wrap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table</t>
    </r>
    <r>
      <rPr>
        <sz val="10"/>
        <rFont val="Noto Sans CJK SC"/>
        <family val="2"/>
      </rPr>
      <t xml:space="preserve">（同類），不要只修這一處</t>
    </r>
  </si>
  <si>
    <r>
      <rPr>
        <sz val="10"/>
        <rFont val="Noto Sans CJK SC"/>
        <family val="2"/>
      </rPr>
      <t xml:space="preserve">真實瀏覽器讀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洞察各分頁卡片的信心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GET /api/insights?limit=500 </t>
    </r>
    <r>
      <rPr>
        <sz val="10"/>
        <rFont val="Noto Sans CJK SC"/>
        <family val="2"/>
      </rPr>
      <t xml:space="preserve">逐卡比對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欄位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</si>
  <si>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#182 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，畫面顯示「信心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」；手冊 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期望「無預測顯示『純描述・無預測』」
假設：①前端以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而非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判斷；②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其實有值但被省略；③我看錯卡
排除：以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對照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原文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確為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unreadable=false</t>
    </r>
    <r>
      <rPr>
        <sz val="10"/>
        <rFont val="Noto Sans CJK SC"/>
        <family val="2"/>
      </rPr>
      <t xml:space="preserve">；同頁 </t>
    </r>
    <r>
      <rPr>
        <sz val="10"/>
        <rFont val="Arial"/>
        <family val="0"/>
        <charset val="1"/>
      </rPr>
      <t xml:space="preserve">TSLA #189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confidence=null</t>
    </r>
    <r>
      <rPr>
        <sz val="10"/>
        <rFont val="Noto Sans CJK SC"/>
        <family val="2"/>
      </rPr>
      <t xml:space="preserve">）正確顯示「純描述・無預測」，確認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邏輯存在且可觸發
定位：</t>
    </r>
    <r>
      <rPr>
        <sz val="10"/>
        <rFont val="Arial"/>
        <family val="0"/>
        <charset val="1"/>
      </rPr>
      <t xml:space="preserve">web/insights.html:317 `if (card.confidence == null) return </t>
    </r>
    <r>
      <rPr>
        <sz val="10"/>
        <rFont val="Noto Sans CJK SC"/>
        <family val="2"/>
      </rPr>
      <t xml:space="preserve">純描述・無預測</t>
    </r>
    <r>
      <rPr>
        <sz val="10"/>
        <rFont val="Arial"/>
        <family val="0"/>
        <charset val="1"/>
      </rPr>
      <t xml:space="preserve">`</t>
    </r>
    <r>
      <rPr>
        <sz val="10"/>
        <rFont val="Noto Sans CJK SC"/>
        <family val="2"/>
      </rPr>
      <t xml:space="preserve">，程式註解明言以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為準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行為與手冊描述不同，但程式是刻意設計，屬規格未定，交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裁定「無預測」的判準</t>
    </r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</si>
  <si>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</si>
  <si>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</si>
  <si>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；請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的卡是否仍顯示信心值</t>
    </r>
  </si>
  <si>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匯入頁，六類範本逐一下載後原文貼回，讀預覽表 </t>
    </r>
    <r>
      <rPr>
        <sz val="10"/>
        <rFont val="Arial"/>
        <family val="0"/>
        <charset val="1"/>
      </rPr>
      <t xml:space="preserve">&lt;tr&gt; </t>
    </r>
    <r>
      <rPr>
        <sz val="10"/>
        <rFont val="Noto Sans CJK SC"/>
        <family val="2"/>
      </rPr>
      <t xml:space="preserve">文字，並對照 </t>
    </r>
    <r>
      <rPr>
        <sz val="10"/>
        <rFont val="Arial"/>
        <family val="0"/>
        <charset val="1"/>
      </rPr>
      <t xml:space="preserve">POST /api/import/preview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rows[].data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</si>
  <si>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類共用表頭「</t>
    </r>
    <r>
      <rPr>
        <sz val="10"/>
        <rFont val="Arial"/>
        <family val="0"/>
        <charset val="1"/>
      </rPr>
      <t xml:space="preserve"># </t>
    </r>
    <r>
      <rPr>
        <sz val="10"/>
        <rFont val="Noto Sans CJK SC"/>
        <family val="2"/>
      </rPr>
      <t xml:space="preserve">日期 帳戶 買賣 代號 股數 價格 狀態 原因」，非交易類的金額欄全為「—」；</t>
    </r>
    <r>
      <rPr>
        <sz val="10"/>
        <rFont val="Arial"/>
        <family val="0"/>
        <charset val="1"/>
      </rPr>
      <t xml:space="preserve">API rows[].data </t>
    </r>
    <r>
      <rPr>
        <sz val="10"/>
        <rFont val="Noto Sans CJK SC"/>
        <family val="2"/>
      </rPr>
      <t xml:space="preserve">其實都有 </t>
    </r>
    <r>
      <rPr>
        <sz val="10"/>
        <rFont val="Arial"/>
        <family val="0"/>
        <charset val="1"/>
      </rPr>
      <t xml:space="preserve">amount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from_amount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ratio_to </t>
    </r>
    <r>
      <rPr>
        <sz val="10"/>
        <rFont val="Noto Sans CJK SC"/>
        <family val="2"/>
      </rPr>
      <t xml:space="preserve">等值
假設：①前端預覽表只為交易型設計；②後端沒回金額；③我切換類型後表格沒刷新
排除：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內有金額（例 </t>
    </r>
    <r>
      <rPr>
        <sz val="10"/>
        <rFont val="Arial"/>
        <family val="0"/>
        <charset val="1"/>
      </rPr>
      <t xml:space="preserve">cash n=0 amount 600000</t>
    </r>
    <r>
      <rPr>
        <sz val="10"/>
        <rFont val="Noto Sans CJK SC"/>
        <family val="2"/>
      </rPr>
      <t xml:space="preserve">），排除②；每次切換類型後表格列數與該範本列數一致、狀態訊息屬該類（如換匯的透支訊息），排除③
定位：畫面／前端預覽表渲染（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的解析預覽）
判定：可用性缺陷——使用者在「確認寫入勾選列」前無法核對金額；非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題直接判準，列為附帶發現</t>
    </r>
  </si>
  <si>
    <r>
      <rPr>
        <sz val="10"/>
        <rFont val="Noto Sans CJK SC"/>
        <family val="2"/>
      </rPr>
      <t xml:space="preserve">資金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列、股利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列、換匯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列、期初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列、公司行動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列：金額／比例欄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列有顯示；期初列日期 </t>
    </r>
    <r>
      <rPr>
        <sz val="10"/>
        <rFont val="Arial"/>
        <family val="0"/>
        <charset val="1"/>
      </rPr>
      <t xml:space="preserve">2/2 </t>
    </r>
    <r>
      <rPr>
        <sz val="10"/>
        <rFont val="Noto Sans CJK SC"/>
        <family val="2"/>
      </rPr>
      <t xml:space="preserve">顯示「—」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</si>
  <si>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DEF-004</t>
    </r>
    <r>
      <rPr>
        <sz val="10"/>
        <rFont val="Noto Sans CJK SC"/>
        <family val="2"/>
      </rPr>
      <t xml:space="preserve">；請一併檢查券商對帳單轉換報告的預覽欄位是否同樣只為交易設計</t>
    </r>
  </si>
  <si>
    <r>
      <rPr>
        <sz val="10"/>
        <rFont val="Noto Sans CJK SC"/>
        <family val="2"/>
      </rPr>
      <t xml:space="preserve">真實瀏覽器，先以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設值、再以實體鍵盤（</t>
    </r>
    <r>
      <rPr>
        <sz val="10"/>
        <rFont val="Arial"/>
        <family val="0"/>
        <charset val="1"/>
      </rPr>
      <t xml:space="preserve">triple-click → ctrl+a → Backspace → type "1.5"</t>
    </r>
    <r>
      <rPr>
        <sz val="10"/>
        <rFont val="Noto Sans CJK SC"/>
        <family val="2"/>
      </rPr>
      <t xml:space="preserve">）各輸入一次，讀欄位值、試算區文字與 </t>
    </r>
    <r>
      <rPr>
        <sz val="10"/>
        <rFont val="Arial"/>
        <family val="0"/>
        <charset val="1"/>
      </rPr>
      <t xml:space="preserve">POST /api/ledgers/corporate-actions/preview </t>
    </r>
    <r>
      <rPr>
        <sz val="10"/>
        <rFont val="Noto Sans CJK SC"/>
        <family val="2"/>
      </rPr>
      <t xml:space="preserve">請求本文</t>
    </r>
  </si>
  <si>
    <r>
      <rPr>
        <sz val="10"/>
        <rFont val="Noto Sans CJK SC"/>
        <family val="2"/>
      </rPr>
      <t xml:space="preserve">觀察：鍵入「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」後 </t>
    </r>
    <r>
      <rPr>
        <sz val="10"/>
        <rFont val="Arial"/>
        <family val="0"/>
        <charset val="1"/>
      </rPr>
      <t xml:space="preserve">input.value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"15"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preview </t>
    </r>
    <r>
      <rPr>
        <sz val="10"/>
        <rFont val="Noto Sans CJK SC"/>
        <family val="2"/>
      </rPr>
      <t xml:space="preserve">請求本文 </t>
    </r>
    <r>
      <rPr>
        <sz val="10"/>
        <rFont val="Arial"/>
        <family val="0"/>
        <charset val="1"/>
      </rPr>
      <t xml:space="preserve">ratio_from:"15"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ratio_to:"3"</t>
    </r>
    <r>
      <rPr>
        <sz val="10"/>
        <rFont val="Noto Sans CJK SC"/>
        <family val="2"/>
      </rPr>
      <t xml:space="preserve">，試算 </t>
    </r>
    <r>
      <rPr>
        <sz val="10"/>
        <rFont val="Arial"/>
        <family val="0"/>
        <charset val="1"/>
      </rPr>
      <t xml:space="preserve">100→20 </t>
    </r>
    <r>
      <rPr>
        <sz val="10"/>
        <rFont val="Noto Sans CJK SC"/>
        <family val="2"/>
      </rPr>
      <t xml:space="preserve">股，登錄鈕 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，畫面除常駐說明外無錯誤
假設：①前端即時清洗把非數字字元刪掉；②我的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設值方式造成（非真實輸入）；③後端把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解讀成 </t>
    </r>
    <r>
      <rPr>
        <sz val="10"/>
        <rFont val="Arial"/>
        <family val="0"/>
        <charset val="1"/>
      </rPr>
      <t xml:space="preserve">15
</t>
    </r>
    <r>
      <rPr>
        <sz val="10"/>
        <rFont val="Noto Sans CJK SC"/>
        <family val="2"/>
      </rPr>
      <t xml:space="preserve">排除：改用實體鍵盤輸入結果相同，排除②；請求本文已是 </t>
    </r>
    <r>
      <rPr>
        <sz val="10"/>
        <rFont val="Arial"/>
        <family val="0"/>
        <charset val="1"/>
      </rPr>
      <t xml:space="preserve">"15"</t>
    </r>
    <r>
      <rPr>
        <sz val="10"/>
        <rFont val="Noto Sans CJK SC"/>
        <family val="2"/>
      </rPr>
      <t xml:space="preserve">，後端收到的就是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，排除③
定位：</t>
    </r>
    <r>
      <rPr>
        <sz val="10"/>
        <rFont val="Arial"/>
        <family val="0"/>
        <charset val="1"/>
      </rPr>
      <t xml:space="preserve">web/corp-action-form.js:158 `const cleaned = n.value.replace(/[^0-9]/g, '')`</t>
    </r>
    <r>
      <rPr>
        <sz val="10"/>
        <rFont val="Noto Sans CJK SC"/>
        <family val="2"/>
      </rPr>
      <t xml:space="preserve">（程式註解稱真正的拒絕在後端 </t>
    </r>
    <r>
      <rPr>
        <sz val="10"/>
        <rFont val="Arial"/>
        <family val="0"/>
        <charset val="1"/>
      </rPr>
      <t xml:space="preserve">E6/E6a</t>
    </r>
    <r>
      <rPr>
        <sz val="10"/>
        <rFont val="Noto Sans CJK SC"/>
        <family val="2"/>
      </rPr>
      <t xml:space="preserve">，但前端先把小數改成合法整數，後端永遠看不到小數）
判定：</t>
    </r>
    <r>
      <rPr>
        <sz val="10"/>
        <rFont val="Arial"/>
        <family val="0"/>
        <charset val="1"/>
      </rPr>
      <t xml:space="preserve">FAIL — D-02 ③</t>
    </r>
    <r>
      <rPr>
        <sz val="10"/>
        <rFont val="Noto Sans CJK SC"/>
        <family val="2"/>
      </rPr>
      <t xml:space="preserve">「填小數應被擋」不成立，且被靜默改成另一個比例（</t>
    </r>
    <r>
      <rPr>
        <sz val="10"/>
        <rFont val="Arial"/>
        <family val="0"/>
        <charset val="1"/>
      </rPr>
      <t xml:space="preserve">1.5:3 ≒ 1:2 </t>
    </r>
    <r>
      <rPr>
        <sz val="10"/>
        <rFont val="Noto Sans CJK SC"/>
        <family val="2"/>
      </rPr>
      <t xml:space="preserve">分割 → 變成 </t>
    </r>
    <r>
      <rPr>
        <sz val="10"/>
        <rFont val="Arial"/>
        <family val="0"/>
        <charset val="1"/>
      </rPr>
      <t xml:space="preserve">15:3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5:1 </t>
    </r>
    <r>
      <rPr>
        <sz val="10"/>
        <rFont val="Noto Sans CJK SC"/>
        <family val="2"/>
      </rPr>
      <t xml:space="preserve">合股）</t>
    </r>
  </si>
  <si>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1.5 → </t>
    </r>
    <r>
      <rPr>
        <sz val="10"/>
        <rFont val="Noto Sans CJK SC"/>
        <family val="2"/>
      </rPr>
      <t xml:space="preserve">欄位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；試算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93.20→466.00</t>
    </r>
    <r>
      <rPr>
        <sz val="10"/>
        <rFont val="Noto Sans CJK SC"/>
        <family val="2"/>
      </rPr>
      <t xml:space="preserve">；登錄鈕 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筆寫入（測畢取消）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</si>
  <si>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DEF-005</t>
    </r>
    <r>
      <rPr>
        <sz val="10"/>
        <rFont val="Noto Sans CJK SC"/>
        <family val="2"/>
      </rPr>
      <t xml:space="preserve">；請掃描所有會「清洗」數字輸入的欄位（同類：</t>
    </r>
    <r>
      <rPr>
        <sz val="10"/>
        <rFont val="Arial"/>
        <family val="0"/>
        <charset val="1"/>
      </rPr>
      <t xml:space="preserve">replace(/[^0-9]/g) </t>
    </r>
    <r>
      <rPr>
        <sz val="10"/>
        <rFont val="Noto Sans CJK SC"/>
        <family val="2"/>
      </rPr>
      <t xml:space="preserve">等），確認沒有其他把小數悄悄改成整數的地方</t>
    </r>
  </si>
  <si>
    <r>
      <rPr>
        <sz val="10"/>
        <rFont val="Noto Sans CJK SC"/>
        <family val="2"/>
      </rPr>
      <t xml:space="preserve">真實瀏覽器讀每種方向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className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背景／文字色</t>
    </r>
  </si>
  <si>
    <r>
      <rPr>
        <sz val="10"/>
        <rFont val="Noto Sans CJK SC"/>
        <family val="2"/>
      </rPr>
      <t xml:space="preserve">觀察：入金 </t>
    </r>
    <r>
      <rPr>
        <sz val="10"/>
        <rFont val="Arial"/>
        <family val="0"/>
        <charset val="1"/>
      </rPr>
      <t xml:space="preserve">dir-chip dir-buy bg=rgb(154,166,181) fg=rgb(12,16,21)</t>
    </r>
    <r>
      <rPr>
        <sz val="10"/>
        <rFont val="Noto Sans CJK SC"/>
        <family val="2"/>
      </rPr>
      <t xml:space="preserve">；出金 </t>
    </r>
    <r>
      <rPr>
        <sz val="10"/>
        <rFont val="Arial"/>
        <family val="0"/>
        <charset val="1"/>
      </rPr>
      <t xml:space="preserve">dir-chip dir-sell bg=transparent fg=rgb(154,166,181)
</t>
    </r>
    <r>
      <rPr>
        <sz val="10"/>
        <rFont val="Noto Sans CJK SC"/>
        <family val="2"/>
      </rPr>
      <t xml:space="preserve">假設：①刻意的中性色設計；②主題色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沒載入（深色主題）；③我抓錯元素
排除：同一 </t>
    </r>
    <r>
      <rPr>
        <sz val="10"/>
        <rFont val="Arial"/>
        <family val="0"/>
        <charset val="1"/>
      </rPr>
      <t xml:space="preserve">td </t>
    </r>
    <r>
      <rPr>
        <sz val="10"/>
        <rFont val="Noto Sans CJK SC"/>
        <family val="2"/>
      </rPr>
      <t xml:space="preserve">內只有這一個 </t>
    </r>
    <r>
      <rPr>
        <sz val="10"/>
        <rFont val="Arial"/>
        <family val="0"/>
        <charset val="1"/>
      </rPr>
      <t xml:space="preserve">dir-chip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原始碼 </t>
    </r>
    <r>
      <rPr>
        <sz val="10"/>
        <rFont val="Arial"/>
        <family val="0"/>
        <charset val="1"/>
      </rPr>
      <t xml:space="preserve">web/styles.css:390-391 </t>
    </r>
    <r>
      <rPr>
        <sz val="10"/>
        <rFont val="Noto Sans CJK SC"/>
        <family val="2"/>
      </rPr>
      <t xml:space="preserve">即定義 </t>
    </r>
    <r>
      <rPr>
        <sz val="10"/>
        <rFont val="Arial"/>
        <family val="0"/>
        <charset val="1"/>
      </rPr>
      <t xml:space="preserve">.dir-buy </t>
    </r>
    <r>
      <rPr>
        <sz val="10"/>
        <rFont val="Noto Sans CJK SC"/>
        <family val="2"/>
      </rPr>
      <t xml:space="preserve">背景 </t>
    </r>
    <r>
      <rPr>
        <sz val="10"/>
        <rFont val="Arial"/>
        <family val="0"/>
        <charset val="1"/>
      </rPr>
      <t xml:space="preserve">var(--text-2)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.dir-sell </t>
    </r>
    <r>
      <rPr>
        <sz val="10"/>
        <rFont val="Noto Sans CJK SC"/>
        <family val="2"/>
      </rPr>
      <t xml:space="preserve">外框，並有註解「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不用紅綠）」，非載入問題
定位：</t>
    </r>
    <r>
      <rPr>
        <sz val="10"/>
        <rFont val="Arial"/>
        <family val="0"/>
        <charset val="1"/>
      </rPr>
      <t xml:space="preserve">web/styles.css:382-391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手冊期望與既有設計決策衝突，交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裁定以哪個為準</t>
    </r>
  </si>
  <si>
    <t xml:space="preserve">入金／折讓款：實心灰；出金：外框灰；無綠／紅色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</si>
  <si>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；請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裁定：改手冊期望（中性色）或改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（綠／扣款色）</t>
    </r>
  </si>
  <si>
    <r>
      <rPr>
        <sz val="10"/>
        <rFont val="Noto Sans CJK SC"/>
        <family val="2"/>
      </rPr>
      <t xml:space="preserve">真實瀏覽器；同一操作以「快速連續填入」與「每步等待＋實體鍵盤」各做一次，讀 </t>
    </r>
    <r>
      <rPr>
        <sz val="10"/>
        <rFont val="Arial"/>
        <family val="0"/>
        <charset val="1"/>
      </rPr>
      <t xml:space="preserve">POST /api/cash/movements </t>
    </r>
    <r>
      <rPr>
        <sz val="10"/>
        <rFont val="Noto Sans CJK SC"/>
        <family val="2"/>
      </rPr>
      <t xml:space="preserve">本文與 </t>
    </r>
    <r>
      <rPr>
        <sz val="10"/>
        <rFont val="Arial"/>
        <family val="0"/>
        <charset val="1"/>
      </rPr>
      <t xml:space="preserve">/api/ledgers/cash </t>
    </r>
    <r>
      <rPr>
        <sz val="10"/>
        <rFont val="Noto Sans CJK SC"/>
        <family val="2"/>
      </rPr>
      <t xml:space="preserve">回寫值；再讀原始碼定位</t>
    </r>
  </si>
  <si>
    <r>
      <rPr>
        <sz val="10"/>
        <rFont val="Noto Sans CJK SC"/>
        <family val="2"/>
      </rPr>
      <t xml:space="preserve">觀察：快速填入時送出 </t>
    </r>
    <r>
      <rPr>
        <sz val="10"/>
        <rFont val="Arial"/>
        <family val="0"/>
        <charset val="1"/>
      </rPr>
      <t xml:space="preserve">acq_rate 31.698999</t>
    </r>
    <r>
      <rPr>
        <sz val="10"/>
        <rFont val="Noto Sans CJK SC"/>
        <family val="2"/>
      </rPr>
      <t xml:space="preserve">（使用者值 </t>
    </r>
    <r>
      <rPr>
        <sz val="10"/>
        <rFont val="Arial"/>
        <family val="0"/>
        <charset val="1"/>
      </rPr>
      <t xml:space="preserve">31.5 </t>
    </r>
    <r>
      <rPr>
        <sz val="10"/>
        <rFont val="Noto Sans CJK SC"/>
        <family val="2"/>
      </rPr>
      <t xml:space="preserve">消失）；放慢時送出 </t>
    </r>
    <r>
      <rPr>
        <sz val="10"/>
        <rFont val="Arial"/>
        <family val="0"/>
        <charset val="1"/>
      </rPr>
      <t xml:space="preserve">31.5
</t>
    </r>
    <r>
      <rPr>
        <sz val="10"/>
        <rFont val="Noto Sans CJK SC"/>
        <family val="2"/>
      </rPr>
      <t xml:space="preserve">假設：①</t>
    </r>
    <r>
      <rPr>
        <sz val="10"/>
        <rFont val="Arial"/>
        <family val="0"/>
        <charset val="1"/>
      </rPr>
      <t xml:space="preserve">prefillAcq() </t>
    </r>
    <r>
      <rPr>
        <sz val="10"/>
        <rFont val="Noto Sans CJK SC"/>
        <family val="2"/>
      </rPr>
      <t xml:space="preserve">的非同步回應無條件覆寫欄位；②我的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設值沒觸發 </t>
    </r>
    <r>
      <rPr>
        <sz val="10"/>
        <rFont val="Arial"/>
        <family val="0"/>
        <charset val="1"/>
      </rPr>
      <t xml:space="preserve">input </t>
    </r>
    <r>
      <rPr>
        <sz val="10"/>
        <rFont val="Noto Sans CJK SC"/>
        <family val="2"/>
      </rPr>
      <t xml:space="preserve">事件，前端沒收到；③後端忽略 </t>
    </r>
    <r>
      <rPr>
        <sz val="10"/>
        <rFont val="Arial"/>
        <family val="0"/>
        <charset val="1"/>
      </rPr>
      <t xml:space="preserve">acq_rate </t>
    </r>
    <r>
      <rPr>
        <sz val="10"/>
        <rFont val="Noto Sans CJK SC"/>
        <family val="2"/>
      </rPr>
      <t xml:space="preserve">改用市價
排除：放慢後同樣的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設值＋實體鍵盤能正確送出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，且後端照單寫入 </t>
    </r>
    <r>
      <rPr>
        <sz val="10"/>
        <rFont val="Arial"/>
        <family val="0"/>
        <charset val="1"/>
      </rPr>
      <t xml:space="preserve">31500</t>
    </r>
    <r>
      <rPr>
        <sz val="10"/>
        <rFont val="Noto Sans CJK SC"/>
        <family val="2"/>
      </rPr>
      <t xml:space="preserve">，排除③；第一次的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本文已是 </t>
    </r>
    <r>
      <rPr>
        <sz val="10"/>
        <rFont val="Arial"/>
        <family val="0"/>
        <charset val="1"/>
      </rPr>
      <t xml:space="preserve">31.698999</t>
    </r>
    <r>
      <rPr>
        <sz val="10"/>
        <rFont val="Noto Sans CJK SC"/>
        <family val="2"/>
      </rPr>
      <t xml:space="preserve">，代表前端送出前欄位就被改掉，不是後端，排除②
定位：</t>
    </r>
    <r>
      <rPr>
        <sz val="10"/>
        <rFont val="Arial"/>
        <family val="0"/>
        <charset val="1"/>
      </rPr>
      <t xml:space="preserve">web/cash.js:926-949 prefillAcq()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`const r = await api.get('/api/cash/acq-rate'…)` </t>
    </r>
    <r>
      <rPr>
        <sz val="10"/>
        <rFont val="Noto Sans CJK SC"/>
        <family val="2"/>
      </rPr>
      <t xml:space="preserve">之後只檢查 </t>
    </r>
    <r>
      <rPr>
        <sz val="10"/>
        <rFont val="Arial"/>
        <family val="0"/>
        <charset val="1"/>
      </rPr>
      <t xml:space="preserve">seq</t>
    </r>
    <r>
      <rPr>
        <sz val="10"/>
        <rFont val="Noto Sans CJK SC"/>
        <family val="2"/>
      </rPr>
      <t xml:space="preserve">（其他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呼叫），未檢查使用者是否已編輯，直接 </t>
    </r>
    <r>
      <rPr>
        <sz val="10"/>
        <rFont val="Arial"/>
        <family val="0"/>
        <charset val="1"/>
      </rPr>
      <t xml:space="preserve">`$('#cm-acq-mode').value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 </t>
    </r>
    <r>
      <rPr>
        <sz val="10"/>
        <rFont val="Noto Sans CJK SC"/>
        <family val="2"/>
      </rPr>
      <t xml:space="preserve">提示句用 </t>
    </r>
    <r>
      <rPr>
        <sz val="10"/>
        <rFont val="Arial"/>
        <family val="0"/>
        <charset val="1"/>
      </rPr>
      <t xml:space="preserve">`on`</t>
    </r>
    <r>
      <rPr>
        <sz val="10"/>
        <rFont val="Noto Sans CJK SC"/>
        <family val="2"/>
      </rPr>
      <t xml:space="preserve">（輸入日）而非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。本站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延遲實測可達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秒，視窗真實存在
判定：</t>
    </r>
    <r>
      <rPr>
        <sz val="10"/>
        <rFont val="Arial"/>
        <family val="0"/>
        <charset val="1"/>
      </rPr>
      <t xml:space="preserve">FAIL — </t>
    </r>
    <r>
      <rPr>
        <sz val="10"/>
        <rFont val="Noto Sans CJK SC"/>
        <family val="2"/>
      </rPr>
      <t xml:space="preserve">依步驟操作可能寫入錯誤的取得成本（影響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成本池與匯損益）</t>
    </r>
  </si>
  <si>
    <r>
      <rPr>
        <sz val="10"/>
        <rFont val="Noto Sans CJK SC"/>
        <family val="2"/>
      </rPr>
      <t xml:space="preserve">快速：</t>
    </r>
    <r>
      <rPr>
        <sz val="10"/>
        <rFont val="Arial"/>
        <family val="0"/>
        <charset val="1"/>
      </rPr>
      <t xml:space="preserve">acq_home_amount 31699</t>
    </r>
    <r>
      <rPr>
        <sz val="10"/>
        <rFont val="Noto Sans CJK SC"/>
        <family val="2"/>
      </rPr>
      <t xml:space="preserve">（錯）；放慢：</t>
    </r>
    <r>
      <rPr>
        <sz val="10"/>
        <rFont val="Arial"/>
        <family val="0"/>
        <charset val="1"/>
      </rPr>
      <t xml:space="preserve">31500</t>
    </r>
    <r>
      <rPr>
        <sz val="10"/>
        <rFont val="Noto Sans CJK SC"/>
        <family val="2"/>
      </rPr>
      <t xml:space="preserve">（對）；提示「參考值：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收盤」</t>
    </r>
    <r>
      <rPr>
        <sz val="10"/>
        <rFont val="Arial"/>
        <family val="0"/>
        <charset val="1"/>
      </rPr>
      <t xml:space="preserve">vs API as_of 2026-09-22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</si>
  <si>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DEF-007</t>
    </r>
    <r>
      <rPr>
        <sz val="10"/>
        <rFont val="Noto Sans CJK SC"/>
        <family val="2"/>
      </rPr>
      <t xml:space="preserve">；同類：換匯中心 </t>
    </r>
    <r>
      <rPr>
        <sz val="10"/>
        <rFont val="Arial"/>
        <family val="0"/>
        <charset val="1"/>
      </rPr>
      <t xml:space="preserve">fx-estimate </t>
    </r>
    <r>
      <rPr>
        <sz val="10"/>
        <rFont val="Noto Sans CJK SC"/>
        <family val="2"/>
      </rPr>
      <t xml:space="preserve">自動回填（</t>
    </r>
    <r>
      <rPr>
        <sz val="10"/>
        <rFont val="Arial"/>
        <family val="0"/>
        <charset val="1"/>
      </rPr>
      <t xml:space="preserve">web/cash.js:1172 </t>
    </r>
    <r>
      <rPr>
        <sz val="10"/>
        <rFont val="Noto Sans CJK SC"/>
        <family val="2"/>
      </rPr>
      <t xml:space="preserve">起）是否也會蓋掉使用者手動輸入，請一併掃描</t>
    </r>
  </si>
  <si>
    <r>
      <rPr>
        <sz val="10"/>
        <rFont val="Noto Sans CJK SC"/>
        <family val="2"/>
      </rPr>
      <t xml:space="preserve">真實瀏覽器操作出金表單（</t>
    </r>
    <r>
      <rPr>
        <sz val="10"/>
        <rFont val="Arial"/>
        <family val="0"/>
        <charset val="1"/>
      </rPr>
      <t xml:space="preserve">A-06 </t>
    </r>
    <r>
      <rPr>
        <sz val="10"/>
        <rFont val="Noto Sans CJK SC"/>
        <family val="2"/>
      </rPr>
      <t xml:space="preserve">路徑）＋對當日透支以相同本文直送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（前端已擋，只用來看後端訊息），讀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回應與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文字</t>
    </r>
  </si>
  <si>
    <r>
      <rPr>
        <sz val="10"/>
        <rFont val="Noto Sans CJK SC"/>
        <family val="2"/>
      </rPr>
      <t xml:space="preserve">觀察：兩條透支分支訊息不一致——過去日期分支會點名「於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降至」，當日分支只說「超過…帳戶現金」；兩者都寫「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」（畫面其他地方統一為「台灣券商」），金額為 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-253820.0000 </t>
    </r>
    <r>
      <rPr>
        <sz val="10"/>
        <rFont val="Noto Sans CJK SC"/>
        <family val="2"/>
      </rPr>
      <t xml:space="preserve">原值，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尾端附英文錯誤碼
假設：①後端組字串直接用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；②前端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附加在 </t>
    </r>
    <r>
      <rPr>
        <sz val="10"/>
        <rFont val="Arial"/>
        <family val="0"/>
        <charset val="1"/>
      </rPr>
      <t xml:space="preserve">message </t>
    </r>
    <r>
      <rPr>
        <sz val="10"/>
        <rFont val="Noto Sans CJK SC"/>
        <family val="2"/>
      </rPr>
      <t xml:space="preserve">後；③我看的是開發者模式訊息
排除：同頁手動交易帳戶下拉顯示「台灣券商（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）」，名稱解析器可用，排除解析器故障；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為一般使用者畫面
定位：後端出金透支檢核（錯誤碼 </t>
    </r>
    <r>
      <rPr>
        <sz val="10"/>
        <rFont val="Arial"/>
        <family val="0"/>
        <charset val="1"/>
      </rPr>
      <t xml:space="preserve">withdraw_insufficient_balance</t>
    </r>
    <r>
      <rPr>
        <sz val="10"/>
        <rFont val="Noto Sans CJK SC"/>
        <family val="2"/>
      </rPr>
      <t xml:space="preserve">）的訊息組字；前端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的邏輯（</t>
    </r>
    <r>
      <rPr>
        <sz val="10"/>
        <rFont val="Arial"/>
        <family val="0"/>
        <charset val="1"/>
      </rPr>
      <t xml:space="preserve">validation_error </t>
    </r>
    <r>
      <rPr>
        <sz val="10"/>
        <rFont val="Noto Sans CJK SC"/>
        <family val="2"/>
      </rPr>
      <t xml:space="preserve">同樣出現）
判定：</t>
    </r>
    <r>
      <rPr>
        <sz val="10"/>
        <rFont val="Arial"/>
        <family val="0"/>
        <charset val="1"/>
      </rPr>
      <t xml:space="preserve">A-05 ②</t>
    </r>
    <r>
      <rPr>
        <sz val="10"/>
        <rFont val="Noto Sans CJK SC"/>
        <family val="2"/>
      </rPr>
      <t xml:space="preserve">「訊息需指出是哪一天開始透支」不成立；帳戶名稱雙軌屬前一輪稽核已處理過的類別，後端訊息未納入</t>
    </r>
  </si>
  <si>
    <r>
      <rPr>
        <sz val="10"/>
        <rFont val="Noto Sans CJK SC"/>
        <family val="2"/>
      </rPr>
      <t xml:space="preserve">當日分支：無日期；兩分支皆「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withdraw_insufficient_balance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validation_error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</si>
  <si>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DEF-008</t>
    </r>
    <r>
      <rPr>
        <sz val="10"/>
        <rFont val="Noto Sans CJK SC"/>
        <family val="2"/>
      </rPr>
      <t xml:space="preserve">；同類掃描：後端所有使用者可見訊息中直接引用 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的地方；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是否應顯示錯誤碼</t>
    </r>
  </si>
  <si>
    <r>
      <rPr>
        <sz val="10"/>
        <rFont val="Noto Sans CJK SC"/>
        <family val="2"/>
      </rPr>
      <t xml:space="preserve">真實瀏覽器點折讓款列的編輯，讀對話框欄位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狀態與說明文字（未儲存）</t>
    </r>
  </si>
  <si>
    <r>
      <rPr>
        <sz val="10"/>
        <rFont val="Noto Sans CJK SC"/>
        <family val="2"/>
      </rPr>
      <t xml:space="preserve">觀察：折讓款列的「編輯」「刪除」皆可按；編輯框只鎖日期／類型／備註，金額可改
假設：①刻意設計（允許修正退款金額）；②鎖定邏輯漏了金額欄；③我點到別列
排除：對話框標題 </t>
    </r>
    <r>
      <rPr>
        <sz val="10"/>
        <rFont val="Arial"/>
        <family val="0"/>
        <charset val="1"/>
      </rPr>
      <t xml:space="preserve">#34</t>
    </r>
    <r>
      <rPr>
        <sz val="10"/>
        <rFont val="Noto Sans CJK SC"/>
        <family val="2"/>
      </rPr>
      <t xml:space="preserve">、欄位值 </t>
    </r>
    <r>
      <rPr>
        <sz val="10"/>
        <rFont val="Arial"/>
        <family val="0"/>
        <charset val="1"/>
      </rPr>
      <t xml:space="preserve">2026-02-01</t>
    </r>
    <r>
      <rPr>
        <sz val="10"/>
        <rFont val="Noto Sans CJK SC"/>
        <family val="2"/>
      </rPr>
      <t xml:space="preserve">／折讓款／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折讓款，確為該列；框內說明明言「僅可修正金額」，屬刻意設計，排除②
定位：資金收支編輯對話框（折讓款分支）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與手冊 </t>
    </r>
    <r>
      <rPr>
        <sz val="10"/>
        <rFont val="Arial"/>
        <family val="0"/>
        <charset val="1"/>
      </rPr>
      <t xml:space="preserve">A-11②</t>
    </r>
    <r>
      <rPr>
        <sz val="10"/>
        <rFont val="Noto Sans CJK SC"/>
        <family val="2"/>
      </rPr>
      <t xml:space="preserve">「折讓款列不可編輯」不同，交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</t>
    </r>
  </si>
  <si>
    <r>
      <rPr>
        <sz val="10"/>
        <rFont val="Noto Sans CJK SC"/>
        <family val="2"/>
      </rPr>
      <t xml:space="preserve">日期／類型／備註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；金額 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；儲存鈕可按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</si>
  <si>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；請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裁定：折讓款金額能否在資金收支直接修改，或只能從收件匣復原後重新確認</t>
    </r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</si>
  <si>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GET /api/ledgers/transactions </t>
    </r>
    <r>
      <rPr>
        <sz val="10"/>
        <rFont val="Noto Sans CJK SC"/>
        <family val="2"/>
      </rPr>
      <t xml:space="preserve">讀每筆 </t>
    </r>
    <r>
      <rPr>
        <sz val="10"/>
        <rFont val="Arial"/>
        <family val="0"/>
        <charset val="1"/>
      </rPr>
      <t xml:space="preserve">fee_snapshot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/api/rebates </t>
    </r>
    <r>
      <rPr>
        <sz val="10"/>
        <rFont val="Noto Sans CJK SC"/>
        <family val="2"/>
      </rPr>
      <t xml:space="preserve">各月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expected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</si>
  <si>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fee_snapshot </t>
    </r>
    <r>
      <rPr>
        <sz val="10"/>
        <rFont val="Noto Sans CJK SC"/>
        <family val="2"/>
      </rPr>
      <t xml:space="preserve">同時記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rebate_rate 0.77 </t>
    </r>
    <r>
      <rPr>
        <sz val="10"/>
        <rFont val="Noto Sans CJK SC"/>
        <family val="2"/>
      </rPr>
      <t xml:space="preserve">的交易，預估退款照算
假設：①預估器只看目前規則的 </t>
    </r>
    <r>
      <rPr>
        <sz val="10"/>
        <rFont val="Arial"/>
        <family val="0"/>
        <charset val="1"/>
      </rPr>
      <t xml:space="preserve">rebate_rate</t>
    </r>
    <r>
      <rPr>
        <sz val="10"/>
        <rFont val="Noto Sans CJK SC"/>
        <family val="2"/>
      </rPr>
      <t xml:space="preserve">、不看交易快照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；②這些交易是舊設定（雙重優惠）時期寫入的資料；③快照解讀錯誤
排除：</t>
    </r>
    <r>
      <rPr>
        <sz val="10"/>
        <rFont val="Arial"/>
        <family val="0"/>
        <charset val="1"/>
      </rPr>
      <t xml:space="preserve">.claude/rules/markets-and-fees.md </t>
    </r>
    <r>
      <rPr>
        <sz val="10"/>
        <rFont val="Noto Sans CJK SC"/>
        <family val="2"/>
      </rPr>
      <t xml:space="preserve">明載「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rebate_rate&gt;0 </t>
    </r>
    <r>
      <rPr>
        <sz val="10"/>
        <rFont val="Noto Sans CJK SC"/>
        <family val="2"/>
      </rPr>
      <t xml:space="preserve">會重複套用…</t>
    </r>
    <r>
      <rPr>
        <sz val="10"/>
        <rFont val="Arial"/>
        <family val="0"/>
        <charset val="1"/>
      </rPr>
      <t xml:space="preserve">measured on the test site 2026-07-30: 869 charged as 199 and still forecast a 153 refund</t>
    </r>
    <r>
      <rPr>
        <sz val="10"/>
        <rFont val="Noto Sans CJK SC"/>
        <family val="2"/>
      </rPr>
      <t xml:space="preserve">」，與本例完全一致，確認解讀正確
定位：</t>
    </r>
    <r>
      <rPr>
        <sz val="10"/>
        <rFont val="Arial"/>
        <family val="0"/>
        <charset val="1"/>
      </rPr>
      <t xml:space="preserve">portfolio_dash/api/rebates.py:189 </t>
    </r>
    <r>
      <rPr>
        <sz val="10"/>
        <rFont val="Noto Sans CJK SC"/>
        <family val="2"/>
      </rPr>
      <t xml:space="preserve">取規則集 </t>
    </r>
    <r>
      <rPr>
        <sz val="10"/>
        <rFont val="Arial"/>
        <family val="0"/>
        <charset val="1"/>
      </rPr>
      <t xml:space="preserve">rebate_rate</t>
    </r>
    <r>
      <rPr>
        <sz val="10"/>
        <rFont val="Noto Sans CJK SC"/>
        <family val="2"/>
      </rPr>
      <t xml:space="preserve">，未檢查交易快照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；目前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 </t>
    </r>
    <r>
      <rPr>
        <sz val="10"/>
        <rFont val="Arial"/>
        <family val="0"/>
        <charset val="1"/>
      </rPr>
      <t xml:space="preserve">discount=1 </t>
    </r>
    <r>
      <rPr>
        <sz val="10"/>
        <rFont val="Noto Sans CJK SC"/>
        <family val="2"/>
      </rPr>
      <t xml:space="preserve">為一致設定，新交易不受影響
判定：歷史資料在不一致設定下寫入，預估器沒有交易層級防護 → 列為資料殘留，交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裁定清理或加防護</t>
    </r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</si>
  <si>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</si>
  <si>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；請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裁定：清理這批快照，或讓預估器略過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的交易</t>
    </r>
  </si>
  <si>
    <r>
      <rPr>
        <sz val="10"/>
        <rFont val="Noto Sans CJK SC"/>
        <family val="2"/>
      </rPr>
      <t xml:space="preserve">真實瀏覽器確認折讓款入帳前後各取一次 </t>
    </r>
    <r>
      <rPr>
        <sz val="10"/>
        <rFont val="Arial"/>
        <family val="0"/>
        <charset val="1"/>
      </rPr>
      <t xml:space="preserve">/api/dashboard kpis </t>
    </r>
    <r>
      <rPr>
        <sz val="10"/>
        <rFont val="Noto Sans CJK SC"/>
        <family val="2"/>
      </rPr>
      <t xml:space="preserve">逐欄比對；讀收件匣文案；測畢刪除該筆還原</t>
    </r>
  </si>
  <si>
    <r>
      <rPr>
        <sz val="10"/>
        <rFont val="Noto Sans CJK SC"/>
        <family val="2"/>
      </rPr>
      <t xml:space="preserve">觀察：文案說不計入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與損益，實際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變了、含匯兌總損益 </t>
    </r>
    <r>
      <rPr>
        <sz val="10"/>
        <rFont val="Arial"/>
        <family val="0"/>
        <charset val="1"/>
      </rPr>
      <t xml:space="preserve">+620
</t>
    </r>
    <r>
      <rPr>
        <sz val="10"/>
        <rFont val="Noto Sans CJK SC"/>
        <family val="2"/>
      </rPr>
      <t xml:space="preserve">假設：①文案過時（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規則已改）；②計算錯把折讓款算進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；③我比對到別的變動
排除：兩次讀取之間只有這一筆寫入，刪除後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10.22406575305222</t>
    </r>
    <r>
      <rPr>
        <sz val="10"/>
        <rFont val="Noto Sans CJK SC"/>
        <family val="2"/>
      </rPr>
      <t xml:space="preserve">，排除③；原始碼 </t>
    </r>
    <r>
      <rPr>
        <sz val="10"/>
        <rFont val="Arial"/>
        <family val="0"/>
        <charset val="1"/>
      </rPr>
      <t xml:space="preserve">portfolio_dash/portfolio/returns.py XIRR_CASH_KINDS </t>
    </r>
    <r>
      <rPr>
        <sz val="10"/>
        <rFont val="Noto Sans CJK SC"/>
        <family val="2"/>
      </rPr>
      <t xml:space="preserve">明列 </t>
    </r>
    <r>
      <rPr>
        <sz val="10"/>
        <rFont val="Arial"/>
        <family val="0"/>
        <charset val="1"/>
      </rPr>
      <t xml:space="preserve">REBATE</t>
    </r>
    <r>
      <rPr>
        <sz val="10"/>
        <rFont val="Noto Sans CJK SC"/>
        <family val="2"/>
      </rPr>
      <t xml:space="preserve">，註解為 </t>
    </r>
    <r>
      <rPr>
        <sz val="10"/>
        <rFont val="Arial"/>
        <family val="0"/>
        <charset val="1"/>
      </rPr>
      <t xml:space="preserve">owner 2026-08-24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），行為是刻意的，排除②
定位：收件匣折讓款區塊文案（</t>
    </r>
    <r>
      <rPr>
        <sz val="10"/>
        <rFont val="Arial"/>
        <family val="0"/>
        <charset val="1"/>
      </rPr>
      <t xml:space="preserve">web/dividend-inbox.html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rebate-inbox.js </t>
    </r>
    <r>
      <rPr>
        <sz val="10"/>
        <rFont val="Noto Sans CJK SC"/>
        <family val="2"/>
      </rPr>
      <t xml:space="preserve">的說明字串）未隨 </t>
    </r>
    <r>
      <rPr>
        <sz val="10"/>
        <rFont val="Arial"/>
        <family val="0"/>
        <charset val="1"/>
      </rPr>
      <t xml:space="preserve">AI-D42 </t>
    </r>
    <r>
      <rPr>
        <sz val="10"/>
        <rFont val="Noto Sans CJK SC"/>
        <family val="2"/>
      </rPr>
      <t xml:space="preserve">更新
判定：畫面資訊與系統行為互相矛盾（中）</t>
    </r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</si>
  <si>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</si>
  <si>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DEF-011</t>
    </r>
    <r>
      <rPr>
        <sz val="10"/>
        <rFont val="Noto Sans CJK SC"/>
        <family val="2"/>
      </rPr>
      <t xml:space="preserve">；同類：其他提到「不計入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」的文案（如 </t>
    </r>
    <r>
      <rPr>
        <sz val="10"/>
        <rFont val="Arial"/>
        <family val="0"/>
        <charset val="1"/>
      </rPr>
      <t xml:space="preserve">AI-D42 </t>
    </r>
    <r>
      <rPr>
        <sz val="10"/>
        <rFont val="Noto Sans CJK SC"/>
        <family val="2"/>
      </rPr>
      <t xml:space="preserve">前寫的說明、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）請一併掃描</t>
    </r>
  </si>
  <si>
    <r>
      <rPr>
        <sz val="10"/>
        <rFont val="Noto Sans CJK SC"/>
        <family val="2"/>
      </rPr>
      <t xml:space="preserve">真實瀏覽器逐筆寫入，每步讀 </t>
    </r>
    <r>
      <rPr>
        <sz val="10"/>
        <rFont val="Arial"/>
        <family val="0"/>
        <charset val="1"/>
      </rPr>
      <t xml:space="preserve">position_preview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GET /api/dashboard realized.rows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；另補做一次「只寫 ① 後預覽 ②」取得賣出當下的草稿數字作對照；全部刪除後逐位元比對</t>
    </r>
  </si>
  <si>
    <r>
      <rPr>
        <sz val="10"/>
        <rFont val="Noto Sans CJK SC"/>
        <family val="2"/>
      </rPr>
      <t xml:space="preserve">觀察：賣出當下草稿 </t>
    </r>
    <r>
      <rPr>
        <sz val="10"/>
        <rFont val="Arial"/>
        <family val="0"/>
        <charset val="1"/>
      </rPr>
      <t xml:space="preserve">realized −1,579.67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60.4667</t>
    </r>
    <r>
      <rPr>
        <sz val="10"/>
        <rFont val="Noto Sans CJK SC"/>
        <family val="2"/>
      </rPr>
      <t xml:space="preserve">），寫完第三筆後帳本同一筆賣出變 −</t>
    </r>
    <r>
      <rPr>
        <sz val="10"/>
        <rFont val="Arial"/>
        <family val="0"/>
        <charset val="1"/>
      </rPr>
      <t xml:space="preserve">1,223.00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56.90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(9,320+8,820+4,620)/400</t>
    </r>
    <r>
      <rPr>
        <sz val="10"/>
        <rFont val="Noto Sans CJK SC"/>
        <family val="2"/>
      </rPr>
      <t xml:space="preserve">）
假設：①同日事件依固定優先序排序（買先於賣）而非輸入順序；②交易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或日期寫錯導致排序錯；③均價計算本身有誤
排除：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id 75(</t>
    </r>
    <r>
      <rPr>
        <sz val="10"/>
        <rFont val="Noto Sans CJK SC"/>
        <family val="2"/>
      </rPr>
      <t xml:space="preserve">買</t>
    </r>
    <r>
      <rPr>
        <sz val="10"/>
        <rFont val="Arial"/>
        <family val="0"/>
        <charset val="1"/>
      </rPr>
      <t xml:space="preserve">)/76(</t>
    </r>
    <r>
      <rPr>
        <sz val="10"/>
        <rFont val="Noto Sans CJK SC"/>
        <family val="2"/>
      </rPr>
      <t xml:space="preserve">賣</t>
    </r>
    <r>
      <rPr>
        <sz val="10"/>
        <rFont val="Arial"/>
        <family val="0"/>
        <charset val="1"/>
      </rPr>
      <t xml:space="preserve">)/77(</t>
    </r>
    <r>
      <rPr>
        <sz val="10"/>
        <rFont val="Noto Sans CJK SC"/>
        <family val="2"/>
      </rPr>
      <t xml:space="preserve">買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順序正確，排除②；以「買、買、賣」手算 </t>
    </r>
    <r>
      <rPr>
        <sz val="10"/>
        <rFont val="Arial"/>
        <family val="0"/>
        <charset val="1"/>
      </rPr>
      <t xml:space="preserve">22,760/400=56.90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5,690</t>
    </r>
    <r>
      <rPr>
        <sz val="10"/>
        <rFont val="Noto Sans CJK SC"/>
        <family val="2"/>
      </rPr>
      <t xml:space="preserve">、−</t>
    </r>
    <r>
      <rPr>
        <sz val="10"/>
        <rFont val="Arial"/>
        <family val="0"/>
        <charset val="1"/>
      </rPr>
      <t xml:space="preserve">1,223 </t>
    </r>
    <r>
      <rPr>
        <sz val="10"/>
        <rFont val="Noto Sans CJK SC"/>
        <family val="2"/>
      </rPr>
      <t xml:space="preserve">與系統完全相符，計算本身正確，排除③
定位：</t>
    </r>
    <r>
      <rPr>
        <sz val="10"/>
        <rFont val="Arial"/>
        <family val="0"/>
        <charset val="1"/>
      </rPr>
      <t xml:space="preserve">portfolio_dash/portfolio/cost_basis.py:470-481 `events.append((tx.trade_date, EventPriority.BUY if … else EventPriority.SELL, …))`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`events.sort(key=lambda e: (e[0], e[1]))`</t>
    </r>
    <r>
      <rPr>
        <sz val="10"/>
        <rFont val="Noto Sans CJK SC"/>
        <family val="2"/>
      </rPr>
      <t xml:space="preserve">，同日僅以 </t>
    </r>
    <r>
      <rPr>
        <sz val="10"/>
        <rFont val="Arial"/>
        <family val="0"/>
        <charset val="1"/>
      </rPr>
      <t xml:space="preserve">portfolio_dash/shared/ledger_events.py:28-32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BUY=20 &lt; SELL=30 </t>
    </r>
    <r>
      <rPr>
        <sz val="10"/>
        <rFont val="Noto Sans CJK SC"/>
        <family val="2"/>
      </rPr>
      <t xml:space="preserve">排序，未用輸入順序（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）當次序
判定：</t>
    </r>
    <r>
      <rPr>
        <sz val="10"/>
        <rFont val="Arial"/>
        <family val="0"/>
        <charset val="1"/>
      </rPr>
      <t xml:space="preserve">FAIL — B-18</t>
    </r>
    <r>
      <rPr>
        <sz val="10"/>
        <rFont val="Noto Sans CJK SC"/>
        <family val="2"/>
      </rPr>
      <t xml:space="preserve">「依時間順序逐筆套用；已實現損益使用賣出當下的加權均價」不成立，損益／成本數字不同（高）</t>
    </r>
  </si>
  <si>
    <r>
      <rPr>
        <sz val="10"/>
        <rFont val="Noto Sans CJK SC"/>
        <family val="2"/>
      </rPr>
      <t xml:space="preserve">系統：</t>
    </r>
    <r>
      <rPr>
        <sz val="10"/>
        <rFont val="Arial"/>
        <family val="0"/>
        <charset val="1"/>
      </rPr>
      <t xml:space="preserve">cost_removed 5,690.00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 −1,223.00</t>
    </r>
    <r>
      <rPr>
        <sz val="10"/>
        <rFont val="Noto Sans CJK SC"/>
        <family val="2"/>
      </rPr>
      <t xml:space="preserve">／期末成本 </t>
    </r>
    <r>
      <rPr>
        <sz val="10"/>
        <rFont val="Arial"/>
        <family val="0"/>
        <charset val="1"/>
      </rPr>
      <t xml:space="preserve">17,070.00</t>
    </r>
    <r>
      <rPr>
        <sz val="10"/>
        <rFont val="Noto Sans CJK SC"/>
        <family val="2"/>
      </rPr>
      <t xml:space="preserve">／均價 </t>
    </r>
    <r>
      <rPr>
        <sz val="10"/>
        <rFont val="Arial"/>
        <family val="0"/>
        <charset val="1"/>
      </rPr>
      <t xml:space="preserve">56.90</t>
    </r>
    <r>
      <rPr>
        <sz val="10"/>
        <rFont val="Noto Sans CJK SC"/>
        <family val="2"/>
      </rPr>
      <t xml:space="preserve">；時間順序：</t>
    </r>
    <r>
      <rPr>
        <sz val="10"/>
        <rFont val="Arial"/>
        <family val="0"/>
        <charset val="1"/>
      </rPr>
      <t xml:space="preserve">6,046.67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16,713.33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55.7111</t>
    </r>
    <r>
      <rPr>
        <sz val="10"/>
        <rFont val="Noto Sans CJK SC"/>
        <family val="2"/>
      </rPr>
      <t xml:space="preserve">；差額 </t>
    </r>
    <r>
      <rPr>
        <sz val="10"/>
        <rFont val="Arial"/>
        <family val="0"/>
        <charset val="1"/>
      </rPr>
      <t xml:space="preserve">356.67 TWD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</si>
  <si>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DEF-012</t>
    </r>
    <r>
      <rPr>
        <sz val="10"/>
        <rFont val="Noto Sans CJK SC"/>
        <family val="2"/>
      </rPr>
      <t xml:space="preserve">；交易沒有時間欄位，請修復方與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確認同日順序的依據（輸入順序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？加時間欄？）；同類：</t>
    </r>
    <r>
      <rPr>
        <sz val="10"/>
        <rFont val="Arial"/>
        <family val="0"/>
        <charset val="1"/>
      </rPr>
      <t xml:space="preserve">dividends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corporate actions </t>
    </r>
    <r>
      <rPr>
        <sz val="10"/>
        <rFont val="Noto Sans CJK SC"/>
        <family val="2"/>
      </rPr>
      <t xml:space="preserve">同日排序也請一併檢視；手動預覽（依輸入當下）與帳本重播的口徑必須一致</t>
    </r>
  </si>
  <si>
    <r>
      <rPr>
        <sz val="10"/>
        <rFont val="Noto Sans CJK SC"/>
        <family val="2"/>
      </rPr>
      <t xml:space="preserve">真實瀏覽器切換兩個 </t>
    </r>
    <r>
      <rPr>
        <sz val="10"/>
        <rFont val="Arial"/>
        <family val="0"/>
        <charset val="1"/>
      </rPr>
      <t xml:space="preserve">checkbox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checked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狀態與 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本文與回應；檢視 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相關邏輯</t>
    </r>
  </si>
  <si>
    <r>
      <rPr>
        <sz val="10"/>
        <rFont val="Noto Sans CJK SC"/>
        <family val="2"/>
      </rPr>
      <t xml:space="preserve">觀察：兩個 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可同時為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，預覽照 </t>
    </r>
    <r>
      <rPr>
        <sz val="10"/>
        <rFont val="Arial"/>
        <family val="0"/>
        <charset val="1"/>
      </rPr>
      <t xml:space="preserve">0.15% </t>
    </r>
    <r>
      <rPr>
        <sz val="10"/>
        <rFont val="Noto Sans CJK SC"/>
        <family val="2"/>
      </rPr>
      <t xml:space="preserve">計稅、</t>
    </r>
    <r>
      <rPr>
        <sz val="10"/>
        <rFont val="Arial"/>
        <family val="0"/>
        <charset val="1"/>
      </rPr>
      <t xml:space="preserve">issues=[]
</t>
    </r>
    <r>
      <rPr>
        <sz val="10"/>
        <rFont val="Noto Sans CJK SC"/>
        <family val="2"/>
      </rPr>
      <t xml:space="preserve">假設：①前端沒有互斥規則；②後端會在寫入時擋下組合；③設計上允許（現股當沖先賣後買）
排除：預覽已送出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且回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，後端未擋；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只在買進時隱藏兩者（</t>
    </r>
    <r>
      <rPr>
        <sz val="10"/>
        <rFont val="Arial"/>
        <family val="0"/>
        <charset val="1"/>
      </rPr>
      <t xml:space="preserve">:171-178 </t>
    </r>
    <r>
      <rPr>
        <sz val="10"/>
        <rFont val="Noto Sans CJK SC"/>
        <family val="2"/>
      </rPr>
      <t xml:space="preserve">註解），賣出時無互斥
定位：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賣出側 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處理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手冊 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要求互斥顯示規則，但台股確有「當沖先賣」合法情境，需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裁定是互斥、允許組合（並加說明），或拆成兩種情境</t>
    </r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</si>
  <si>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</si>
  <si>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DEF-013</t>
    </r>
    <r>
      <rPr>
        <sz val="10"/>
        <rFont val="Noto Sans CJK SC"/>
        <family val="2"/>
      </rPr>
      <t xml:space="preserve">；請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裁定當沖＋放空的組合規則</t>
    </r>
  </si>
  <si>
    <r>
      <rPr>
        <sz val="10"/>
        <rFont val="Noto Sans CJK SC"/>
        <family val="2"/>
      </rPr>
      <t xml:space="preserve">真實瀏覽器手動交易表單，讀 </t>
    </r>
    <r>
      <rPr>
        <sz val="10"/>
        <rFont val="Arial"/>
        <family val="0"/>
        <charset val="1"/>
      </rPr>
      <t xml:space="preserve">POST /api/input/manual/preview issues </t>
    </r>
    <r>
      <rPr>
        <sz val="10"/>
        <rFont val="Noto Sans CJK SC"/>
        <family val="2"/>
      </rPr>
      <t xml:space="preserve">與草稿文字，實際寫入一次確認後端也接受，再刪除還原</t>
    </r>
  </si>
  <si>
    <r>
      <rPr>
        <sz val="10"/>
        <rFont val="Noto Sans CJK SC"/>
        <family val="2"/>
      </rPr>
      <t xml:space="preserve">觀察：未來日期有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future_trade_date</t>
    </r>
    <r>
      <rPr>
        <sz val="10"/>
        <rFont val="Noto Sans CJK SC"/>
        <family val="2"/>
      </rPr>
      <t xml:space="preserve">），但早於期初庫存日與早於所有紀錄的日期 </t>
    </r>
    <r>
      <rPr>
        <sz val="10"/>
        <rFont val="Arial"/>
        <family val="0"/>
        <charset val="1"/>
      </rPr>
      <t xml:space="preserve">issues </t>
    </r>
    <r>
      <rPr>
        <sz val="10"/>
        <rFont val="Noto Sans CJK SC"/>
        <family val="2"/>
      </rPr>
      <t xml:space="preserve">皆為空、可直接寫入
假設：①檢核只做未來日期；②期初庫存被當成另一個 </t>
    </r>
    <r>
      <rPr>
        <sz val="10"/>
        <rFont val="Arial"/>
        <family val="0"/>
        <charset val="1"/>
      </rPr>
      <t xml:space="preserve">lot</t>
    </r>
    <r>
      <rPr>
        <sz val="10"/>
        <rFont val="Noto Sans CJK SC"/>
        <family val="2"/>
      </rPr>
      <t xml:space="preserve">，系統刻意允許更早的交易；③前端擋、後端不擋
排除：實際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201 </t>
    </r>
    <r>
      <rPr>
        <sz val="10"/>
        <rFont val="Noto Sans CJK SC"/>
        <family val="2"/>
      </rPr>
      <t xml:space="preserve">並寫入 </t>
    </r>
    <r>
      <rPr>
        <sz val="10"/>
        <rFont val="Arial"/>
        <family val="0"/>
        <charset val="1"/>
      </rPr>
      <t xml:space="preserve">#85</t>
    </r>
    <r>
      <rPr>
        <sz val="10"/>
        <rFont val="Noto Sans CJK SC"/>
        <family val="2"/>
      </rPr>
      <t xml:space="preserve">，後端也未擋，排除③
定位：手動交易預覽／寫入的日期檢核（</t>
    </r>
    <r>
      <rPr>
        <sz val="10"/>
        <rFont val="Arial"/>
        <family val="0"/>
        <charset val="1"/>
      </rPr>
      <t xml:space="preserve">future_trade_date </t>
    </r>
    <r>
      <rPr>
        <sz val="10"/>
        <rFont val="Noto Sans CJK SC"/>
        <family val="2"/>
      </rPr>
      <t xml:space="preserve">所在的檢核函式）沒有「早於期初庫存建檔日」這一條
判定：</t>
    </r>
    <r>
      <rPr>
        <sz val="10"/>
        <rFont val="Arial"/>
        <family val="0"/>
        <charset val="1"/>
      </rPr>
      <t xml:space="preserve">FAIL — B-17 </t>
    </r>
    <r>
      <rPr>
        <sz val="10"/>
        <rFont val="Noto Sans CJK SC"/>
        <family val="2"/>
      </rPr>
      <t xml:space="preserve">期望「給出明確訊息（而非靜默接受）」；是否屬刻意設計（②）需修復方與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確認，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資料已含兩筆早於建檔日的買進</t>
    </r>
  </si>
  <si>
    <r>
      <rPr>
        <sz val="10"/>
        <rFont val="Noto Sans CJK SC"/>
        <family val="2"/>
      </rPr>
      <t xml:space="preserve">早於期初庫存日：</t>
    </r>
    <r>
      <rPr>
        <sz val="10"/>
        <rFont val="Arial"/>
        <family val="0"/>
        <charset val="1"/>
      </rPr>
      <t xml:space="preserve">issues=[]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201 </t>
    </r>
    <r>
      <rPr>
        <sz val="10"/>
        <rFont val="Noto Sans CJK SC"/>
        <family val="2"/>
      </rPr>
      <t xml:space="preserve">寫入；未來日期：</t>
    </r>
    <r>
      <rPr>
        <sz val="10"/>
        <rFont val="Arial"/>
        <family val="0"/>
        <charset val="1"/>
      </rPr>
      <t xml:space="preserve">warn </t>
    </r>
    <r>
      <rPr>
        <sz val="10"/>
        <rFont val="Noto Sans CJK SC"/>
        <family val="2"/>
      </rPr>
      <t xml:space="preserve">並擋確認鍵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</si>
  <si>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DEF-014</t>
    </r>
    <r>
      <rPr>
        <sz val="10"/>
        <rFont val="Noto Sans CJK SC"/>
        <family val="2"/>
      </rPr>
      <t xml:space="preserve">；期初庫存與其建檔日之前的交易如何共存需先定規格；同類：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匯入與券商對帳單匯入的日期檢核是否一致</t>
    </r>
  </si>
  <si>
    <r>
      <rPr>
        <sz val="10"/>
        <rFont val="Noto Sans CJK SC"/>
        <family val="2"/>
      </rPr>
      <t xml:space="preserve">真實瀏覽器按「重新偵測」，讀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紀錄）、狀態列文字與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回應全文；搜尋頁面上是否有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或展開明細</t>
    </r>
  </si>
  <si>
    <r>
      <rPr>
        <sz val="10"/>
        <rFont val="Noto Sans CJK SC"/>
        <family val="2"/>
      </rPr>
      <t xml:space="preserve">觀察：失敗計數有、失敗對象與原因無
假設：①後端只回彙總字串；②前端有明細但收合；③失敗細節寫在排程執行紀錄
排除：回應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total_count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三個鍵，無失敗清單，排除②；排程中心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上次紀錄同樣只寫「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檔失敗」
定位：配息偵測彙總字串產生處（</t>
    </r>
    <r>
      <rPr>
        <sz val="10"/>
        <rFont val="Arial"/>
        <family val="0"/>
        <charset val="1"/>
      </rPr>
      <t xml:space="preserve">dividend-inbox refresh </t>
    </r>
    <r>
      <rPr>
        <sz val="10"/>
        <rFont val="Noto Sans CJK SC"/>
        <family val="2"/>
      </rPr>
      <t xml:space="preserve">路徑）
判定：</t>
    </r>
    <r>
      <rPr>
        <sz val="10"/>
        <rFont val="Arial"/>
        <family val="0"/>
        <charset val="1"/>
      </rPr>
      <t xml:space="preserve">FAIL — C-01③</t>
    </r>
    <r>
      <rPr>
        <sz val="10"/>
        <rFont val="Noto Sans CJK SC"/>
        <family val="2"/>
      </rPr>
      <t xml:space="preserve">「失敗檔數有說明」不成立</t>
    </r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</si>
  <si>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</si>
  <si>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DEF-015</t>
    </r>
    <r>
      <rPr>
        <sz val="10"/>
        <rFont val="Noto Sans CJK SC"/>
        <family val="2"/>
      </rPr>
      <t xml:space="preserve">；對照 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的訊息會列出失敗代號（「</t>
    </r>
    <r>
      <rPr>
        <sz val="10"/>
        <rFont val="Arial"/>
        <family val="0"/>
        <charset val="1"/>
      </rPr>
      <t xml:space="preserve">failed: SPCX, TSLA</t>
    </r>
    <r>
      <rPr>
        <sz val="10"/>
        <rFont val="Noto Sans CJK SC"/>
        <family val="2"/>
      </rPr>
      <t xml:space="preserve">」），兩條路徑口徑不一致</t>
    </r>
  </si>
  <si>
    <r>
      <rPr>
        <sz val="10"/>
        <rFont val="Noto Sans CJK SC"/>
        <family val="2"/>
      </rPr>
      <t xml:space="preserve">確認前後各讀一次 </t>
    </r>
    <r>
      <rPr>
        <sz val="10"/>
        <rFont val="Arial"/>
        <family val="0"/>
        <charset val="1"/>
      </rPr>
      <t xml:space="preserve">/api/dashboard kpis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trend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與對帳單；再對照 </t>
    </r>
    <r>
      <rPr>
        <sz val="10"/>
        <rFont val="Arial"/>
        <family val="0"/>
        <charset val="1"/>
      </rPr>
      <t xml:space="preserve">portfolio_dash/portfolio/returns.py xirr_reporting </t>
    </r>
    <r>
      <rPr>
        <sz val="10"/>
        <rFont val="Noto Sans CJK SC"/>
        <family val="2"/>
      </rPr>
      <t xml:space="preserve">的現金流組法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</si>
  <si>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變動、現金池與趨勢圖不變
假設：①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dv.date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）加入現金流，不檢查是否晚於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以除息日應計；③變動來自其他資料
排除：刪除該筆股利後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10.22406575305222</t>
    </r>
    <r>
      <rPr>
        <sz val="10"/>
        <rFont val="Noto Sans CJK SC"/>
        <family val="2"/>
      </rPr>
      <t xml:space="preserve">，排除③；</t>
    </r>
    <r>
      <rPr>
        <sz val="10"/>
        <rFont val="Arial"/>
        <family val="0"/>
        <charset val="1"/>
      </rPr>
      <t xml:space="preserve">returns.py `add(dv.date, …, dv.net)` </t>
    </r>
    <r>
      <rPr>
        <sz val="10"/>
        <rFont val="Noto Sans CJK SC"/>
        <family val="2"/>
      </rPr>
      <t xml:space="preserve">使用帳本 </t>
    </r>
    <r>
      <rPr>
        <sz val="10"/>
        <rFont val="Arial"/>
        <family val="0"/>
        <charset val="1"/>
      </rPr>
      <t xml:space="preserve">date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2026-10-08</t>
    </r>
    <r>
      <rPr>
        <sz val="10"/>
        <rFont val="Noto Sans CJK SC"/>
        <family val="2"/>
      </rPr>
      <t xml:space="preserve">），期末值則在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）加入，排除②
定位：</t>
    </r>
    <r>
      <rPr>
        <sz val="10"/>
        <rFont val="Arial"/>
        <family val="0"/>
        <charset val="1"/>
      </rPr>
      <t xml:space="preserve">portfolio_dash/portfolio/returns.py xirr_reporting </t>
    </r>
    <r>
      <rPr>
        <sz val="10"/>
        <rFont val="Noto Sans CJK SC"/>
        <family val="2"/>
      </rPr>
      <t xml:space="preserve">股利迴圈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未來日期現金流的口徑（排除、以除息日應計、或照入帳日）未有規格，交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</t>
    </r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</si>
  <si>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</si>
  <si>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；同類：總報酬已即時認列這筆股利（調整成本已沖減），現金池要到 </t>
    </r>
    <r>
      <rPr>
        <sz val="10"/>
        <rFont val="Arial"/>
        <family val="0"/>
        <charset val="1"/>
      </rPr>
      <t xml:space="preserve">10-08 </t>
    </r>
    <r>
      <rPr>
        <sz val="10"/>
        <rFont val="Noto Sans CJK SC"/>
        <family val="2"/>
      </rPr>
      <t xml:space="preserve">才入帳，三個口徑（損益／現金／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）請一併定義</t>
    </r>
  </si>
  <si>
    <r>
      <rPr>
        <sz val="10"/>
        <rFont val="Noto Sans CJK SC"/>
        <family val="2"/>
      </rPr>
      <t xml:space="preserve">真實瀏覽器股利表單寫入，記錄網路請求；刪除後讀 </t>
    </r>
    <r>
      <rPr>
        <sz val="10"/>
        <rFont val="Arial"/>
        <family val="0"/>
        <charset val="1"/>
      </rPr>
      <t xml:space="preserve">/api/import/batches </t>
    </r>
    <r>
      <rPr>
        <sz val="10"/>
        <rFont val="Noto Sans CJK SC"/>
        <family val="2"/>
      </rPr>
      <t xml:space="preserve">與畫面「最近匯入」；再以批次復原清除</t>
    </r>
  </si>
  <si>
    <r>
      <rPr>
        <sz val="10"/>
        <rFont val="Noto Sans CJK SC"/>
        <family val="2"/>
      </rPr>
      <t xml:space="preserve">觀察：手動輸入產生匯入批次；帳本刪除後批次殘留；批次復原說明與事實矛盾
假設：①股利表單刻意重用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匯入管線；②批次是在我先前的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預覽時產生；③刪除帳本列會連動批次但延遲
排除：寫入前 </t>
    </r>
    <r>
      <rPr>
        <sz val="10"/>
        <rFont val="Arial"/>
        <family val="0"/>
        <charset val="1"/>
      </rPr>
      <t xml:space="preserve">batches=[]</t>
    </r>
    <r>
      <rPr>
        <sz val="10"/>
        <rFont val="Noto Sans CJK SC"/>
        <family val="2"/>
      </rPr>
      <t xml:space="preserve">（基準 </t>
    </r>
    <r>
      <rPr>
        <sz val="10"/>
        <rFont val="Arial"/>
        <family val="0"/>
        <charset val="1"/>
      </rPr>
      <t xml:space="preserve">cnt.batches 0</t>
    </r>
    <r>
      <rPr>
        <sz val="10"/>
        <rFont val="Noto Sans CJK SC"/>
        <family val="2"/>
      </rPr>
      <t xml:space="preserve">），寫入當下請求即為 </t>
    </r>
    <r>
      <rPr>
        <sz val="10"/>
        <rFont val="Arial"/>
        <family val="0"/>
        <charset val="1"/>
      </rPr>
      <t xml:space="preserve">/api/import/commit </t>
    </r>
    <r>
      <rPr>
        <sz val="10"/>
        <rFont val="Noto Sans CJK SC"/>
        <family val="2"/>
      </rPr>
      <t xml:space="preserve">並回 </t>
    </r>
    <r>
      <rPr>
        <sz val="10"/>
        <rFont val="Arial"/>
        <family val="0"/>
        <charset val="1"/>
      </rPr>
      <t xml:space="preserve">import_batch_id 1</t>
    </r>
    <r>
      <rPr>
        <sz val="10"/>
        <rFont val="Noto Sans CJK SC"/>
        <family val="2"/>
      </rPr>
      <t xml:space="preserve">，排除②；刪除後再等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秒仍在，且批次復原回 </t>
    </r>
    <r>
      <rPr>
        <sz val="10"/>
        <rFont val="Arial"/>
        <family val="0"/>
        <charset val="1"/>
      </rPr>
      <t xml:space="preserve">deleted 0</t>
    </r>
    <r>
      <rPr>
        <sz val="10"/>
        <rFont val="Noto Sans CJK SC"/>
        <family val="2"/>
      </rPr>
      <t xml:space="preserve">，排除③
定位：股利表單送出路徑（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股利分支）呼叫 </t>
    </r>
    <r>
      <rPr>
        <sz val="10"/>
        <rFont val="Arial"/>
        <family val="0"/>
        <charset val="1"/>
      </rPr>
      <t xml:space="preserve">/api/import/commit</t>
    </r>
    <r>
      <rPr>
        <sz val="10"/>
        <rFont val="Noto Sans CJK SC"/>
        <family val="2"/>
      </rPr>
      <t xml:space="preserve">；帳本刪除（</t>
    </r>
    <r>
      <rPr>
        <sz val="10"/>
        <rFont val="Arial"/>
        <family val="0"/>
        <charset val="1"/>
      </rPr>
      <t xml:space="preserve">DELETE /api/ledgers/dividends/{id}</t>
    </r>
    <r>
      <rPr>
        <sz val="10"/>
        <rFont val="Noto Sans CJK SC"/>
        <family val="2"/>
      </rPr>
      <t xml:space="preserve">）未處理所屬批次
判定：手動輸入被當成匯入、留下無資料的批次，影響 </t>
    </r>
    <r>
      <rPr>
        <sz val="10"/>
        <rFont val="Arial"/>
        <family val="0"/>
        <charset val="1"/>
      </rPr>
      <t xml:space="preserve">R-8</t>
    </r>
    <r>
      <rPr>
        <sz val="10"/>
        <rFont val="Noto Sans CJK SC"/>
        <family val="2"/>
      </rPr>
      <t xml:space="preserve">「匯入批次無殘留」與 </t>
    </r>
    <r>
      <rPr>
        <sz val="10"/>
        <rFont val="Arial"/>
        <family val="0"/>
        <charset val="1"/>
      </rPr>
      <t xml:space="preserve">I-08 </t>
    </r>
    <r>
      <rPr>
        <sz val="10"/>
        <rFont val="Noto Sans CJK SC"/>
        <family val="2"/>
      </rPr>
      <t xml:space="preserve">批次清單的可信度</t>
    </r>
  </si>
  <si>
    <r>
      <rPr>
        <sz val="10"/>
        <rFont val="Noto Sans CJK SC"/>
        <family val="2"/>
      </rPr>
      <t xml:space="preserve">寫入後 </t>
    </r>
    <r>
      <rPr>
        <sz val="10"/>
        <rFont val="Arial"/>
        <family val="0"/>
        <charset val="1"/>
      </rPr>
      <t xml:space="preserve">batches 0→1</t>
    </r>
    <r>
      <rPr>
        <sz val="10"/>
        <rFont val="Noto Sans CJK SC"/>
        <family val="2"/>
      </rPr>
      <t xml:space="preserve">；刪帳本列後仍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；批次復原 </t>
    </r>
    <r>
      <rPr>
        <sz val="10"/>
        <rFont val="Arial"/>
        <family val="0"/>
        <charset val="1"/>
      </rPr>
      <t xml:space="preserve">deleted:0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</si>
  <si>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；同類：期初庫存表單等其他「手動」表單是否也走匯入管線</t>
    </r>
  </si>
  <si>
    <r>
      <rPr>
        <sz val="10"/>
        <rFont val="Noto Sans CJK SC"/>
        <family val="2"/>
      </rPr>
      <t xml:space="preserve">真實瀏覽器股利表單寫入，前後讀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</t>
    </r>
    <r>
      <rPr>
        <sz val="10"/>
        <rFont val="Noto Sans CJK SC"/>
        <family val="2"/>
      </rPr>
      <t xml:space="preserve">；讀表單「套用模式」說明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</si>
  <si>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後成本不變、均價下降
假設：①系統刻意把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當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成本股（股利折入成本的鎖定模型）；②寫入時 </t>
    </r>
    <r>
      <rPr>
        <sz val="10"/>
        <rFont val="Arial"/>
        <family val="0"/>
        <charset val="1"/>
      </rPr>
      <t xml:space="preserve">reinvest_price </t>
    </r>
    <r>
      <rPr>
        <sz val="10"/>
        <rFont val="Noto Sans CJK SC"/>
        <family val="2"/>
      </rPr>
      <t xml:space="preserve">沒被用到（</t>
    </r>
    <r>
      <rPr>
        <sz val="10"/>
        <rFont val="Arial"/>
        <family val="0"/>
        <charset val="1"/>
      </rPr>
      <t xml:space="preserve">bug</t>
    </r>
    <r>
      <rPr>
        <sz val="10"/>
        <rFont val="Noto Sans CJK SC"/>
        <family val="2"/>
      </rPr>
      <t xml:space="preserve">）；③我讀錯欄位
排除：表單明文「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將以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成本股數入帳（再投資股數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再投資價格僅供對帳）」，且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兩欄皆為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，排除③；行為與說明一致，排除②為 </t>
    </r>
    <r>
      <rPr>
        <sz val="10"/>
        <rFont val="Arial"/>
        <family val="0"/>
        <charset val="1"/>
      </rPr>
      <t xml:space="preserve">bug
</t>
    </r>
    <r>
      <rPr>
        <sz val="10"/>
        <rFont val="Noto Sans CJK SC"/>
        <family val="2"/>
      </rPr>
      <t xml:space="preserve">定位：股利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模型（</t>
    </r>
    <r>
      <rPr>
        <sz val="10"/>
        <rFont val="Arial"/>
        <family val="0"/>
        <charset val="1"/>
      </rPr>
      <t xml:space="preserve">CLAUDE.md </t>
    </r>
    <r>
      <rPr>
        <sz val="10"/>
        <rFont val="Noto Sans CJK SC"/>
        <family val="2"/>
      </rPr>
      <t xml:space="preserve">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dividend_model</t>
    </r>
    <r>
      <rPr>
        <sz val="10"/>
        <rFont val="Noto Sans CJK SC"/>
        <family val="2"/>
      </rPr>
      <t xml:space="preserve">）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與手冊 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衝突，屬會計模型選擇，交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裁定是改手冊或改模型</t>
    </r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</si>
  <si>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</si>
  <si>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DEF-018</t>
    </r>
    <r>
      <rPr>
        <sz val="10"/>
        <rFont val="Noto Sans CJK SC"/>
        <family val="2"/>
      </rPr>
      <t xml:space="preserve">；若維持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成本模型，請同步修訂手冊 </t>
    </r>
    <r>
      <rPr>
        <sz val="10"/>
        <rFont val="Arial"/>
        <family val="0"/>
        <charset val="1"/>
      </rPr>
      <t xml:space="preserve">C-04b </t>
    </r>
    <r>
      <rPr>
        <sz val="10"/>
        <rFont val="Noto Sans CJK SC"/>
        <family val="2"/>
      </rPr>
      <t xml:space="preserve">期望；若改為計入成本，影響既有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列與稅務包</t>
    </r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</si>
  <si>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</si>
  <si>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r>
      <rPr>
        <sz val="10"/>
        <rFont val="Noto Sans CJK SC"/>
        <family val="2"/>
      </rPr>
      <t xml:space="preserve">真實瀏覽器，復原後讀 </t>
    </r>
    <r>
      <rPr>
        <sz val="10"/>
        <rFont val="Arial"/>
        <family val="0"/>
        <charset val="1"/>
      </rPr>
      <t xml:space="preserve">.sym-picker </t>
    </r>
    <r>
      <rPr>
        <sz val="10"/>
        <rFont val="Noto Sans CJK SC"/>
        <family val="2"/>
      </rPr>
      <t xml:space="preserve">按鈕文字，並同時讀 </t>
    </r>
    <r>
      <rPr>
        <sz val="10"/>
        <rFont val="Arial"/>
        <family val="0"/>
        <charset val="1"/>
      </rPr>
      <t xml:space="preserve">/api/input/holdings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對照；記錄復原後前端重新抓取的端點</t>
    </r>
  </si>
  <si>
    <r>
      <rPr>
        <sz val="10"/>
        <rFont val="Noto Sans CJK SC"/>
        <family val="2"/>
      </rPr>
      <t xml:space="preserve">觀察：復原後挑選清單的股數／均價是復原前的值
假設：①批次復原後前端只重抓 </t>
    </r>
    <r>
      <rPr>
        <sz val="10"/>
        <rFont val="Arial"/>
        <family val="0"/>
        <charset val="1"/>
      </rPr>
      <t xml:space="preserve">batches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dividends</t>
    </r>
    <r>
      <rPr>
        <sz val="10"/>
        <rFont val="Noto Sans CJK SC"/>
        <family val="2"/>
      </rPr>
      <t xml:space="preserve">，沒重抓 </t>
    </r>
    <r>
      <rPr>
        <sz val="10"/>
        <rFont val="Arial"/>
        <family val="0"/>
        <charset val="1"/>
      </rPr>
      <t xml:space="preserve">input/holdings</t>
    </r>
    <r>
      <rPr>
        <sz val="10"/>
        <rFont val="Noto Sans CJK SC"/>
        <family val="2"/>
      </rPr>
      <t xml:space="preserve">；②後端 </t>
    </r>
    <r>
      <rPr>
        <sz val="10"/>
        <rFont val="Arial"/>
        <family val="0"/>
        <charset val="1"/>
      </rPr>
      <t xml:space="preserve">input/holdings </t>
    </r>
    <r>
      <rPr>
        <sz val="10"/>
        <rFont val="Noto Sans CJK SC"/>
        <family val="2"/>
      </rPr>
      <t xml:space="preserve">沒還原；③瀏覽器快取
排除：同時直接呼叫 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已是 </t>
    </r>
    <r>
      <rPr>
        <sz val="10"/>
        <rFont val="Arial"/>
        <family val="0"/>
        <charset val="1"/>
      </rPr>
      <t xml:space="preserve">85.039255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158.9266</t>
    </r>
    <r>
      <rPr>
        <sz val="10"/>
        <rFont val="Noto Sans CJK SC"/>
        <family val="2"/>
      </rPr>
      <t xml:space="preserve">，排除②；復原後網路紀錄只有 </t>
    </r>
    <r>
      <rPr>
        <sz val="10"/>
        <rFont val="Arial"/>
        <family val="0"/>
        <charset val="1"/>
      </rPr>
      <t xml:space="preserve">GET /api/import/batches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/api/ledgers/dividends</t>
    </r>
    <r>
      <rPr>
        <sz val="10"/>
        <rFont val="Noto Sans CJK SC"/>
        <family val="2"/>
      </rPr>
      <t xml:space="preserve">，排除③的必要性
定位：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批次復原成功後的重新整理（交易寫入／刪除時有重抓 </t>
    </r>
    <r>
      <rPr>
        <sz val="10"/>
        <rFont val="Arial"/>
        <family val="0"/>
        <charset val="1"/>
      </rPr>
      <t xml:space="preserve">/api/input/holdings</t>
    </r>
    <r>
      <rPr>
        <sz val="10"/>
        <rFont val="Noto Sans CJK SC"/>
        <family val="2"/>
      </rPr>
      <t xml:space="preserve">，復原路徑沒有）
判定：畫面資訊與帳本矛盾（重新整理頁面後才正確）</t>
    </r>
  </si>
  <si>
    <r>
      <rPr>
        <sz val="10"/>
        <rFont val="Noto Sans CJK SC"/>
        <family val="2"/>
      </rPr>
      <t xml:space="preserve">復原後挑選清單 </t>
    </r>
    <r>
      <rPr>
        <sz val="10"/>
        <rFont val="Arial"/>
        <family val="0"/>
        <charset val="1"/>
      </rPr>
      <t xml:space="preserve">85.067255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158.87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85.039255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158.93</t>
    </r>
    <r>
      <rPr>
        <sz val="10"/>
        <rFont val="Noto Sans CJK SC"/>
        <family val="2"/>
      </rPr>
      <t xml:space="preserve">）；重新整理頁面後正確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</si>
  <si>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DEF-019</t>
    </r>
  </si>
  <si>
    <r>
      <rPr>
        <sz val="10"/>
        <rFont val="Noto Sans CJK SC"/>
        <family val="2"/>
      </rPr>
      <t xml:space="preserve">真實瀏覽器登錄→刪除，前後以 </t>
    </r>
    <r>
      <rPr>
        <sz val="10"/>
        <rFont val="Arial"/>
        <family val="0"/>
        <charset val="1"/>
      </rPr>
      <t xml:space="preserve">/api/cash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/api/ledgers/cash </t>
    </r>
    <r>
      <rPr>
        <sz val="10"/>
        <rFont val="Noto Sans CJK SC"/>
        <family val="2"/>
      </rPr>
      <t xml:space="preserve">與四段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比對（持倉還原、現金未還原）</t>
    </r>
  </si>
  <si>
    <r>
      <rPr>
        <sz val="10"/>
        <rFont val="Noto Sans CJK SC"/>
        <family val="2"/>
      </rPr>
      <t xml:space="preserve">觀察：刪行動後持倉與 </t>
    </r>
    <r>
      <rPr>
        <sz val="10"/>
        <rFont val="Arial"/>
        <family val="0"/>
        <charset val="1"/>
      </rPr>
      <t xml:space="preserve">kpis </t>
    </r>
    <r>
      <rPr>
        <sz val="10"/>
        <rFont val="Noto Sans CJK SC"/>
        <family val="2"/>
      </rPr>
      <t xml:space="preserve">還原，但 </t>
    </r>
    <r>
      <rPr>
        <sz val="10"/>
        <rFont val="Arial"/>
        <family val="0"/>
        <charset val="1"/>
      </rPr>
      <t xml:space="preserve">cash_balances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仍少 </t>
    </r>
    <r>
      <rPr>
        <sz val="10"/>
        <rFont val="Arial"/>
        <family val="0"/>
        <charset val="1"/>
      </rPr>
      <t xml:space="preserve">50
</t>
    </r>
    <r>
      <rPr>
        <sz val="10"/>
        <rFont val="Noto Sans CJK SC"/>
        <family val="2"/>
      </rPr>
      <t xml:space="preserve">假設：①重組費是獨立出金列，與行動沒有關聯鍵；②刪除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有連動但失敗；③我比對的基準錯
排除：刪除回應 </t>
    </r>
    <r>
      <rPr>
        <sz val="10"/>
        <rFont val="Arial"/>
        <family val="0"/>
        <charset val="1"/>
      </rPr>
      <t xml:space="preserve">{ok,id,prices_restated} </t>
    </r>
    <r>
      <rPr>
        <sz val="10"/>
        <rFont val="Noto Sans CJK SC"/>
        <family val="2"/>
      </rPr>
      <t xml:space="preserve">無任何現金欄位，資金收支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仍在，排除②；手動刪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與行動前基準逐位元相同，基準正確，排除③
定位：前端 </t>
    </r>
    <r>
      <rPr>
        <sz val="10"/>
        <rFont val="Arial"/>
        <family val="0"/>
        <charset val="1"/>
      </rPr>
      <t xml:space="preserve">web/corp-action-form.js </t>
    </r>
    <r>
      <rPr>
        <sz val="10"/>
        <rFont val="Noto Sans CJK SC"/>
        <family val="2"/>
      </rPr>
      <t xml:space="preserve">在行動寫入成功後另呼叫 </t>
    </r>
    <r>
      <rPr>
        <sz val="10"/>
        <rFont val="Arial"/>
        <family val="0"/>
        <charset val="1"/>
      </rPr>
      <t xml:space="preserve">/api/cash/movements</t>
    </r>
    <r>
      <rPr>
        <sz val="10"/>
        <rFont val="Noto Sans CJK SC"/>
        <family val="2"/>
      </rPr>
      <t xml:space="preserve">（兩次請求，非原子）；後端 </t>
    </r>
    <r>
      <rPr>
        <sz val="10"/>
        <rFont val="Arial"/>
        <family val="0"/>
        <charset val="1"/>
      </rPr>
      <t xml:space="preserve">DELETE /api/ledgers/corporate-actions/{id} </t>
    </r>
    <r>
      <rPr>
        <sz val="10"/>
        <rFont val="Noto Sans CJK SC"/>
        <family val="2"/>
      </rPr>
      <t xml:space="preserve">不處理關聯出金，刪除確認框也未提示
判定：</t>
    </r>
    <r>
      <rPr>
        <sz val="10"/>
        <rFont val="Arial"/>
        <family val="0"/>
        <charset val="1"/>
      </rPr>
      <t xml:space="preserve">FAIL — D-10</t>
    </r>
    <r>
      <rPr>
        <sz val="10"/>
        <rFont val="Noto Sans CJK SC"/>
        <family val="2"/>
      </rPr>
      <t xml:space="preserve">「刪除後…現金全部回到行動前的狀態」不成立；且第二支請求失敗時（本站實測出現過 </t>
    </r>
    <r>
      <rPr>
        <sz val="10"/>
        <rFont val="Arial"/>
        <family val="0"/>
        <charset val="1"/>
      </rPr>
      <t xml:space="preserve">502</t>
    </r>
    <r>
      <rPr>
        <sz val="10"/>
        <rFont val="Noto Sans CJK SC"/>
        <family val="2"/>
      </rPr>
      <t xml:space="preserve">）會留下有行動、無費用的狀態</t>
    </r>
  </si>
  <si>
    <r>
      <rPr>
        <sz val="10"/>
        <rFont val="Noto Sans CJK SC"/>
        <family val="2"/>
      </rPr>
      <t xml:space="preserve">刪行動後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6,067,545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），出金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殘留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</si>
  <si>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D-07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EXCHANGE 2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、重組費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）已再現：刪除行動 </t>
    </r>
    <r>
      <rPr>
        <sz val="10"/>
        <rFont val="Arial"/>
        <family val="0"/>
        <charset val="1"/>
      </rPr>
      <t xml:space="preserve">id 9 </t>
    </r>
    <r>
      <rPr>
        <sz val="10"/>
        <rFont val="Noto Sans CJK SC"/>
        <family val="2"/>
      </rPr>
      <t xml:space="preserve">後出金 </t>
    </r>
    <r>
      <rPr>
        <sz val="10"/>
        <rFont val="Arial"/>
        <family val="0"/>
        <charset val="1"/>
      </rPr>
      <t xml:space="preserve">#47 </t>
    </r>
    <r>
      <rPr>
        <sz val="10"/>
        <rFont val="Noto Sans CJK SC"/>
        <family val="2"/>
      </rPr>
      <t xml:space="preserve">殘留。編輯行動改費用時是否同步未測</t>
    </r>
  </si>
  <si>
    <r>
      <rPr>
        <sz val="10"/>
        <rFont val="Noto Sans CJK SC"/>
        <family val="2"/>
      </rPr>
      <t xml:space="preserve">真實瀏覽器登錄→刪除；前後以 </t>
    </r>
    <r>
      <rPr>
        <sz val="10"/>
        <rFont val="Arial"/>
        <family val="0"/>
        <charset val="1"/>
      </rPr>
      <t xml:space="preserve">/api/instruments </t>
    </r>
    <r>
      <rPr>
        <sz val="10"/>
        <rFont val="Noto Sans CJK SC"/>
        <family val="2"/>
      </rPr>
      <t xml:space="preserve">列表與四段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比對（持倉／成本／現金還原，目標價未還原）</t>
    </r>
  </si>
  <si>
    <r>
      <rPr>
        <sz val="10"/>
        <rFont val="Noto Sans CJK SC"/>
        <family val="2"/>
      </rPr>
      <t xml:space="preserve">觀察：刪除換股後六段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與行動前逐位元相同，但 </t>
    </r>
    <r>
      <rPr>
        <sz val="10"/>
        <rFont val="Arial"/>
        <family val="0"/>
        <charset val="1"/>
      </rPr>
      <t xml:space="preserve">/api/instruments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2882 target_low/high=40/55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2884=null</t>
    </r>
    <r>
      <rPr>
        <sz val="10"/>
        <rFont val="Noto Sans CJK SC"/>
        <family val="2"/>
      </rPr>
      <t xml:space="preserve">，與行動前（</t>
    </r>
    <r>
      <rPr>
        <sz val="10"/>
        <rFont val="Arial"/>
        <family val="0"/>
        <charset val="1"/>
      </rPr>
      <t xml:space="preserve">2884=40/55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2882=null</t>
    </r>
    <r>
      <rPr>
        <sz val="10"/>
        <rFont val="Noto Sans CJK SC"/>
        <family val="2"/>
      </rPr>
      <t xml:space="preserve">）相反
假設：①刪除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本來就不處理目標價；②有處理但只在特定條件；③前端沒刷新
排除：重新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與重新整理觀察清單結果相同，排除③；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回應只有 </t>
    </r>
    <r>
      <rPr>
        <sz val="10"/>
        <rFont val="Arial"/>
        <family val="0"/>
        <charset val="1"/>
      </rPr>
      <t xml:space="preserve">{ok,id,prices_restated}</t>
    </r>
    <r>
      <rPr>
        <sz val="10"/>
        <rFont val="Noto Sans CJK SC"/>
        <family val="2"/>
      </rPr>
      <t xml:space="preserve">，無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欄位
定位：</t>
    </r>
    <r>
      <rPr>
        <sz val="10"/>
        <rFont val="Arial"/>
        <family val="0"/>
        <charset val="1"/>
      </rPr>
      <t xml:space="preserve">portfolio_dash/data_ingestion/store.py move_target_band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明寫「⚠ </t>
    </r>
    <r>
      <rPr>
        <sz val="10"/>
        <rFont val="Arial"/>
        <family val="0"/>
        <charset val="1"/>
      </rPr>
      <t xml:space="preserve">Not reversible. Deleting the EXCHANGE does not move the band back … recorded as a limitation the entry surface states</t>
    </r>
    <r>
      <rPr>
        <sz val="10"/>
        <rFont val="Noto Sans CJK SC"/>
        <family val="2"/>
      </rPr>
      <t xml:space="preserve">」，但 </t>
    </r>
    <r>
      <rPr>
        <sz val="10"/>
        <rFont val="Arial"/>
        <family val="0"/>
        <charset val="1"/>
      </rPr>
      <t xml:space="preserve">web/corp-action-form.js:258-264 </t>
    </r>
    <r>
      <rPr>
        <sz val="10"/>
        <rFont val="Noto Sans CJK SC"/>
        <family val="2"/>
      </rPr>
      <t xml:space="preserve">的提示只寫「會一併移到」，刪除確認框也沒有任何說明——設計上宣稱的「入口告知」並未實作
判定：</t>
    </r>
    <r>
      <rPr>
        <sz val="10"/>
        <rFont val="Arial"/>
        <family val="0"/>
        <charset val="1"/>
      </rPr>
      <t xml:space="preserve">FAIL — D-10</t>
    </r>
    <r>
      <rPr>
        <sz val="10"/>
        <rFont val="Noto Sans CJK SC"/>
        <family val="2"/>
      </rPr>
      <t xml:space="preserve">「目標價…回到行動前的狀態」不成立，且使用者沒有被告知需要手動改回；留在新代號上的目標價會持續觸發 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預警</t>
    </r>
  </si>
  <si>
    <r>
      <rPr>
        <sz val="10"/>
        <rFont val="Noto Sans CJK SC"/>
        <family val="2"/>
      </rPr>
      <t xml:space="preserve">刪除換股後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目標價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殘留、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目標價消失（應為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＝空）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</si>
  <si>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；若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維持「不可逆」設計，至少要在試算提示與刪除確認框說明；是否改為可逆請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</t>
    </r>
  </si>
  <si>
    <r>
      <rPr>
        <sz val="10"/>
        <rFont val="Noto Sans CJK SC"/>
        <family val="2"/>
      </rPr>
      <t xml:space="preserve">真實瀏覽器操作，比對瀏覽器本地時間（</t>
    </r>
    <r>
      <rPr>
        <sz val="10"/>
        <rFont val="Arial"/>
        <family val="0"/>
        <charset val="1"/>
      </rPr>
      <t xml:space="preserve">Wed Sep 23 2026 04:40 GMT+0800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回應的 </t>
    </r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；以原始碼確認時區</t>
    </r>
  </si>
  <si>
    <r>
      <rPr>
        <sz val="10"/>
        <rFont val="Noto Sans CJK SC"/>
        <family val="2"/>
      </rPr>
      <t xml:space="preserve">觀察：設定當下是台北 </t>
    </r>
    <r>
      <rPr>
        <sz val="10"/>
        <rFont val="Arial"/>
        <family val="0"/>
        <charset val="1"/>
      </rPr>
      <t xml:space="preserve">9/23 </t>
    </r>
    <r>
      <rPr>
        <sz val="10"/>
        <rFont val="Noto Sans CJK SC"/>
        <family val="2"/>
      </rPr>
      <t xml:space="preserve">清晨，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set_at 2026-09-22
</t>
    </r>
    <r>
      <rPr>
        <sz val="10"/>
        <rFont val="Noto Sans CJK SC"/>
        <family val="2"/>
      </rPr>
      <t xml:space="preserve">假設：①伺服器以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取日期；②換股搬移時改寫了日期；③瀏覽器時間不準
排除：</t>
    </r>
    <r>
      <rPr>
        <sz val="10"/>
        <rFont val="Arial"/>
        <family val="0"/>
        <charset val="1"/>
      </rPr>
      <t xml:space="preserve">move_target_band </t>
    </r>
    <r>
      <rPr>
        <sz val="10"/>
        <rFont val="Noto Sans CJK SC"/>
        <family val="2"/>
      </rPr>
      <t xml:space="preserve">只複製原值（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明寫 </t>
    </r>
    <r>
      <rPr>
        <sz val="10"/>
        <rFont val="Arial"/>
        <family val="0"/>
        <charset val="1"/>
      </rPr>
      <t xml:space="preserve">date rides across</t>
    </r>
    <r>
      <rPr>
        <sz val="10"/>
        <rFont val="Noto Sans CJK SC"/>
        <family val="2"/>
      </rPr>
      <t xml:space="preserve">），排除②；瀏覽器顯示台北時間 </t>
    </r>
    <r>
      <rPr>
        <sz val="10"/>
        <rFont val="Arial"/>
        <family val="0"/>
        <charset val="1"/>
      </rPr>
      <t xml:space="preserve">04:40 </t>
    </r>
    <r>
      <rPr>
        <sz val="10"/>
        <rFont val="Noto Sans CJK SC"/>
        <family val="2"/>
      </rPr>
      <t xml:space="preserve">且站上頁首日期也是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，排除③
定位：</t>
    </r>
    <r>
      <rPr>
        <sz val="10"/>
        <rFont val="Arial"/>
        <family val="0"/>
        <charset val="1"/>
      </rPr>
      <t xml:space="preserve">portfolio_dash/data_ingestion/store.py:124 `stamp = (today or datetime.now(UTC).date())`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portfolio_dash/shared/clock.py </t>
    </r>
    <r>
      <rPr>
        <sz val="10"/>
        <rFont val="Noto Sans CJK SC"/>
        <family val="2"/>
      </rPr>
      <t xml:space="preserve">註明「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是商業邏輯唯一的日期錨點（</t>
    </r>
    <r>
      <rPr>
        <sz val="10"/>
        <rFont val="Arial"/>
        <family val="0"/>
        <charset val="1"/>
      </rPr>
      <t xml:space="preserve">decision Q6</t>
    </r>
    <r>
      <rPr>
        <sz val="10"/>
        <rFont val="Noto Sans CJK SC"/>
        <family val="2"/>
      </rPr>
      <t xml:space="preserve">）… </t>
    </r>
    <r>
      <rPr>
        <sz val="10"/>
        <rFont val="Arial"/>
        <family val="0"/>
        <charset val="1"/>
      </rPr>
      <t xml:space="preserve">datetime.now(UTC)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bug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validate.py:1145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target_set_at &lt; inp.date </t>
    </r>
    <r>
      <rPr>
        <sz val="10"/>
        <rFont val="Noto Sans CJK SC"/>
        <family val="2"/>
      </rPr>
      <t xml:space="preserve">判斷是否警告
判定：</t>
    </r>
    <r>
      <rPr>
        <sz val="10"/>
        <rFont val="Arial"/>
        <family val="0"/>
        <charset val="1"/>
      </rPr>
      <t xml:space="preserve">FAIL — </t>
    </r>
    <r>
      <rPr>
        <sz val="10"/>
        <rFont val="Noto Sans CJK SC"/>
        <family val="2"/>
      </rPr>
      <t xml:space="preserve">日期錨點違反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，導致同日分割出現錯誤日期的警告與多一步確認</t>
    </r>
  </si>
  <si>
    <r>
      <rPr>
        <sz val="10"/>
        <rFont val="Noto Sans CJK SC"/>
        <family val="2"/>
      </rPr>
      <t xml:space="preserve">台北 </t>
    </r>
    <r>
      <rPr>
        <sz val="10"/>
        <rFont val="Arial"/>
        <family val="0"/>
        <charset val="1"/>
      </rPr>
      <t xml:space="preserve">9/23 </t>
    </r>
    <r>
      <rPr>
        <sz val="10"/>
        <rFont val="Noto Sans CJK SC"/>
        <family val="2"/>
      </rPr>
      <t xml:space="preserve">設定的目標價被記為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；同日分割誤報「早於這筆分割」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</si>
  <si>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DEF-022</t>
    </r>
    <r>
      <rPr>
        <sz val="10"/>
        <rFont val="Noto Sans CJK SC"/>
        <family val="2"/>
      </rPr>
      <t xml:space="preserve">；其他以 </t>
    </r>
    <r>
      <rPr>
        <sz val="10"/>
        <rFont val="Arial"/>
        <family val="0"/>
        <charset val="1"/>
      </rPr>
      <t xml:space="preserve">datetime.now(UTC).date() </t>
    </r>
    <r>
      <rPr>
        <sz val="10"/>
        <rFont val="Noto Sans CJK SC"/>
        <family val="2"/>
      </rPr>
      <t xml:space="preserve">產生「業務日期」的地方未逐一清查</t>
    </r>
  </si>
  <si>
    <r>
      <rPr>
        <sz val="10"/>
        <rFont val="Noto Sans CJK SC"/>
        <family val="2"/>
      </rPr>
      <t xml:space="preserve">真實瀏覽器製造情境，讀 </t>
    </r>
    <r>
      <rPr>
        <sz val="10"/>
        <rFont val="Arial"/>
        <family val="0"/>
        <charset val="1"/>
      </rPr>
      <t xml:space="preserve">/api/dashboard.unapplied_actions</t>
    </r>
    <r>
      <rPr>
        <sz val="10"/>
        <rFont val="Noto Sans CJK SC"/>
        <family val="2"/>
      </rPr>
      <t xml:space="preserve">、儀表板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屬性）、公司行動帳本列與個股抽屜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</si>
  <si>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unapplied_actions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，但儀表板沒有任何連結或按鈕指向該行動
假設：①提示在別的頁（資料中心／行動清單）；②只在該標的持倉列標示；③設計上只放 </t>
    </r>
    <r>
      <rPr>
        <sz val="10"/>
        <rFont val="Arial"/>
        <family val="0"/>
        <charset val="1"/>
      </rPr>
      <t xml:space="preserve">tooltip
</t>
    </r>
    <r>
      <rPr>
        <sz val="10"/>
        <rFont val="Noto Sans CJK SC"/>
        <family val="2"/>
      </rPr>
      <t xml:space="preserve">排除：資料中心、行動清單、公司行動帳本逐一檢查皆無；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已無持倉，持倉表沒有列可標示，排除②
定位：</t>
    </r>
    <r>
      <rPr>
        <sz val="10"/>
        <rFont val="Arial"/>
        <family val="0"/>
        <charset val="1"/>
      </rPr>
      <t xml:space="preserve">portfolio_dash/portfolio/cost_basis.py:257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reason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action.account_id </t>
    </r>
    <r>
      <rPr>
        <sz val="10"/>
        <rFont val="Noto Sans CJK SC"/>
        <family val="2"/>
      </rPr>
      <t xml:space="preserve">組字串（非顯示名），</t>
    </r>
    <r>
      <rPr>
        <sz val="10"/>
        <rFont val="Arial"/>
        <family val="0"/>
        <charset val="1"/>
      </rPr>
      <t xml:space="preserve">dashboard.py:618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xirr_reason </t>
    </r>
    <r>
      <rPr>
        <sz val="10"/>
        <rFont val="Noto Sans CJK SC"/>
        <family val="2"/>
      </rPr>
      <t xml:space="preserve">直接沿用；前端只把它放進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detail.js:1283 </t>
    </r>
    <r>
      <rPr>
        <sz val="10"/>
        <rFont val="Noto Sans CJK SC"/>
        <family val="2"/>
      </rPr>
      <t xml:space="preserve">在抽屜渲染
判定：</t>
    </r>
    <r>
      <rPr>
        <sz val="10"/>
        <rFont val="Arial"/>
        <family val="0"/>
        <charset val="1"/>
      </rPr>
      <t xml:space="preserve">FAIL — D-11</t>
    </r>
    <r>
      <rPr>
        <sz val="10"/>
        <rFont val="Noto Sans CJK SC"/>
        <family val="2"/>
      </rPr>
      <t xml:space="preserve">「提示可見且有入口」只滿足一半（提示可見、無入口）；原因句的帳戶原名違反帳戶顯示名單一來源的規則</t>
    </r>
  </si>
  <si>
    <r>
      <rPr>
        <sz val="10"/>
        <rFont val="Noto Sans CJK SC"/>
        <family val="2"/>
      </rPr>
      <t xml:space="preserve">有未套用行動時儀表板無入口；原因句顯示 </t>
    </r>
    <r>
      <rPr>
        <sz val="10"/>
        <rFont val="Arial"/>
        <family val="0"/>
        <charset val="1"/>
      </rPr>
      <t xml:space="preserve">tw_broker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</si>
  <si>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；刪除交易會讓既有公司行動失去依據時，刪除確認框是否該先警告（目前直接刪除）</t>
    </r>
  </si>
  <si>
    <r>
      <rPr>
        <sz val="10"/>
        <rFont val="Noto Sans CJK SC"/>
        <family val="2"/>
      </rPr>
      <t xml:space="preserve">真實瀏覽器貼上 </t>
    </r>
    <r>
      <rPr>
        <sz val="10"/>
        <rFont val="Arial"/>
        <family val="0"/>
        <charset val="1"/>
      </rPr>
      <t xml:space="preserve">CSV →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/api/import/commit </t>
    </r>
    <r>
      <rPr>
        <sz val="10"/>
        <rFont val="Noto Sans CJK SC"/>
        <family val="2"/>
      </rPr>
      <t xml:space="preserve">原始回應；每次寫入後以六段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＋計數比對確認帳本未變</t>
    </r>
  </si>
  <si>
    <r>
      <rPr>
        <sz val="10"/>
        <rFont val="Noto Sans CJK SC"/>
        <family val="2"/>
      </rPr>
      <t xml:space="preserve">觀察：持有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股時，錯誤列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股讓賣 </t>
    </r>
    <r>
      <rPr>
        <sz val="10"/>
        <rFont val="Arial"/>
        <family val="0"/>
        <charset val="1"/>
      </rPr>
      <t xml:space="preserve">101 </t>
    </r>
    <r>
      <rPr>
        <sz val="10"/>
        <rFont val="Noto Sans CJK SC"/>
        <family val="2"/>
      </rPr>
      <t xml:space="preserve">預覽為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；「超過持有的 </t>
    </r>
    <r>
      <rPr>
        <sz val="10"/>
        <rFont val="Arial"/>
        <family val="0"/>
        <charset val="1"/>
      </rPr>
      <t xml:space="preserve">200.5 </t>
    </r>
    <r>
      <rPr>
        <sz val="10"/>
        <rFont val="Noto Sans CJK SC"/>
        <family val="2"/>
      </rPr>
      <t xml:space="preserve">股」＝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（錯誤列）
假設：①預覽的批次持股推算沒有排除錯誤列；②錯誤列被當成已寫入；③我的基準持股數不對
排除：只貼「賣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」時訊息為「超過持有的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股」，基準確為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，排除③；把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列拿掉後訊息變「超過持有的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股」，差額正好是錯誤列，排除「顯示格式」類原因
定位：</t>
    </r>
    <r>
      <rPr>
        <sz val="10"/>
        <rFont val="Arial"/>
        <family val="0"/>
        <charset val="1"/>
      </rPr>
      <t xml:space="preserve">portfolio_dash/data_ingestion/validate.py:478 pending_share_flows(batch…) </t>
    </r>
    <r>
      <rPr>
        <sz val="10"/>
        <rFont val="Noto Sans CJK SC"/>
        <family val="2"/>
      </rPr>
      <t xml:space="preserve">的批次成員只排除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（非正數／過大）這類錯誤，台股整數股檢查（</t>
    </r>
    <r>
      <rPr>
        <sz val="10"/>
        <rFont val="Arial"/>
        <family val="0"/>
        <charset val="1"/>
      </rPr>
      <t xml:space="preserve">shares_not_integer</t>
    </r>
    <r>
      <rPr>
        <sz val="10"/>
        <rFont val="Noto Sans CJK SC"/>
        <family val="2"/>
      </rPr>
      <t xml:space="preserve">）不在其中，與該函式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 row that can never be written can never cover</t>
    </r>
    <r>
      <rPr>
        <sz val="10"/>
        <rFont val="Noto Sans CJK SC"/>
        <family val="2"/>
      </rPr>
      <t xml:space="preserve">」矛盾；寫入時 </t>
    </r>
    <r>
      <rPr>
        <sz val="10"/>
        <rFont val="Arial"/>
        <family val="0"/>
        <charset val="1"/>
      </rPr>
      <t xml:space="preserve">portfolio_dash/api/routers/input_center.py:1325 </t>
    </r>
    <r>
      <rPr>
        <sz val="10"/>
        <rFont val="Noto Sans CJK SC"/>
        <family val="2"/>
      </rPr>
      <t xml:space="preserve">把重算後出現新問題的列從 </t>
    </r>
    <r>
      <rPr>
        <sz val="10"/>
        <rFont val="Arial"/>
        <family val="0"/>
        <charset val="1"/>
      </rPr>
      <t xml:space="preserve">accept </t>
    </r>
    <r>
      <rPr>
        <sz val="10"/>
        <rFont val="Noto Sans CJK SC"/>
        <family val="2"/>
      </rPr>
      <t xml:space="preserve">移除、計入 </t>
    </r>
    <r>
      <rPr>
        <sz val="10"/>
        <rFont val="Arial"/>
        <family val="0"/>
        <charset val="1"/>
      </rPr>
      <t xml:space="preserve">skipped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web/input.js:1392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skipped </t>
    </r>
    <r>
      <rPr>
        <sz val="10"/>
        <rFont val="Noto Sans CJK SC"/>
        <family val="2"/>
      </rPr>
      <t xml:space="preserve">顯示「寫入成功」、註解自己說「跳過 </t>
    </r>
    <r>
      <rPr>
        <sz val="10"/>
        <rFont val="Arial"/>
        <family val="0"/>
        <charset val="1"/>
      </rPr>
      <t xml:space="preserve">says you didn't tick it</t>
    </r>
    <r>
      <rPr>
        <sz val="10"/>
        <rFont val="Noto Sans CJK SC"/>
        <family val="2"/>
      </rPr>
      <t xml:space="preserve">」
判定：</t>
    </r>
    <r>
      <rPr>
        <sz val="10"/>
        <rFont val="Arial"/>
        <family val="0"/>
        <charset val="1"/>
      </rPr>
      <t xml:space="preserve">FAIL — </t>
    </r>
    <r>
      <rPr>
        <sz val="10"/>
        <rFont val="Noto Sans CJK SC"/>
        <family val="2"/>
      </rPr>
      <t xml:space="preserve">預覽給出錯的可寫入結論，寫入後又把使用者勾選的列說成「跳過」，兩個畫面互相矛盾；帳本本身未被寫壞（第二道防線有擋）</t>
    </r>
  </si>
  <si>
    <r>
      <rPr>
        <sz val="10"/>
        <rFont val="Noto Sans CJK SC"/>
        <family val="2"/>
      </rPr>
      <t xml:space="preserve">預覽「✓ 可寫入」→ 寫入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筆，被勾選的列只顯示「跳過」；賣超訊息的持股數含錯誤列（</t>
    </r>
    <r>
      <rPr>
        <sz val="10"/>
        <rFont val="Arial"/>
        <family val="0"/>
        <charset val="1"/>
      </rPr>
      <t xml:space="preserve">200.5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</si>
  <si>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DEF-024</t>
    </r>
    <r>
      <rPr>
        <sz val="10"/>
        <rFont val="Noto Sans CJK SC"/>
        <family val="2"/>
      </rPr>
      <t xml:space="preserve">；其他「一定寫不進去」但不在 </t>
    </r>
    <r>
      <rPr>
        <sz val="10"/>
        <rFont val="Arial"/>
        <family val="0"/>
        <charset val="1"/>
      </rPr>
      <t xml:space="preserve">structural </t>
    </r>
    <r>
      <rPr>
        <sz val="10"/>
        <rFont val="Noto Sans CJK SC"/>
        <family val="2"/>
      </rPr>
      <t xml:space="preserve">名單的錯誤（例如日期早於期初、帳戶市場不符）是否也被算進批次持股，未逐一測</t>
    </r>
  </si>
  <si>
    <r>
      <rPr>
        <sz val="10"/>
        <rFont val="Noto Sans CJK SC"/>
        <family val="2"/>
      </rPr>
      <t xml:space="preserve">真實瀏覽器；讀 </t>
    </r>
    <r>
      <rPr>
        <sz val="10"/>
        <rFont val="Arial"/>
        <family val="0"/>
        <charset val="1"/>
      </rPr>
      <t xml:space="preserve">preview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回應與對話框文字；與 </t>
    </r>
    <r>
      <rPr>
        <sz val="10"/>
        <rFont val="Arial"/>
        <family val="0"/>
        <charset val="1"/>
      </rPr>
      <t xml:space="preserve">B-11 </t>
    </r>
    <r>
      <rPr>
        <sz val="10"/>
        <rFont val="Noto Sans CJK SC"/>
        <family val="2"/>
      </rPr>
      <t xml:space="preserve">手動賣超的確認流程對照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</si>
  <si>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賣超列是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、預設勾選，確認框只寫「部分列有警告（如賣超）」，不說哪一列、也不說成本基礎會被捨棄
假設：①設計上允許以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寫入賣超（待釐清部位）；②前端漏了逐列確認
排除：後端 </t>
    </r>
    <r>
      <rPr>
        <sz val="10"/>
        <rFont val="Arial"/>
        <family val="0"/>
        <charset val="1"/>
      </rPr>
      <t xml:space="preserve">validate.py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sell_exceeds_holdings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needs_confirm=True</t>
    </r>
    <r>
      <rPr>
        <sz val="10"/>
        <rFont val="Noto Sans CJK SC"/>
        <family val="2"/>
      </rPr>
      <t xml:space="preserve">（可確認後寫入），與手動輸入同一條規則，排除「後端未擋」；差異在確認框的資訊量
定位：</t>
    </r>
    <r>
      <rPr>
        <sz val="10"/>
        <rFont val="Arial"/>
        <family val="0"/>
        <charset val="1"/>
      </rPr>
      <t xml:space="preserve">web/input.js:1321-1324 </t>
    </r>
    <r>
      <rPr>
        <sz val="10"/>
        <rFont val="Noto Sans CJK SC"/>
        <family val="2"/>
      </rPr>
      <t xml:space="preserve">的通用確認框；手動輸入（</t>
    </r>
    <r>
      <rPr>
        <sz val="10"/>
        <rFont val="Arial"/>
        <family val="0"/>
        <charset val="1"/>
      </rPr>
      <t xml:space="preserve">B-11</t>
    </r>
    <r>
      <rPr>
        <sz val="10"/>
        <rFont val="Noto Sans CJK SC"/>
        <family val="2"/>
      </rPr>
      <t xml:space="preserve">）走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三選一並明寫「成本基礎會被永久捨棄…之後再買回也不會還原」（</t>
    </r>
    <r>
      <rPr>
        <sz val="10"/>
        <rFont val="Arial"/>
        <family val="0"/>
        <charset val="1"/>
      </rPr>
      <t xml:space="preserve">web/input.js:928</t>
    </r>
    <r>
      <rPr>
        <sz val="10"/>
        <rFont val="Noto Sans CJK SC"/>
        <family val="2"/>
      </rPr>
      <t xml:space="preserve">）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行為與手冊 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「該列不可寫入」不符，但後端設計允許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後寫入；需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賣超要「不可寫入」還是「比照手動輸入的明確確認」</t>
    </r>
  </si>
  <si>
    <t xml:space="preserve">賣超列可經一次通用確認寫入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</si>
  <si>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；若維持可寫入：確認框至少要點名是哪幾列、說明成本基礎歸零的後果，且預設不勾選</t>
    </r>
  </si>
  <si>
    <r>
      <rPr>
        <sz val="10"/>
        <rFont val="Noto Sans CJK SC"/>
        <family val="2"/>
      </rPr>
      <t xml:space="preserve">真實瀏覽器匯出→貼上預覽；人工改表頭後寫入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列，再以匯出檔比對新舊列，最後批次復原並逐位元比對</t>
    </r>
  </si>
  <si>
    <r>
      <rPr>
        <sz val="10"/>
        <rFont val="Noto Sans CJK SC"/>
        <family val="2"/>
      </rPr>
      <t xml:space="preserve">觀察：原樣匯回 </t>
    </r>
    <r>
      <rPr>
        <sz val="10"/>
        <rFont val="Arial"/>
        <family val="0"/>
        <charset val="1"/>
      </rPr>
      <t xml:space="preserve">56/56 </t>
    </r>
    <r>
      <rPr>
        <sz val="10"/>
        <rFont val="Noto Sans CJK SC"/>
        <family val="2"/>
      </rPr>
      <t xml:space="preserve">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</t>
    </r>
    <r>
      <rPr>
        <sz val="10"/>
        <rFont val="Arial"/>
        <family val="0"/>
        <charset val="1"/>
      </rPr>
      <t xml:space="preserve">I-05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I-07</t>
    </r>
    <r>
      <rPr>
        <sz val="10"/>
        <rFont val="Noto Sans CJK SC"/>
        <family val="2"/>
      </rPr>
      <t xml:space="preserve">），排除②；直接 </t>
    </r>
    <r>
      <rPr>
        <sz val="10"/>
        <rFont val="Arial"/>
        <family val="0"/>
        <charset val="1"/>
      </rPr>
      <t xml:space="preserve">POST /api/import/preview </t>
    </r>
    <r>
      <rPr>
        <sz val="10"/>
        <rFont val="Noto Sans CJK SC"/>
        <family val="2"/>
      </rPr>
      <t xml:space="preserve">結果相同
定位：</t>
    </r>
    <r>
      <rPr>
        <sz val="10"/>
        <rFont val="Arial"/>
        <family val="0"/>
        <charset val="1"/>
      </rPr>
      <t xml:space="preserve">portfolio_dash/export/ledgers.py:100 build_ledger_csv </t>
    </r>
    <r>
      <rPr>
        <sz val="10"/>
        <rFont val="Noto Sans CJK SC"/>
        <family val="2"/>
      </rPr>
      <t xml:space="preserve">以資料表欄名輸出；</t>
    </r>
    <r>
      <rPr>
        <sz val="10"/>
        <rFont val="Arial"/>
        <family val="0"/>
        <charset val="1"/>
      </rPr>
      <t xml:space="preserve">portfolio_dash/data_ingestion/csv_import.py:53 TRANSACTION_COLUMNS </t>
    </r>
    <r>
      <rPr>
        <sz val="10"/>
        <rFont val="Noto Sans CJK SC"/>
        <family val="2"/>
      </rPr>
      <t xml:space="preserve">是匯入唯一欄名來源，註解提到的 </t>
    </r>
    <r>
      <rPr>
        <sz val="10"/>
        <rFont val="Arial"/>
        <family val="0"/>
        <charset val="1"/>
      </rPr>
      <t xml:space="preserve">round-trip </t>
    </r>
    <r>
      <rPr>
        <sz val="10"/>
        <rFont val="Noto Sans CJK SC"/>
        <family val="2"/>
      </rPr>
      <t xml:space="preserve">守門測試只驗「範本↔解析器」，沒有驗「匯出↔解析器」；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在匯入時一律由 </t>
    </r>
    <r>
      <rPr>
        <sz val="10"/>
        <rFont val="Arial"/>
        <family val="0"/>
        <charset val="1"/>
      </rPr>
      <t xml:space="preserve">portfolio_dash/data_ingestion/fees.py:111 </t>
    </r>
    <r>
      <rPr>
        <sz val="10"/>
        <rFont val="Noto Sans CJK SC"/>
        <family val="2"/>
      </rPr>
      <t xml:space="preserve">改寫為 </t>
    </r>
    <r>
      <rPr>
        <sz val="10"/>
        <rFont val="Arial"/>
        <family val="0"/>
        <charset val="1"/>
      </rPr>
      <t xml:space="preserve">supplied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 — I-13</t>
    </r>
    <r>
      <rPr>
        <sz val="10"/>
        <rFont val="Noto Sans CJK SC"/>
        <family val="2"/>
      </rPr>
      <t xml:space="preserve">「往返後的列內容與原列一致」不成立：原樣不可匯回，人工改表頭後費率快照仍遺失（折讓款預估依賴此快照）</t>
    </r>
  </si>
  <si>
    <r>
      <rPr>
        <sz val="10"/>
        <rFont val="Noto Sans CJK SC"/>
        <family val="2"/>
      </rPr>
      <t xml:space="preserve">原樣匯回 </t>
    </r>
    <r>
      <rPr>
        <sz val="10"/>
        <rFont val="Arial"/>
        <family val="0"/>
        <charset val="1"/>
      </rPr>
      <t xml:space="preserve">0/56 </t>
    </r>
    <r>
      <rPr>
        <sz val="10"/>
        <rFont val="Noto Sans CJK SC"/>
        <family val="2"/>
      </rPr>
      <t xml:space="preserve">列可寫入；改表頭後 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遺失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</si>
  <si>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DEF-026</t>
    </r>
    <r>
      <rPr>
        <sz val="10"/>
        <rFont val="Noto Sans CJK SC"/>
        <family val="2"/>
      </rPr>
      <t xml:space="preserve">；股利／換匯／期初／公司行動／資金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類帳本的匯出→匯回未逐一測（公司行動匯出欄為 </t>
    </r>
    <r>
      <rPr>
        <sz val="10"/>
        <rFont val="Arial"/>
        <family val="0"/>
        <charset val="1"/>
      </rPr>
      <t xml:space="preserve">ratio_to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ratio_from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from_symbol</t>
    </r>
    <r>
      <rPr>
        <sz val="10"/>
        <rFont val="Noto Sans CJK SC"/>
        <family val="2"/>
      </rPr>
      <t xml:space="preserve">，推測同類）</t>
    </r>
  </si>
  <si>
    <r>
      <rPr>
        <sz val="10"/>
        <rFont val="Noto Sans CJK SC"/>
        <family val="2"/>
      </rPr>
      <t xml:space="preserve">真實瀏覽器上傳檔案→全部寫入；讀 </t>
    </r>
    <r>
      <rPr>
        <sz val="10"/>
        <rFont val="Arial"/>
        <family val="0"/>
        <charset val="1"/>
      </rPr>
      <t xml:space="preserve">/api/import/commit </t>
    </r>
    <r>
      <rPr>
        <sz val="10"/>
        <rFont val="Noto Sans CJK SC"/>
        <family val="2"/>
      </rPr>
      <t xml:space="preserve">請求本文與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；之後以最近匯入 › 復原（批次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）並逐位元比對</t>
    </r>
  </si>
  <si>
    <r>
      <rPr>
        <sz val="10"/>
        <rFont val="Noto Sans CJK SC"/>
        <family val="2"/>
      </rPr>
      <t xml:space="preserve">觀察：寫入後 </t>
    </r>
    <r>
      <rPr>
        <sz val="10"/>
        <rFont val="Arial"/>
        <family val="0"/>
        <charset val="1"/>
      </rPr>
      <t xml:space="preserve">AAPL shares −914.96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oversold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null</t>
    </r>
    <r>
      <rPr>
        <sz val="10"/>
        <rFont val="Noto Sans CJK SC"/>
        <family val="2"/>
      </rPr>
      <t xml:space="preserve">；過程中沒有出現標準匯入的「匯入警告確認」或手動輸入的賣超三選一
假設：①前端寫死 </t>
    </r>
    <r>
      <rPr>
        <sz val="10"/>
        <rFont val="Arial"/>
        <family val="0"/>
        <charset val="1"/>
      </rPr>
      <t xml:space="preserve">ack_warnings</t>
    </r>
    <r>
      <rPr>
        <sz val="10"/>
        <rFont val="Noto Sans CJK SC"/>
        <family val="2"/>
      </rPr>
      <t xml:space="preserve">；②後端對 </t>
    </r>
    <r>
      <rPr>
        <sz val="10"/>
        <rFont val="Arial"/>
        <family val="0"/>
        <charset val="1"/>
      </rPr>
      <t xml:space="preserve">broker </t>
    </r>
    <r>
      <rPr>
        <sz val="10"/>
        <rFont val="Noto Sans CJK SC"/>
        <family val="2"/>
      </rPr>
      <t xml:space="preserve">來源不檢查賣超；③轉換器已判斷為期初庫存可涵蓋
排除：同一列改用標準範本貼上時，後端回 </t>
    </r>
    <r>
      <rPr>
        <sz val="10"/>
        <rFont val="Arial"/>
        <family val="0"/>
        <charset val="1"/>
      </rPr>
      <t xml:space="preserve">422 warnings_unacknowledged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），證明後端有檢查，排除②；期初庫存列我留白、未匯入，排除③
定位：</t>
    </r>
    <r>
      <rPr>
        <sz val="10"/>
        <rFont val="Arial"/>
        <family val="0"/>
        <charset val="1"/>
      </rPr>
      <t xml:space="preserve">web/broker-import.js:423 `ack_warnings: true` </t>
    </r>
    <r>
      <rPr>
        <sz val="10"/>
        <rFont val="Noto Sans CJK SC"/>
        <family val="2"/>
      </rPr>
      <t xml:space="preserve">寫死於每一個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請求；同檔 </t>
    </r>
    <r>
      <rPr>
        <sz val="10"/>
        <rFont val="Arial"/>
        <family val="0"/>
        <charset val="1"/>
      </rPr>
      <t xml:space="preserve">427-429 </t>
    </r>
    <r>
      <rPr>
        <sz val="10"/>
        <rFont val="Noto Sans CJK SC"/>
        <family val="2"/>
      </rPr>
      <t xml:space="preserve">的註解自己寫明賣超確認是「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」；轉換器（</t>
    </r>
    <r>
      <rPr>
        <sz val="10"/>
        <rFont val="Arial"/>
        <family val="0"/>
        <charset val="1"/>
      </rPr>
      <t xml:space="preserve">portfolio_dash/api/routers/broker_import.py:197 convert</t>
    </r>
    <r>
      <rPr>
        <sz val="10"/>
        <rFont val="Noto Sans CJK SC"/>
        <family val="2"/>
      </rPr>
      <t xml:space="preserve">）只看檔案內部，不看帳本現有持股，所以 </t>
    </r>
    <r>
      <rPr>
        <sz val="10"/>
        <rFont val="Arial"/>
        <family val="0"/>
        <charset val="1"/>
      </rPr>
      <t xml:space="preserve">prehistory_position </t>
    </r>
    <r>
      <rPr>
        <sz val="10"/>
        <rFont val="Noto Sans CJK SC"/>
        <family val="2"/>
      </rPr>
      <t xml:space="preserve">提示要求補 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股期初，而帳本其實已有 </t>
    </r>
    <r>
      <rPr>
        <sz val="10"/>
        <rFont val="Arial"/>
        <family val="0"/>
        <charset val="1"/>
      </rPr>
      <t xml:space="preserve">85.04 </t>
    </r>
    <r>
      <rPr>
        <sz val="10"/>
        <rFont val="Noto Sans CJK SC"/>
        <family val="2"/>
      </rPr>
      <t xml:space="preserve">股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（高）— 會把成本基礎永久歸零的操作沒有經過使用者確認；可用批次復原救回，但使用者看到的是成功訊息</t>
    </r>
  </si>
  <si>
    <r>
      <rPr>
        <sz val="10"/>
        <rFont val="Noto Sans CJK SC"/>
        <family val="2"/>
      </rPr>
      <t xml:space="preserve">賣超列被自動確認寫入：</t>
    </r>
    <r>
      <rPr>
        <sz val="10"/>
        <rFont val="Arial"/>
        <family val="0"/>
        <charset val="1"/>
      </rPr>
      <t xml:space="preserve">AAPL −914.96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空白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</si>
  <si>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DEF-027</t>
    </r>
    <r>
      <rPr>
        <sz val="10"/>
        <rFont val="Noto Sans CJK SC"/>
        <family val="2"/>
      </rPr>
      <t xml:space="preserve">；同一機制對其他 </t>
    </r>
    <r>
      <rPr>
        <sz val="10"/>
        <rFont val="Arial"/>
        <family val="0"/>
        <charset val="1"/>
      </rPr>
      <t xml:space="preserve">needs_confirm </t>
    </r>
    <r>
      <rPr>
        <sz val="10"/>
        <rFont val="Noto Sans CJK SC"/>
        <family val="2"/>
      </rPr>
      <t xml:space="preserve">類警告（重複交易、日期早於期初等）也一律自動確認，未逐一測</t>
    </r>
  </si>
  <si>
    <r>
      <rPr>
        <sz val="10"/>
        <rFont val="Noto Sans CJK SC"/>
        <family val="2"/>
      </rPr>
      <t xml:space="preserve">真實瀏覽器上傳，搜尋整頁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（含隱藏元素）是否出現轉出列內容（例如代號 </t>
    </r>
    <r>
      <rPr>
        <sz val="10"/>
        <rFont val="Arial"/>
        <family val="0"/>
        <charset val="1"/>
      </rPr>
      <t xml:space="preserve">ALFA</t>
    </r>
    <r>
      <rPr>
        <sz val="10"/>
        <rFont val="Noto Sans CJK SC"/>
        <family val="2"/>
      </rPr>
      <t xml:space="preserve">）；對照 </t>
    </r>
    <r>
      <rPr>
        <sz val="10"/>
        <rFont val="Arial"/>
        <family val="0"/>
        <charset val="1"/>
      </rPr>
      <t xml:space="preserve">/api/broker/convert </t>
    </r>
    <r>
      <rPr>
        <sz val="10"/>
        <rFont val="Noto Sans CJK SC"/>
        <family val="2"/>
      </rPr>
      <t xml:space="preserve">回應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</si>
  <si>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內找不到任何 </t>
    </r>
    <r>
      <rPr>
        <sz val="10"/>
        <rFont val="Arial"/>
        <family val="0"/>
        <charset val="1"/>
      </rPr>
      <t xml:space="preserve">ALFA </t>
    </r>
    <r>
      <rPr>
        <sz val="10"/>
        <rFont val="Noto Sans CJK SC"/>
        <family val="2"/>
      </rPr>
      <t xml:space="preserve">字樣，轉換區只有兩行摘要；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列進、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列出，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Journaled ±25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Cancel Buy BETA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NRA Tax Adj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）如何處理沒有說明
假設：①明細藏在收合區；②明細要按「全部寫入」後才出現；③設計上只給摘要
排除：列出轉換區所有 </t>
    </r>
    <r>
      <rPr>
        <sz val="10"/>
        <rFont val="Arial"/>
        <family val="0"/>
        <charset val="1"/>
      </rPr>
      <t xml:space="preserve">details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button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aria-expanded </t>
    </r>
    <r>
      <rPr>
        <sz val="10"/>
        <rFont val="Noto Sans CJK SC"/>
        <family val="2"/>
      </rPr>
      <t xml:space="preserve">元素，只有「清除」「全部寫入」，排除①；寫入後畫面只有「交易 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筆／資金 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筆」，排除②
定位：</t>
    </r>
    <r>
      <rPr>
        <sz val="10"/>
        <rFont val="Arial"/>
        <family val="0"/>
        <charset val="1"/>
      </rPr>
      <t xml:space="preserve">web/broker-import.js:266 </t>
    </r>
    <r>
      <rPr>
        <sz val="10"/>
        <rFont val="Noto Sans CJK SC"/>
        <family val="2"/>
      </rPr>
      <t xml:space="preserve">的轉換結果只輸出「讀入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列，產生：…」筆數；明細存在 </t>
    </r>
    <r>
      <rPr>
        <sz val="10"/>
        <rFont val="Arial"/>
        <family val="0"/>
        <charset val="1"/>
      </rPr>
      <t xml:space="preserve">/api/broker/convert </t>
    </r>
    <r>
      <rPr>
        <sz val="10"/>
        <rFont val="Noto Sans CJK SC"/>
        <family val="2"/>
      </rPr>
      <t xml:space="preserve">回應的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欄位
判定：</t>
    </r>
    <r>
      <rPr>
        <sz val="10"/>
        <rFont val="Arial"/>
        <family val="0"/>
        <charset val="1"/>
      </rPr>
      <t xml:space="preserve">FAIL — I-10 ①</t>
    </r>
    <r>
      <rPr>
        <sz val="10"/>
        <rFont val="Noto Sans CJK SC"/>
        <family val="2"/>
      </rPr>
      <t xml:space="preserve">「轉換報告逐列可檢視」不成立；使用者只能對著筆數按「全部寫入」</t>
    </r>
  </si>
  <si>
    <t xml:space="preserve">轉換報告只有筆數，無逐列明細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</si>
  <si>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DEF-028</t>
    </r>
  </si>
  <si>
    <r>
      <rPr>
        <sz val="10"/>
        <rFont val="Noto Sans CJK SC"/>
        <family val="2"/>
      </rPr>
      <t xml:space="preserve">真實瀏覽器；讀 </t>
    </r>
    <r>
      <rPr>
        <sz val="10"/>
        <rFont val="Arial"/>
        <family val="0"/>
        <charset val="1"/>
      </rPr>
      <t xml:space="preserve">/api/broker/convert </t>
    </r>
    <r>
      <rPr>
        <sz val="10"/>
        <rFont val="Noto Sans CJK SC"/>
        <family val="2"/>
      </rPr>
      <t xml:space="preserve">請求與回應（</t>
    </r>
    <r>
      <rPr>
        <sz val="10"/>
        <rFont val="Arial"/>
        <family val="0"/>
        <charset val="1"/>
      </rPr>
      <t xml:space="preserve">blocking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皆為空）；寫入後以批次復原並逐位元比對</t>
    </r>
  </si>
  <si>
    <r>
      <rPr>
        <sz val="10"/>
        <rFont val="Noto Sans CJK SC"/>
        <family val="2"/>
      </rPr>
      <t xml:space="preserve">觀察：兩種錯配在轉換時都沒有 </t>
    </r>
    <r>
      <rPr>
        <sz val="10"/>
        <rFont val="Arial"/>
        <family val="0"/>
        <charset val="1"/>
      </rPr>
      <t xml:space="preserve">blocking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advisory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錯配直接寫入成功
假設：①轉換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有帳戶／券商比對但前端沒顯示；②只靠寫入時的市場規則擋；③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也能交易美股，所以被視為合法
排除：</t>
    </r>
    <r>
      <rPr>
        <sz val="10"/>
        <rFont val="Arial"/>
        <family val="0"/>
        <charset val="1"/>
      </rPr>
      <t xml:space="preserve">convert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blocking=[]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advisory=[]</t>
    </r>
    <r>
      <rPr>
        <sz val="10"/>
        <rFont val="Noto Sans CJK SC"/>
        <family val="2"/>
      </rPr>
      <t xml:space="preserve">，排除①；台灣券商案例的阻擋訊息來自 </t>
    </r>
    <r>
      <rPr>
        <sz val="10"/>
        <rFont val="Arial"/>
        <family val="0"/>
        <charset val="1"/>
      </rPr>
      <t xml:space="preserve">market_mismatch</t>
    </r>
    <r>
      <rPr>
        <sz val="10"/>
        <rFont val="Noto Sans CJK SC"/>
        <family val="2"/>
      </rPr>
      <t xml:space="preserve">（寫入驗證），證實只有②；③正是問題所在——帳戶能交易美股不代表嘉信的對帳單屬於這個帳戶
定位：</t>
    </r>
    <r>
      <rPr>
        <sz val="10"/>
        <rFont val="Arial"/>
        <family val="0"/>
        <charset val="1"/>
      </rPr>
      <t xml:space="preserve">portfolio_dash/api/routers/broker_import.py:171-176 </t>
    </r>
    <r>
      <rPr>
        <sz val="10"/>
        <rFont val="Noto Sans CJK SC"/>
        <family val="2"/>
      </rPr>
      <t xml:space="preserve">只檢查 </t>
    </r>
    <r>
      <rPr>
        <sz val="10"/>
        <rFont val="Arial"/>
        <family val="0"/>
        <charset val="1"/>
      </rPr>
      <t xml:space="preserve">broker </t>
    </r>
    <r>
      <rPr>
        <sz val="10"/>
        <rFont val="Noto Sans CJK SC"/>
        <family val="2"/>
      </rPr>
      <t xml:space="preserve">是否支援、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是否存在，沒有「此帳戶是否為該券商」的對應；前端送出的 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固定為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（連台灣券商也是）
判定：</t>
    </r>
    <r>
      <rPr>
        <sz val="10"/>
        <rFont val="Arial"/>
        <family val="0"/>
        <charset val="1"/>
      </rPr>
      <t xml:space="preserve">FAIL — I-11</t>
    </r>
    <r>
      <rPr>
        <sz val="10"/>
        <rFont val="Noto Sans CJK SC"/>
        <family val="2"/>
      </rPr>
      <t xml:space="preserve">「系統需警告或阻擋」在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案例完全沒有；台灣券商案例雖被擋，但轉換結果先顯示「✓ 對帳通過」，資訊互相矛盾</t>
    </r>
  </si>
  <si>
    <r>
      <rPr>
        <sz val="10"/>
        <rFont val="Noto Sans CJK SC"/>
        <family val="2"/>
      </rPr>
      <t xml:space="preserve">嘉信對帳單寫進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帳戶無任何警告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</si>
  <si>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DEF-029</t>
    </r>
    <r>
      <rPr>
        <sz val="10"/>
        <rFont val="Noto Sans CJK SC"/>
        <family val="2"/>
      </rPr>
      <t xml:space="preserve">；帳戶是否該記錄所屬券商（目前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broker </t>
    </r>
    <r>
      <rPr>
        <sz val="10"/>
        <rFont val="Noto Sans CJK SC"/>
        <family val="2"/>
      </rPr>
      <t xml:space="preserve">沒有對應欄位）由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</t>
    </r>
  </si>
  <si>
    <r>
      <rPr>
        <sz val="10"/>
        <rFont val="Noto Sans CJK SC"/>
        <family val="2"/>
      </rPr>
      <t xml:space="preserve">真實瀏覽器按鈕；讀 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；對照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產生洞察（</t>
    </r>
    <r>
      <rPr>
        <sz val="10"/>
        <rFont val="Arial"/>
        <family val="0"/>
        <charset val="1"/>
      </rPr>
      <t xml:space="preserve">POST /api/insight-types/10/run</t>
    </r>
    <r>
      <rPr>
        <sz val="10"/>
        <rFont val="Noto Sans CJK SC"/>
        <family val="2"/>
      </rPr>
      <t xml:space="preserve">）同一任務可成功（</t>
    </r>
    <r>
      <rPr>
        <sz val="10"/>
        <rFont val="Arial"/>
        <family val="0"/>
        <charset val="1"/>
      </rPr>
      <t xml:space="preserve">#156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</si>
  <si>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觀察：三次立即執行皆在 </t>
    </r>
    <r>
      <rPr>
        <sz val="10"/>
        <rFont val="Arial"/>
        <family val="0"/>
        <charset val="1"/>
      </rPr>
      <t xml:space="preserve">0.02 s </t>
    </r>
    <r>
      <rPr>
        <sz val="10"/>
        <rFont val="Noto Sans CJK SC"/>
        <family val="2"/>
      </rPr>
      <t xml:space="preserve">內失敗，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只有帶引號的工作代號
假設：①任務停用導致；②新建任務的排程尚未登錄；③手動執行路徑根本不支援 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工作
排除：任務啟用後重試仍失敗，排除①；建立於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月的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同樣失敗，排除②
定位：</t>
    </r>
    <r>
      <rPr>
        <sz val="10"/>
        <rFont val="Arial"/>
        <family val="0"/>
        <charset val="1"/>
      </rPr>
      <t xml:space="preserve">portfolio_dash/api/routers/scheduler.py:228-250 run_job_now </t>
    </r>
    <r>
      <rPr>
        <sz val="10"/>
        <rFont val="Noto Sans CJK SC"/>
        <family val="2"/>
      </rPr>
      <t xml:space="preserve">的背景執行走 </t>
    </r>
    <r>
      <rPr>
        <sz val="10"/>
        <rFont val="Arial"/>
        <family val="0"/>
        <charset val="1"/>
      </rPr>
      <t xml:space="preserve">portfolio_dash/scheduler/jobs.py:1573 `_jobs_by_id()[job_id]`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_jobs_by_id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jobs.py:1387</t>
    </r>
    <r>
      <rPr>
        <sz val="10"/>
        <rFont val="Noto Sans CJK SC"/>
        <family val="2"/>
      </rPr>
      <t xml:space="preserve">）只含靜態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清單，</t>
    </r>
    <r>
      <rPr>
        <sz val="10"/>
        <rFont val="Arial"/>
        <family val="0"/>
        <charset val="1"/>
      </rPr>
      <t xml:space="preserve">insight:* </t>
    </r>
    <r>
      <rPr>
        <sz val="10"/>
        <rFont val="Noto Sans CJK SC"/>
        <family val="2"/>
      </rPr>
      <t xml:space="preserve">不在其中 → </t>
    </r>
    <r>
      <rPr>
        <sz val="10"/>
        <rFont val="Arial"/>
        <family val="0"/>
        <charset val="1"/>
      </rPr>
      <t xml:space="preserve">KeyError('insight:10')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str(exc) </t>
    </r>
    <r>
      <rPr>
        <sz val="10"/>
        <rFont val="Noto Sans CJK SC"/>
        <family val="2"/>
      </rPr>
      <t xml:space="preserve">直接寫進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；排程中心列名由 </t>
    </r>
    <r>
      <rPr>
        <sz val="10"/>
        <rFont val="Arial"/>
        <family val="0"/>
        <charset val="1"/>
      </rPr>
      <t xml:space="preserve">jobLabel(j.id, j.desc)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desc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工作的 </t>
    </r>
    <r>
      <rPr>
        <sz val="10"/>
        <rFont val="Arial"/>
        <family val="0"/>
        <charset val="1"/>
      </rPr>
      <t xml:space="preserve">desc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insight:N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 — H-04</t>
    </r>
    <r>
      <rPr>
        <sz val="10"/>
        <rFont val="Noto Sans CJK SC"/>
        <family val="2"/>
      </rPr>
      <t xml:space="preserve">「立即執行…即時反映在清單與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」在排程中心這條路徑不成立，且錯誤訊息不可讀</t>
    </r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</si>
  <si>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</si>
  <si>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DEF-030</t>
    </r>
    <r>
      <rPr>
        <sz val="10"/>
        <rFont val="Noto Sans CJK SC"/>
        <family val="2"/>
      </rPr>
      <t xml:space="preserve">；排程觸發（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）走 </t>
    </r>
    <r>
      <rPr>
        <sz val="10"/>
        <rFont val="Arial"/>
        <family val="0"/>
        <charset val="1"/>
      </rPr>
      <t xml:space="preserve">insight runner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排程器關閉未能實測</t>
    </r>
  </si>
  <si>
    <r>
      <rPr>
        <sz val="10"/>
        <rFont val="Noto Sans CJK SC"/>
        <family val="2"/>
      </rPr>
      <t xml:space="preserve">真實瀏覽器點擊兩次，攔截網路請求（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支）與對話框（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個）；讀原始碼確認</t>
    </r>
  </si>
  <si>
    <r>
      <rPr>
        <sz val="10"/>
        <rFont val="Noto Sans CJK SC"/>
        <family val="2"/>
      </rPr>
      <t xml:space="preserve">觀察：按下後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支網路請求、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個對話框，只有成功樣式的 </t>
    </r>
    <r>
      <rPr>
        <sz val="10"/>
        <rFont val="Arial"/>
        <family val="0"/>
        <charset val="1"/>
      </rPr>
      <t xml:space="preserve">toast
</t>
    </r>
    <r>
      <rPr>
        <sz val="10"/>
        <rFont val="Noto Sans CJK SC"/>
        <family val="2"/>
      </rPr>
      <t xml:space="preserve">假設：①編輯器載入慢；②需先選別的分頁；③按鈕尚未實作
排除：等待 </t>
    </r>
    <r>
      <rPr>
        <sz val="10"/>
        <rFont val="Arial"/>
        <family val="0"/>
        <charset val="1"/>
      </rPr>
      <t xml:space="preserve">1.2 s </t>
    </r>
    <r>
      <rPr>
        <sz val="10"/>
        <rFont val="Noto Sans CJK SC"/>
        <family val="2"/>
      </rPr>
      <t xml:space="preserve">與重按皆無變化，排除①；抽屜其他分頁切換後仍相同，排除②
定位：</t>
    </r>
    <r>
      <rPr>
        <sz val="10"/>
        <rFont val="Arial"/>
        <family val="0"/>
        <charset val="1"/>
      </rPr>
      <t xml:space="preserve">web/pipeline.js:461-463 click </t>
    </r>
    <r>
      <rPr>
        <sz val="10"/>
        <rFont val="Noto Sans CJK SC"/>
        <family val="2"/>
      </rPr>
      <t xml:space="preserve">監聽只呼叫 </t>
    </r>
    <r>
      <rPr>
        <sz val="10"/>
        <rFont val="Arial"/>
        <family val="0"/>
        <charset val="1"/>
      </rPr>
      <t xml:space="preserve">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</t>
    </r>
    <r>
      <rPr>
        <sz val="10"/>
        <rFont val="Noto Sans CJK SC"/>
        <family val="2"/>
      </rPr>
      <t xml:space="preserve">；同檔 </t>
    </r>
    <r>
      <rPr>
        <sz val="10"/>
        <rFont val="Arial"/>
        <family val="0"/>
        <charset val="1"/>
      </rPr>
      <t xml:space="preserve">51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修正動作 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openDrawer(t,'input')</t>
    </r>
    <r>
      <rPr>
        <sz val="10"/>
        <rFont val="Noto Sans CJK SC"/>
        <family val="2"/>
      </rPr>
      <t xml:space="preserve">，回到同一顆按鈕
判定：</t>
    </r>
    <r>
      <rPr>
        <sz val="10"/>
        <rFont val="Arial"/>
        <family val="0"/>
        <charset val="1"/>
      </rPr>
      <t xml:space="preserve">FAIL — </t>
    </r>
    <r>
      <rPr>
        <sz val="10"/>
        <rFont val="Noto Sans CJK SC"/>
        <family val="2"/>
      </rPr>
      <t xml:space="preserve">修正指引不可執行，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標的宇宙為空的情境也無法經 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建立</t>
    </r>
  </si>
  <si>
    <t xml:space="preserve">編輯標的無作用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</si>
  <si>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DEF-031</t>
    </r>
  </si>
  <si>
    <r>
      <rPr>
        <sz val="10"/>
        <rFont val="Noto Sans CJK SC"/>
        <family val="2"/>
      </rPr>
      <t xml:space="preserve">真實瀏覽器讀精靈文字與勾選框；對照 </t>
    </r>
    <r>
      <rPr>
        <sz val="10"/>
        <rFont val="Arial"/>
        <family val="0"/>
        <charset val="1"/>
      </rPr>
      <t xml:space="preserve">/api/insight-tasks/status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檔與 </t>
    </r>
    <r>
      <rPr>
        <sz val="10"/>
        <rFont val="Arial"/>
        <family val="0"/>
        <charset val="1"/>
      </rPr>
      <t xml:space="preserve">/api/dashboard holdings 14 </t>
    </r>
    <r>
      <rPr>
        <sz val="10"/>
        <rFont val="Noto Sans CJK SC"/>
        <family val="2"/>
      </rPr>
      <t xml:space="preserve">列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</si>
  <si>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列數（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兩列），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＝不重複代號數
假設：①精靈直接用持倉列；②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在兩帳戶被當成兩個標的是刻意設計
排除：勾第一個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後第二個不會連動、預覽仍算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檔，兩者是獨立選項；既有任務與批次都以代號為單位（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），排除②
定位：精靈的標的清單與計數來源（</t>
    </r>
    <r>
      <rPr>
        <sz val="10"/>
        <rFont val="Arial"/>
        <family val="0"/>
        <charset val="1"/>
      </rPr>
      <t xml:space="preserve">web/pipeline-wizard.js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/api/dashboard holdings</t>
    </r>
    <r>
      <rPr>
        <sz val="10"/>
        <rFont val="Noto Sans CJK SC"/>
        <family val="2"/>
      </rPr>
      <t xml:space="preserve">）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估算卡數與成本高估一張，清單重複</t>
    </r>
  </si>
  <si>
    <r>
      <rPr>
        <sz val="10"/>
        <rFont val="Noto Sans CJK SC"/>
        <family val="2"/>
      </rPr>
      <t xml:space="preserve">精靈顯示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卡，實際 </t>
    </r>
    <r>
      <rPr>
        <sz val="10"/>
        <rFont val="Arial"/>
        <family val="0"/>
        <charset val="1"/>
      </rPr>
      <t xml:space="preserve">13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</si>
  <si>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DEF-032</t>
    </r>
  </si>
  <si>
    <r>
      <rPr>
        <sz val="10"/>
        <rFont val="Noto Sans CJK SC"/>
        <family val="2"/>
      </rPr>
      <t xml:space="preserve">真實瀏覽器檢視策略卡所有控制項；讀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回應欄位（</t>
    </r>
    <r>
      <rPr>
        <sz val="10"/>
        <rFont val="Arial"/>
        <family val="0"/>
        <charset val="1"/>
      </rPr>
      <t xml:space="preserve">id, name, body, enabled, archived, created_at, updated_at, scope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</si>
  <si>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與畫面都沒有版本欄位或歷史列表
假設：①版本記錄在別的頁（洞察管線的「校正版本」）；②設計上不做版本
排除：「校正版本」是自我校正產生的校正層，與使用者編輯的模板無關
定位：</t>
    </r>
    <r>
      <rPr>
        <sz val="10"/>
        <rFont val="Arial"/>
        <family val="0"/>
        <charset val="1"/>
      </rPr>
      <t xml:space="preserve">portfolio_dash/llm_insight/composer_store.py:302-320 update_strategy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UPDATE </t>
    </r>
    <r>
      <rPr>
        <sz val="10"/>
        <rFont val="Noto Sans CJK SC"/>
        <family val="2"/>
      </rPr>
      <t xml:space="preserve">覆寫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並重蓋 </t>
    </r>
    <r>
      <rPr>
        <sz val="10"/>
        <rFont val="Arial"/>
        <family val="0"/>
        <charset val="1"/>
      </rPr>
      <t xml:space="preserve">updated_at</t>
    </r>
    <r>
      <rPr>
        <sz val="10"/>
        <rFont val="Noto Sans CJK SC"/>
        <family val="2"/>
      </rPr>
      <t xml:space="preserve">，無歷史表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手冊 </t>
    </r>
    <r>
      <rPr>
        <sz val="10"/>
        <rFont val="Arial"/>
        <family val="0"/>
        <charset val="1"/>
      </rPr>
      <t xml:space="preserve">H-03 ①③ </t>
    </r>
    <r>
      <rPr>
        <sz val="10"/>
        <rFont val="Noto Sans CJK SC"/>
        <family val="2"/>
      </rPr>
      <t xml:space="preserve">期望版本記錄與回復，實作無此功能；是否要做由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</t>
    </r>
  </si>
  <si>
    <t xml:space="preserve">無版本記錄／回復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</si>
  <si>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DEF-033</t>
    </r>
  </si>
  <si>
    <r>
      <rPr>
        <sz val="10"/>
        <rFont val="Noto Sans CJK SC"/>
        <family val="2"/>
      </rPr>
      <t xml:space="preserve">真實瀏覽器；一次用座標實點、一次用 </t>
    </r>
    <r>
      <rPr>
        <sz val="10"/>
        <rFont val="Arial"/>
        <family val="0"/>
        <charset val="1"/>
      </rPr>
      <t xml:space="preserve">DOM click</t>
    </r>
    <r>
      <rPr>
        <sz val="10"/>
        <rFont val="Noto Sans CJK SC"/>
        <family val="2"/>
      </rPr>
      <t xml:space="preserve">，攔截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數量與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數量；在乾淨頁面與切換分頁後各對照一次</t>
    </r>
  </si>
  <si>
    <r>
      <rPr>
        <sz val="10"/>
        <rFont val="Noto Sans CJK SC"/>
        <family val="2"/>
      </rPr>
      <t xml:space="preserve">觀察：乾淨頁面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次、只切換分頁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次、儲存閾值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
假設：①我的攔截器重複掛載；②分頁切換重綁；③每次重新載入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設定都重綁
排除：同一頁的閾值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只記到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次，攔截器沒有重複，排除①；只切分頁不儲存時仍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次，排除②
定位：</t>
    </r>
    <r>
      <rPr>
        <sz val="10"/>
        <rFont val="Arial"/>
        <family val="0"/>
        <charset val="1"/>
      </rPr>
      <t xml:space="preserve">web/settings-llm.js:611 boot() </t>
    </r>
    <r>
      <rPr>
        <sz val="10"/>
        <rFont val="Noto Sans CJK SC"/>
        <family val="2"/>
      </rPr>
      <t xml:space="preserve">結尾呼叫 </t>
    </r>
    <r>
      <rPr>
        <sz val="10"/>
        <rFont val="Arial"/>
        <family val="0"/>
        <charset val="1"/>
      </rPr>
      <t xml:space="preserve">initAutoAiToggle()</t>
    </r>
    <r>
      <rPr>
        <sz val="10"/>
        <rFont val="Noto Sans CJK SC"/>
        <family val="2"/>
      </rPr>
      <t xml:space="preserve">，該函式在 </t>
    </r>
    <r>
      <rPr>
        <sz val="10"/>
        <rFont val="Arial"/>
        <family val="0"/>
        <charset val="1"/>
      </rPr>
      <t xml:space="preserve">627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t.addEventListener('click', …) </t>
    </r>
    <r>
      <rPr>
        <sz val="10"/>
        <rFont val="Noto Sans CJK SC"/>
        <family val="2"/>
      </rPr>
      <t xml:space="preserve">沒有防重複；儲存閾值後重新 </t>
    </r>
    <r>
      <rPr>
        <sz val="10"/>
        <rFont val="Arial"/>
        <family val="0"/>
        <charset val="1"/>
      </rPr>
      <t xml:space="preserve">boot()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目前送出的值相同所以結果正確，但重複請求與 </t>
    </r>
    <r>
      <rPr>
        <sz val="10"/>
        <rFont val="Arial"/>
        <family val="0"/>
        <charset val="1"/>
      </rPr>
      <t xml:space="preserve">toast</t>
    </r>
  </si>
  <si>
    <r>
      <rPr>
        <sz val="10"/>
        <rFont val="Noto Sans CJK SC"/>
        <family val="2"/>
      </rPr>
      <t xml:space="preserve">一次點擊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</si>
  <si>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DEF-034</t>
    </r>
    <r>
      <rPr>
        <sz val="10"/>
        <rFont val="Noto Sans CJK SC"/>
        <family val="2"/>
      </rPr>
      <t xml:space="preserve">；同頁其他在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內綁定的控制項是否同樣累積監聽，未逐一測</t>
    </r>
  </si>
  <si>
    <r>
      <rPr>
        <sz val="10"/>
        <rFont val="Noto Sans CJK SC"/>
        <family val="2"/>
      </rPr>
      <t xml:space="preserve">真實瀏覽器解析兩次；檢查每個 </t>
    </r>
    <r>
      <rPr>
        <sz val="10"/>
        <rFont val="Arial"/>
        <family val="0"/>
        <charset val="1"/>
      </rPr>
      <t xml:space="preserve">td </t>
    </r>
    <r>
      <rPr>
        <sz val="10"/>
        <rFont val="Noto Sans CJK SC"/>
        <family val="2"/>
      </rPr>
      <t xml:space="preserve">的子元素與 </t>
    </r>
    <r>
      <rPr>
        <sz val="10"/>
        <rFont val="Arial"/>
        <family val="0"/>
        <charset val="1"/>
      </rPr>
      <t xml:space="preserve">contenteditable</t>
    </r>
    <r>
      <rPr>
        <sz val="10"/>
        <rFont val="Noto Sans CJK SC"/>
        <family val="2"/>
      </rPr>
      <t xml:space="preserve">，並模擬點擊／雙擊價格格</t>
    </r>
  </si>
  <si>
    <r>
      <rPr>
        <sz val="10"/>
        <rFont val="Noto Sans CJK SC"/>
        <family val="2"/>
      </rPr>
      <t xml:space="preserve">觀察：每列只有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input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checkbox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isContentEditable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，雙擊後仍無輸入框；帳戶顯示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schwab
</t>
    </r>
    <r>
      <rPr>
        <sz val="10"/>
        <rFont val="Noto Sans CJK SC"/>
        <family val="2"/>
      </rPr>
      <t xml:space="preserve">假設：①編輯需按某個按鈕；②設計上要回手動表單修改；③未實作
排除：列內沒有任何按鈕（未註冊列只有「立即註冊」），排除①；畫面沒有「改到手動表單」的入口，排除②
定位：</t>
    </r>
    <r>
      <rPr>
        <sz val="10"/>
        <rFont val="Arial"/>
        <family val="0"/>
        <charset val="1"/>
      </rPr>
      <t xml:space="preserve">web/input.js:1676 renderAiPreview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1773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1825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el('td','col-text', d.account_id) </t>
    </r>
    <r>
      <rPr>
        <sz val="10"/>
        <rFont val="Noto Sans CJK SC"/>
        <family val="2"/>
      </rPr>
      <t xml:space="preserve">輸出純文字（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預覽在 </t>
    </r>
    <r>
      <rPr>
        <sz val="10"/>
        <rFont val="Arial"/>
        <family val="0"/>
        <charset val="1"/>
      </rPr>
      <t xml:space="preserve">1234 </t>
    </r>
    <r>
      <rPr>
        <sz val="10"/>
        <rFont val="Noto Sans CJK SC"/>
        <family val="2"/>
      </rPr>
      <t xml:space="preserve">行用 </t>
    </r>
    <r>
      <rPr>
        <sz val="10"/>
        <rFont val="Arial"/>
        <family val="0"/>
        <charset val="1"/>
      </rPr>
      <t xml:space="preserve">acctZh(d.account_id) </t>
    </r>
    <r>
      <rPr>
        <sz val="10"/>
        <rFont val="Noto Sans CJK SC"/>
        <family val="2"/>
      </rPr>
      <t xml:space="preserve">轉顯示名）
判定：</t>
    </r>
    <r>
      <rPr>
        <sz val="10"/>
        <rFont val="Arial"/>
        <family val="0"/>
        <charset val="1"/>
      </rPr>
      <t xml:space="preserve">FAIL — F-04 ①</t>
    </r>
    <r>
      <rPr>
        <sz val="10"/>
        <rFont val="Noto Sans CJK SC"/>
        <family val="2"/>
      </rPr>
      <t xml:space="preserve">「可逐列編輯」不成立；帳戶原名違反帳戶顯示名單一來源（與 </t>
    </r>
    <r>
      <rPr>
        <sz val="10"/>
        <rFont val="Arial"/>
        <family val="0"/>
        <charset val="1"/>
      </rPr>
      <t xml:space="preserve">DEF-008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同類）</t>
    </r>
  </si>
  <si>
    <t xml:space="preserve">草稿不可編輯；帳戶顯示原名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</si>
  <si>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；股利／資金等其他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草稿表格（</t>
    </r>
    <r>
      <rPr>
        <sz val="10"/>
        <rFont val="Arial"/>
        <family val="0"/>
        <charset val="1"/>
      </rPr>
      <t xml:space="preserve">1808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1825 </t>
    </r>
    <r>
      <rPr>
        <sz val="10"/>
        <rFont val="Noto Sans CJK SC"/>
        <family val="2"/>
      </rPr>
      <t xml:space="preserve">行）同樣以原名輸出</t>
    </r>
  </si>
  <si>
    <r>
      <rPr>
        <sz val="10"/>
        <rFont val="Noto Sans CJK SC"/>
        <family val="2"/>
      </rPr>
      <t xml:space="preserve">真實瀏覽器解析；讀 </t>
    </r>
    <r>
      <rPr>
        <sz val="10"/>
        <rFont val="Arial"/>
        <family val="0"/>
        <charset val="1"/>
      </rPr>
      <t xml:space="preserve">POST /api/input/ai/preview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rows[].status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data</t>
    </r>
  </si>
  <si>
    <r>
      <rPr>
        <sz val="10"/>
        <rFont val="Noto Sans CJK SC"/>
        <family val="2"/>
      </rPr>
      <t xml:space="preserve">觀察：股數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價格＝</t>
    </r>
    <r>
      <rPr>
        <sz val="10"/>
        <rFont val="Arial"/>
        <family val="0"/>
        <charset val="1"/>
      </rPr>
      <t xml:space="preserve">4,600</t>
    </r>
    <r>
      <rPr>
        <sz val="10"/>
        <rFont val="Noto Sans CJK SC"/>
        <family val="2"/>
      </rPr>
      <t xml:space="preserve">，文字寫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，差 </t>
    </r>
    <r>
      <rPr>
        <sz val="10"/>
        <rFont val="Arial"/>
        <family val="0"/>
        <charset val="1"/>
      </rPr>
      <t xml:space="preserve">10.9 </t>
    </r>
    <r>
      <rPr>
        <sz val="10"/>
        <rFont val="Noto Sans CJK SC"/>
        <family val="2"/>
      </rPr>
      <t xml:space="preserve">倍，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ok
</t>
    </r>
    <r>
      <rPr>
        <sz val="10"/>
        <rFont val="Noto Sans CJK SC"/>
        <family val="2"/>
      </rPr>
      <t xml:space="preserve">假設：①模型沒讀到成交金額；②模型讀到但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沒有「總額」欄可比對；③後端有比對但門檻寬
排除：</t>
    </r>
    <r>
      <rPr>
        <sz val="10"/>
        <rFont val="Arial"/>
        <family val="0"/>
        <charset val="1"/>
      </rPr>
      <t xml:space="preserve">note </t>
    </r>
    <r>
      <rPr>
        <sz val="10"/>
        <rFont val="Noto Sans CJK SC"/>
        <family val="2"/>
      </rPr>
      <t xml:space="preserve">欄正是「成交金額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元」，模型有讀到，排除①；</t>
    </r>
    <r>
      <rPr>
        <sz val="10"/>
        <rFont val="Arial"/>
        <family val="0"/>
        <charset val="1"/>
      </rPr>
      <t xml:space="preserve">status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 null</t>
    </r>
    <r>
      <rPr>
        <sz val="10"/>
        <rFont val="Noto Sans CJK SC"/>
        <family val="2"/>
      </rPr>
      <t xml:space="preserve">、沒有任何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，排除③
定位：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輸入回傳的交易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，總額只能落在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，寫入門（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）不讀 </t>
    </r>
    <r>
      <rPr>
        <sz val="10"/>
        <rFont val="Arial"/>
        <family val="0"/>
        <charset val="1"/>
      </rPr>
      <t xml:space="preserve">note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 — F-05</t>
    </r>
    <r>
      <rPr>
        <sz val="10"/>
        <rFont val="Noto Sans CJK SC"/>
        <family val="2"/>
      </rPr>
      <t xml:space="preserve">「矛盾數字…系統應拒絕或標示，不得自行補齊」不成立；照此寫入會記成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</t>
    </r>
  </si>
  <si>
    <t xml:space="preserve">矛盾金額未被標示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</si>
  <si>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DEF-036</t>
    </r>
  </si>
  <si>
    <r>
      <rPr>
        <sz val="10"/>
        <rFont val="Noto Sans CJK SC"/>
        <family val="2"/>
      </rPr>
      <t xml:space="preserve">真實瀏覽器設定目標價並觸發排程；比對 </t>
    </r>
    <r>
      <rPr>
        <sz val="10"/>
        <rFont val="Arial"/>
        <family val="0"/>
        <charset val="1"/>
      </rPr>
      <t xml:space="preserve">/api/alerts 36 </t>
    </r>
    <r>
      <rPr>
        <sz val="10"/>
        <rFont val="Noto Sans CJK SC"/>
        <family val="2"/>
      </rPr>
      <t xml:space="preserve">條預警、</t>
    </r>
    <r>
      <rPr>
        <sz val="10"/>
        <rFont val="Arial"/>
        <family val="0"/>
        <charset val="1"/>
      </rPr>
      <t xml:space="preserve">/api/scheduler/runs 18 </t>
    </r>
    <r>
      <rPr>
        <sz val="10"/>
        <rFont val="Noto Sans CJK SC"/>
        <family val="2"/>
      </rPr>
      <t xml:space="preserve">次派發與 </t>
    </r>
    <r>
      <rPr>
        <sz val="10"/>
        <rFont val="Arial"/>
        <family val="0"/>
        <charset val="1"/>
      </rPr>
      <t xml:space="preserve">/api/insights 17 </t>
    </r>
    <r>
      <rPr>
        <sz val="10"/>
        <rFont val="Noto Sans CJK SC"/>
        <family val="2"/>
      </rPr>
      <t xml:space="preserve">張新卡</t>
    </r>
  </si>
  <si>
    <r>
      <rPr>
        <sz val="10"/>
        <rFont val="Noto Sans CJK SC"/>
        <family val="2"/>
      </rPr>
      <t xml:space="preserve">觀察：預警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fx_drift:moomoo_my</t>
    </r>
    <r>
      <rPr>
        <sz val="10"/>
        <rFont val="Noto Sans CJK SC"/>
        <family val="2"/>
      </rPr>
      <t xml:space="preserve">」對應到卡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卡未提目標價
假設：①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是某個被註冊的代號；②派發時把預警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的後綴一律當代號；③模型自行編了代號
排除：</t>
    </r>
    <r>
      <rPr>
        <sz val="10"/>
        <rFont val="Arial"/>
        <family val="0"/>
        <charset val="1"/>
      </rPr>
      <t xml:space="preserve">/api/instruments 26 </t>
    </r>
    <r>
      <rPr>
        <sz val="10"/>
        <rFont val="Noto Sans CJK SC"/>
        <family val="2"/>
      </rPr>
      <t xml:space="preserve">檔中沒有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，排除①；該卡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欄正是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派發，不是模型產生的欄位，排除③
定位：</t>
    </r>
    <r>
      <rPr>
        <sz val="10"/>
        <rFont val="Arial"/>
        <family val="0"/>
        <charset val="1"/>
      </rPr>
      <t xml:space="preserve">portfolio_dash/scheduler/jobs.py:888 _alert_symbol </t>
    </r>
    <r>
      <rPr>
        <sz val="10"/>
        <rFont val="Noto Sans CJK SC"/>
        <family val="2"/>
      </rPr>
      <t xml:space="preserve">以「</t>
    </r>
    <r>
      <rPr>
        <sz val="10"/>
        <rFont val="Arial"/>
        <family val="0"/>
        <charset val="1"/>
      </rPr>
      <t xml:space="preserve">rule:</t>
    </r>
    <r>
      <rPr>
        <sz val="10"/>
        <rFont val="Noto Sans CJK SC"/>
        <family val="2"/>
      </rPr>
      <t xml:space="preserve">後綴」取代號，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自己舉例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（帳戶），派發時當成 </t>
    </r>
    <r>
      <rPr>
        <sz val="10"/>
        <rFont val="Arial"/>
        <family val="0"/>
        <charset val="1"/>
      </rPr>
      <t xml:space="preserve">fired_symbol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portfolio_dash/llm_insight/gating.py:108 on_alert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fired_symbol </t>
    </r>
    <r>
      <rPr>
        <sz val="10"/>
        <rFont val="Noto Sans CJK SC"/>
        <family val="2"/>
      </rPr>
      <t xml:space="preserve">為產卡單位；卡片資料表與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fired_rule </t>
    </r>
    <r>
      <rPr>
        <sz val="10"/>
        <rFont val="Noto Sans CJK SC"/>
        <family val="2"/>
      </rPr>
      <t xml:space="preserve">欄位，提示詞也沒有觸發預警的變數，所以卡片說不出為何被觸發
判定：</t>
    </r>
    <r>
      <rPr>
        <sz val="10"/>
        <rFont val="Arial"/>
        <family val="0"/>
        <charset val="1"/>
      </rPr>
      <t xml:space="preserve">FAIL — G-09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正確、卡片與預警關聯可追溯」兩項皆不成立</t>
    </r>
  </si>
  <si>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symbol=moomoo_my </t>
    </r>
    <r>
      <rPr>
        <sz val="10"/>
        <rFont val="Noto Sans CJK SC"/>
        <family val="2"/>
      </rPr>
      <t xml:space="preserve">的卡；卡片無觸發預警紀錄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</si>
  <si>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DEF-037</t>
    </r>
    <r>
      <rPr>
        <sz val="10"/>
        <rFont val="Noto Sans CJK SC"/>
        <family val="2"/>
      </rPr>
      <t xml:space="preserve">；只持有於觀察清單的標的（</t>
    </r>
    <r>
      <rPr>
        <sz val="10"/>
        <rFont val="Arial"/>
        <family val="0"/>
        <charset val="1"/>
      </rPr>
      <t xml:space="preserve">1234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AMD…</t>
    </r>
    <r>
      <rPr>
        <sz val="10"/>
        <rFont val="Noto Sans CJK SC"/>
        <family val="2"/>
      </rPr>
      <t xml:space="preserve">）也因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產生「持倉提點」卡，是否應派發由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</t>
    </r>
  </si>
  <si>
    <r>
      <rPr>
        <sz val="10"/>
        <rFont val="Noto Sans CJK SC"/>
        <family val="2"/>
      </rPr>
      <t xml:space="preserve">真實瀏覽器讀 </t>
    </r>
    <r>
      <rPr>
        <sz val="10"/>
        <rFont val="Arial"/>
        <family val="0"/>
        <charset val="1"/>
      </rPr>
      <t xml:space="preserve">button.title </t>
    </r>
    <r>
      <rPr>
        <sz val="10"/>
        <rFont val="Noto Sans CJK SC"/>
        <family val="2"/>
      </rPr>
      <t xml:space="preserve">與點擊連結後的 </t>
    </r>
    <r>
      <rPr>
        <sz val="10"/>
        <rFont val="Arial"/>
        <family val="0"/>
        <charset val="1"/>
      </rPr>
      <t xml:space="preserve">URL</t>
    </r>
    <r>
      <rPr>
        <sz val="10"/>
        <rFont val="Noto Sans CJK SC"/>
        <family val="2"/>
      </rPr>
      <t xml:space="preserve">／可見內容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</si>
  <si>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與實際行為矛盾；連結沒有帶分頁錨點
假設：①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是動態更新但這次沒更新；②連結目標本來就是設定首頁
排除：重新整理頁面後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不變；「數據變數庫」等其他卡片會帶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直達分頁，唯獨進化設定沒有
定位：</t>
    </r>
    <r>
      <rPr>
        <sz val="10"/>
        <rFont val="Arial"/>
        <family val="0"/>
        <charset val="1"/>
      </rPr>
      <t xml:space="preserve">web/shell.js:425 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&lt;a class="pp-asset" href="settings.html"&gt;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文案與導覽一致性</t>
    </r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</si>
  <si>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</si>
  <si>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DEF-038</t>
    </r>
  </si>
  <si>
    <r>
      <rPr>
        <sz val="10"/>
        <rFont val="Noto Sans CJK SC"/>
        <family val="2"/>
      </rPr>
      <t xml:space="preserve">同意驗證者。以 </t>
    </r>
    <r>
      <rPr>
        <sz val="10"/>
        <rFont val="Arial"/>
        <family val="0"/>
        <charset val="1"/>
      </rPr>
      <t xml:space="preserve">B-18 </t>
    </r>
    <r>
      <rPr>
        <sz val="10"/>
        <rFont val="Noto Sans CJK SC"/>
        <family val="2"/>
      </rPr>
      <t xml:space="preserve">資料重現：舊排序 </t>
    </r>
    <r>
      <rPr>
        <sz val="10"/>
        <rFont val="Arial"/>
        <family val="0"/>
        <charset val="1"/>
      </rPr>
      <t xml:space="preserve">cost_removed 5,690.00</t>
    </r>
    <r>
      <rPr>
        <sz val="10"/>
        <rFont val="Noto Sans CJK SC"/>
        <family val="2"/>
      </rPr>
      <t xml:space="preserve">／已實現 −</t>
    </r>
    <r>
      <rPr>
        <sz val="10"/>
        <rFont val="Arial"/>
        <family val="0"/>
        <charset val="1"/>
      </rPr>
      <t xml:space="preserve">1,223.00</t>
    </r>
    <r>
      <rPr>
        <sz val="10"/>
        <rFont val="Noto Sans CJK SC"/>
        <family val="2"/>
      </rPr>
      <t xml:space="preserve">／持倉成本 </t>
    </r>
    <r>
      <rPr>
        <sz val="10"/>
        <rFont val="Arial"/>
        <family val="0"/>
        <charset val="1"/>
      </rPr>
      <t xml:space="preserve">17,070.00</t>
    </r>
    <r>
      <rPr>
        <sz val="10"/>
        <rFont val="Noto Sans CJK SC"/>
        <family val="2"/>
      </rPr>
      <t xml:space="preserve">（與驗證者逐位相同）；依輸入順序應為 </t>
    </r>
    <r>
      <rPr>
        <sz val="10"/>
        <rFont val="Arial"/>
        <family val="0"/>
        <charset val="1"/>
      </rPr>
      <t xml:space="preserve">6,046.67</t>
    </r>
    <r>
      <rPr>
        <sz val="10"/>
        <rFont val="Noto Sans CJK SC"/>
        <family val="2"/>
      </rPr>
      <t xml:space="preserve">／−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16,713.33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</si>
  <si>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</si>
  <si>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r>
      <rPr>
        <sz val="10"/>
        <rFont val="Noto Sans CJK SC"/>
        <family val="2"/>
      </rPr>
      <t xml:space="preserve">應由單元測試攔下。</t>
    </r>
    <r>
      <rPr>
        <sz val="10"/>
        <rFont val="Arial"/>
        <family val="0"/>
        <charset val="1"/>
      </rPr>
      <t xml:space="preserve">tests/shared/test_corporate_actions.py:355 </t>
    </r>
    <r>
      <rPr>
        <sz val="10"/>
        <rFont val="Noto Sans CJK SC"/>
        <family val="2"/>
      </rPr>
      <t xml:space="preserve">明文釘 </t>
    </r>
    <r>
      <rPr>
        <sz val="10"/>
        <rFont val="Arial"/>
        <family val="0"/>
        <charset val="1"/>
      </rPr>
      <t xml:space="preserve">`assert EventPriority.BUY &lt; EventPriority.SELL &lt; EventPriority.DIVIDEND`——</t>
    </r>
    <r>
      <rPr>
        <sz val="10"/>
        <rFont val="Noto Sans CJK SC"/>
        <family val="2"/>
      </rPr>
      <t xml:space="preserve">防線釘的是錯的規則；所有 </t>
    </r>
    <r>
      <rPr>
        <sz val="10"/>
        <rFont val="Arial"/>
        <family val="0"/>
        <charset val="1"/>
      </rPr>
      <t xml:space="preserve">cost_basis </t>
    </r>
    <r>
      <rPr>
        <sz val="10"/>
        <rFont val="Noto Sans CJK SC"/>
        <family val="2"/>
      </rPr>
      <t xml:space="preserve">測試的同日資料都只有單邊或恰好買在前，沒有「賣→買」或「買→賣→買」；手動預覽 </t>
    </r>
    <r>
      <rPr>
        <sz val="10"/>
        <rFont val="Arial"/>
        <family val="0"/>
        <charset val="1"/>
      </rPr>
      <t xml:space="preserve">_ledger_before </t>
    </r>
    <r>
      <rPr>
        <sz val="10"/>
        <rFont val="Noto Sans CJK SC"/>
        <family val="2"/>
      </rPr>
      <t xml:space="preserve">用同一個 </t>
    </r>
    <r>
      <rPr>
        <sz val="10"/>
        <rFont val="Arial"/>
        <family val="0"/>
        <charset val="1"/>
      </rPr>
      <t xml:space="preserve">rank</t>
    </r>
    <r>
      <rPr>
        <sz val="10"/>
        <rFont val="Noto Sans CJK SC"/>
        <family val="2"/>
      </rPr>
      <t xml:space="preserve">，沒有測試比對「預覽當下」與「重播後」。補：釘新規則的測試＋預覽＝重播的比對測試＋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副本測試。</t>
    </r>
  </si>
  <si>
    <r>
      <rPr>
        <sz val="10"/>
        <rFont val="Noto Sans CJK SC"/>
        <family val="2"/>
      </rPr>
      <t xml:space="preserve">規則（主控裁定，記錄於 </t>
    </r>
    <r>
      <rPr>
        <sz val="10"/>
        <rFont val="Arial"/>
        <family val="0"/>
        <charset val="1"/>
      </rPr>
      <t xml:space="preserve">domain-ledger.md 2026-09-23</t>
    </r>
    <r>
      <rPr>
        <sz val="10"/>
        <rFont val="Noto Sans CJK SC"/>
        <family val="2"/>
      </rPr>
      <t xml:space="preserve">）：同一 </t>
    </r>
    <r>
      <rPr>
        <sz val="10"/>
        <rFont val="Arial"/>
        <family val="0"/>
        <charset val="1"/>
      </rPr>
      <t xml:space="preserve">trade_date </t>
    </r>
    <r>
      <rPr>
        <sz val="10"/>
        <rFont val="Noto Sans CJK SC"/>
        <family val="2"/>
      </rPr>
      <t xml:space="preserve">內，交易依寫入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升冪套用；</t>
    </r>
    <r>
      <rPr>
        <sz val="10"/>
        <rFont val="Arial"/>
        <family val="0"/>
        <charset val="1"/>
      </rPr>
      <t xml:space="preserve">OPENING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CORPORATE_ACTION </t>
    </r>
    <r>
      <rPr>
        <sz val="10"/>
        <rFont val="Noto Sans CJK SC"/>
        <family val="2"/>
      </rPr>
      <t xml:space="preserve">仍在當日交易之前，</t>
    </r>
    <r>
      <rPr>
        <sz val="10"/>
        <rFont val="Arial"/>
        <family val="0"/>
        <charset val="1"/>
      </rPr>
      <t xml:space="preserve">DIVIDEND </t>
    </r>
    <r>
      <rPr>
        <sz val="10"/>
        <rFont val="Noto Sans CJK SC"/>
        <family val="2"/>
      </rPr>
      <t xml:space="preserve">仍在之後。實作：</t>
    </r>
    <r>
      <rPr>
        <sz val="10"/>
        <rFont val="Arial"/>
        <family val="0"/>
        <charset val="1"/>
      </rPr>
      <t xml:space="preserve">ledger_events.py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TRADE=20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 </t>
    </r>
    <r>
      <rPr>
        <sz val="10"/>
        <rFont val="Noto Sans CJK SC"/>
        <family val="2"/>
      </rPr>
      <t xml:space="preserve">為別名）；</t>
    </r>
    <r>
      <rPr>
        <sz val="10"/>
        <rFont val="Arial"/>
        <family val="0"/>
        <charset val="1"/>
      </rPr>
      <t xml:space="preserve">cost_basis.py </t>
    </r>
    <r>
      <rPr>
        <sz val="10"/>
        <rFont val="Noto Sans CJK SC"/>
        <family val="2"/>
      </rPr>
      <t xml:space="preserve">事件元組 </t>
    </r>
    <r>
      <rPr>
        <sz val="10"/>
        <rFont val="Arial"/>
        <family val="0"/>
        <charset val="1"/>
      </rPr>
      <t xml:space="preserve">(date, priority, seq, kind, ev)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seq</t>
    </r>
    <r>
      <rPr>
        <sz val="10"/>
        <rFont val="Noto Sans CJK SC"/>
        <family val="2"/>
      </rPr>
      <t xml:space="preserve">＝各帳本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順序，</t>
    </r>
    <r>
      <rPr>
        <sz val="10"/>
        <rFont val="Arial"/>
        <family val="0"/>
        <charset val="1"/>
      </rPr>
      <t xml:space="preserve">sort (date, priority, seq)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input_center.py:544-553 _ledger_before rank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validate.py:327 pending flow </t>
    </r>
    <r>
      <rPr>
        <sz val="10"/>
        <rFont val="Noto Sans CJK SC"/>
        <family val="2"/>
      </rPr>
      <t xml:space="preserve">優先序改 </t>
    </r>
    <r>
      <rPr>
        <sz val="10"/>
        <rFont val="Arial"/>
        <family val="0"/>
        <charset val="1"/>
      </rPr>
      <t xml:space="preserve">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oracle.py </t>
    </r>
    <r>
      <rPr>
        <sz val="10"/>
        <rFont val="Noto Sans CJK SC"/>
        <family val="2"/>
      </rPr>
      <t xml:space="preserve">自有副本同步（</t>
    </r>
    <r>
      <rPr>
        <sz val="10"/>
        <rFont val="Arial"/>
        <family val="0"/>
        <charset val="1"/>
      </rPr>
      <t xml:space="preserve">enum</t>
    </r>
    <r>
      <rPr>
        <sz val="10"/>
        <rFont val="Noto Sans CJK SC"/>
        <family val="2"/>
      </rPr>
      <t xml:space="preserve">＋兩處排序）。手動預覽：草稿附加在最後＝最大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，與重播一致（測試證明 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6,046.67 </t>
    </r>
    <r>
      <rPr>
        <sz val="10"/>
        <rFont val="Noto Sans CJK SC"/>
        <family val="2"/>
      </rPr>
      <t xml:space="preserve">逐位相等）。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預覽：新增 </t>
    </r>
    <r>
      <rPr>
        <sz val="10"/>
        <rFont val="Arial"/>
        <family val="0"/>
        <charset val="1"/>
      </rPr>
      <t xml:space="preserve">validate.siblings_booked_before(batch, inp)</t>
    </r>
    <r>
      <rPr>
        <sz val="10"/>
        <rFont val="Noto Sans CJK SC"/>
        <family val="2"/>
      </rPr>
      <t xml:space="preserve">，同日位於本列之後的兄弟列不計入 </t>
    </r>
    <r>
      <rPr>
        <sz val="10"/>
        <rFont val="Arial"/>
        <family val="0"/>
        <charset val="1"/>
      </rPr>
      <t xml:space="preserve">held_then</t>
    </r>
    <r>
      <rPr>
        <sz val="10"/>
        <rFont val="Noto Sans CJK SC"/>
        <family val="2"/>
      </rPr>
      <t xml:space="preserve">；同日「賣列在買列之前」的檔案在預覽即判賣超，訊息「賣出 </t>
    </r>
    <r>
      <rPr>
        <sz val="10"/>
        <rFont val="Arial"/>
        <family val="0"/>
        <charset val="1"/>
      </rPr>
      <t xml:space="preserve">60 </t>
    </r>
    <r>
      <rPr>
        <sz val="10"/>
        <rFont val="Noto Sans CJK SC"/>
        <family val="2"/>
      </rPr>
      <t xml:space="preserve">股，超過賣出當下持有的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股（同日較後面的列會在這筆之後才入帳，不能先拿來抵；目前淨額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股）— 請把買進列移到賣出列之前」。券商對帳單（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最新在前）：轉換器改依 </t>
    </r>
    <r>
      <rPr>
        <sz val="10"/>
        <rFont val="Arial"/>
        <family val="0"/>
        <charset val="1"/>
      </rPr>
      <t xml:space="preserve">chrono_key </t>
    </r>
    <r>
      <rPr>
        <sz val="10"/>
        <rFont val="Noto Sans CJK SC"/>
        <family val="2"/>
      </rPr>
      <t xml:space="preserve">日內按時間順序輸出（見 </t>
    </r>
    <r>
      <rPr>
        <sz val="10"/>
        <rFont val="Arial"/>
        <family val="0"/>
        <charset val="1"/>
      </rPr>
      <t xml:space="preserve">DEF-027 (c)</t>
    </r>
    <r>
      <rPr>
        <sz val="10"/>
        <rFont val="Noto Sans CJK SC"/>
        <family val="2"/>
      </rPr>
      <t xml:space="preserve">），寫入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＝時間序。</t>
    </r>
    <r>
      <rPr>
        <sz val="10"/>
        <rFont val="Arial"/>
        <family val="0"/>
        <charset val="1"/>
      </rPr>
      <t xml:space="preserve">dividends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corporate actions </t>
    </r>
    <r>
      <rPr>
        <sz val="10"/>
        <rFont val="Noto Sans CJK SC"/>
        <family val="2"/>
      </rPr>
      <t xml:space="preserve">同日順序不變。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不受影響：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唯一同日買賣對（</t>
    </r>
    <r>
      <rPr>
        <sz val="10"/>
        <rFont val="Arial"/>
        <family val="0"/>
        <charset val="1"/>
      </rPr>
      <t xml:space="preserve">tw_broker 2603 2026-07-02</t>
    </r>
    <r>
      <rPr>
        <sz val="10"/>
        <rFont val="Noto Sans CJK SC"/>
        <family val="2"/>
      </rPr>
      <t xml:space="preserve">，買 </t>
    </r>
    <r>
      <rPr>
        <sz val="10"/>
        <rFont val="Arial"/>
        <family val="0"/>
        <charset val="1"/>
      </rPr>
      <t xml:space="preserve">id 7 &lt;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id 8</t>
    </r>
    <r>
      <rPr>
        <sz val="10"/>
        <rFont val="Noto Sans CJK SC"/>
        <family val="2"/>
      </rPr>
      <t xml:space="preserve">）新舊規則結果相同（測試 </t>
    </r>
    <r>
      <rPr>
        <sz val="10"/>
        <rFont val="Arial"/>
        <family val="0"/>
        <charset val="1"/>
      </rPr>
      <t xml:space="preserve">test_the_demo_shaped_pair_buy_id_below_sell_id_is_unchanged_by_the_rule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prod </t>
    </r>
    <r>
      <rPr>
        <sz val="10"/>
        <rFont val="Noto Sans CJK SC"/>
        <family val="2"/>
      </rPr>
      <t xml:space="preserve">帳本為空。</t>
    </r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</si>
  <si>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BUY/SELL </t>
    </r>
    <r>
      <rPr>
        <sz val="10"/>
        <rFont val="Noto Sans CJK SC"/>
        <family val="2"/>
      </rPr>
      <t xml:space="preserve">排序或切割的位置共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cost_basis.py:473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validate.py:327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input_center.py:544/:553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oracle.py:835/:1490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enum </t>
    </r>
    <r>
      <rPr>
        <sz val="10"/>
        <rFont val="Noto Sans CJK SC"/>
        <family val="2"/>
      </rPr>
      <t xml:space="preserve">副本）；白名單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data_ingestion/holdings.py:240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api/routers/symbol.py:621/630 </t>
    </r>
    <r>
      <rPr>
        <sz val="10"/>
        <rFont val="Noto Sans CJK SC"/>
        <family val="2"/>
      </rPr>
      <t xml:space="preserve">用別名，值相等後 </t>
    </r>
    <r>
      <rPr>
        <sz val="10"/>
        <rFont val="Arial"/>
        <family val="0"/>
        <charset val="1"/>
      </rPr>
      <t xml:space="preserve">(date, prio) </t>
    </r>
    <r>
      <rPr>
        <sz val="10"/>
        <rFont val="Noto Sans CJK SC"/>
        <family val="2"/>
      </rPr>
      <t xml:space="preserve">切割＋穩定排序自動變成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順序，行為與重播一致）。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</si>
  <si>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tests/portfolio/test_same_day_trade_order.py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tests/api/test_def012_manual_preview_matches_replay.py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tests/data_ingestion/test_def012_csv_same_day_order.py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tests/scripts/test_oracle_same_day_rule.py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）；更新 </t>
    </r>
    <r>
      <rPr>
        <sz val="10"/>
        <rFont val="Arial"/>
        <family val="0"/>
        <charset val="1"/>
      </rPr>
      <t xml:space="preserve">tests/shared/test_corporate_actions.py::test_event_priority_places_actions_before_the_day_s_trades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SELL=30 </t>
    </r>
    <r>
      <rPr>
        <sz val="10"/>
        <rFont val="Noto Sans CJK SC"/>
        <family val="2"/>
      </rPr>
      <t xml:space="preserve">放回＋</t>
    </r>
    <r>
      <rPr>
        <sz val="10"/>
        <rFont val="Arial"/>
        <family val="0"/>
        <charset val="1"/>
      </rPr>
      <t xml:space="preserve">cost_basis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side </t>
    </r>
    <r>
      <rPr>
        <sz val="10"/>
        <rFont val="Noto Sans CJK SC"/>
        <family val="2"/>
      </rPr>
      <t xml:space="preserve">取優先序）→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portfolio 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B-18 </t>
    </r>
    <r>
      <rPr>
        <sz val="10"/>
        <rFont val="Noto Sans CJK SC"/>
        <family val="2"/>
      </rPr>
      <t xml:space="preserve">主測試、賣先於買、</t>
    </r>
    <r>
      <rPr>
        <sz val="10"/>
        <rFont val="Arial"/>
        <family val="0"/>
        <charset val="1"/>
      </rPr>
      <t xml:space="preserve">opening/dividend </t>
    </r>
    <r>
      <rPr>
        <sz val="10"/>
        <rFont val="Noto Sans CJK SC"/>
        <family val="2"/>
      </rPr>
      <t xml:space="preserve">順序、</t>
    </r>
    <r>
      <rPr>
        <sz val="10"/>
        <rFont val="Arial"/>
        <family val="0"/>
        <charset val="1"/>
      </rPr>
      <t xml:space="preserve">store id </t>
    </r>
    <r>
      <rPr>
        <sz val="10"/>
        <rFont val="Noto Sans CJK SC"/>
        <family val="2"/>
      </rPr>
      <t xml:space="preserve">順序；</t>
    </r>
    <r>
      <rPr>
        <sz val="10"/>
        <rFont val="Arial"/>
        <family val="0"/>
        <charset val="1"/>
      </rPr>
      <t xml:space="preserve">api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shared 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&lt;EventPriority.SELL: 30&gt; is &lt;EventPriority.TRADE: 20&gt;</t>
    </r>
    <r>
      <rPr>
        <sz val="10"/>
        <rFont val="Noto Sans CJK SC"/>
        <family val="2"/>
      </rPr>
      <t xml:space="preserve">」）。變異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held_then </t>
    </r>
    <r>
      <rPr>
        <sz val="10"/>
        <rFont val="Noto Sans CJK SC"/>
        <family val="2"/>
      </rPr>
      <t xml:space="preserve">改回全部兄弟）→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test_a_same_day_sell_listed_above_its_buy_is_flagged_as_the_replay_would_book_it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BUY=20/SELL=30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test_the_oracle_ranks_a_days_trades_as_one_priority </t>
    </r>
    <r>
      <rPr>
        <sz val="10"/>
        <rFont val="Noto Sans CJK SC"/>
        <family val="2"/>
      </rPr>
      <t xml:space="preserve">失敗。改回後全過。</t>
    </r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</si>
  <si>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</si>
  <si>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本輪整體閘門（開發機、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ruff check portfolio_dash tests scripts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5,900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分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秒）・</t>
    </r>
    <r>
      <rPr>
        <sz val="10"/>
        <rFont val="Arial"/>
        <family val="0"/>
        <charset val="1"/>
      </rPr>
      <t xml:space="preserve">e2e 66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260 </t>
    </r>
    <r>
      <rPr>
        <sz val="10"/>
        <rFont val="Noto Sans CJK SC"/>
        <family val="2"/>
      </rPr>
      <t xml:space="preserve">則全過（分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批前景執行；其中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則在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就已因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L23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L13 </t>
    </r>
    <r>
      <rPr>
        <sz val="10"/>
        <rFont val="Noto Sans CJK SC"/>
        <family val="2"/>
      </rPr>
      <t xml:space="preserve">失效，斷言已依裁定更新並註明）・</t>
    </r>
    <r>
      <rPr>
        <sz val="10"/>
        <rFont val="Arial"/>
        <family val="0"/>
        <charset val="1"/>
      </rPr>
      <t xml:space="preserve">stress-audit phase 1 ops=128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pass=6,025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fail=0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的換匯隱含匯率轉錄依 </t>
    </r>
    <r>
      <rPr>
        <sz val="10"/>
        <rFont val="Arial"/>
        <family val="0"/>
        <charset val="1"/>
      </rPr>
      <t xml:space="preserve">L6 </t>
    </r>
    <r>
      <rPr>
        <sz val="10"/>
        <rFont val="Noto Sans CJK SC"/>
        <family val="2"/>
      </rPr>
      <t xml:space="preserve">更新後重跑）。各缺陷的定向子集與變異測試見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欄。部署：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integrity ok</t>
    </r>
    <r>
      <rPr>
        <sz val="10"/>
        <rFont val="Noto Sans CJK SC"/>
        <family val="2"/>
      </rPr>
      <t xml:space="preserve">）→ 部署 </t>
    </r>
    <r>
      <rPr>
        <sz val="10"/>
        <rFont val="Arial"/>
        <family val="0"/>
        <charset val="1"/>
      </rPr>
      <t xml:space="preserve">e6fd9f4 → /api/health commit=e6fd9f4 → verify_live https://invest-demo.tail271ef9.ts.net --expect-version 0.1.28 ALL PASS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additive </t>
    </r>
    <r>
      <rPr>
        <sz val="10"/>
        <rFont val="Noto Sans CJK SC"/>
        <family val="2"/>
      </rPr>
      <t xml:space="preserve">欄位（</t>
    </r>
    <r>
      <rPr>
        <sz val="10"/>
        <rFont val="Arial"/>
        <family val="0"/>
        <charset val="1"/>
      </rPr>
      <t xml:space="preserve">cash_movements.corporate_action_id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corporate_actions.band_move_json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insights.trigger_json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alert_events.scope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）已在 </t>
    </r>
    <r>
      <rPr>
        <sz val="10"/>
        <rFont val="Arial"/>
        <family val="0"/>
        <charset val="1"/>
      </rPr>
      <t xml:space="preserve">demo DB </t>
    </r>
    <r>
      <rPr>
        <sz val="10"/>
        <rFont val="Noto Sans CJK SC"/>
        <family val="2"/>
      </rPr>
      <t xml:space="preserve">建立，帳本列數不變（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194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</si>
  <si>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原始步驟：真實瀏覽器在交易輸入依序寫入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同日（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）買 </t>
    </r>
    <r>
      <rPr>
        <sz val="10"/>
        <rFont val="Arial"/>
        <family val="0"/>
        <charset val="1"/>
      </rPr>
      <t xml:space="preserve">200@44 →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100@45 →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；賣出當下讀草稿，第三筆寫入後讀 </t>
    </r>
    <r>
      <rPr>
        <sz val="10"/>
        <rFont val="Arial"/>
        <family val="0"/>
        <charset val="1"/>
      </rPr>
      <t xml:space="preserve">/api/dashboard 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。同類抽驗：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匯入同日「賣列在買列之前」的檔案。本機另做變異測試（把 </t>
    </r>
    <r>
      <rPr>
        <sz val="10"/>
        <rFont val="Arial"/>
        <family val="0"/>
        <charset val="1"/>
      </rPr>
      <t xml:space="preserve">cost_basis </t>
    </r>
    <r>
      <rPr>
        <sz val="10"/>
        <rFont val="Noto Sans CJK SC"/>
        <family val="2"/>
      </rPr>
      <t xml:space="preserve">排序鍵改回依買賣別：買先賣後）</t>
    </r>
  </si>
  <si>
    <r>
      <rPr>
        <sz val="10"/>
        <rFont val="Noto Sans CJK SC"/>
        <family val="2"/>
      </rPr>
      <t xml:space="preserve">觀察：賣出草稿 已實現 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、成本移除 </t>
    </r>
    <r>
      <rPr>
        <sz val="10"/>
        <rFont val="Arial"/>
        <family val="0"/>
        <charset val="1"/>
      </rPr>
      <t xml:space="preserve">6,046.67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60.4667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(9,320+8,820)/300</t>
    </r>
    <r>
      <rPr>
        <sz val="10"/>
        <rFont val="Noto Sans CJK SC"/>
        <family val="2"/>
      </rPr>
      <t xml:space="preserve">）；第三筆買進寫入後，帳本同一筆賣出仍為 </t>
    </r>
    <r>
      <rPr>
        <sz val="10"/>
        <rFont val="Arial"/>
        <family val="0"/>
        <charset val="1"/>
      </rPr>
      <t xml:space="preserve">realized −1,579.666…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6,046.666…</t>
    </r>
    <r>
      <rPr>
        <sz val="10"/>
        <rFont val="Noto Sans CJK SC"/>
        <family val="2"/>
      </rPr>
      <t xml:space="preserve">，剩餘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16,713.33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55.711
</t>
    </r>
    <r>
      <rPr>
        <sz val="10"/>
        <rFont val="Noto Sans CJK SC"/>
        <family val="2"/>
      </rPr>
      <t xml:space="preserve">假設：①修好了，同日依寫入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順序重播；②巧合——這組數字在買先賣後規則下也相同；③儀表板快取舊值
排除：若依舊規則（買先賣後），均價會是 </t>
    </r>
    <r>
      <rPr>
        <sz val="10"/>
        <rFont val="Arial"/>
        <family val="0"/>
        <charset val="1"/>
      </rPr>
      <t xml:space="preserve">(9,320+8,820+4,620)/400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56.90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−1,223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實測值），與本次不同，排除②；刪除三筆後六段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與基準逐位元相同，表示讀到的是即時重播，排除③
定位：</t>
    </r>
    <r>
      <rPr>
        <sz val="10"/>
        <rFont val="Arial"/>
        <family val="0"/>
        <charset val="1"/>
      </rPr>
      <t xml:space="preserve">cost_basis.py:491-501 </t>
    </r>
    <r>
      <rPr>
        <sz val="10"/>
        <rFont val="Noto Sans CJK SC"/>
        <family val="2"/>
      </rPr>
      <t xml:space="preserve">事件鍵改為 </t>
    </r>
    <r>
      <rPr>
        <sz val="10"/>
        <rFont val="Arial"/>
        <family val="0"/>
        <charset val="1"/>
      </rPr>
      <t xml:space="preserve">(date, priority, seq)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TRADE=20 </t>
    </r>
    <r>
      <rPr>
        <sz val="10"/>
        <rFont val="Noto Sans CJK SC"/>
        <family val="2"/>
      </rPr>
      <t xml:space="preserve">單一優先序；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預覽同日賣在買前時訊息「賣出 </t>
    </r>
    <r>
      <rPr>
        <sz val="10"/>
        <rFont val="Arial"/>
        <family val="0"/>
        <charset val="1"/>
      </rPr>
      <t xml:space="preserve">350 </t>
    </r>
    <r>
      <rPr>
        <sz val="10"/>
        <rFont val="Noto Sans CJK SC"/>
        <family val="2"/>
      </rPr>
      <t xml:space="preserve">股，超過賣出當下持有的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股（同日較後面的列會在這筆之後才入帳…）」同類已修。變異（排序鍵改回買先賣後）→ </t>
    </r>
    <r>
      <rPr>
        <sz val="10"/>
        <rFont val="Arial"/>
        <family val="0"/>
        <charset val="1"/>
      </rPr>
      <t xml:space="preserve">tests/portfolio/test_same_day_trade_order.py 3 failed
</t>
    </r>
    <r>
      <rPr>
        <sz val="10"/>
        <rFont val="Noto Sans CJK SC"/>
        <family val="2"/>
      </rPr>
      <t xml:space="preserve">判定：複驗通過 → 結案（四條件：根因到行 ✓、同類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處修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白名單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並經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路徑抽驗 ✓、變異測試由驗證方重做會失敗 ✓、黑箱重放通過且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組無回歸 ✓）</t>
    </r>
  </si>
  <si>
    <r>
      <rPr>
        <sz val="10"/>
        <rFont val="Noto Sans CJK SC"/>
        <family val="2"/>
      </rPr>
      <t xml:space="preserve">草稿 </t>
    </r>
    <r>
      <rPr>
        <sz val="10"/>
        <rFont val="Arial"/>
        <family val="0"/>
        <charset val="1"/>
      </rPr>
      <t xml:space="preserve">realized −1,579.67</t>
    </r>
    <r>
      <rPr>
        <sz val="10"/>
        <rFont val="Noto Sans CJK SC"/>
        <family val="2"/>
      </rPr>
      <t xml:space="preserve">；三筆寫入後帳本 −</t>
    </r>
    <r>
      <rPr>
        <sz val="10"/>
        <rFont val="Arial"/>
        <family val="0"/>
        <charset val="1"/>
      </rPr>
      <t xml:space="preserve">1,579.67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為 −</t>
    </r>
    <r>
      <rPr>
        <sz val="10"/>
        <rFont val="Arial"/>
        <family val="0"/>
        <charset val="1"/>
      </rPr>
      <t xml:space="preserve">1,223</t>
    </r>
    <r>
      <rPr>
        <sz val="10"/>
        <rFont val="Noto Sans CJK SC"/>
        <family val="2"/>
      </rPr>
      <t xml:space="preserve">）；成本移除 </t>
    </r>
    <r>
      <rPr>
        <sz val="10"/>
        <rFont val="Arial"/>
        <family val="0"/>
        <charset val="1"/>
      </rPr>
      <t xml:space="preserve">6,046.67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同日賣在買前被判賣超；變異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#99 </t>
    </r>
    <r>
      <rPr>
        <sz val="10"/>
        <rFont val="Noto Sans CJK SC"/>
        <family val="2"/>
      </rPr>
      <t xml:space="preserve">刪除後逐位元還原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</si>
  <si>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2026-09-24</t>
    </r>
  </si>
  <si>
    <r>
      <rPr>
        <sz val="10"/>
        <rFont val="Noto Sans CJK SC"/>
        <family val="2"/>
      </rPr>
      <t xml:space="preserve">同意驗證者。</t>
    </r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沒讀 </t>
    </r>
    <r>
      <rPr>
        <sz val="10"/>
        <rFont val="Arial"/>
        <family val="0"/>
        <charset val="1"/>
      </rPr>
      <t xml:space="preserve">opening_inventory.build_date</t>
    </r>
    <r>
      <rPr>
        <sz val="10"/>
        <rFont val="Noto Sans CJK SC"/>
        <family val="2"/>
      </rPr>
      <t xml:space="preserve">，也沒有「早於帳戶最早紀錄」的提示。</t>
    </r>
  </si>
  <si>
    <t xml:space="preserve">portfolio_dash/data_ingestion/validate.py:516 `if today is not None and inp.trade_date &gt; today:`</t>
  </si>
  <si>
    <r>
      <rPr>
        <sz val="10"/>
        <rFont val="Noto Sans CJK SC"/>
        <family val="2"/>
      </rPr>
      <t xml:space="preserve">應由單元測試攔下：沒有任何測試用「有期初庫存的標的＋早於建檔日的交易」；</t>
    </r>
    <r>
      <rPr>
        <sz val="10"/>
        <rFont val="Arial"/>
        <family val="0"/>
        <charset val="1"/>
      </rPr>
      <t xml:space="preserve">test_validate.py </t>
    </r>
    <r>
      <rPr>
        <sz val="10"/>
        <rFont val="Noto Sans CJK SC"/>
        <family val="2"/>
      </rPr>
      <t xml:space="preserve">的期初測試只驗股數加總。</t>
    </r>
    <r>
      <rPr>
        <sz val="10"/>
        <rFont val="Arial"/>
        <family val="0"/>
        <charset val="1"/>
      </rPr>
      <t xml:space="preserve">Issue </t>
    </r>
    <r>
      <rPr>
        <sz val="10"/>
        <rFont val="Noto Sans CJK SC"/>
        <family val="2"/>
      </rPr>
      <t xml:space="preserve">模型只有 </t>
    </r>
    <r>
      <rPr>
        <sz val="10"/>
        <rFont val="Arial"/>
        <family val="0"/>
        <charset val="1"/>
      </rPr>
      <t xml:space="preserve">hard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soft </t>
    </r>
    <r>
      <rPr>
        <sz val="10"/>
        <rFont val="Noto Sans CJK SC"/>
        <family val="2"/>
      </rPr>
      <t xml:space="preserve">兩階，沒有「提示不擋」層級，想加提示也沒有機制。補：</t>
    </r>
    <r>
      <rPr>
        <sz val="10"/>
        <rFont val="Arial"/>
        <family val="0"/>
        <charset val="1"/>
      </rPr>
      <t xml:space="preserve">Issue.info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層）＋三個門的契約測試。</t>
    </r>
  </si>
  <si>
    <r>
      <rPr>
        <sz val="10"/>
        <rFont val="Noto Sans CJK SC"/>
        <family val="2"/>
      </rPr>
      <t xml:space="preserve">放在共用的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（手動／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／券商四個使用者門同一 </t>
    </r>
    <r>
      <rPr>
        <sz val="10"/>
        <rFont val="Arial"/>
        <family val="0"/>
        <charset val="1"/>
      </rPr>
      <t xml:space="preserve">builder</t>
    </r>
    <r>
      <rPr>
        <sz val="10"/>
        <rFont val="Noto Sans CJK SC"/>
        <family val="2"/>
      </rPr>
      <t xml:space="preserve">）：新增 </t>
    </r>
    <r>
      <rPr>
        <sz val="10"/>
        <rFont val="Arial"/>
        <family val="0"/>
        <charset val="1"/>
      </rPr>
      <t xml:space="preserve">warn </t>
    </r>
    <r>
      <rPr>
        <sz val="10"/>
        <rFont val="Noto Sans CJK SC"/>
        <family val="2"/>
      </rPr>
      <t xml:space="preserve">級需確認的 </t>
    </r>
    <r>
      <rPr>
        <sz val="10"/>
        <rFont val="Arial"/>
        <family val="0"/>
        <charset val="1"/>
      </rPr>
      <t xml:space="preserve">trade_before_opening</t>
    </r>
    <r>
      <rPr>
        <sz val="10"/>
        <rFont val="Noto Sans CJK SC"/>
        <family val="2"/>
      </rPr>
      <t xml:space="preserve">「交易日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的期初庫存建檔日 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，期初庫存已包含該日的部位，請確認不是重複登錄」（與 </t>
    </r>
    <r>
      <rPr>
        <sz val="10"/>
        <rFont val="Arial"/>
        <family val="0"/>
        <charset val="1"/>
      </rPr>
      <t xml:space="preserve">future_trade_date </t>
    </r>
    <r>
      <rPr>
        <sz val="10"/>
        <rFont val="Noto Sans CJK SC"/>
        <family val="2"/>
      </rPr>
      <t xml:space="preserve">同機制）；否則 </t>
    </r>
    <r>
      <rPr>
        <sz val="10"/>
        <rFont val="Arial"/>
        <family val="0"/>
        <charset val="1"/>
      </rPr>
      <t xml:space="preserve">info </t>
    </r>
    <r>
      <rPr>
        <sz val="10"/>
        <rFont val="Noto Sans CJK SC"/>
        <family val="2"/>
      </rPr>
      <t xml:space="preserve">級 </t>
    </r>
    <r>
      <rPr>
        <sz val="10"/>
        <rFont val="Arial"/>
        <family val="0"/>
        <charset val="1"/>
      </rPr>
      <t xml:space="preserve">trade_before_ledger_start</t>
    </r>
    <r>
      <rPr>
        <sz val="10"/>
        <rFont val="Noto Sans CJK SC"/>
        <family val="2"/>
      </rPr>
      <t xml:space="preserve">「早於此帳戶最早紀錄（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），請確認日期」（不擋）。</t>
    </r>
    <r>
      <rPr>
        <sz val="10"/>
        <rFont val="Arial"/>
        <family val="0"/>
        <charset val="1"/>
      </rPr>
      <t xml:space="preserve">Issue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info: bool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model_validator </t>
    </r>
    <r>
      <rPr>
        <sz val="10"/>
        <rFont val="Noto Sans CJK SC"/>
        <family val="2"/>
      </rPr>
      <t xml:space="preserve">強制 </t>
    </r>
    <r>
      <rPr>
        <sz val="10"/>
        <rFont val="Arial"/>
        <family val="0"/>
        <charset val="1"/>
      </rPr>
      <t xml:space="preserve">info ⇒ needs_confirm</t>
    </r>
    <r>
      <rPr>
        <sz val="10"/>
        <rFont val="Noto Sans CJK SC"/>
        <family val="2"/>
      </rPr>
      <t xml:space="preserve">，既有硬錯誤判定不變）、</t>
    </r>
    <r>
      <rPr>
        <sz val="10"/>
        <rFont val="Arial"/>
        <family val="0"/>
        <charset val="1"/>
      </rPr>
      <t xml:space="preserve">advisory_issue()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_ledger_start()</t>
    </r>
    <r>
      <rPr>
        <sz val="10"/>
        <rFont val="Noto Sans CJK SC"/>
        <family val="2"/>
      </rPr>
      <t xml:space="preserve">（五本帳 </t>
    </r>
    <r>
      <rPr>
        <sz val="10"/>
        <rFont val="Arial"/>
        <family val="0"/>
        <charset val="1"/>
      </rPr>
      <t xml:space="preserve">MIN </t>
    </r>
    <r>
      <rPr>
        <sz val="10"/>
        <rFont val="Noto Sans CJK SC"/>
        <family val="2"/>
      </rPr>
      <t xml:space="preserve">日期）。</t>
    </r>
    <r>
      <rPr>
        <sz val="10"/>
        <rFont val="Arial"/>
        <family val="0"/>
        <charset val="1"/>
      </rPr>
      <t xml:space="preserve">input_center.py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_wire_issue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info ⇒ sev:"info"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已支援、不擋確認鍵）；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預覽只有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的列維持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 </t>
    </r>
    <r>
      <rPr>
        <sz val="10"/>
        <rFont val="Noto Sans CJK SC"/>
        <family val="2"/>
      </rPr>
      <t xml:space="preserve">取第一個 </t>
    </r>
    <r>
      <rPr>
        <sz val="10"/>
        <rFont val="Arial"/>
        <family val="0"/>
        <charset val="1"/>
      </rPr>
      <t xml:space="preserve">gating </t>
    </r>
    <r>
      <rPr>
        <sz val="10"/>
        <rFont val="Noto Sans CJK SC"/>
        <family val="2"/>
      </rPr>
      <t xml:space="preserve">訊息（無則 </t>
    </r>
    <r>
      <rPr>
        <sz val="10"/>
        <rFont val="Arial"/>
        <family val="0"/>
        <charset val="1"/>
      </rPr>
      <t xml:space="preserve">advisory</t>
    </r>
    <r>
      <rPr>
        <sz val="10"/>
        <rFont val="Noto Sans CJK SC"/>
        <family val="2"/>
      </rPr>
      <t xml:space="preserve">）並附 </t>
    </r>
    <r>
      <rPr>
        <sz val="10"/>
        <rFont val="Arial"/>
        <family val="0"/>
        <charset val="1"/>
      </rPr>
      <t xml:space="preserve">info:[..]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has_warn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advisory</t>
    </r>
    <r>
      <rPr>
        <sz val="10"/>
        <rFont val="Noto Sans CJK SC"/>
        <family val="2"/>
      </rPr>
      <t xml:space="preserve">。既有 </t>
    </r>
    <r>
      <rPr>
        <sz val="10"/>
        <rFont val="Arial"/>
        <family val="0"/>
        <charset val="1"/>
      </rPr>
      <t xml:space="preserve">demo 8299 </t>
    </r>
    <r>
      <rPr>
        <sz val="10"/>
        <rFont val="Noto Sans CJK SC"/>
        <family val="2"/>
      </rPr>
      <t xml:space="preserve">兩筆早於建檔日的列不動（只在新寫入時檢核）。</t>
    </r>
  </si>
  <si>
    <r>
      <rPr>
        <sz val="10"/>
        <rFont val="Noto Sans CJK SC"/>
        <family val="2"/>
      </rPr>
      <t xml:space="preserve">交易路徑的日期檢核共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）／新增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的程式入口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manual.py:76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csv_import.py:161</t>
    </r>
    <r>
      <rPr>
        <sz val="10"/>
        <rFont val="Noto Sans CJK SC"/>
        <family val="2"/>
      </rPr>
      <t xml:space="preserve">）覆蓋手動／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／券商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個使用者門；白名單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PUT </t>
    </r>
    <r>
      <rPr>
        <sz val="10"/>
        <rFont val="Noto Sans CJK SC"/>
        <family val="2"/>
      </rPr>
      <t xml:space="preserve">更正門本就不走此驗證器——跨包觀察，見備註）。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</si>
  <si>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tests/data_ingestion/test_def014_trade_before_opening.py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tests/contract/test_def014_three_doors.py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：手動預覽 </t>
    </r>
    <r>
      <rPr>
        <sz val="10"/>
        <rFont val="Arial"/>
        <family val="0"/>
        <charset val="1"/>
      </rPr>
      <t xml:space="preserve">sev warn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info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 warn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422 warnings_unacknowledged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info </t>
    </r>
    <r>
      <rPr>
        <sz val="10"/>
        <rFont val="Noto Sans CJK SC"/>
        <family val="2"/>
      </rPr>
      <t xml:space="preserve">不需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即寫入；券商頁只走 </t>
    </r>
    <r>
      <rPr>
        <sz val="10"/>
        <rFont val="Arial"/>
        <family val="0"/>
        <charset val="1"/>
      </rPr>
      <t xml:space="preserve">convert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import/commit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opening=None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earliest=None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KeyError: 'trade_before_opening'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'trade_before_ledger_start'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_wire_issue </t>
    </r>
    <r>
      <rPr>
        <sz val="10"/>
        <rFont val="Noto Sans CJK SC"/>
        <family val="2"/>
      </rPr>
      <t xml:space="preserve">不給 </t>
    </r>
    <r>
      <rPr>
        <sz val="10"/>
        <rFont val="Arial"/>
        <family val="0"/>
        <charset val="1"/>
      </rPr>
      <t xml:space="preserve">info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_row_status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issue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則失敗。改回後全過。</t>
    </r>
  </si>
  <si>
    <r>
      <rPr>
        <sz val="10"/>
        <rFont val="Noto Sans CJK SC"/>
        <family val="2"/>
      </rPr>
      <t xml:space="preserve">真實瀏覽器：交易帳本 › 手動交易草稿兩例＋一次實際寫入後刪除；讀 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issues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</si>
  <si>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時早於建檔日／早於帳本起點的交易靜默通過
假設：①共用 </t>
    </r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（建檔日）與 </t>
    </r>
    <r>
      <rPr>
        <sz val="10"/>
        <rFont val="Arial"/>
        <family val="0"/>
        <charset val="1"/>
      </rPr>
      <t xml:space="preserve">info</t>
    </r>
    <r>
      <rPr>
        <sz val="10"/>
        <rFont val="Noto Sans CJK SC"/>
        <family val="2"/>
      </rPr>
      <t xml:space="preserve">（帳本起點）；②只在前端提示
排除：</t>
    </r>
    <r>
      <rPr>
        <sz val="10"/>
        <rFont val="Arial"/>
        <family val="0"/>
        <charset val="1"/>
      </rPr>
      <t xml:space="preserve">preview </t>
    </r>
    <r>
      <rPr>
        <sz val="10"/>
        <rFont val="Noto Sans CJK SC"/>
        <family val="2"/>
      </rPr>
      <t xml:space="preserve">回應本身帶 </t>
    </r>
    <r>
      <rPr>
        <sz val="10"/>
        <rFont val="Arial"/>
        <family val="0"/>
        <charset val="1"/>
      </rPr>
      <t xml:space="preserve">issues——8299 2026-07-01 → sev warn code trade_before_opening</t>
    </r>
    <r>
      <rPr>
        <sz val="10"/>
        <rFont val="Noto Sans CJK SC"/>
        <family val="2"/>
      </rPr>
      <t xml:space="preserve">「交易日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 台灣券商 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請確認不是重複登錄」，確認鍵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，勾「我了解，仍要寫入」後才可按；</t>
    </r>
    <r>
      <rPr>
        <sz val="10"/>
        <rFont val="Arial"/>
        <family val="0"/>
        <charset val="1"/>
      </rPr>
      <t xml:space="preserve">2884 2025-01-02 → sev info trade_before_ledger_start</t>
    </r>
    <r>
      <rPr>
        <sz val="10"/>
        <rFont val="Noto Sans CJK SC"/>
        <family val="2"/>
      </rPr>
      <t xml:space="preserve">「早於此帳戶最早紀錄（</t>
    </r>
    <r>
      <rPr>
        <sz val="10"/>
        <rFont val="Arial"/>
        <family val="0"/>
        <charset val="1"/>
      </rPr>
      <t xml:space="preserve">2026-01-05</t>
    </r>
    <r>
      <rPr>
        <sz val="10"/>
        <rFont val="Noto Sans CJK SC"/>
        <family val="2"/>
      </rPr>
      <t xml:space="preserve">），請確認日期」，不擋。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路徑（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複驗時）同樣出現 </t>
    </r>
    <r>
      <rPr>
        <sz val="10"/>
        <rFont val="Arial"/>
        <family val="0"/>
        <charset val="1"/>
      </rPr>
      <t xml:space="preserve">trade_before_opening
</t>
    </r>
    <r>
      <rPr>
        <sz val="10"/>
        <rFont val="Noto Sans CJK SC"/>
        <family val="2"/>
      </rPr>
      <t xml:space="preserve">定位：開發者 </t>
    </r>
    <r>
      <rPr>
        <sz val="10"/>
        <rFont val="Arial"/>
        <family val="0"/>
        <charset val="1"/>
      </rPr>
      <t xml:space="preserve">validate.py </t>
    </r>
    <r>
      <rPr>
        <sz val="10"/>
        <rFont val="Noto Sans CJK SC"/>
        <family val="2"/>
      </rPr>
      <t xml:space="preserve">新增兩個檢核；變異（兩處改 </t>
    </r>
    <r>
      <rPr>
        <sz val="10"/>
        <rFont val="Arial"/>
        <family val="0"/>
        <charset val="1"/>
      </rPr>
      <t xml:space="preserve">if False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5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</si>
  <si>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兩種提示依設計出現；勾選確認後寫入 </t>
    </r>
    <r>
      <rPr>
        <sz val="10"/>
        <rFont val="Arial"/>
        <family val="0"/>
        <charset val="1"/>
      </rPr>
      <t xml:space="preserve">#102 201</t>
    </r>
    <r>
      <rPr>
        <sz val="10"/>
        <rFont val="Noto Sans CJK SC"/>
        <family val="2"/>
      </rPr>
      <t xml:space="preserve">，刪除後 </t>
    </r>
    <r>
      <rPr>
        <sz val="10"/>
        <rFont val="Arial"/>
        <family val="0"/>
        <charset val="1"/>
      </rPr>
      <t xml:space="preserve">cmp D014 same:true</t>
    </r>
  </si>
  <si>
    <r>
      <rPr>
        <sz val="10"/>
        <rFont val="Noto Sans CJK SC"/>
        <family val="2"/>
      </rPr>
      <t xml:space="preserve">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</si>
  <si>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r>
      <rPr>
        <sz val="10"/>
        <rFont val="Noto Sans CJK SC"/>
        <family val="2"/>
      </rPr>
      <t xml:space="preserve">同意驗證者，兩個根因：預覽把錯誤列的股數算成持股；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把被擋下的列算成「跳過」且前端顯示成功。</t>
    </r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</si>
  <si>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</si>
  <si>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</si>
  <si>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r>
      <rPr>
        <sz val="10"/>
        <rFont val="Noto Sans CJK SC"/>
        <family val="2"/>
      </rPr>
      <t xml:space="preserve">後端：抽出 </t>
    </r>
    <r>
      <rPr>
        <sz val="10"/>
        <rFont val="Arial"/>
        <family val="0"/>
        <charset val="1"/>
      </rPr>
      <t xml:space="preserve">whole_share_issue(inp, inst)</t>
    </r>
    <r>
      <rPr>
        <sz val="10"/>
        <rFont val="Noto Sans CJK SC"/>
        <family val="2"/>
      </rPr>
      <t xml:space="preserve">（整數股規則單一擁有者）與 </t>
    </r>
    <r>
      <rPr>
        <sz val="10"/>
        <rFont val="Arial"/>
        <family val="0"/>
        <charset val="1"/>
      </rPr>
      <t xml:space="preserve">row_cannot_be_written(inp, instrument_of)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whole-share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pending_share_flows </t>
    </r>
    <r>
      <rPr>
        <sz val="10"/>
        <rFont val="Noto Sans CJK SC"/>
        <family val="2"/>
      </rPr>
      <t xml:space="preserve">一律排除 </t>
    </r>
    <r>
      <rPr>
        <sz val="10"/>
        <rFont val="Arial"/>
        <family val="0"/>
        <charset val="1"/>
      </rPr>
      <t xml:space="preserve">row_cannot_be_written </t>
    </r>
    <r>
      <rPr>
        <sz val="10"/>
        <rFont val="Noto Sans CJK SC"/>
        <family val="2"/>
      </rPr>
      <t xml:space="preserve">的列；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skipped_rows:[{row, symbol, code, message}]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code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「未勾選」／重算後新出現的 </t>
    </r>
    <r>
      <rPr>
        <sz val="10"/>
        <rFont val="Arial"/>
        <family val="0"/>
        <charset val="1"/>
      </rPr>
      <t xml:space="preserve">issue kind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skipped </t>
    </r>
    <r>
      <rPr>
        <sz val="10"/>
        <rFont val="Noto Sans CJK SC"/>
        <family val="2"/>
      </rPr>
      <t xml:space="preserve">防禦）。前端（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）：共用 </t>
    </r>
    <r>
      <rPr>
        <sz val="10"/>
        <rFont val="Arial"/>
        <family val="0"/>
        <charset val="1"/>
      </rPr>
      <t xml:space="preserve">commitOutcome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outcomeText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outcomeLines</t>
    </r>
    <r>
      <rPr>
        <sz val="10"/>
        <rFont val="Noto Sans CJK SC"/>
        <family val="2"/>
      </rPr>
      <t xml:space="preserve">：只有 </t>
    </r>
    <r>
      <rPr>
        <sz val="10"/>
        <rFont val="Arial"/>
        <family val="0"/>
        <charset val="1"/>
      </rPr>
      <t xml:space="preserve">deselected →</t>
    </r>
    <r>
      <rPr>
        <sz val="10"/>
        <rFont val="Noto Sans CJK SC"/>
        <family val="2"/>
      </rPr>
      <t xml:space="preserve">「未勾選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筆」成功語氣；其他 </t>
    </r>
    <r>
      <rPr>
        <sz val="10"/>
        <rFont val="Arial"/>
        <family val="0"/>
        <charset val="1"/>
      </rPr>
      <t xml:space="preserve">code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rejected_rows </t>
    </r>
    <r>
      <rPr>
        <sz val="10"/>
        <rFont val="Noto Sans CJK SC"/>
        <family val="2"/>
      </rPr>
      <t xml:space="preserve">一律「被擋下」：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「⚠ 寫入完成（有列被擋下）」、</t>
    </r>
    <r>
      <rPr>
        <sz val="10"/>
        <rFont val="Arial"/>
        <family val="0"/>
        <charset val="1"/>
      </rPr>
      <t xml:space="preserve">banner </t>
    </r>
    <r>
      <rPr>
        <sz val="10"/>
        <rFont val="Noto Sans CJK SC"/>
        <family val="2"/>
      </rPr>
      <t xml:space="preserve">逐列「第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：＜伺服器原句＞」；舊伺服器無 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維持舊意義；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寫入未寫入列寫「未寫入」；單筆表單顯示伺服器原因；預覽列的 </t>
    </r>
    <r>
      <rPr>
        <sz val="10"/>
        <rFont val="Arial"/>
        <family val="0"/>
        <charset val="1"/>
      </rPr>
      <t xml:space="preserve">info </t>
    </r>
    <r>
      <rPr>
        <sz val="10"/>
        <rFont val="Noto Sans CJK SC"/>
        <family val="2"/>
      </rPr>
      <t xml:space="preserve">以灰色提示（</t>
    </r>
    <r>
      <rPr>
        <sz val="10"/>
        <rFont val="Arial"/>
        <family val="0"/>
        <charset val="1"/>
      </rPr>
      <t xml:space="preserve">.row-info</t>
    </r>
    <r>
      <rPr>
        <sz val="10"/>
        <rFont val="Noto Sans CJK SC"/>
        <family val="2"/>
      </rPr>
      <t xml:space="preserve">）呈現，不算警告。</t>
    </r>
  </si>
  <si>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：原已排除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parse_error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structural 5</t>
    </r>
    <r>
      <rPr>
        <sz val="10"/>
        <rFont val="Noto Sans CJK SC"/>
        <family val="2"/>
      </rPr>
      <t xml:space="preserve">）、修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shares_not_integer</t>
    </r>
    <r>
      <rPr>
        <sz val="10"/>
        <rFont val="Noto Sans CJK SC"/>
        <family val="2"/>
      </rPr>
      <t xml:space="preserve">）、白名單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unknown_account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market_mismatch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symbol_unresolved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key-level </t>
    </r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(account, symbol) </t>
    </r>
    <r>
      <rPr>
        <sz val="10"/>
        <rFont val="Noto Sans CJK SC"/>
        <family val="2"/>
      </rPr>
      <t xml:space="preserve">每列同時被拒；</t>
    </r>
    <r>
      <rPr>
        <sz val="10"/>
        <rFont val="Arial"/>
        <family val="0"/>
        <charset val="1"/>
      </rPr>
      <t xml:space="preserve">fee_overflow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M4 </t>
    </r>
    <r>
      <rPr>
        <sz val="10"/>
        <rFont val="Noto Sans CJK SC"/>
        <family val="2"/>
      </rPr>
      <t xml:space="preserve">上限下游）。前端顯示寫入結果與原因欄共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4</t>
    </r>
    <r>
      <rPr>
        <sz val="10"/>
        <rFont val="Noto Sans CJK SC"/>
        <family val="2"/>
      </rPr>
      <t xml:space="preserve">＋原因欄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broker-import.js:926</t>
    </r>
    <r>
      <rPr>
        <sz val="10"/>
        <rFont val="Noto Sans CJK SC"/>
        <family val="2"/>
      </rPr>
      <t xml:space="preserve">，由收尾包 </t>
    </r>
    <r>
      <rPr>
        <sz val="10"/>
        <rFont val="Arial"/>
        <family val="0"/>
        <charset val="1"/>
      </rPr>
      <t xml:space="preserve">I-8 </t>
    </r>
    <r>
      <rPr>
        <sz val="10"/>
        <rFont val="Noto Sans CJK SC"/>
        <family val="2"/>
      </rPr>
      <t xml:space="preserve">處理）。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</si>
  <si>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tests/contract/test_def024_error_rows_never_cover.py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tests/contract/test_def024_commit_outcome_front.py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直接執行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函式）；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措辭同步（</t>
    </r>
    <r>
      <rPr>
        <sz val="10"/>
        <rFont val="Arial"/>
        <family val="0"/>
        <charset val="1"/>
      </rPr>
      <t xml:space="preserve">test_sweep_remediation_flows</t>
    </r>
    <r>
      <rPr>
        <sz val="10"/>
        <rFont val="Noto Sans CJK SC"/>
        <family val="2"/>
      </rPr>
      <t xml:space="preserve">「未勾選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筆」、</t>
    </r>
    <r>
      <rPr>
        <sz val="10"/>
        <rFont val="Arial"/>
        <family val="0"/>
        <charset val="1"/>
      </rPr>
      <t xml:space="preserve">test_input_clear_on_success_flow</t>
    </r>
    <r>
      <rPr>
        <sz val="10"/>
        <rFont val="Noto Sans CJK SC"/>
        <family val="2"/>
      </rPr>
      <t xml:space="preserve">「未寫入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筆」）。變異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row_cannot_be_written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AssertionError: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200.5 </t>
    </r>
    <r>
      <rPr>
        <sz val="10"/>
        <rFont val="Noto Sans CJK SC"/>
        <family val="2"/>
      </rPr>
      <t xml:space="preserve">股」；變異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（不輸出 </t>
    </r>
    <r>
      <rPr>
        <sz val="10"/>
        <rFont val="Arial"/>
        <family val="0"/>
        <charset val="1"/>
      </rPr>
      <t xml:space="preserve">skipped_rows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KeyError: 'skipped_rows'</t>
    </r>
    <r>
      <rPr>
        <sz val="10"/>
        <rFont val="Noto Sans CJK SC"/>
        <family val="2"/>
      </rPr>
      <t xml:space="preserve">；變異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（前端 </t>
    </r>
    <r>
      <rPr>
        <sz val="10"/>
        <rFont val="Arial"/>
        <family val="0"/>
        <charset val="1"/>
      </rPr>
      <t xml:space="preserve">blocked </t>
    </r>
    <r>
      <rPr>
        <sz val="10"/>
        <rFont val="Noto Sans CJK SC"/>
        <family val="2"/>
      </rPr>
      <t xml:space="preserve">換回空陣列）→「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 !=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」；變異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（提示當成原因）→「</t>
    </r>
    <r>
      <rPr>
        <sz val="10"/>
        <rFont val="Arial"/>
        <family val="0"/>
        <charset val="1"/>
      </rPr>
      <t xml:space="preserve">gating '</t>
    </r>
    <r>
      <rPr>
        <sz val="10"/>
        <rFont val="Noto Sans CJK SC"/>
        <family val="2"/>
      </rPr>
      <t xml:space="preserve">早於帳本起點</t>
    </r>
    <r>
      <rPr>
        <sz val="10"/>
        <rFont val="Arial"/>
        <family val="0"/>
        <charset val="1"/>
      </rPr>
      <t xml:space="preserve">' != ''</t>
    </r>
    <r>
      <rPr>
        <sz val="10"/>
        <rFont val="Noto Sans CJK SC"/>
        <family val="2"/>
      </rPr>
      <t xml:space="preserve">」。改回後全過。</t>
    </r>
  </si>
  <si>
    <r>
      <rPr>
        <sz val="10"/>
        <rFont val="Noto Sans CJK SC"/>
        <family val="2"/>
      </rPr>
      <t xml:space="preserve">真實瀏覽器：交易帳本 › 貼上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預覽＋寫入；讀 </t>
    </r>
    <r>
      <rPr>
        <sz val="10"/>
        <rFont val="Arial"/>
        <family val="0"/>
        <charset val="1"/>
      </rPr>
      <t xml:space="preserve">POST /api/import/preview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/commit </t>
    </r>
    <r>
      <rPr>
        <sz val="10"/>
        <rFont val="Noto Sans CJK SC"/>
        <family val="2"/>
      </rPr>
      <t xml:space="preserve">回應 </t>
    </r>
    <r>
      <rPr>
        <sz val="10"/>
        <rFont val="Arial"/>
        <family val="0"/>
        <charset val="1"/>
      </rPr>
      <t xml:space="preserve">skipped_rows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</si>
  <si>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時被擋下的買入列（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股）仍被算進後續賣出列的持股
假設：①預覽持股模擬已排除 </t>
    </r>
    <r>
      <rPr>
        <sz val="10"/>
        <rFont val="Arial"/>
        <family val="0"/>
        <charset val="1"/>
      </rPr>
      <t xml:space="preserve">error </t>
    </r>
    <r>
      <rPr>
        <sz val="10"/>
        <rFont val="Noto Sans CJK SC"/>
        <family val="2"/>
      </rPr>
      <t xml:space="preserve">列；②只排除 </t>
    </r>
    <r>
      <rPr>
        <sz val="10"/>
        <rFont val="Arial"/>
        <family val="0"/>
        <charset val="1"/>
      </rPr>
      <t xml:space="preserve">error </t>
    </r>
    <r>
      <rPr>
        <sz val="10"/>
        <rFont val="Noto Sans CJK SC"/>
        <family val="2"/>
      </rPr>
      <t xml:space="preserve">列、未排除「取消勾選」列
排除：①②都做了實驗——買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）＋賣 </t>
    </r>
    <r>
      <rPr>
        <sz val="10"/>
        <rFont val="Arial"/>
        <family val="0"/>
        <charset val="1"/>
      </rPr>
      <t xml:space="preserve">101 → </t>
    </r>
    <r>
      <rPr>
        <sz val="10"/>
        <rFont val="Noto Sans CJK SC"/>
        <family val="2"/>
      </rPr>
      <t xml:space="preserve">賣出列警示「超過持有的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未計入）；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）＋賣 </t>
    </r>
    <r>
      <rPr>
        <sz val="10"/>
        <rFont val="Arial"/>
        <family val="0"/>
        <charset val="1"/>
      </rPr>
      <t xml:space="preserve">500 → </t>
    </r>
    <r>
      <rPr>
        <sz val="10"/>
        <rFont val="Noto Sans CJK SC"/>
        <family val="2"/>
      </rPr>
      <t xml:space="preserve">「超過持有的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股」；再取消勾選一列買入後寫入，賣出列以 </t>
    </r>
    <r>
      <rPr>
        <sz val="10"/>
        <rFont val="Arial"/>
        <family val="0"/>
        <charset val="1"/>
      </rPr>
      <t xml:space="preserve">sell_exceeds_holdings </t>
    </r>
    <r>
      <rPr>
        <sz val="10"/>
        <rFont val="Noto Sans CJK SC"/>
        <family val="2"/>
      </rPr>
      <t xml:space="preserve">擋下
定位：開發者於 </t>
    </r>
    <r>
      <rPr>
        <sz val="10"/>
        <rFont val="Arial"/>
        <family val="0"/>
        <charset val="1"/>
      </rPr>
      <t xml:space="preserve">import </t>
    </r>
    <r>
      <rPr>
        <sz val="10"/>
        <rFont val="Noto Sans CJK SC"/>
        <family val="2"/>
      </rPr>
      <t xml:space="preserve">預覽 </t>
    </r>
    <r>
      <rPr>
        <sz val="10"/>
        <rFont val="Arial"/>
        <family val="0"/>
        <charset val="1"/>
      </rPr>
      <t xml:space="preserve">row_cannot_be_written </t>
    </r>
    <r>
      <rPr>
        <sz val="10"/>
        <rFont val="Noto Sans CJK SC"/>
        <family val="2"/>
      </rPr>
      <t xml:space="preserve">略過不可寫列（變異測試移除該略過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）
判定：通過</t>
    </r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</si>
  <si>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</si>
  <si>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r>
      <rPr>
        <sz val="10"/>
        <rFont val="Noto Sans CJK SC"/>
        <family val="2"/>
      </rPr>
      <t xml:space="preserve">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</si>
  <si>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r>
      <rPr>
        <sz val="10"/>
        <rFont val="Noto Sans CJK SC"/>
        <family val="2"/>
      </rPr>
      <t xml:space="preserve">同意驗證者：提示可見但沒有入口，原因句嵌後端裸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</si>
  <si>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</si>
  <si>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</si>
  <si>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r>
      <rPr>
        <sz val="10"/>
        <rFont val="Noto Sans CJK SC"/>
        <family val="2"/>
      </rPr>
      <t xml:space="preserve">類別修法——帳戶記號縫：新增 </t>
    </r>
    <r>
      <rPr>
        <sz val="10"/>
        <rFont val="Arial"/>
        <family val="0"/>
        <charset val="1"/>
      </rPr>
      <t xml:space="preserve">portfolio_dash/shared/account_ref.py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account_ref(id) → "{account:&lt;id&gt;}"</t>
    </r>
    <r>
      <rPr>
        <sz val="10"/>
        <rFont val="Noto Sans CJK SC"/>
        <family val="2"/>
      </rPr>
      <t xml:space="preserve">），後端使用者可見句一律嵌記號；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對每個經 </t>
    </r>
    <r>
      <rPr>
        <sz val="10"/>
        <rFont val="Arial"/>
        <family val="0"/>
        <charset val="1"/>
      </rPr>
      <t xml:space="preserve">pdApi </t>
    </r>
    <r>
      <rPr>
        <sz val="10"/>
        <rFont val="Noto Sans CJK SC"/>
        <family val="2"/>
      </rPr>
      <t xml:space="preserve">的回應（</t>
    </r>
    <r>
      <rPr>
        <sz val="10"/>
        <rFont val="Arial"/>
        <family val="0"/>
        <charset val="1"/>
      </rPr>
      <t xml:space="preserve">2xx JSON </t>
    </r>
    <r>
      <rPr>
        <sz val="10"/>
        <rFont val="Noto Sans CJK SC"/>
        <family val="2"/>
      </rPr>
      <t xml:space="preserve">與錯誤 </t>
    </r>
    <r>
      <rPr>
        <sz val="10"/>
        <rFont val="Arial"/>
        <family val="0"/>
        <charset val="1"/>
      </rPr>
      <t xml:space="preserve">message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）深度走訪把記號換成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中文名，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提供 </t>
    </r>
    <r>
      <rPr>
        <sz val="10"/>
        <rFont val="Arial"/>
        <family val="0"/>
        <charset val="1"/>
      </rPr>
      <t xml:space="preserve">pdNames.resolveRefs</t>
    </r>
    <r>
      <rPr>
        <sz val="10"/>
        <rFont val="Noto Sans CJK SC"/>
        <family val="2"/>
      </rPr>
      <t xml:space="preserve">。後端：</t>
    </r>
    <r>
      <rPr>
        <sz val="10"/>
        <rFont val="Arial"/>
        <family val="0"/>
        <charset val="1"/>
      </rPr>
      <t xml:space="preserve">cost_basis.py 10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dashboard.py:307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validate.py </t>
    </r>
    <r>
      <rPr>
        <sz val="10"/>
        <rFont val="Noto Sans CJK SC"/>
        <family val="2"/>
      </rPr>
      <t xml:space="preserve">三句公司行動訊息改記號；</t>
    </r>
    <r>
      <rPr>
        <sz val="10"/>
        <rFont val="Arial"/>
        <family val="0"/>
        <charset val="1"/>
      </rPr>
      <t xml:space="preserve">UnappliedAction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action_id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 wire unapplied_actions[] </t>
    </r>
    <r>
      <rPr>
        <sz val="10"/>
        <rFont val="Noto Sans CJK SC"/>
        <family val="2"/>
      </rPr>
      <t xml:space="preserve">每筆 </t>
    </r>
    <r>
      <rPr>
        <sz val="10"/>
        <rFont val="Arial"/>
        <family val="0"/>
        <charset val="1"/>
      </rPr>
      <t xml:space="preserve">{account_id, date, kind, from_symbol, to_symbol, reason, action_id}</t>
    </r>
    <r>
      <rPr>
        <sz val="10"/>
        <rFont val="Noto Sans CJK SC"/>
        <family val="2"/>
      </rPr>
      <t xml:space="preserve">。前端：</t>
    </r>
    <r>
      <rPr>
        <sz val="10"/>
        <rFont val="Arial"/>
        <family val="0"/>
        <charset val="1"/>
      </rPr>
      <t xml:space="preserve">app.js renderUnappliedBanner() </t>
    </r>
    <r>
      <rPr>
        <sz val="10"/>
        <rFont val="Noto Sans CJK SC"/>
        <family val="2"/>
      </rPr>
      <t xml:space="preserve">頁首可見區塊逐筆「帳戶（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）・代號・日期・種類：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」＋連結「前往該筆公司行動」（</t>
    </r>
    <r>
      <rPr>
        <sz val="10"/>
        <rFont val="Arial"/>
        <family val="0"/>
        <charset val="1"/>
      </rPr>
      <t xml:space="preserve">trades.html?ledger=action&amp;action_id=N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ledgers.py GET </t>
    </r>
    <r>
      <rPr>
        <sz val="10"/>
        <rFont val="Noto Sans CJK SC"/>
        <family val="2"/>
      </rPr>
      <t xml:space="preserve">公司行動列新增 </t>
    </r>
    <r>
      <rPr>
        <sz val="10"/>
        <rFont val="Arial"/>
        <family val="0"/>
        <charset val="1"/>
      </rPr>
      <t xml:space="preserve">unapplied:{reason}|null</t>
    </r>
    <r>
      <rPr>
        <sz val="10"/>
        <rFont val="Noto Sans CJK SC"/>
        <family val="2"/>
      </rPr>
      <t xml:space="preserve">（與儀表板同一通道）；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該列「未套用」</t>
    </r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＋深連結閃爍；交易刪除前查同帳戶同代號日期 ≥ 該筆的公司行動，確認框加「⚠ 刪除後 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可能失去持倉依據而無法套用（待釐清）。」；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抽屜改結構化欄位＋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＋連結。</t>
    </r>
  </si>
  <si>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嵌帳戶名／裸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處：本張修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cost_basis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dashboard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validate 3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處＝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鍵附理由（記號產生器本身、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內部例外、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稽核標籤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dividend_inbox </t>
    </r>
    <r>
      <rPr>
        <sz val="10"/>
        <rFont val="Noto Sans CJK SC"/>
        <family val="2"/>
      </rPr>
      <t xml:space="preserve">指紋鍵</t>
    </r>
    <r>
      <rPr>
        <sz val="10"/>
        <rFont val="Arial"/>
        <family val="0"/>
        <charset val="1"/>
      </rPr>
      <t xml:space="preserve">×2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config_seed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rules_binding </t>
    </r>
    <r>
      <rPr>
        <sz val="10"/>
        <rFont val="Noto Sans CJK SC"/>
        <family val="2"/>
      </rPr>
      <t xml:space="preserve">種子期 </t>
    </r>
    <r>
      <rPr>
        <sz val="10"/>
        <rFont val="Arial"/>
        <family val="0"/>
        <charset val="1"/>
      </rPr>
      <t xml:space="preserve">ValueError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validate.py:298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不存在」、</t>
    </r>
    <r>
      <rPr>
        <sz val="10"/>
        <rFont val="Arial"/>
        <family val="0"/>
        <charset val="1"/>
      </rPr>
      <t xml:space="preserve">agents.py LLM </t>
    </r>
    <r>
      <rPr>
        <sz val="10"/>
        <rFont val="Noto Sans CJK SC"/>
        <family val="2"/>
      </rPr>
      <t xml:space="preserve">提示</t>
    </r>
    <r>
      <rPr>
        <sz val="10"/>
        <rFont val="Arial"/>
        <family val="0"/>
        <charset val="1"/>
      </rPr>
      <t xml:space="preserve">×4</t>
    </r>
    <r>
      <rPr>
        <sz val="10"/>
        <rFont val="Noto Sans CJK SC"/>
        <family val="2"/>
      </rPr>
      <t xml:space="preserve">）；其餘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處由 </t>
    </r>
    <r>
      <rPr>
        <sz val="10"/>
        <rFont val="Arial"/>
        <family val="0"/>
        <charset val="1"/>
      </rPr>
      <t xml:space="preserve">DEF-008 </t>
    </r>
    <r>
      <rPr>
        <sz val="10"/>
        <rFont val="Noto Sans CJK SC"/>
        <family val="2"/>
      </rPr>
      <t xml:space="preserve">與收尾包 </t>
    </r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修掉（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收斂至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）。前端「只在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的待釐清狀態」共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oversold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unbookable_dividend </t>
    </r>
    <r>
      <rPr>
        <sz val="10"/>
        <rFont val="Noto Sans CJK SC"/>
        <family val="2"/>
      </rPr>
      <t xml:space="preserve">已有可見 </t>
    </r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</si>
  <si>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tests/contract/test_account_ref_seam.py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兩條路徑解析縫、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真跑 </t>
    </r>
    <r>
      <rPr>
        <sz val="10"/>
        <rFont val="Arial"/>
        <family val="0"/>
        <charset val="1"/>
      </rPr>
      <t xml:space="preserve">api.js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TestClient </t>
    </r>
    <r>
      <rPr>
        <sz val="10"/>
        <rFont val="Noto Sans CJK SC"/>
        <family val="2"/>
      </rPr>
      <t xml:space="preserve">證明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到前端前仍是記號）、</t>
    </r>
    <r>
      <rPr>
        <sz val="10"/>
        <rFont val="Arial"/>
        <family val="0"/>
        <charset val="1"/>
      </rPr>
      <t xml:space="preserve">tests/portfolio/test_unapplied_action_id.py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tests/contract/test_unapplied_actions_have_an_entry.py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：毒列→列帶 </t>
    </r>
    <r>
      <rPr>
        <sz val="10"/>
        <rFont val="Arial"/>
        <family val="0"/>
        <charset val="1"/>
      </rPr>
      <t xml:space="preserve">unapplied.reason </t>
    </r>
    <r>
      <rPr>
        <sz val="10"/>
        <rFont val="Noto Sans CJK SC"/>
        <family val="2"/>
      </rPr>
      <t xml:space="preserve">且與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同一列；靜態：儀表板區塊／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／連結／空清單不渲染／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標記／刪除警告／抽屜結構化）。變異：裸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＋不帶 </t>
    </r>
    <r>
      <rPr>
        <sz val="10"/>
        <rFont val="Arial"/>
        <family val="0"/>
        <charset val="1"/>
      </rPr>
      <t xml:space="preserve">action_id → 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assert None ==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reason </t>
    </r>
    <r>
      <rPr>
        <sz val="10"/>
        <rFont val="Noto Sans CJK SC"/>
        <family val="2"/>
      </rPr>
      <t xml:space="preserve">無記號）；</t>
    </r>
    <r>
      <rPr>
        <sz val="10"/>
        <rFont val="Arial"/>
        <family val="0"/>
        <charset val="1"/>
      </rPr>
      <t xml:space="preserve">dashboard </t>
    </r>
    <r>
      <rPr>
        <sz val="10"/>
        <rFont val="Noto Sans CJK SC"/>
        <family val="2"/>
      </rPr>
      <t xml:space="preserve">嵌 </t>
    </r>
    <r>
      <rPr>
        <sz val="10"/>
        <rFont val="Arial"/>
        <family val="0"/>
        <charset val="1"/>
      </rPr>
      <t xml:space="preserve">acct.name → test_no_backend_sentence_embeds_an_account_name_or_bare_id_outside_the_lists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api.js 2xx </t>
    </r>
    <r>
      <rPr>
        <sz val="10"/>
        <rFont val="Noto Sans CJK SC"/>
        <family val="2"/>
      </rPr>
      <t xml:space="preserve">不解析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'…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{account:tw_broker}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2026-03-15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 == '…</t>
    </r>
    <r>
      <rPr>
        <sz val="10"/>
        <rFont val="Noto Sans CJK SC"/>
        <family val="2"/>
      </rPr>
      <t xml:space="preserve">（台灣券商・</t>
    </r>
    <r>
      <rPr>
        <sz val="10"/>
        <rFont val="Arial"/>
        <family val="0"/>
        <charset val="1"/>
      </rPr>
      <t xml:space="preserve">2026-03-15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）；錯誤路徑不解析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則失敗；列的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恆 </t>
    </r>
    <r>
      <rPr>
        <sz val="10"/>
        <rFont val="Arial"/>
        <family val="0"/>
        <charset val="1"/>
      </rPr>
      <t xml:space="preserve">null → test_the_ledger_row_carries_the_replays_refusal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None is not None</t>
    </r>
    <r>
      <rPr>
        <sz val="10"/>
        <rFont val="Noto Sans CJK SC"/>
        <family val="2"/>
      </rPr>
      <t xml:space="preserve">」；拔掉 </t>
    </r>
    <r>
      <rPr>
        <sz val="10"/>
        <rFont val="Arial"/>
        <family val="0"/>
        <charset val="1"/>
      </rPr>
      <t xml:space="preserve">renderUnappliedBanner() → test_the_dashboard_renders_a_visible_block_with_an_entry_per_row</t>
    </r>
    <r>
      <rPr>
        <sz val="10"/>
        <rFont val="Noto Sans CJK SC"/>
        <family val="2"/>
      </rPr>
      <t xml:space="preserve">。改回後全過。</t>
    </r>
  </si>
  <si>
    <r>
      <rPr>
        <sz val="10"/>
        <rFont val="Noto Sans CJK SC"/>
        <family val="2"/>
      </rPr>
      <t xml:space="preserve">真實瀏覽器：台灣券商買 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#103</t>
    </r>
    <r>
      <rPr>
        <sz val="10"/>
        <rFont val="Noto Sans CJK SC"/>
        <family val="2"/>
      </rPr>
      <t xml:space="preserve">）→ 登錄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#15</t>
    </r>
    <r>
      <rPr>
        <sz val="10"/>
        <rFont val="Noto Sans CJK SC"/>
        <family val="2"/>
      </rPr>
      <t xml:space="preserve">）→ 刪除該筆買進 → 看公司行動帳本、儀表板、深連結；測畢刪除行動並比對</t>
    </r>
  </si>
  <si>
    <r>
      <rPr>
        <sz val="10"/>
        <rFont val="Noto Sans CJK SC"/>
        <family val="2"/>
      </rPr>
      <t xml:space="preserve">觀察：①刪除買進的確認框新增「⚠ 刪除後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可能失去持倉依據而無法套用（待釐清）」✓；②公司行動帳本該列出現「未套用」</t>
    </r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為中文帳戶名「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（台灣券商）於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沒有持倉…」✓；③深連結 </t>
    </r>
    <r>
      <rPr>
        <sz val="10"/>
        <rFont val="Arial"/>
        <family val="0"/>
        <charset val="1"/>
      </rPr>
      <t xml:space="preserve">trades.html?ledger=action&amp;action_id=15 </t>
    </r>
    <r>
      <rPr>
        <sz val="10"/>
        <rFont val="Noto Sans CJK SC"/>
        <family val="2"/>
      </rPr>
      <t xml:space="preserve">直接切到公司行動分頁並標示該列 ✓；④</t>
    </r>
    <r>
      <rPr>
        <sz val="10"/>
        <rFont val="Arial"/>
        <family val="0"/>
        <charset val="1"/>
      </rPr>
      <t xml:space="preserve">/api/dashboard.unapplied_actions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筆（含 </t>
    </r>
    <r>
      <rPr>
        <sz val="10"/>
        <rFont val="Arial"/>
        <family val="0"/>
        <charset val="1"/>
      </rPr>
      <t xml:space="preserve">action_id 15</t>
    </r>
    <r>
      <rPr>
        <sz val="10"/>
        <rFont val="Noto Sans CJK SC"/>
        <family val="2"/>
      </rPr>
      <t xml:space="preserve">）✓；</t>
    </r>
    <r>
      <rPr>
        <sz val="10"/>
        <rFont val="Arial"/>
        <family val="0"/>
        <charset val="1"/>
      </rPr>
      <t xml:space="preserve">XIRR tooltip </t>
    </r>
    <r>
      <rPr>
        <sz val="10"/>
        <rFont val="Noto Sans CJK SC"/>
        <family val="2"/>
      </rPr>
      <t xml:space="preserve">已改中文帳戶名 ✓。✗ 但儀表板上看不到任何「帳本中有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筆公司行動無法套用」區塊，也沒有「前往該筆公司行動」連結：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中沒有 </t>
    </r>
    <r>
      <rPr>
        <sz val="10"/>
        <rFont val="Arial"/>
        <family val="0"/>
        <charset val="1"/>
      </rPr>
      <t xml:space="preserve">#unapplied-banner</t>
    </r>
    <r>
      <rPr>
        <sz val="10"/>
        <rFont val="Noto Sans CJK SC"/>
        <family val="2"/>
      </rPr>
      <t xml:space="preserve">，頁面上仍只有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「— 資料不足」與總損益口徑一句話（與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相同）
假設：①資料沒送到；②渲染函式有但沒被呼叫到；③樣式隱藏
排除：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有資料，排除①；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找不到該元素（不是隱藏），排除③
定位：</t>
    </r>
    <r>
      <rPr>
        <sz val="10"/>
        <rFont val="Arial"/>
        <family val="0"/>
        <charset val="1"/>
      </rPr>
      <t xml:space="preserve">web/app.js:112 renderUnappliedBanner()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renderUnregisteredBanner() </t>
    </r>
    <r>
      <rPr>
        <sz val="10"/>
        <rFont val="Noto Sans CJK SC"/>
        <family val="2"/>
      </rPr>
      <t xml:space="preserve">內、位於 </t>
    </r>
    <r>
      <rPr>
        <sz val="10"/>
        <rFont val="Arial"/>
        <family val="0"/>
        <charset val="1"/>
      </rPr>
      <t xml:space="preserve">app.js:100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if (!syms.length || !page) return;</t>
    </r>
    <r>
      <rPr>
        <sz val="10"/>
        <rFont val="Noto Sans CJK SC"/>
        <family val="2"/>
      </rPr>
      <t xml:space="preserve">」之後——只有在「同時存在未註冊標的」時才會畫出公司行動區塊；本站未註冊標的為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，所以永遠不顯示。</t>
    </r>
    <r>
      <rPr>
        <sz val="10"/>
        <rFont val="Arial"/>
        <family val="0"/>
        <charset val="1"/>
      </rPr>
      <t xml:space="preserve">tests/contract/test_unapplied_actions_have_an_entry.py:125 </t>
    </r>
    <r>
      <rPr>
        <sz val="10"/>
        <rFont val="Noto Sans CJK SC"/>
        <family val="2"/>
      </rPr>
      <t xml:space="preserve">只斷言呼叫字串存在於函式內，沒斷言它在提前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之前，等於把這個缺陷釘住了
判定：複驗未過——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所報「儀表板沒有可點的入口」在一般情境（沒有未註冊標的）仍成立</t>
    </r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</si>
  <si>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</si>
  <si>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r>
      <rPr>
        <sz val="10"/>
        <rFont val="Noto Sans CJK SC"/>
        <family val="2"/>
      </rPr>
      <t xml:space="preserve">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</t>
    </r>
  </si>
  <si>
    <r>
      <rPr>
        <sz val="10"/>
        <rFont val="Noto Sans CJK SC"/>
        <family val="2"/>
      </rPr>
      <t xml:space="preserve">同意驗證者。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被洗成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，試算與登錄鈕照常可用。</t>
    </r>
  </si>
  <si>
    <t xml:space="preserve">web/corp-action-form.js:158 `const cleaned = n.value.replace(/[^0-9]/g, '');`</t>
  </si>
  <si>
    <r>
      <rPr>
        <sz val="10"/>
        <rFont val="Noto Sans CJK SC"/>
        <family val="2"/>
      </rPr>
      <t xml:space="preserve">沒有任何靜態守門掃「把使用者輸入改寫回欄位」的寫法；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fill </t>
    </r>
    <r>
      <rPr>
        <sz val="10"/>
        <rFont val="Noto Sans CJK SC"/>
        <family val="2"/>
      </rPr>
      <t xml:space="preserve">整數，從未鍵入小數；檔頭註解宣稱「真正的拒絕在後端 </t>
    </r>
    <r>
      <rPr>
        <sz val="10"/>
        <rFont val="Arial"/>
        <family val="0"/>
        <charset val="1"/>
      </rPr>
      <t xml:space="preserve">E6/E6a</t>
    </r>
    <r>
      <rPr>
        <sz val="10"/>
        <rFont val="Noto Sans CJK SC"/>
        <family val="2"/>
      </rPr>
      <t xml:space="preserve">」，但前端先洗成合法值，把守門架空。補：</t>
    </r>
    <r>
      <rPr>
        <sz val="10"/>
        <rFont val="Arial"/>
        <family val="0"/>
        <charset val="1"/>
      </rPr>
      <t xml:space="preserve">tests/contract/test_web_inputs_never_silently_rewritten.py</t>
    </r>
    <r>
      <rPr>
        <sz val="10"/>
        <rFont val="Noto Sans CJK SC"/>
        <family val="2"/>
      </rPr>
      <t xml:space="preserve">（偵測力自證＋逐檔掃描＋白名單不得過期）。</t>
    </r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</si>
  <si>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</si>
  <si>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</si>
  <si>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tests/contract/test_web_inputs_never_silently_rewritten.py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M1</t>
    </r>
    <r>
      <rPr>
        <sz val="10"/>
        <rFont val="Noto Sans CJK SC"/>
        <family val="2"/>
      </rPr>
      <t xml:space="preserve">（放回 </t>
    </r>
    <r>
      <rPr>
        <sz val="10"/>
        <rFont val="Arial"/>
        <family val="0"/>
        <charset val="1"/>
      </rPr>
      <t xml:space="preserve">`.replace(/[^0-9]/g,'')` </t>
    </r>
    <r>
      <rPr>
        <sz val="10"/>
        <rFont val="Noto Sans CJK SC"/>
        <family val="2"/>
      </rPr>
      <t xml:space="preserve">並寫回）→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test_no_field_silently_rewrites_what_the_owner_typed[corp-action-form.js]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corp-action-form.js rewrites a typed value into a different legal one: [".replace(/[^0-9]/g, '')"]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test_the_corp_action_form_refuses_a_decimal_inline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assert 'n.value = cleaned' not in …</t>
    </r>
    <r>
      <rPr>
        <sz val="10"/>
        <rFont val="Noto Sans CJK SC"/>
        <family val="2"/>
      </rPr>
      <t xml:space="preserve">」）；變異 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parseInt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broker-import.js rewrites a typed value into a different legal one: ['String(parseInt(', 'String(parseInt(']</t>
    </r>
    <r>
      <rPr>
        <sz val="10"/>
        <rFont val="Noto Sans CJK SC"/>
        <family val="2"/>
      </rPr>
      <t xml:space="preserve">」。改回後通過（</t>
    </r>
    <r>
      <rPr>
        <sz val="10"/>
        <rFont val="Arial"/>
        <family val="0"/>
        <charset val="1"/>
      </rPr>
      <t xml:space="preserve">sha256 </t>
    </r>
    <r>
      <rPr>
        <sz val="10"/>
        <rFont val="Noto Sans CJK SC"/>
        <family val="2"/>
      </rPr>
      <t xml:space="preserve">驗證還原逐位元相同）。</t>
    </r>
  </si>
  <si>
    <r>
      <rPr>
        <sz val="10"/>
        <rFont val="Noto Sans CJK SC"/>
        <family val="2"/>
      </rPr>
      <t xml:space="preserve">真實瀏覽器：交易帳本 › 公司行動 › ＋補登 → 分割，以鍵盤在「每持有」欄鍵入 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、「變成」欄鍵入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</si>
  <si>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被洗成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並可登錄
假設：①前端不再改寫、改為紅框擋下；②只擋試算不擋登錄
排除：欄位值保留「</t>
    </r>
    <r>
      <rPr>
        <sz val="10"/>
        <rFont val="Arial"/>
        <family val="0"/>
        <charset val="1"/>
      </rPr>
      <t xml:space="preserve">1.5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class ca-int-bad</t>
    </r>
    <r>
      <rPr>
        <sz val="10"/>
        <rFont val="Noto Sans CJK SC"/>
        <family val="2"/>
      </rPr>
      <t xml:space="preserve">、框線 </t>
    </r>
    <r>
      <rPr>
        <sz val="10"/>
        <rFont val="Arial"/>
        <family val="0"/>
        <charset val="1"/>
      </rPr>
      <t xml:space="preserve">rgb(240,84,79)</t>
    </r>
    <r>
      <rPr>
        <sz val="10"/>
        <rFont val="Noto Sans CJK SC"/>
        <family val="2"/>
      </rPr>
      <t xml:space="preserve">，行內「比例只收整數（不要填算好的小數）」，試算區「✕ 比例只收整數…請改成對帳單上的兩個整數後再試算」，網路上沒有送出任何試算請求，登錄鈕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；改成 </t>
    </r>
    <r>
      <rPr>
        <sz val="10"/>
        <rFont val="Arial"/>
        <family val="0"/>
        <charset val="1"/>
      </rPr>
      <t xml:space="preserve">1→2 </t>
    </r>
    <r>
      <rPr>
        <sz val="10"/>
        <rFont val="Noto Sans CJK SC"/>
        <family val="2"/>
      </rPr>
      <t xml:space="preserve">後紅框消失、試算「</t>
    </r>
    <r>
      <rPr>
        <sz val="10"/>
        <rFont val="Arial"/>
        <family val="0"/>
        <charset val="1"/>
      </rPr>
      <t xml:space="preserve">2884 100→200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93.20→46.60</t>
    </r>
    <r>
      <rPr>
        <sz val="10"/>
        <rFont val="Noto Sans CJK SC"/>
        <family val="2"/>
      </rPr>
      <t xml:space="preserve">、✓ 成本不變 </t>
    </r>
    <r>
      <rPr>
        <sz val="10"/>
        <rFont val="Arial"/>
        <family val="0"/>
        <charset val="1"/>
      </rPr>
      <t xml:space="preserve">9,320→9,320</t>
    </r>
    <r>
      <rPr>
        <sz val="10"/>
        <rFont val="Noto Sans CJK SC"/>
        <family val="2"/>
      </rPr>
      <t xml:space="preserve">」、登錄鈕可按
定位：</t>
    </r>
    <r>
      <rPr>
        <sz val="10"/>
        <rFont val="Arial"/>
        <family val="0"/>
        <charset val="1"/>
      </rPr>
      <t xml:space="preserve">corp-action-form.js intBox </t>
    </r>
    <r>
      <rPr>
        <sz val="10"/>
        <rFont val="Noto Sans CJK SC"/>
        <family val="2"/>
      </rPr>
      <t xml:space="preserve">改寫已移除（變異放回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）
判定：通過</t>
    </r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</si>
  <si>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</si>
  <si>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</si>
  <si>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</si>
  <si>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r>
      <rPr>
        <sz val="10"/>
        <rFont val="Noto Sans CJK SC"/>
        <family val="2"/>
      </rPr>
      <t xml:space="preserve">契約測試只驗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corporate_actions </t>
    </r>
    <r>
      <rPr>
        <sz val="10"/>
        <rFont val="Noto Sans CJK SC"/>
        <family val="2"/>
      </rPr>
      <t xml:space="preserve">有列、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逐位元還原（</t>
    </r>
    <r>
      <rPr>
        <sz val="10"/>
        <rFont val="Arial"/>
        <family val="0"/>
        <charset val="1"/>
      </rPr>
      <t xml:space="preserve">D38 </t>
    </r>
    <r>
      <rPr>
        <sz val="10"/>
        <rFont val="Noto Sans CJK SC"/>
        <family val="2"/>
      </rPr>
      <t xml:space="preserve">不變量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），從未把 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納入「刪除後帳本應回到原狀」的斷言；費用走另一個路由，路由層測試各自成立。補：原子性（注入失敗）＋刪除後 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全表逐位元相同的契約測試。</t>
    </r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</si>
  <si>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</si>
  <si>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r>
      <rPr>
        <sz val="10"/>
        <rFont val="Noto Sans CJK SC"/>
        <family val="2"/>
      </rPr>
      <t xml:space="preserve">「同一事件分兩支請求／寫入者跨交易」共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bookReorgFee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move_target_band </t>
    </r>
    <r>
      <rPr>
        <sz val="10"/>
        <rFont val="Noto Sans CJK SC"/>
        <family val="2"/>
      </rPr>
      <t xml:space="preserve">原在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之後→移入同一交易）；白名單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applyBandRestate PUT /api/instruments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逐次勾選的獨立設定；</t>
    </r>
    <r>
      <rPr>
        <sz val="10"/>
        <rFont val="Arial"/>
        <family val="0"/>
        <charset val="1"/>
      </rPr>
      <t xml:space="preserve">refresh-quotes </t>
    </r>
    <r>
      <rPr>
        <sz val="10"/>
        <rFont val="Noto Sans CJK SC"/>
        <family val="2"/>
      </rPr>
      <t xml:space="preserve">非帳本寫入）；跨包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strategy/target_weights.py move_target_weight </t>
    </r>
    <r>
      <rPr>
        <sz val="10"/>
        <rFont val="Noto Sans CJK SC"/>
        <family val="2"/>
      </rPr>
      <t xml:space="preserve">仍在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後且刪除不回搬）→ 已由 </t>
    </r>
    <r>
      <rPr>
        <sz val="10"/>
        <rFont val="Arial"/>
        <family val="0"/>
        <charset val="1"/>
      </rPr>
      <t xml:space="preserve">Agent F </t>
    </r>
    <r>
      <rPr>
        <sz val="10"/>
        <rFont val="Noto Sans CJK SC"/>
        <family val="2"/>
      </rPr>
      <t xml:space="preserve">補修（</t>
    </r>
    <r>
      <rPr>
        <sz val="10"/>
        <rFont val="Arial"/>
        <family val="0"/>
        <charset val="1"/>
      </rPr>
      <t xml:space="preserve">F-3</t>
    </r>
    <r>
      <rPr>
        <sz val="10"/>
        <rFont val="Noto Sans CJK SC"/>
        <family val="2"/>
      </rPr>
      <t xml:space="preserve">）：搬移移入同一交易、</t>
    </r>
    <r>
      <rPr>
        <sz val="10"/>
        <rFont val="Arial"/>
        <family val="0"/>
        <charset val="1"/>
      </rPr>
      <t xml:space="preserve">corporate_actions.weight_move_json </t>
    </r>
    <r>
      <rPr>
        <sz val="10"/>
        <rFont val="Noto Sans CJK SC"/>
        <family val="2"/>
      </rPr>
      <t xml:space="preserve">記錄、刪除條件回搬。另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匯入公司行動整批非原子（</t>
    </r>
    <r>
      <rPr>
        <sz val="10"/>
        <rFont val="Arial"/>
        <family val="0"/>
        <charset val="1"/>
      </rPr>
      <t xml:space="preserve">corporate_action_import.py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）由收尾包 </t>
    </r>
    <r>
      <rPr>
        <sz val="10"/>
        <rFont val="Arial"/>
        <family val="0"/>
        <charset val="1"/>
      </rPr>
      <t xml:space="preserve">I-1 </t>
    </r>
    <r>
      <rPr>
        <sz val="10"/>
        <rFont val="Noto Sans CJK SC"/>
        <family val="2"/>
      </rPr>
      <t xml:space="preserve">處理。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</si>
  <si>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tests/contract/test_corporate_action_reorg_fee.py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：同一請求寫入＋關聯、守門拒絕整筆不寫、原子性（</t>
    </r>
    <r>
      <rPr>
        <sz val="10"/>
        <rFont val="Arial"/>
        <family val="0"/>
        <charset val="1"/>
      </rPr>
      <t xml:space="preserve">monkeypatch </t>
    </r>
    <r>
      <rPr>
        <sz val="10"/>
        <rFont val="Noto Sans CJK SC"/>
        <family val="2"/>
      </rPr>
      <t xml:space="preserve">第二步拋例外→行動列也回滾）、單筆刪除後 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全表逐位元相同、整組刪除、自行登錄的出金不被牽連、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同步／空白刪除／缺省不動）；</t>
    </r>
    <r>
      <rPr>
        <sz val="10"/>
        <rFont val="Arial"/>
        <family val="0"/>
        <charset val="1"/>
      </rPr>
      <t xml:space="preserve">tests/contract/test_f3_target_weight_move_atomic_and_reversible.py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M2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conn.commit() </t>
    </r>
    <r>
      <rPr>
        <sz val="10"/>
        <rFont val="Noto Sans CJK SC"/>
        <family val="2"/>
      </rPr>
      <t xml:space="preserve">放回費用寫入之前）→ </t>
    </r>
    <r>
      <rPr>
        <sz val="10"/>
        <rFont val="Arial"/>
        <family val="0"/>
        <charset val="1"/>
      </rPr>
      <t xml:space="preserve">test_the_action_and_the_fee_are_atomic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AssertionError: the action rows must roll back too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（刪除不走 </t>
    </r>
    <r>
      <rPr>
        <sz val="10"/>
        <rFont val="Arial"/>
        <family val="0"/>
        <charset val="1"/>
      </rPr>
      <t xml:space="preserve">linked_cash_movements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the pool must be exactly where it was</t>
    </r>
    <r>
      <rPr>
        <sz val="10"/>
        <rFont val="Noto Sans CJK SC"/>
        <family val="2"/>
      </rPr>
      <t xml:space="preserve">」等）；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變異（搬移放回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後）→ </t>
    </r>
    <r>
      <rPr>
        <sz val="10"/>
        <rFont val="Arial"/>
        <family val="0"/>
        <charset val="1"/>
      </rPr>
      <t xml:space="preserve">test_the_move_lands_with_the_action_or_not_at_all `assert [StoredCorporateAction(...)] == []`</t>
    </r>
    <r>
      <rPr>
        <sz val="10"/>
        <rFont val="Noto Sans CJK SC"/>
        <family val="2"/>
      </rPr>
      <t xml:space="preserve">。改回後全過。</t>
    </r>
  </si>
  <si>
    <r>
      <rPr>
        <sz val="10"/>
        <rFont val="Noto Sans CJK SC"/>
        <family val="2"/>
      </rPr>
      <t xml:space="preserve">真實瀏覽器：公司行動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股＋重組費用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登錄 → 刪除；另以重組費用 </t>
    </r>
    <r>
      <rPr>
        <sz val="10"/>
        <rFont val="Arial"/>
        <family val="0"/>
        <charset val="1"/>
      </rPr>
      <t xml:space="preserve">99,999,999 </t>
    </r>
    <r>
      <rPr>
        <sz val="10"/>
        <rFont val="Noto Sans CJK SC"/>
        <family val="2"/>
      </rPr>
      <t xml:space="preserve">測原子性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</si>
  <si>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時前端送兩支請求、刪除不連帶刪出金
假設：①單一請求＋同交易；②刪除連帶刪出金
排除：登錄只送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POST /api/ledgers/corporate-actions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reorg_fee 50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201</t>
    </r>
    <r>
      <rPr>
        <sz val="10"/>
        <rFont val="Noto Sans CJK SC"/>
        <family val="2"/>
      </rPr>
      <t xml:space="preserve">，回應 </t>
    </r>
    <r>
      <rPr>
        <sz val="10"/>
        <rFont val="Arial"/>
        <family val="0"/>
        <charset val="1"/>
      </rPr>
      <t xml:space="preserve">reorg_fee.movement_id 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TWD 6,067,595→6,067,545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註明「刪除此公司行動時會一併刪除」；刪除確認框「會一併刪除這筆行動的重組費用出金：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（台灣券商）」，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fee_deleted[movement 50]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。原子性：費用 </t>
    </r>
    <r>
      <rPr>
        <sz val="10"/>
        <rFont val="Arial"/>
        <family val="0"/>
        <charset val="1"/>
      </rPr>
      <t xml:space="preserve">99,999,999 → 422 withdraw_insufficient_balance</t>
    </r>
    <r>
      <rPr>
        <sz val="10"/>
        <rFont val="Noto Sans CJK SC"/>
        <family val="2"/>
      </rPr>
      <t xml:space="preserve">「重組費用無法登錄，公司行動也未寫入：…降至 −</t>
    </r>
    <r>
      <rPr>
        <sz val="10"/>
        <rFont val="Arial"/>
        <family val="0"/>
        <charset val="1"/>
      </rPr>
      <t xml:space="preserve">93,932,404</t>
    </r>
    <r>
      <rPr>
        <sz val="10"/>
        <rFont val="Noto Sans CJK SC"/>
        <family val="2"/>
      </rPr>
      <t xml:space="preserve">」，公司行動列數仍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、現金不變
定位：</t>
    </r>
    <r>
      <rPr>
        <sz val="10"/>
        <rFont val="Arial"/>
        <family val="0"/>
        <charset val="1"/>
      </rPr>
      <t xml:space="preserve">ledgers.py _reorg_fee_refusal</t>
    </r>
    <r>
      <rPr>
        <sz val="10"/>
        <rFont val="Noto Sans CJK SC"/>
        <family val="2"/>
      </rPr>
      <t xml:space="preserve">＋單一交易；變異移除連帶刪除 → </t>
    </r>
    <r>
      <rPr>
        <sz val="10"/>
        <rFont val="Arial"/>
        <family val="0"/>
        <charset val="1"/>
      </rPr>
      <t xml:space="preserve">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</si>
  <si>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單一請求、刪除連帶刪出金、費用被拒時整筆不寫；</t>
    </r>
    <r>
      <rPr>
        <sz val="10"/>
        <rFont val="Arial"/>
        <family val="0"/>
        <charset val="1"/>
      </rPr>
      <t xml:space="preserve">cmp D020 same:true</t>
    </r>
  </si>
  <si>
    <t xml:space="preserve">觀察（不另開）：公司行動帳本列未顯示該筆的重組費用（只有編輯框有），使用者要到刪除框才知道有連帶出金</t>
  </si>
  <si>
    <r>
      <rPr>
        <sz val="10"/>
        <rFont val="Noto Sans CJK SC"/>
        <family val="2"/>
      </rPr>
      <t xml:space="preserve">同意驗證者。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宣稱「入口會說明」，入口從未說；刪除不回搬。</t>
    </r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</si>
  <si>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</si>
  <si>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</si>
  <si>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r>
      <rPr>
        <sz val="10"/>
        <rFont val="Noto Sans CJK SC"/>
        <family val="2"/>
      </rPr>
      <t xml:space="preserve">改為條件可逆：</t>
    </r>
    <r>
      <rPr>
        <sz val="10"/>
        <rFont val="Arial"/>
        <family val="0"/>
        <charset val="1"/>
      </rPr>
      <t xml:space="preserve">schema additive corporate_actions.band_move_json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band_move_to_json/from_json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StoredCorporateAction.band_move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insert_corporate_action(band_move=)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pending_band_restore()</t>
    </r>
    <r>
      <rPr>
        <sz val="10"/>
        <rFont val="Noto Sans CJK SC"/>
        <family val="2"/>
      </rPr>
      <t xml:space="preserve">（唯讀判定）與 </t>
    </r>
    <r>
      <rPr>
        <sz val="10"/>
        <rFont val="Arial"/>
        <family val="0"/>
        <charset val="1"/>
      </rPr>
      <t xml:space="preserve">restore_target_band()</t>
    </r>
    <r>
      <rPr>
        <sz val="10"/>
        <rFont val="Noto Sans CJK SC"/>
        <family val="2"/>
      </rPr>
      <t xml:space="preserve">（同一判定執行寫入）；可回搬條件＝目標代號 </t>
    </r>
    <r>
      <rPr>
        <sz val="10"/>
        <rFont val="Arial"/>
        <family val="0"/>
        <charset val="1"/>
      </rPr>
      <t xml:space="preserve">low/high/target_set_at </t>
    </r>
    <r>
      <rPr>
        <sz val="10"/>
        <rFont val="Noto Sans CJK SC"/>
        <family val="2"/>
      </rPr>
      <t xml:space="preserve">三者逐字等於記錄且原代號目前無目標價，否則回 </t>
    </r>
    <r>
      <rPr>
        <sz val="10"/>
        <rFont val="Arial"/>
        <family val="0"/>
        <charset val="1"/>
      </rPr>
      <t xml:space="preserve">zh </t>
    </r>
    <r>
      <rPr>
        <sz val="10"/>
        <rFont val="Noto Sans CJK SC"/>
        <family val="2"/>
      </rPr>
      <t xml:space="preserve">原因（已改動／原代號另有目標價／標的不存在／已清除）。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記錄並把搬移移入同一交易；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刪列後同一交易 </t>
    </r>
    <r>
      <rPr>
        <sz val="10"/>
        <rFont val="Arial"/>
        <family val="0"/>
        <charset val="1"/>
      </rPr>
      <t xml:space="preserve">restore_target_band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band_restored true/false/null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band_restore{restorable, restored, reason, band}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band_move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band_restore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corporate_action_import.py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門也記錄 </t>
    </r>
    <r>
      <rPr>
        <sz val="10"/>
        <rFont val="Arial"/>
        <family val="0"/>
        <charset val="1"/>
      </rPr>
      <t xml:space="preserve">band_move</t>
    </r>
    <r>
      <rPr>
        <sz val="10"/>
        <rFont val="Noto Sans CJK SC"/>
        <family val="2"/>
      </rPr>
      <t xml:space="preserve">。前端：試算提示「會一併移到 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，數值不變；刪除此行動時若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的目標價未再改動會自動移回 </t>
    </r>
    <r>
      <rPr>
        <sz val="10"/>
        <rFont val="Arial"/>
        <family val="0"/>
        <charset val="1"/>
      </rPr>
      <t xml:space="preserve">Y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刪除框依列資料寫「…會自動移回 </t>
    </r>
    <r>
      <rPr>
        <sz val="10"/>
        <rFont val="Arial"/>
        <family val="0"/>
        <charset val="1"/>
      </rPr>
      <t xml:space="preserve">Y</t>
    </r>
    <r>
      <rPr>
        <sz val="10"/>
        <rFont val="Noto Sans CJK SC"/>
        <family val="2"/>
      </rPr>
      <t xml:space="preserve">」或「目標價不會移回：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原因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」；刪除後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。目標權重同類由 </t>
    </r>
    <r>
      <rPr>
        <sz val="10"/>
        <rFont val="Arial"/>
        <family val="0"/>
        <charset val="1"/>
      </rPr>
      <t xml:space="preserve">Agent F </t>
    </r>
    <r>
      <rPr>
        <sz val="10"/>
        <rFont val="Noto Sans CJK SC"/>
        <family val="2"/>
      </rPr>
      <t xml:space="preserve">補修（</t>
    </r>
    <r>
      <rPr>
        <sz val="10"/>
        <rFont val="Arial"/>
        <family val="0"/>
        <charset val="1"/>
      </rPr>
      <t xml:space="preserve">weight_move_json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weight_restored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</si>
  <si>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</si>
  <si>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tests/contract/test_corporate_action_band_restore.py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往返、可逆／目的已改／原代號另有目標價／目的被清除／無紀錄／延後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可回滾、路由層可逆（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移回、</t>
    </r>
    <r>
      <rPr>
        <sz val="10"/>
        <rFont val="Arial"/>
        <family val="0"/>
        <charset val="1"/>
      </rPr>
      <t xml:space="preserve">set_at </t>
    </r>
    <r>
      <rPr>
        <sz val="10"/>
        <rFont val="Noto Sans CJK SC"/>
        <family val="2"/>
      </rPr>
      <t xml:space="preserve">一併回來）、不可逆（</t>
    </r>
    <r>
      <rPr>
        <sz val="10"/>
        <rFont val="Arial"/>
        <family val="0"/>
        <charset val="1"/>
      </rPr>
      <t xml:space="preserve">PUT /api/instruments/NEWCO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後刪除 → </t>
    </r>
    <r>
      <rPr>
        <sz val="10"/>
        <rFont val="Arial"/>
        <family val="0"/>
        <charset val="1"/>
      </rPr>
      <t xml:space="preserve">band_restored:false</t>
    </r>
    <r>
      <rPr>
        <sz val="10"/>
        <rFont val="Noto Sans CJK SC"/>
        <family val="2"/>
      </rPr>
      <t xml:space="preserve">＋原因）、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門同樣可逆、入口文案存在）。變異 </t>
    </r>
    <r>
      <rPr>
        <sz val="10"/>
        <rFont val="Arial"/>
        <family val="0"/>
        <charset val="1"/>
      </rPr>
      <t xml:space="preserve">M4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restore_target_band </t>
    </r>
    <r>
      <rPr>
        <sz val="10"/>
        <rFont val="Noto Sans CJK SC"/>
        <family val="2"/>
      </rPr>
      <t xml:space="preserve">恆不寫入）→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test_the_row_stores_what_it_moved_and_the_delete_moves_it_back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test_the_predicate_and_the_write_are_one_rule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test_delete_moves_the_band_back_when_it_was_not_touched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assert False is True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test_the_csv_door_records_the_move_too</t>
    </r>
    <r>
      <rPr>
        <sz val="10"/>
        <rFont val="Noto Sans CJK SC"/>
        <family val="2"/>
      </rPr>
      <t xml:space="preserve">。改回後通過。</t>
    </r>
  </si>
  <si>
    <r>
      <rPr>
        <sz val="10"/>
        <rFont val="Noto Sans CJK SC"/>
        <family val="2"/>
      </rPr>
      <t xml:space="preserve">真實瀏覽器：觀察清單設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→ </t>
    </r>
    <r>
      <rPr>
        <sz val="10"/>
        <rFont val="Noto Sans CJK SC"/>
        <family val="2"/>
      </rPr>
      <t xml:space="preserve">公司行動 換股 </t>
    </r>
    <r>
      <rPr>
        <sz val="10"/>
        <rFont val="Arial"/>
        <family val="0"/>
        <charset val="1"/>
      </rPr>
      <t xml:space="preserve">2884→2882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換 </t>
    </r>
    <r>
      <rPr>
        <sz val="10"/>
        <rFont val="Arial"/>
        <family val="0"/>
        <charset val="1"/>
      </rPr>
      <t xml:space="preserve">1 → </t>
    </r>
    <r>
      <rPr>
        <sz val="10"/>
        <rFont val="Noto Sans CJK SC"/>
        <family val="2"/>
      </rPr>
      <t xml:space="preserve">刪除（可逆）；再登錄一次、把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後重新載入頁面再刪除（不可逆）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</si>
  <si>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時刪除換股不回搬、入口沒說明
假設：①條件可逆；②只改文案
排除：試算「✓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的目標價（下限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、上限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）會一併移到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，數值不變；刪除此行動時若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的目標價未再改動會自動移回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201 band_moved 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→ 2882 40/55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空；刪除框「登錄時移到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的目標價…未再改動，會自動移回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band_restored true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40/55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空，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目標價已移回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」。不可逆路徑：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 → </t>
    </r>
    <r>
      <rPr>
        <sz val="10"/>
        <rFont val="Noto Sans CJK SC"/>
        <family val="2"/>
      </rPr>
      <t xml:space="preserve">刪除框「目標價不會移回：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的目標價在換股後已改動（登錄時 下限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，目前 下限 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／上限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）…請到「觀察清單」自行調整」，</t>
    </r>
    <r>
      <rPr>
        <sz val="10"/>
        <rFont val="Arial"/>
        <family val="0"/>
        <charset val="1"/>
      </rPr>
      <t xml:space="preserve">DELETE band_restored false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目標價未移回」
定位：</t>
    </r>
    <r>
      <rPr>
        <sz val="10"/>
        <rFont val="Arial"/>
        <family val="0"/>
        <charset val="1"/>
      </rPr>
      <t xml:space="preserve">store.restore_target_band</t>
    </r>
    <r>
      <rPr>
        <sz val="10"/>
        <rFont val="Noto Sans CJK SC"/>
        <family val="2"/>
      </rPr>
      <t xml:space="preserve">；變異傳 </t>
    </r>
    <r>
      <rPr>
        <sz val="10"/>
        <rFont val="Arial"/>
        <family val="0"/>
        <charset val="1"/>
      </rPr>
      <t xml:space="preserve">None → 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</si>
  <si>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可逆與不可逆兩條路徑的試算、刪除框、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皆一致；測畢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檔目標價全為空，</t>
    </r>
    <r>
      <rPr>
        <sz val="10"/>
        <rFont val="Arial"/>
        <family val="0"/>
        <charset val="1"/>
      </rPr>
      <t xml:space="preserve">cmp D021 same:true</t>
    </r>
  </si>
  <si>
    <r>
      <rPr>
        <sz val="10"/>
        <rFont val="Noto Sans CJK SC"/>
        <family val="2"/>
      </rPr>
      <t xml:space="preserve">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</si>
  <si>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r>
      <rPr>
        <sz val="10"/>
        <rFont val="Noto Sans CJK SC"/>
        <family val="2"/>
      </rPr>
      <t xml:space="preserve">同意驗證者，且是一類：業務日期用非 </t>
    </r>
    <r>
      <rPr>
        <sz val="10"/>
        <rFont val="Arial"/>
        <family val="0"/>
        <charset val="1"/>
      </rPr>
      <t xml:space="preserve">app </t>
    </r>
    <r>
      <rPr>
        <sz val="10"/>
        <rFont val="Noto Sans CJK SC"/>
        <family val="2"/>
      </rPr>
      <t xml:space="preserve">時鐘產生。</t>
    </r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</si>
  <si>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</si>
  <si>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</si>
  <si>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</si>
  <si>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業務日期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命中共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date.today() 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twstock:36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twse:41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stockprices_dev:55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malaysiastock:69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klsescreener:72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finnhub:80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alphavantage:90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datetime.now(UTC).date() 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llm_usage_reads.py:127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datetime.now(_TAIPEI).date() 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agents.py:465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</si>
  <si>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tests/data_ingestion/test_target_set_at_uses_business_day.py</t>
    </r>
    <r>
      <rPr>
        <sz val="10"/>
        <rFont val="Noto Sans CJK SC"/>
        <family val="2"/>
      </rPr>
      <t xml:space="preserve">（固定 </t>
    </r>
    <r>
      <rPr>
        <sz val="10"/>
        <rFont val="Arial"/>
        <family val="0"/>
        <charset val="1"/>
      </rPr>
      <t xml:space="preserve">2030-01-01 03:00 </t>
    </r>
    <r>
      <rPr>
        <sz val="10"/>
        <rFont val="Noto Sans CJK SC"/>
        <family val="2"/>
      </rPr>
      <t xml:space="preserve">台北 → 存 </t>
    </r>
    <r>
      <rPr>
        <sz val="10"/>
        <rFont val="Arial"/>
        <family val="0"/>
        <charset val="1"/>
      </rPr>
      <t xml:space="preserve">2030-01-01</t>
    </r>
    <r>
      <rPr>
        <sz val="10"/>
        <rFont val="Noto Sans CJK SC"/>
        <family val="2"/>
      </rPr>
      <t xml:space="preserve">；注入 </t>
    </r>
    <r>
      <rPr>
        <sz val="10"/>
        <rFont val="Arial"/>
        <family val="0"/>
        <charset val="1"/>
      </rPr>
      <t xml:space="preserve">today= </t>
    </r>
    <r>
      <rPr>
        <sz val="10"/>
        <rFont val="Noto Sans CJK SC"/>
        <family val="2"/>
      </rPr>
      <t xml:space="preserve">仍優先）、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datetime.now(UTC).date()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test_the_band_stamp_is_the_taipei_day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assert datetime.date(2026, 9, 23) == datetime.date(2030, 1, 1)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test_business_dates_come_from_the_app_clock[data_ingestion/store.py]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[(130, 'now(...).date()')]</t>
    </r>
    <r>
      <rPr>
        <sz val="10"/>
        <rFont val="Noto Sans CJK SC"/>
        <family val="2"/>
      </rPr>
      <t xml:space="preserve">」）。改回後通過。</t>
    </r>
  </si>
  <si>
    <r>
      <rPr>
        <sz val="10"/>
        <rFont val="Noto Sans CJK SC"/>
        <family val="2"/>
      </rPr>
      <t xml:space="preserve">真實瀏覽器：</t>
    </r>
    <r>
      <rPr>
        <sz val="10"/>
        <rFont val="Arial"/>
        <family val="0"/>
        <charset val="1"/>
      </rPr>
      <t xml:space="preserve">UTC 2026-09-23T18:32Z</t>
    </r>
    <r>
      <rPr>
        <sz val="10"/>
        <rFont val="Noto Sans CJK SC"/>
        <family val="2"/>
      </rPr>
      <t xml:space="preserve">（台北 </t>
    </r>
    <r>
      <rPr>
        <sz val="10"/>
        <rFont val="Arial"/>
        <family val="0"/>
        <charset val="1"/>
      </rPr>
      <t xml:space="preserve">2026-09-24 02:32</t>
    </r>
    <r>
      <rPr>
        <sz val="10"/>
        <rFont val="Noto Sans CJK SC"/>
        <family val="2"/>
      </rPr>
      <t xml:space="preserve">）於觀察清單設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目標價，再以換股試算／登錄讀 </t>
    </r>
    <r>
      <rPr>
        <sz val="10"/>
        <rFont val="Arial"/>
        <family val="0"/>
        <charset val="1"/>
      </rPr>
      <t xml:space="preserve">band_move.set_at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</si>
  <si>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時台北凌晨設定的目標價記成前一天
假設：①</t>
    </r>
    <r>
      <rPr>
        <sz val="10"/>
        <rFont val="Arial"/>
        <family val="0"/>
        <charset val="1"/>
      </rPr>
      <t xml:space="preserve">set_at </t>
    </r>
    <r>
      <rPr>
        <sz val="10"/>
        <rFont val="Noto Sans CJK SC"/>
        <family val="2"/>
      </rPr>
      <t xml:space="preserve">改用台北日期；②仍用 </t>
    </r>
    <r>
      <rPr>
        <sz val="10"/>
        <rFont val="Arial"/>
        <family val="0"/>
        <charset val="1"/>
      </rPr>
      <t xml:space="preserve">UTC
</t>
    </r>
    <r>
      <rPr>
        <sz val="10"/>
        <rFont val="Noto Sans CJK SC"/>
        <family val="2"/>
      </rPr>
      <t xml:space="preserve">排除：測試時刻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日期為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、台北為 </t>
    </r>
    <r>
      <rPr>
        <sz val="10"/>
        <rFont val="Arial"/>
        <family val="0"/>
        <charset val="1"/>
      </rPr>
      <t xml:space="preserve">09-24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preview </t>
    </r>
    <r>
      <rPr>
        <sz val="10"/>
        <rFont val="Noto Sans CJK SC"/>
        <family val="2"/>
      </rPr>
      <t xml:space="preserve">與登錄回應的 </t>
    </r>
    <r>
      <rPr>
        <sz val="10"/>
        <rFont val="Arial"/>
        <family val="0"/>
        <charset val="1"/>
      </rPr>
      <t xml:space="preserve">band_move.set_at </t>
    </r>
    <r>
      <rPr>
        <sz val="10"/>
        <rFont val="Noto Sans CJK SC"/>
        <family val="2"/>
      </rPr>
      <t xml:space="preserve">皆為「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」，排除②
定位：開發者改用台北日期；變異改回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日期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</si>
  <si>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</si>
  <si>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同意驗證者，且是三個缺陷的集合：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前端寫死整批確認；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期初庫存提示只看檔案不看帳本（</t>
    </r>
    <r>
      <rPr>
        <sz val="10"/>
        <rFont val="Arial"/>
        <family val="0"/>
        <charset val="1"/>
      </rPr>
      <t xml:space="preserve">85.04 </t>
    </r>
    <r>
      <rPr>
        <sz val="10"/>
        <rFont val="Noto Sans CJK SC"/>
        <family val="2"/>
      </rPr>
      <t xml:space="preserve">持有再加 </t>
    </r>
    <r>
      <rPr>
        <sz val="10"/>
        <rFont val="Arial"/>
        <family val="0"/>
        <charset val="1"/>
      </rPr>
      <t xml:space="preserve">1,000 → </t>
    </r>
    <r>
      <rPr>
        <sz val="10"/>
        <rFont val="Noto Sans CJK SC"/>
        <family val="2"/>
      </rPr>
      <t xml:space="preserve">多算 </t>
    </r>
    <r>
      <rPr>
        <sz val="10"/>
        <rFont val="Arial"/>
        <family val="0"/>
        <charset val="1"/>
      </rPr>
      <t xml:space="preserve">85.04 </t>
    </r>
    <r>
      <rPr>
        <sz val="10"/>
        <rFont val="Noto Sans CJK SC"/>
        <family val="2"/>
      </rPr>
      <t xml:space="preserve">股）；</t>
    </r>
    <r>
      <rPr>
        <sz val="10"/>
        <rFont val="Arial"/>
        <family val="0"/>
        <charset val="1"/>
      </rPr>
      <t xml:space="preserve">(c) Schwab </t>
    </r>
    <r>
      <rPr>
        <sz val="10"/>
        <rFont val="Noto Sans CJK SC"/>
        <family val="2"/>
      </rPr>
      <t xml:space="preserve">匯出最新在前，轉換器依 </t>
    </r>
    <r>
      <rPr>
        <sz val="10"/>
        <rFont val="Arial"/>
        <family val="0"/>
        <charset val="1"/>
      </rPr>
      <t xml:space="preserve">line_no </t>
    </r>
    <r>
      <rPr>
        <sz val="10"/>
        <rFont val="Noto Sans CJK SC"/>
        <family val="2"/>
      </rPr>
      <t xml:space="preserve">排序 → 同日「先買後賣」寫成「先賣後買」，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改成依寫入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重播後會直接判成賣超。</t>
    </r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</si>
  <si>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</si>
  <si>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</si>
  <si>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</si>
  <si>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r>
      <rPr>
        <sz val="10"/>
        <rFont val="Noto Sans CJK SC"/>
        <family val="2"/>
      </rPr>
      <t xml:space="preserve">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 </t>
    </r>
    <r>
      <rPr>
        <sz val="10"/>
        <rFont val="Arial"/>
        <family val="0"/>
        <charset val="1"/>
      </rPr>
      <t xml:space="preserve">`ack_warnings\s*:\s*true` web/*.js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input.js:1983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ledger.js:773 </t>
    </r>
    <r>
      <rPr>
        <sz val="10"/>
        <rFont val="Noto Sans CJK SC"/>
        <family val="2"/>
      </rPr>
      <t xml:space="preserve">皆在 </t>
    </r>
    <r>
      <rPr>
        <sz val="10"/>
        <rFont val="Arial"/>
        <family val="0"/>
        <charset val="1"/>
      </rPr>
      <t xml:space="preserve">confirmDialog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onConfirm </t>
    </r>
    <r>
      <rPr>
        <sz val="10"/>
        <rFont val="Noto Sans CJK SC"/>
        <family val="2"/>
      </rPr>
      <t xml:space="preserve">內）；期初提示只看檔案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(trade_date, line_no) </t>
    </r>
    <r>
      <rPr>
        <sz val="10"/>
        <rFont val="Noto Sans CJK SC"/>
        <family val="2"/>
      </rPr>
      <t xml:space="preserve">排序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convert.py:122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grouping.py:265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:456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grouping.py:667 overlap_duplicates </t>
    </r>
    <r>
      <rPr>
        <sz val="10"/>
        <rFont val="Noto Sans CJK SC"/>
        <family val="2"/>
      </rPr>
      <t xml:space="preserve">為報告用途）。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</si>
  <si>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tests/contract/test_broker_import_acknowledges_per_row.py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test_the_opening_hint_subtracts_what_the_ledger_already_holds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test_a_position_the_ledger_already_covers_needs_no_opening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test_ledger_shares_are_counted_at_the_day_BEFORE_the_statement_starts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test_broker_adapter.py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newest_first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oldest_first</t>
    </r>
    <r>
      <rPr>
        <sz val="10"/>
        <rFont val="Noto Sans CJK SC"/>
        <family val="2"/>
      </rPr>
      <t xml:space="preserve">／方向偵測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例／同日 </t>
    </r>
    <r>
      <rPr>
        <sz val="10"/>
        <rFont val="Arial"/>
        <family val="0"/>
        <charset val="1"/>
      </rPr>
      <t xml:space="preserve">round trip BUY before SELL </t>
    </r>
    <r>
      <rPr>
        <sz val="10"/>
        <rFont val="Noto Sans CJK SC"/>
        <family val="2"/>
      </rPr>
      <t xml:space="preserve">不捏造期初／…）；</t>
    </r>
    <r>
      <rPr>
        <sz val="10"/>
        <rFont val="Arial"/>
        <family val="0"/>
        <charset val="1"/>
      </rPr>
      <t xml:space="preserve">test_holdings_containment.py </t>
    </r>
    <r>
      <rPr>
        <sz val="10"/>
        <rFont val="Noto Sans CJK SC"/>
        <family val="2"/>
      </rPr>
      <t xml:space="preserve">普查登記＋地雷測試；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主流程改寫（第一個 </t>
    </r>
    <r>
      <rPr>
        <sz val="10"/>
        <rFont val="Arial"/>
        <family val="0"/>
        <charset val="1"/>
      </rPr>
      <t xml:space="preserve">commit 422 → </t>
    </r>
    <r>
      <rPr>
        <sz val="10"/>
        <rFont val="Noto Sans CJK SC"/>
        <family val="2"/>
      </rPr>
      <t xml:space="preserve">對話框含 </t>
    </r>
    <r>
      <rPr>
        <sz val="10"/>
        <rFont val="Arial"/>
        <family val="0"/>
        <charset val="1"/>
      </rPr>
      <t xml:space="preserve">PREH</t>
    </r>
    <r>
      <rPr>
        <sz val="10"/>
        <rFont val="Noto Sans CJK SC"/>
        <family val="2"/>
      </rPr>
      <t xml:space="preserve">／「賣出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股」／「永久捨棄」、未勾、</t>
    </r>
    <r>
      <rPr>
        <sz val="10"/>
        <rFont val="Arial"/>
        <family val="0"/>
        <charset val="1"/>
      </rPr>
      <t xml:space="preserve">disabled → </t>
    </r>
    <r>
      <rPr>
        <sz val="10"/>
        <rFont val="Noto Sans CJK SC"/>
        <family val="2"/>
      </rPr>
      <t xml:space="preserve">勾 → 重送 </t>
    </r>
    <r>
      <rPr>
        <sz val="10"/>
        <rFont val="Arial"/>
        <family val="0"/>
        <charset val="1"/>
      </rPr>
      <t xml:space="preserve">ack_warnings:true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select==0..10 → </t>
    </r>
    <r>
      <rPr>
        <sz val="10"/>
        <rFont val="Noto Sans CJK SC"/>
        <family val="2"/>
      </rPr>
      <t xml:space="preserve">第二對話框 </t>
    </r>
    <r>
      <rPr>
        <sz val="10"/>
        <rFont val="Arial"/>
        <family val="0"/>
        <charset val="1"/>
      </rPr>
      <t xml:space="preserve">NEWX →</t>
    </r>
    <r>
      <rPr>
        <sz val="10"/>
        <rFont val="Noto Sans CJK SC"/>
        <family val="2"/>
      </rPr>
      <t xml:space="preserve">「寫入完成」）＋新增 </t>
    </r>
    <r>
      <rPr>
        <sz val="10"/>
        <rFont val="Arial"/>
        <family val="0"/>
        <charset val="1"/>
      </rPr>
      <t xml:space="preserve">test_an_unticked_row_is_not_written_and_a_skipped_warning_row_is_not_written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M1</t>
    </r>
    <r>
      <rPr>
        <sz val="10"/>
        <rFont val="Noto Sans CJK SC"/>
        <family val="2"/>
      </rPr>
      <t xml:space="preserve">（放回 </t>
    </r>
    <r>
      <rPr>
        <sz val="10"/>
        <rFont val="Arial"/>
        <family val="0"/>
        <charset val="1"/>
      </rPr>
      <t xml:space="preserve">(trade_date, line_no)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['SELL', 'BUY'] == ['BUY', 'SELL']`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`assert {'AAA': Decimal('10')} == {}`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M1b</t>
    </r>
    <r>
      <rPr>
        <sz val="10"/>
        <rFont val="Noto Sans CJK SC"/>
        <family val="2"/>
      </rPr>
      <t xml:space="preserve">（不蓋 </t>
    </r>
    <r>
      <rPr>
        <sz val="10"/>
        <rFont val="Arial"/>
        <family val="0"/>
        <charset val="1"/>
      </rPr>
      <t xml:space="preserve">seq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_opening_gaps held=0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ledger_shares '10' </t>
    </r>
    <r>
      <rPr>
        <sz val="10"/>
        <rFont val="Noto Sans CJK SC"/>
        <family val="2"/>
      </rPr>
      <t xml:space="preserve">得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M4</t>
    </r>
    <r>
      <rPr>
        <sz val="10"/>
        <rFont val="Noto Sans CJK SC"/>
        <family val="2"/>
      </rPr>
      <t xml:space="preserve">（放回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web/broker-import.js sends ack_warnings: true as a literal…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ack_warnings: true sent without a dialog naming what is acknowledged: broker-import.js:800</t>
    </r>
    <r>
      <rPr>
        <sz val="10"/>
        <rFont val="Noto Sans CJK SC"/>
        <family val="2"/>
      </rPr>
      <t xml:space="preserve">」。改回後全過。</t>
    </r>
  </si>
  <si>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步驟：交易帳本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券商對帳單，券商嘉信、帳戶嘉信，上傳同一份「</t>
    </r>
    <r>
      <rPr>
        <sz val="10"/>
        <rFont val="Arial"/>
        <family val="0"/>
        <charset val="1"/>
      </rPr>
      <t xml:space="preserve">09/22/2026 Sell AAPL 1000 @$250</t>
    </r>
    <r>
      <rPr>
        <sz val="10"/>
        <rFont val="Noto Sans CJK SC"/>
        <family val="2"/>
      </rPr>
      <t xml:space="preserve">」檔 → 按「寫入勾選列」；讀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preview </t>
    </r>
    <r>
      <rPr>
        <sz val="10"/>
        <rFont val="Noto Sans CJK SC"/>
        <family val="2"/>
      </rPr>
      <t xml:space="preserve">請求本文、對話框內容與勾選狀態，按「取消，停在這一步」後比對六段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。本機變異：把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預設改成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（以變數而非字面值送出，行為等同舊版）</t>
    </r>
  </si>
  <si>
    <r>
      <rPr>
        <sz val="10"/>
        <rFont val="Noto Sans CJK SC"/>
        <family val="2"/>
      </rPr>
      <t xml:space="preserve">觀察：第一次 </t>
    </r>
    <r>
      <rPr>
        <sz val="10"/>
        <rFont val="Arial"/>
        <family val="0"/>
        <charset val="1"/>
      </rPr>
      <t xml:space="preserve">POST /api/import/commit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ack_warnings:false → 422</t>
    </r>
    <r>
      <rPr>
        <sz val="10"/>
        <rFont val="Noto Sans CJK SC"/>
        <family val="2"/>
      </rPr>
      <t xml:space="preserve">，前端改取 </t>
    </r>
    <r>
      <rPr>
        <sz val="10"/>
        <rFont val="Arial"/>
        <family val="0"/>
        <charset val="1"/>
      </rPr>
      <t xml:space="preserve">/api/import/preview</t>
    </r>
    <r>
      <rPr>
        <sz val="10"/>
        <rFont val="Noto Sans CJK SC"/>
        <family val="2"/>
      </rPr>
      <t xml:space="preserve">，跳出「匯入警告確認 —— 交易」，逐列列出 </t>
    </r>
    <r>
      <rPr>
        <sz val="10"/>
        <rFont val="Arial"/>
        <family val="0"/>
        <charset val="1"/>
      </rPr>
      <t xml:space="preserve">AAPL 2026-09-22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「超過持有的 </t>
    </r>
    <r>
      <rPr>
        <sz val="10"/>
        <rFont val="Arial"/>
        <family val="0"/>
        <charset val="1"/>
      </rPr>
      <t xml:space="preserve">85.039… </t>
    </r>
    <r>
      <rPr>
        <sz val="10"/>
        <rFont val="Noto Sans CJK SC"/>
        <family val="2"/>
      </rPr>
      <t xml:space="preserve">股 → 賣超：確認後成本基礎永久捨棄（待釐清）」，勾選框預設未勾、「寫入勾選的警告列」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；取消後畫面「⚠ 寫入取消」，帳本逐位元不變。期初提示改為「對帳單需要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85.039…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914.96… </t>
    </r>
    <r>
      <rPr>
        <sz val="10"/>
        <rFont val="Noto Sans CJK SC"/>
        <family val="2"/>
      </rPr>
      <t xml:space="preserve">股」
假設：①修好了；②只是這份檔案剛好被新的轉換檢查擋住，寫入端仍自動確認；③我點到的是舊版快取的 </t>
    </r>
    <r>
      <rPr>
        <sz val="10"/>
        <rFont val="Arial"/>
        <family val="0"/>
        <charset val="1"/>
      </rPr>
      <t xml:space="preserve">JS
</t>
    </r>
    <r>
      <rPr>
        <sz val="10"/>
        <rFont val="Noto Sans CJK SC"/>
        <family val="2"/>
      </rPr>
      <t xml:space="preserve">排除：網路紀錄第一支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請求明確是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、第二支是 </t>
    </r>
    <r>
      <rPr>
        <sz val="10"/>
        <rFont val="Arial"/>
        <family val="0"/>
        <charset val="1"/>
      </rPr>
      <t xml:space="preserve">preview</t>
    </r>
    <r>
      <rPr>
        <sz val="10"/>
        <rFont val="Noto Sans CJK SC"/>
        <family val="2"/>
      </rPr>
      <t xml:space="preserve">（不是自動重送 </t>
    </r>
    <r>
      <rPr>
        <sz val="10"/>
        <rFont val="Arial"/>
        <family val="0"/>
        <charset val="1"/>
      </rPr>
      <t xml:space="preserve">ack:true</t>
    </r>
    <r>
      <rPr>
        <sz val="10"/>
        <rFont val="Noto Sans CJK SC"/>
        <family val="2"/>
      </rPr>
      <t xml:space="preserve">），排除②；頁首版本 </t>
    </r>
    <r>
      <rPr>
        <sz val="10"/>
        <rFont val="Arial"/>
        <family val="0"/>
        <charset val="1"/>
      </rPr>
      <t xml:space="preserve">e6fd9f4 </t>
    </r>
    <r>
      <rPr>
        <sz val="10"/>
        <rFont val="Noto Sans CJK SC"/>
        <family val="2"/>
      </rPr>
      <t xml:space="preserve">且按鈕文字已是新版「寫入勾選列（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）」，排除③
定位：</t>
    </r>
    <r>
      <rPr>
        <sz val="10"/>
        <rFont val="Arial"/>
        <family val="0"/>
        <charset val="1"/>
      </rPr>
      <t xml:space="preserve">web/broker-import.js:883-889 commitStep()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變數起始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、僅在對話框勾選後帶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重送；</t>
    </r>
    <r>
      <rPr>
        <sz val="10"/>
        <rFont val="Arial"/>
        <family val="0"/>
        <charset val="1"/>
      </rPr>
      <t xml:space="preserve">broker_import.py _opening_gaps </t>
    </r>
    <r>
      <rPr>
        <sz val="10"/>
        <rFont val="Noto Sans CJK SC"/>
        <family val="2"/>
      </rPr>
      <t xml:space="preserve">讀帳本股數。變異：開發方的字面值守門（</t>
    </r>
    <r>
      <rPr>
        <sz val="10"/>
        <rFont val="Arial"/>
        <family val="0"/>
        <charset val="1"/>
      </rPr>
      <t xml:space="preserve">test_broker_import_acknowledges_per_row.py</t>
    </r>
    <r>
      <rPr>
        <sz val="10"/>
        <rFont val="Noto Sans CJK SC"/>
        <family val="2"/>
      </rPr>
      <t xml:space="preserve">）對「</t>
    </r>
    <r>
      <rPr>
        <sz val="10"/>
        <rFont val="Arial"/>
        <family val="0"/>
        <charset val="1"/>
      </rPr>
      <t xml:space="preserve">let ack = true</t>
    </r>
    <r>
      <rPr>
        <sz val="10"/>
        <rFont val="Noto Sans CJK SC"/>
        <family val="2"/>
      </rPr>
      <t xml:space="preserve">」這種等價回歸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則全過、攔不到；但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test_broker_web_import_flow.py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test_broker_convert_import_flow.py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200 == 422</t>
    </r>
    <r>
      <rPr>
        <sz val="10"/>
        <rFont val="Noto Sans CJK SC"/>
        <family val="2"/>
      </rPr>
      <t xml:space="preserve">」，回歸有被攔下
判定：複驗通過 → 結案（附帶：股數顯示為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位原始小數，另開 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低）</t>
    </r>
  </si>
  <si>
    <r>
      <rPr>
        <sz val="10"/>
        <rFont val="Noto Sans CJK SC"/>
        <family val="2"/>
      </rPr>
      <t xml:space="preserve">第一次 </t>
    </r>
    <r>
      <rPr>
        <sz val="10"/>
        <rFont val="Arial"/>
        <family val="0"/>
        <charset val="1"/>
      </rPr>
      <t xml:space="preserve">commit 422 → </t>
    </r>
    <r>
      <rPr>
        <sz val="10"/>
        <rFont val="Noto Sans CJK SC"/>
        <family val="2"/>
      </rPr>
      <t xml:space="preserve">逐列確認框（預設不勾、確認鈕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）→ 取消後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寫入、六段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相同；期初缺口 </t>
    </r>
    <r>
      <rPr>
        <sz val="10"/>
        <rFont val="Arial"/>
        <family val="0"/>
        <charset val="1"/>
      </rPr>
      <t xml:space="preserve">914.96 </t>
    </r>
    <r>
      <rPr>
        <sz val="10"/>
        <rFont val="Noto Sans CJK SC"/>
        <family val="2"/>
      </rPr>
      <t xml:space="preserve">股正確；變異：單元守門 </t>
    </r>
    <r>
      <rPr>
        <sz val="10"/>
        <rFont val="Arial"/>
        <family val="0"/>
        <charset val="1"/>
      </rPr>
      <t xml:space="preserve">3 passed</t>
    </r>
    <r>
      <rPr>
        <sz val="10"/>
        <rFont val="Noto Sans CJK SC"/>
        <family val="2"/>
      </rPr>
      <t xml:space="preserve">（攔不到），</t>
    </r>
    <r>
      <rPr>
        <sz val="10"/>
        <rFont val="Arial"/>
        <family val="0"/>
        <charset val="1"/>
      </rPr>
      <t xml:space="preserve">e2e 2 failed</t>
    </r>
    <r>
      <rPr>
        <sz val="10"/>
        <rFont val="Noto Sans CJK SC"/>
        <family val="2"/>
      </rPr>
      <t xml:space="preserve">（攔得到）</t>
    </r>
  </si>
  <si>
    <r>
      <rPr>
        <sz val="10"/>
        <rFont val="Noto Sans CJK SC"/>
        <family val="2"/>
      </rPr>
      <t xml:space="preserve">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</si>
  <si>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</si>
  <si>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</si>
  <si>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</si>
  <si>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convert.py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RowDetail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type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cells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DroppedRow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kinds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into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Conversion.details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dropped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rows[kind]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[d.cells]</t>
    </r>
    <r>
      <rPr>
        <sz val="10"/>
        <rFont val="Noto Sans CJK SC"/>
        <family val="2"/>
      </rPr>
      <t xml:space="preserve">（一份資料兩個視圖，</t>
    </r>
    <r>
      <rPr>
        <sz val="10"/>
        <rFont val="Arial"/>
        <family val="0"/>
        <charset val="1"/>
      </rPr>
      <t xml:space="preserve">CLI </t>
    </r>
    <r>
      <rPr>
        <sz val="10"/>
        <rFont val="Noto Sans CJK SC"/>
        <family val="2"/>
      </rPr>
      <t xml:space="preserve">不受影響）；</t>
    </r>
    <r>
      <rPr>
        <sz val="10"/>
        <rFont val="Arial"/>
        <family val="0"/>
        <charset val="1"/>
      </rPr>
      <t xml:space="preserve">_dropped_rows()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suppressed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merged_dividend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into dividends:i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folded_interest_tax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into cash:i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option_row_unsupported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unrouted_row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unconvertible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action_needs_input </t>
    </r>
    <r>
      <rPr>
        <sz val="10"/>
        <rFont val="Noto Sans CJK SC"/>
        <family val="2"/>
      </rPr>
      <t xml:space="preserve">組出。路由回 </t>
    </r>
    <r>
      <rPr>
        <sz val="10"/>
        <rFont val="Arial"/>
        <family val="0"/>
        <charset val="1"/>
      </rPr>
      <t xml:space="preserve">rows:{kind:[{i, refs, date, type, symbol, shares, price, amount, currency, note, cells}]}</t>
    </r>
    <r>
      <rPr>
        <sz val="10"/>
        <rFont val="Noto Sans CJK SC"/>
        <family val="2"/>
      </rPr>
      <t xml:space="preserve">（全字串）與 </t>
    </r>
    <r>
      <rPr>
        <sz val="10"/>
        <rFont val="Arial"/>
        <family val="0"/>
        <charset val="1"/>
      </rPr>
      <t xml:space="preserve">dropped</t>
    </r>
    <r>
      <rPr>
        <sz val="10"/>
        <rFont val="Noto Sans CJK SC"/>
        <family val="2"/>
      </rPr>
      <t xml:space="preserve">。前端每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一張 </t>
    </r>
    <r>
      <rPr>
        <sz val="10"/>
        <rFont val="Arial"/>
        <family val="0"/>
        <charset val="1"/>
      </rPr>
      <t xml:space="preserve">table.data</t>
    </r>
    <r>
      <rPr>
        <sz val="10"/>
        <rFont val="Noto Sans CJK SC"/>
        <family val="2"/>
      </rPr>
      <t xml:space="preserve">（來源行號、日期、類型、代號、股數、價格、金額、幣別、備註），逐列 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預設勾選＋全選；「全部寫入」→「寫入勾選列（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）」；「沒有成為獨立帳本列的原始列（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組）」表（來源、日期、代號、原因、去向）；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送勾選索引；</t>
    </r>
    <r>
      <rPr>
        <sz val="10"/>
        <rFont val="Arial"/>
        <family val="0"/>
        <charset val="1"/>
      </rPr>
      <t xml:space="preserve">pending_actions_csv </t>
    </r>
    <r>
      <rPr>
        <sz val="10"/>
        <rFont val="Noto Sans CJK SC"/>
        <family val="2"/>
      </rPr>
      <t xml:space="preserve">只由勾選的公司行動組成；</t>
    </r>
    <r>
      <rPr>
        <sz val="10"/>
        <rFont val="Arial"/>
        <family val="0"/>
        <charset val="1"/>
      </rPr>
      <t xml:space="preserve">openings_build_date </t>
    </r>
    <r>
      <rPr>
        <sz val="10"/>
        <rFont val="Noto Sans CJK SC"/>
        <family val="2"/>
      </rPr>
      <t xml:space="preserve">由伺服器給；帳戶／券商名 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</si>
  <si>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報告只出筆數的轉換結果面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</si>
  <si>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</si>
  <si>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步驟：券商對帳單上傳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內合成樣本 </t>
    </r>
    <r>
      <rPr>
        <sz val="10"/>
        <rFont val="Arial"/>
        <family val="0"/>
        <charset val="1"/>
      </rPr>
      <t xml:space="preserve">schwab_2024.csv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列），讀轉換區的表格、勾選框與「沒有成為獨立帳本列的原始列」區塊；不寫入</t>
    </r>
  </si>
  <si>
    <r>
      <rPr>
        <sz val="10"/>
        <rFont val="Noto Sans CJK SC"/>
        <family val="2"/>
      </rPr>
      <t xml:space="preserve">觀察：畫面列出交易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列、股利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列三張表（來源行號／日期／類型／代號／股數／價格／金額／幣別／備註），共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個勾選框（含全選），按鈕「寫入勾選列（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）」；收合區「沒有成為獨立帳本列的原始列（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組）」列出 </t>
    </r>
    <r>
      <rPr>
        <sz val="10"/>
        <rFont val="Arial"/>
        <family val="0"/>
        <charset val="1"/>
      </rPr>
      <t xml:space="preserve">:15+:16 BETA </t>
    </r>
    <r>
      <rPr>
        <sz val="10"/>
        <rFont val="Noto Sans CJK SC"/>
        <family val="2"/>
      </rPr>
      <t xml:space="preserve">互相抵銷、</t>
    </r>
    <r>
      <rPr>
        <sz val="10"/>
        <rFont val="Arial"/>
        <family val="0"/>
        <charset val="1"/>
      </rPr>
      <t xml:space="preserve">:9+:10 ALFA </t>
    </r>
    <r>
      <rPr>
        <sz val="10"/>
        <rFont val="Noto Sans CJK SC"/>
        <family val="2"/>
      </rPr>
      <t xml:space="preserve">互相抵銷、</t>
    </r>
    <r>
      <rPr>
        <sz val="10"/>
        <rFont val="Arial"/>
        <family val="0"/>
        <charset val="1"/>
      </rPr>
      <t xml:space="preserve">:6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:8 </t>
    </r>
    <r>
      <rPr>
        <sz val="10"/>
        <rFont val="Noto Sans CJK SC"/>
        <family val="2"/>
      </rPr>
      <t xml:space="preserve">三列配息分錄合併為「股利 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列」
假設：①修好了；②表格只列部分列、被丟掉的列仍然看不到
排除：逐一對帳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個來源行號：交易 </t>
    </r>
    <r>
      <rPr>
        <sz val="10"/>
        <rFont val="Arial"/>
        <family val="0"/>
        <charset val="1"/>
      </rPr>
      <t xml:space="preserve">:4 :5 :11</t>
    </r>
    <r>
      <rPr>
        <sz val="10"/>
        <rFont val="Noto Sans CJK SC"/>
        <family val="2"/>
      </rPr>
      <t xml:space="preserve">、股利 </t>
    </r>
    <r>
      <rPr>
        <sz val="10"/>
        <rFont val="Arial"/>
        <family val="0"/>
        <charset val="1"/>
      </rPr>
      <t xml:space="preserve">:6-8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:3 :12 :13 :14 :17</t>
    </r>
    <r>
      <rPr>
        <sz val="10"/>
        <rFont val="Noto Sans CJK SC"/>
        <family val="2"/>
      </rPr>
      <t xml:space="preserve">、抵銷 </t>
    </r>
    <r>
      <rPr>
        <sz val="10"/>
        <rFont val="Arial"/>
        <family val="0"/>
        <charset val="1"/>
      </rPr>
      <t xml:space="preserve">:9 :10 :15 :16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15/15 </t>
    </r>
    <r>
      <rPr>
        <sz val="10"/>
        <rFont val="Noto Sans CJK SC"/>
        <family val="2"/>
      </rPr>
      <t xml:space="preserve">全部有去向，排除②
定位：</t>
    </r>
    <r>
      <rPr>
        <sz val="10"/>
        <rFont val="Arial"/>
        <family val="0"/>
        <charset val="1"/>
      </rPr>
      <t xml:space="preserve">convert.py RowDetail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DroppedRow </t>
    </r>
    <r>
      <rPr>
        <sz val="10"/>
        <rFont val="Noto Sans CJK SC"/>
        <family val="2"/>
      </rPr>
      <t xml:space="preserve">與前端逐列表格；變異（路由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test_every_source_row_is_either_a_row_or_named_as_dropped 1 failed
</t>
    </r>
    <r>
      <rPr>
        <sz val="10"/>
        <rFont val="Noto Sans CJK SC"/>
        <family val="2"/>
      </rPr>
      <t xml:space="preserve">判定：複驗通過 → 結案</t>
    </r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</si>
  <si>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</si>
  <si>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</si>
  <si>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</si>
  <si>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</si>
  <si>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r>
      <rPr>
        <sz val="10"/>
        <rFont val="Noto Sans CJK SC"/>
        <family val="2"/>
      </rPr>
      <t xml:space="preserve">同時收 </t>
    </r>
    <r>
      <rPr>
        <sz val="10"/>
        <rFont val="Arial"/>
        <family val="0"/>
        <charset val="1"/>
      </rPr>
      <t xml:space="preserve">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的端點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/api/broker/convert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scripts/schwab_convert.py --account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無法核對）；其他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list_accounts(conn) </t>
    </r>
    <r>
      <rPr>
        <sz val="10"/>
        <rFont val="Noto Sans CJK SC"/>
        <family val="2"/>
      </rPr>
      <t xml:space="preserve">存在性檢查端點都沒有券商參數，不屬同類；</t>
    </r>
    <r>
      <rPr>
        <sz val="10"/>
        <rFont val="Arial"/>
        <family val="0"/>
        <charset val="1"/>
      </rPr>
      <t xml:space="preserve">`currency: 'USD'` </t>
    </r>
    <r>
      <rPr>
        <sz val="10"/>
        <rFont val="Noto Sans CJK SC"/>
        <family val="2"/>
      </rPr>
      <t xml:space="preserve">字面值 </t>
    </r>
    <r>
      <rPr>
        <sz val="10"/>
        <rFont val="Arial"/>
        <family val="0"/>
        <charset val="1"/>
      </rPr>
      <t xml:space="preserve">web/*.js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</si>
  <si>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</si>
  <si>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步驟：券商對帳單頁檢查「匯入到帳戶」下拉，嘗試選非嘉信帳戶；再以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送 </t>
    </r>
    <r>
      <rPr>
        <sz val="10"/>
        <rFont val="Arial"/>
        <family val="0"/>
        <charset val="1"/>
      </rPr>
      <t xml:space="preserve">{account: moomoo_my, broker: schwab} </t>
    </r>
    <r>
      <rPr>
        <sz val="10"/>
        <rFont val="Noto Sans CJK SC"/>
        <family val="2"/>
      </rPr>
      <t xml:space="preserve">核對後端拒絕內容。本機變異：拿掉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判斷</t>
    </r>
  </si>
  <si>
    <r>
      <rPr>
        <sz val="10"/>
        <rFont val="Noto Sans CJK SC"/>
        <family val="2"/>
      </rPr>
      <t xml:space="preserve">觀察：券商選嘉信時下拉只剩「嘉信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）」一個選項，無法再選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／台灣券商；直接呼叫 </t>
    </r>
    <r>
      <rPr>
        <sz val="10"/>
        <rFont val="Arial"/>
        <family val="0"/>
        <charset val="1"/>
      </rPr>
      <t xml:space="preserve">/api/broker/convert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 → ok:false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{account:moomoo_my}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（對帳單格式），一列都不會轉換」、</t>
    </r>
    <r>
      <rPr>
        <sz val="10"/>
        <rFont val="Arial"/>
        <family val="0"/>
        <charset val="1"/>
      </rPr>
      <t xml:space="preserve">counts </t>
    </r>
    <r>
      <rPr>
        <sz val="10"/>
        <rFont val="Noto Sans CJK SC"/>
        <family val="2"/>
      </rPr>
      <t xml:space="preserve">空
假設：①修好了；②只是前端藏選項，後端仍會轉換
排除：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直打仍被後端擋下且不產生任何列，排除②
定位：</t>
    </r>
    <r>
      <rPr>
        <sz val="10"/>
        <rFont val="Arial"/>
        <family val="0"/>
        <charset val="1"/>
      </rPr>
      <t xml:space="preserve">broker_import.py:267 _broker_mismatch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:332 </t>
    </r>
    <r>
      <rPr>
        <sz val="10"/>
        <rFont val="Noto Sans CJK SC"/>
        <family val="2"/>
      </rPr>
      <t xml:space="preserve">前置判斷；前端 </t>
    </r>
    <r>
      <rPr>
        <sz val="10"/>
        <rFont val="Arial"/>
        <family val="0"/>
        <charset val="1"/>
      </rPr>
      <t xml:space="preserve">fillAccountOptions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。變異 → </t>
    </r>
    <r>
      <rPr>
        <sz val="10"/>
        <rFont val="Arial"/>
        <family val="0"/>
        <charset val="1"/>
      </rPr>
      <t xml:space="preserve">test_broker_import_api.py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True is False</t>
    </r>
    <r>
      <rPr>
        <sz val="10"/>
        <rFont val="Noto Sans CJK SC"/>
        <family val="2"/>
      </rPr>
      <t xml:space="preserve">）
判定：複驗通過 → 結案</t>
    </r>
  </si>
  <si>
    <r>
      <rPr>
        <sz val="10"/>
        <rFont val="Noto Sans CJK SC"/>
        <family val="2"/>
      </rPr>
      <t xml:space="preserve">下拉只列嘉信帳戶；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錯配回 </t>
    </r>
    <r>
      <rPr>
        <sz val="10"/>
        <rFont val="Arial"/>
        <family val="0"/>
        <charset val="1"/>
      </rPr>
      <t xml:space="preserve">blocking account_broker_mismatch</t>
    </r>
    <r>
      <rPr>
        <sz val="10"/>
        <rFont val="Noto Sans CJK SC"/>
        <family val="2"/>
      </rPr>
      <t xml:space="preserve">；變異 </t>
    </r>
    <r>
      <rPr>
        <sz val="10"/>
        <rFont val="Arial"/>
        <family val="0"/>
        <charset val="1"/>
      </rPr>
      <t xml:space="preserve">2 failed</t>
    </r>
  </si>
  <si>
    <r>
      <rPr>
        <sz val="10"/>
        <rFont val="Noto Sans CJK SC"/>
        <family val="2"/>
      </rPr>
      <t xml:space="preserve">同意驗證者。儀表板 </t>
    </r>
    <r>
      <rPr>
        <sz val="10"/>
        <rFont val="Arial"/>
        <family val="0"/>
        <charset val="1"/>
      </rPr>
      <t xml:space="preserve">returns.by_currency.&lt;ccy&gt;.realized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Book.realized.by_currency</t>
    </r>
    <r>
      <rPr>
        <sz val="10"/>
        <rFont val="Noto Sans CJK SC"/>
        <family val="2"/>
      </rPr>
      <t xml:space="preserve">（所有種類加總，含 </t>
    </r>
    <r>
      <rPr>
        <sz val="10"/>
        <rFont val="Arial"/>
        <family val="0"/>
        <charset val="1"/>
      </rPr>
      <t xml:space="preserve">kind=dividend </t>
    </r>
    <r>
      <rPr>
        <sz val="10"/>
        <rFont val="Noto Sans CJK SC"/>
        <family val="2"/>
      </rPr>
      <t xml:space="preserve">的結清後配息），對帳欄卻套用申報口徑，差 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無說明。申報欄 </t>
    </r>
    <r>
      <rPr>
        <sz val="10"/>
        <rFont val="Arial"/>
        <family val="0"/>
        <charset val="1"/>
      </rPr>
      <t xml:space="preserve">16,004.56 </t>
    </r>
    <r>
      <rPr>
        <sz val="10"/>
        <rFont val="Noto Sans CJK SC"/>
        <family val="2"/>
      </rPr>
      <t xml:space="preserve">正確，一字未動。</t>
    </r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</si>
  <si>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</si>
  <si>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</si>
  <si>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r>
      <rPr>
        <sz val="10"/>
        <rFont val="Noto Sans CJK SC"/>
        <family val="2"/>
      </rPr>
      <t xml:space="preserve">只動 </t>
    </r>
    <r>
      <rPr>
        <sz val="10"/>
        <rFont val="Arial"/>
        <family val="0"/>
        <charset val="1"/>
      </rPr>
      <t xml:space="preserve">export/tax.py</t>
    </r>
    <r>
      <rPr>
        <sz val="10"/>
        <rFont val="Noto Sans CJK SC"/>
        <family val="2"/>
      </rPr>
      <t xml:space="preserve">：對帳數字改在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過濾之前累加（</t>
    </r>
    <r>
      <rPr>
        <sz val="10"/>
        <rFont val="Arial"/>
        <family val="0"/>
        <charset val="1"/>
      </rPr>
      <t xml:space="preserve">defaultdict += </t>
    </r>
    <r>
      <rPr>
        <sz val="10"/>
        <rFont val="Noto Sans CJK SC"/>
        <family val="2"/>
      </rPr>
      <t xml:space="preserve">照重播順序，與 </t>
    </r>
    <r>
      <rPr>
        <sz val="10"/>
        <rFont val="Arial"/>
        <family val="0"/>
        <charset val="1"/>
      </rPr>
      <t xml:space="preserve">cost_basis </t>
    </r>
    <r>
      <rPr>
        <sz val="10"/>
        <rFont val="Noto Sans CJK SC"/>
        <family val="2"/>
      </rPr>
      <t xml:space="preserve">同一串運算 → 逐位元相等）；新增拆解行「其中 出售／回補」與「其中 結清後配息（不列入申報，已列於股利表）：</t>
    </r>
    <r>
      <rPr>
        <sz val="10"/>
        <rFont val="Arial"/>
        <family val="0"/>
        <charset val="1"/>
      </rPr>
      <t xml:space="preserve">- TWD: 5200.0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2412 2026-08-07</t>
    </r>
    <r>
      <rPr>
        <sz val="10"/>
        <rFont val="Noto Sans CJK SC"/>
        <family val="2"/>
      </rPr>
      <t xml:space="preserve">）」；跨年度帳本多印「本年度以外的已實現」與「歷年累計（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儀表板）」（直接取 </t>
    </r>
    <r>
      <rPr>
        <sz val="10"/>
        <rFont val="Arial"/>
        <family val="0"/>
        <charset val="1"/>
      </rPr>
      <t xml:space="preserve">book.realized.by_currency</t>
    </r>
    <r>
      <rPr>
        <sz val="10"/>
        <rFont val="Noto Sans CJK SC"/>
        <family val="2"/>
      </rPr>
      <t xml:space="preserve">）；對帳段改用 </t>
    </r>
    <r>
      <rPr>
        <sz val="10"/>
        <rFont val="Arial"/>
        <family val="0"/>
        <charset val="1"/>
      </rPr>
      <t xml:space="preserve">decimal_str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相同 </t>
    </r>
    <r>
      <rPr>
        <sz val="10"/>
        <rFont val="Arial"/>
        <family val="0"/>
        <charset val="1"/>
      </rPr>
      <t xml:space="preserve">format(,"f")</t>
    </r>
    <r>
      <rPr>
        <sz val="10"/>
        <rFont val="Noto Sans CJK SC"/>
        <family val="2"/>
      </rPr>
      <t xml:space="preserve">）避免 </t>
    </r>
    <r>
      <rPr>
        <sz val="10"/>
        <rFont val="Arial"/>
        <family val="0"/>
        <charset val="1"/>
      </rPr>
      <t xml:space="preserve">0E-26 </t>
    </r>
    <r>
      <rPr>
        <sz val="10"/>
        <rFont val="Noto Sans CJK SC"/>
        <family val="2"/>
      </rPr>
      <t xml:space="preserve">科學記號。</t>
    </r>
  </si>
  <si>
    <r>
      <rPr>
        <sz val="10"/>
        <rFont val="Noto Sans CJK SC"/>
        <family val="2"/>
      </rPr>
      <t xml:space="preserve">對帳段錯位共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處（種類過濾、年度切分、數字格式）／修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段（申報段：申報口徑不得動；股利段：申報數字未宣稱與儀表板對帳；換匯段：與儀表板同一 </t>
    </r>
    <r>
      <rPr>
        <sz val="10"/>
        <rFont val="Arial"/>
        <family val="0"/>
        <charset val="1"/>
      </rPr>
      <t xml:space="preserve">realized_fx_rows_as_of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test_r8 </t>
    </r>
    <r>
      <rPr>
        <sz val="10"/>
        <rFont val="Noto Sans CJK SC"/>
        <family val="2"/>
      </rPr>
      <t xml:space="preserve">已釘）；另查 </t>
    </r>
    <r>
      <rPr>
        <sz val="10"/>
        <rFont val="Arial"/>
        <family val="0"/>
        <charset val="1"/>
      </rPr>
      <t xml:space="preserve">Book.realized.rows </t>
    </r>
    <r>
      <rPr>
        <sz val="10"/>
        <rFont val="Noto Sans CJK SC"/>
        <family val="2"/>
      </rPr>
      <t xml:space="preserve">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個消費者（</t>
    </r>
    <r>
      <rPr>
        <sz val="10"/>
        <rFont val="Arial"/>
        <family val="0"/>
        <charset val="1"/>
      </rPr>
      <t xml:space="preserve">export/realized.py:34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api/routers/symbol.py:691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llm_insight/variables.py:639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api/routers/input_center.py:711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錯位。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</si>
  <si>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tests/contract/test_def001_tax_reconciliation_matches_dashboard.py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；修復前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失敗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通過——通過的是申報行不變、單一年度不印跨年行兩個恆等式）。變異 </t>
    </r>
    <r>
      <rPr>
        <sz val="10"/>
        <rFont val="Arial"/>
        <family val="0"/>
        <charset val="1"/>
      </rPr>
      <t xml:space="preserve">M1</t>
    </r>
    <r>
      <rPr>
        <sz val="10"/>
        <rFont val="Noto Sans CJK SC"/>
        <family val="2"/>
      </rPr>
      <t xml:space="preserve">（對帳數字改回過濾後的 </t>
    </r>
    <r>
      <rPr>
        <sz val="10"/>
        <rFont val="Arial"/>
        <family val="0"/>
        <charset val="1"/>
      </rPr>
      <t xml:space="preserve">adjusted_subtotal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test_the_reconciliation_line_is_the_dashboard_figure_byte_for_byte </t>
    </r>
    <r>
      <rPr>
        <sz val="10"/>
        <rFont val="Noto Sans CJK SC"/>
        <family val="2"/>
      </rPr>
      <t xml:space="preserve">失敗：對帳行 </t>
    </r>
    <r>
      <rPr>
        <sz val="10"/>
        <rFont val="Arial"/>
        <family val="0"/>
        <charset val="1"/>
      </rPr>
      <t xml:space="preserve">5052.142857142857142857142857</t>
    </r>
    <r>
      <rPr>
        <sz val="10"/>
        <rFont val="Noto Sans CJK SC"/>
        <family val="2"/>
      </rPr>
      <t xml:space="preserve">，儀表板 </t>
    </r>
    <r>
      <rPr>
        <sz val="10"/>
        <rFont val="Arial"/>
        <family val="0"/>
        <charset val="1"/>
      </rPr>
      <t xml:space="preserve">10252.14285714285714285714286</t>
    </r>
    <r>
      <rPr>
        <sz val="10"/>
        <rFont val="Noto Sans CJK SC"/>
        <family val="2"/>
      </rPr>
      <t xml:space="preserve">，差額正是 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的配息。改回後通過。</t>
    </r>
  </si>
  <si>
    <r>
      <rPr>
        <sz val="10"/>
        <rFont val="Noto Sans CJK SC"/>
        <family val="2"/>
      </rPr>
      <t xml:space="preserve">真實瀏覽器：交易帳本 › 稅務包（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年度）→ 攔截下載的 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於頁內解壓讀 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GET /api/dashboard returns.by_currency </t>
    </r>
    <r>
      <rPr>
        <sz val="10"/>
        <rFont val="Noto Sans CJK SC"/>
        <family val="2"/>
      </rPr>
      <t xml:space="preserve">比對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</si>
  <si>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時對帳欄 </t>
    </r>
    <r>
      <rPr>
        <sz val="10"/>
        <rFont val="Arial"/>
        <family val="0"/>
        <charset val="1"/>
      </rPr>
      <t xml:space="preserve">TWD 36,804.556 </t>
    </r>
    <r>
      <rPr>
        <sz val="10"/>
        <rFont val="Noto Sans CJK SC"/>
        <family val="2"/>
      </rPr>
      <t xml:space="preserve">與儀表板已實現 </t>
    </r>
    <r>
      <rPr>
        <sz val="10"/>
        <rFont val="Arial"/>
        <family val="0"/>
        <charset val="1"/>
      </rPr>
      <t xml:space="preserve">42,004.556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未說明
假設：①對帳欄改為與儀表板同口徑並拆出差額來源；②只加註解
排除：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「對帳用：績效基礎已實現」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42004.55597014925373134328360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dashboard.returns.by_currency.TWD.realized </t>
    </r>
    <r>
      <rPr>
        <sz val="10"/>
        <rFont val="Noto Sans CJK SC"/>
        <family val="2"/>
      </rPr>
      <t xml:space="preserve">逐字相同；下方拆成「出售／回補（調整後成本）</t>
    </r>
    <r>
      <rPr>
        <sz val="10"/>
        <rFont val="Arial"/>
        <family val="0"/>
        <charset val="1"/>
      </rPr>
      <t xml:space="preserve">36804.55597…</t>
    </r>
    <r>
      <rPr>
        <sz val="10"/>
        <rFont val="Noto Sans CJK SC"/>
        <family val="2"/>
      </rPr>
      <t xml:space="preserve">」＋「結清後配息（不列入申報，已列於股利表）</t>
    </r>
    <r>
      <rPr>
        <sz val="10"/>
        <rFont val="Arial"/>
        <family val="0"/>
        <charset val="1"/>
      </rPr>
      <t xml:space="preserve">5200.0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2412 2026-08-07</t>
    </r>
    <r>
      <rPr>
        <sz val="10"/>
        <rFont val="Noto Sans CJK SC"/>
        <family val="2"/>
      </rPr>
      <t xml:space="preserve">）」，</t>
    </r>
    <r>
      <rPr>
        <sz val="10"/>
        <rFont val="Arial"/>
        <family val="0"/>
        <charset val="1"/>
      </rPr>
      <t xml:space="preserve">36,804.556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42,004.556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97.3005739… </t>
    </r>
    <r>
      <rPr>
        <sz val="10"/>
        <rFont val="Noto Sans CJK SC"/>
        <family val="2"/>
      </rPr>
      <t xml:space="preserve">亦相同；另加註「非申報數字…兩者相加會把同一筆錢課兩次」
定位：開發者改 </t>
    </r>
    <r>
      <rPr>
        <sz val="10"/>
        <rFont val="Arial"/>
        <family val="0"/>
        <charset val="1"/>
      </rPr>
      <t xml:space="preserve">tax.py </t>
    </r>
    <r>
      <rPr>
        <sz val="10"/>
        <rFont val="Noto Sans CJK SC"/>
        <family val="2"/>
      </rPr>
      <t xml:space="preserve">對帳段；變異還原 </t>
    </r>
    <r>
      <rPr>
        <sz val="10"/>
        <rFont val="Arial"/>
        <family val="0"/>
        <charset val="1"/>
      </rPr>
      <t xml:space="preserve">tax.py → 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</si>
  <si>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對帳欄與儀表板逐字一致，差額 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有具名拆分</t>
    </r>
  </si>
  <si>
    <r>
      <rPr>
        <sz val="10"/>
        <rFont val="Noto Sans CJK SC"/>
        <family val="2"/>
      </rPr>
      <t xml:space="preserve">同意驗證者，且六類帳本全部如此：交易「缺少必要欄位（欄位 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）」；股利、換匯「缺少必填欄位 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」；資金、公司行動「帳戶不可空白」；期初 原因欄直接顯示 </t>
    </r>
    <r>
      <rPr>
        <sz val="10"/>
        <rFont val="Arial"/>
        <family val="0"/>
        <charset val="1"/>
      </rPr>
      <t xml:space="preserve">Python </t>
    </r>
    <r>
      <rPr>
        <sz val="10"/>
        <rFont val="Noto Sans CJK SC"/>
        <family val="2"/>
      </rPr>
      <t xml:space="preserve">錯誤文字「</t>
    </r>
    <r>
      <rPr>
        <sz val="10"/>
        <rFont val="Arial"/>
        <family val="0"/>
        <charset val="1"/>
      </rPr>
      <t xml:space="preserve">'account'</t>
    </r>
    <r>
      <rPr>
        <sz val="10"/>
        <rFont val="Noto Sans CJK SC"/>
        <family val="2"/>
      </rPr>
      <t xml:space="preserve">」。改表頭後 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被改寫成 </t>
    </r>
    <r>
      <rPr>
        <sz val="10"/>
        <rFont val="Arial"/>
        <family val="0"/>
        <charset val="1"/>
      </rPr>
      <t xml:space="preserve">supplied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</si>
  <si>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</si>
  <si>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</si>
  <si>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</si>
  <si>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r>
      <rPr>
        <sz val="10"/>
        <rFont val="Noto Sans CJK SC"/>
        <family val="2"/>
      </rPr>
      <t xml:space="preserve">六類匯出共 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欄，</t>
    </r>
    <r>
      <rPr>
        <sz val="10"/>
        <rFont val="Arial"/>
        <family val="0"/>
        <charset val="1"/>
      </rPr>
      <t xml:space="preserve">39 </t>
    </r>
    <r>
      <rPr>
        <sz val="10"/>
        <rFont val="Noto Sans CJK SC"/>
        <family val="2"/>
      </rPr>
      <t xml:space="preserve">欄直接相符；不相符 共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（別名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欄＋快照 </t>
    </r>
    <r>
      <rPr>
        <sz val="10"/>
        <rFont val="Arial"/>
        <family val="0"/>
        <charset val="1"/>
      </rPr>
      <t xml:space="preserve">provenance 1 </t>
    </r>
    <r>
      <rPr>
        <sz val="10"/>
        <rFont val="Noto Sans CJK SC"/>
        <family val="2"/>
      </rPr>
      <t xml:space="preserve">欄）／白名單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id×5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import_batch_id×5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source_row_hash×5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weight_move_json</t>
    </r>
    <r>
      <rPr>
        <sz val="10"/>
        <rFont val="Noto Sans CJK SC"/>
        <family val="2"/>
      </rPr>
      <t xml:space="preserve">，理由在 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</si>
  <si>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tests/contract/test_def026_ledger_export_reimports.py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21</t>
    </r>
    <r>
      <rPr>
        <sz val="10"/>
        <rFont val="Noto Sans CJK SC"/>
        <family val="2"/>
      </rPr>
      <t xml:space="preserve">：六類預覽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錯誤、六類除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／批次／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外逐欄相等、快照原樣保存、已忽略欄位有標示、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空白丟棄舊快照、快照無效中文硬錯誤、範本表頭不變、兩種拼法並存、別名守門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則；修復前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通過）。變異 </t>
    </r>
    <r>
      <rPr>
        <sz val="10"/>
        <rFont val="Arial"/>
        <family val="0"/>
        <charset val="1"/>
      </rPr>
      <t xml:space="preserve">M2</t>
    </r>
    <r>
      <rPr>
        <sz val="10"/>
        <rFont val="Noto Sans CJK SC"/>
        <family val="2"/>
      </rPr>
      <t xml:space="preserve">（停用別名）→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則失敗「缺少必要欄位（欄位 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）」「帳戶不可空白」「</t>
    </r>
    <r>
      <rPr>
        <sz val="10"/>
        <rFont val="Arial"/>
        <family val="0"/>
        <charset val="1"/>
      </rPr>
      <t xml:space="preserve">'account'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（拿掉快照原樣保存）→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`['{"engine": …"tax": "930"}'] == ['{"brokerage…`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M4</t>
    </r>
    <r>
      <rPr>
        <sz val="10"/>
        <rFont val="Noto Sans CJK SC"/>
        <family val="2"/>
      </rPr>
      <t xml:space="preserve">（拿掉已忽略欄位提示）→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則失敗。改回後全過。</t>
    </r>
  </si>
  <si>
    <r>
      <rPr>
        <sz val="10"/>
        <rFont val="Noto Sans CJK SC"/>
        <family val="2"/>
      </rPr>
      <t xml:space="preserve">真實瀏覽器：交易帳本 › 匯出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原檔直接貼回「貼上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」預覽並寫入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列，再以批次復原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</si>
  <si>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時匯出檔貼回會因多出的系統欄位報錯
假設：①系統欄位被忽略並提示；②別名表涵蓋匯出表頭
排除：原檔貼回 </t>
    </r>
    <r>
      <rPr>
        <sz val="10"/>
        <rFont val="Arial"/>
        <family val="0"/>
        <charset val="1"/>
      </rPr>
      <t xml:space="preserve">0 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 warn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重複＋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8299 trade_before_opening</t>
    </r>
    <r>
      <rPr>
        <sz val="10"/>
        <rFont val="Noto Sans CJK SC"/>
        <family val="2"/>
      </rPr>
      <t xml:space="preserve">），並列出「已忽略欄位：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source_row_hash…</t>
    </r>
    <r>
      <rPr>
        <sz val="10"/>
        <rFont val="Noto Sans CJK SC"/>
        <family val="2"/>
      </rPr>
      <t xml:space="preserve">」。寫入第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列成批次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新列 </t>
    </r>
    <r>
      <rPr>
        <sz val="10"/>
        <rFont val="Arial"/>
        <family val="0"/>
        <charset val="1"/>
      </rPr>
      <t xml:space="preserve">#100/#101 </t>
    </r>
    <r>
      <rPr>
        <sz val="10"/>
        <rFont val="Noto Sans CJK SC"/>
        <family val="2"/>
      </rPr>
      <t xml:space="preserve">與原列逐欄相同（含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）
定位：別名表變異 → </t>
    </r>
    <r>
      <rPr>
        <sz val="10"/>
        <rFont val="Arial"/>
        <family val="0"/>
        <charset val="1"/>
      </rPr>
      <t xml:space="preserve">17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</si>
  <si>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匯出→貼回可無損往返；復原後 </t>
    </r>
    <r>
      <rPr>
        <sz val="10"/>
        <rFont val="Arial"/>
        <family val="0"/>
        <charset val="1"/>
      </rPr>
      <t xml:space="preserve">cmp D026 same:true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</si>
  <si>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</si>
  <si>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</si>
  <si>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</si>
  <si>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</si>
  <si>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</si>
  <si>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</si>
  <si>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tests/contract/test_def004_csv_preview_columns.py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tests/e2e/test_def004_def035_input_previews_flow.py::test_every_template_previews_its_own_values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類範本貼回去，讀出 </t>
    </r>
    <r>
      <rPr>
        <sz val="10"/>
        <rFont val="Arial"/>
        <family val="0"/>
        <charset val="1"/>
      </rPr>
      <t xml:space="preserve">600,000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5,000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500,000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2026-01-02</t>
    </r>
    <r>
      <rPr>
        <sz val="10"/>
        <rFont val="Noto Sans CJK SC"/>
        <family val="2"/>
      </rPr>
      <t xml:space="preserve">、「每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股」）。變異（</t>
    </r>
    <r>
      <rPr>
        <sz val="10"/>
        <rFont val="Arial"/>
        <family val="0"/>
        <charset val="1"/>
      </rPr>
      <t xml:space="preserve">`const k = CSV_COLS[kind] ? kind : 'transactions'` </t>
    </r>
    <r>
      <rPr>
        <sz val="10"/>
        <rFont val="Noto Sans CJK SC"/>
        <family val="2"/>
      </rPr>
      <t xml:space="preserve">換回固定交易表）→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test_the_preview_renders_with_the_requested_kinds_columns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expected '600,000'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Actual: #1—</t>
    </r>
    <r>
      <rPr>
        <sz val="10"/>
        <rFont val="Noto Sans CJK SC"/>
        <family val="2"/>
      </rPr>
      <t xml:space="preserve">台灣券商————✓ 可寫入」（正是驗證者看到的症狀）；變異（刪掉股利的毛額欄）→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dividends still does not show ['gross']</t>
    </r>
    <r>
      <rPr>
        <sz val="10"/>
        <rFont val="Noto Sans CJK SC"/>
        <family val="2"/>
      </rPr>
      <t xml:space="preserve">」。改回後通過。</t>
    </r>
  </si>
  <si>
    <r>
      <rPr>
        <sz val="10"/>
        <rFont val="Noto Sans CJK SC"/>
        <family val="2"/>
      </rPr>
      <t xml:space="preserve">真實瀏覽器：交易帳本 › 貼上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，逐一選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種範本（交易／股利／資金／換匯／公司行動）→ 預覽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</si>
  <si>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時範本切換後預覽仍用交易欄位
假設：①預覽依範本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決定解析器；②只有表頭跟著換
排除：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種範本各自帶出自己的表頭與值——換匯「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」、分割「每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股」、期初建倉日期欄
定位：開發者修正範本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傳遞；變異 </t>
    </r>
    <r>
      <rPr>
        <sz val="10"/>
        <rFont val="Arial"/>
        <family val="0"/>
        <charset val="1"/>
      </rPr>
      <t xml:space="preserve">const k='transactions' → 1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</si>
  <si>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</si>
  <si>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r>
      <rPr>
        <sz val="10"/>
        <rFont val="Noto Sans CJK SC"/>
        <family val="2"/>
      </rPr>
      <t xml:space="preserve">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</si>
  <si>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r>
      <rPr>
        <sz val="10"/>
        <rFont val="Noto Sans CJK SC"/>
        <family val="2"/>
      </rPr>
      <t xml:space="preserve">同意驗證者。復原是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做的，它只重抓批次清單和帳本表格；交易輸入頁的持倉快取只有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自己寫入時才會清掉。</t>
    </r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</si>
  <si>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</si>
  <si>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r>
      <rPr>
        <sz val="10"/>
        <rFont val="Noto Sans CJK SC"/>
        <family val="2"/>
      </rPr>
      <t xml:space="preserve">各寫入路徑各自維護一份「寫入後要重抓什麼」，沒有單一來源；既有 </t>
    </r>
    <r>
      <rPr>
        <sz val="10"/>
        <rFont val="Arial"/>
        <family val="0"/>
        <charset val="1"/>
      </rPr>
      <t xml:space="preserve">e2e test_sell_hints_ledger_refresh_flow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自己的寫入，沒有測「帳本在別的檔案被改掉」；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註解 </t>
    </r>
    <r>
      <rPr>
        <sz val="10"/>
        <rFont val="Arial"/>
        <family val="0"/>
        <charset val="1"/>
      </rPr>
      <t xml:space="preserve">F-04 </t>
    </r>
    <r>
      <rPr>
        <sz val="10"/>
        <rFont val="Noto Sans CJK SC"/>
        <family val="2"/>
      </rPr>
      <t xml:space="preserve">記載過去曾呼叫一個不存在的 </t>
    </r>
    <r>
      <rPr>
        <sz val="10"/>
        <rFont val="Arial"/>
        <family val="0"/>
        <charset val="1"/>
      </rPr>
      <t xml:space="preserve">pdAfterLedgerChange</t>
    </r>
    <r>
      <rPr>
        <sz val="10"/>
        <rFont val="Noto Sans CJK SC"/>
        <family val="2"/>
      </rPr>
      <t xml:space="preserve">，被 </t>
    </r>
    <r>
      <rPr>
        <sz val="10"/>
        <rFont val="Arial"/>
        <family val="0"/>
        <charset val="1"/>
      </rPr>
      <t xml:space="preserve">if </t>
    </r>
    <r>
      <rPr>
        <sz val="10"/>
        <rFont val="Noto Sans CJK SC"/>
        <family val="2"/>
      </rPr>
      <t xml:space="preserve">判斷靜默略過。補：呼叫圖守門（每個打寫入端點的函式都必須能走到 </t>
    </r>
    <r>
      <rPr>
        <sz val="10"/>
        <rFont val="Arial"/>
        <family val="0"/>
        <charset val="1"/>
      </rPr>
      <t xml:space="preserve">refreshAfterLedgerChange</t>
    </r>
    <r>
      <rPr>
        <sz val="10"/>
        <rFont val="Noto Sans CJK SC"/>
        <family val="2"/>
      </rPr>
      <t xml:space="preserve">）＋批次復原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</si>
  <si>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收斂成單一 </t>
    </r>
    <r>
      <rPr>
        <sz val="10"/>
        <rFont val="Arial"/>
        <family val="0"/>
        <charset val="1"/>
      </rPr>
      <t xml:space="preserve">refreshAfterLedgerChange(kind, opts)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input.js:2737</t>
    </r>
    <r>
      <rPr>
        <sz val="10"/>
        <rFont val="Noto Sans CJK SC"/>
        <family val="2"/>
      </rPr>
      <t xml:space="preserve">）：必要時重抓 </t>
    </r>
    <r>
      <rPr>
        <sz val="10"/>
        <rFont val="Arial"/>
        <family val="0"/>
        <charset val="1"/>
      </rPr>
      <t xml:space="preserve">context → </t>
    </r>
    <r>
      <rPr>
        <sz val="10"/>
        <rFont val="Noto Sans CJK SC"/>
        <family val="2"/>
      </rPr>
      <t xml:space="preserve">清掉並重新預熱持倉快取（交易、股利、期初三個帳戶選單），挑選清單開著就重畫 → 重抓最近匯入 → 重抓帳本表格 → 更新賣出提示 → 閃爍新列；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條寫入路徑（手動交易、賣超確認、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、股利與期初單筆表單）都改呼叫它；</t>
    </r>
    <r>
      <rPr>
        <sz val="10"/>
        <rFont val="Arial"/>
        <family val="0"/>
        <charset val="1"/>
      </rPr>
      <t xml:space="preserve">adoptLedgerSeam()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input.js:2722</t>
    </r>
    <r>
      <rPr>
        <sz val="10"/>
        <rFont val="Noto Sans CJK SC"/>
        <family val="2"/>
      </rPr>
      <t xml:space="preserve">）在頁面載入完成時接管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，所以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的復原與一鍵匯入、</t>
    </r>
    <r>
      <rPr>
        <sz val="10"/>
        <rFont val="Arial"/>
        <family val="0"/>
        <charset val="1"/>
      </rPr>
      <t xml:space="preserve">corp-action-form.js </t>
    </r>
    <r>
      <rPr>
        <sz val="10"/>
        <rFont val="Noto Sans CJK SC"/>
        <family val="2"/>
      </rPr>
      <t xml:space="preserve">的公司行動儲存不改一行即走同一條重整。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的編輯／刪除（</t>
    </r>
    <r>
      <rPr>
        <sz val="10"/>
        <rFont val="Arial"/>
        <family val="0"/>
        <charset val="1"/>
      </rPr>
      <t xml:space="preserve">mutationOk()→boot()</t>
    </r>
    <r>
      <rPr>
        <sz val="10"/>
        <rFont val="Noto Sans CJK SC"/>
        <family val="2"/>
      </rPr>
      <t xml:space="preserve">）由收尾包 </t>
    </r>
    <r>
      <rPr>
        <sz val="10"/>
        <rFont val="Arial"/>
        <family val="0"/>
        <charset val="1"/>
      </rPr>
      <t xml:space="preserve">I-7 </t>
    </r>
    <r>
      <rPr>
        <sz val="10"/>
        <rFont val="Noto Sans CJK SC"/>
        <family val="2"/>
      </rPr>
      <t xml:space="preserve">改走接管點。</t>
    </r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</si>
  <si>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</si>
  <si>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tests/contract/test_def019_single_ledger_refresh.py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：呼叫圖、只有這個函式能清快取、必須接管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上其他會寫帳本的腳本都必須呼叫接管點、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過期會失敗）；</t>
    </r>
    <r>
      <rPr>
        <sz val="10"/>
        <rFont val="Arial"/>
        <family val="0"/>
        <charset val="1"/>
      </rPr>
      <t xml:space="preserve">e2e test_undoing_a_batch_refreshes_the_input_panes_holdings</t>
    </r>
    <r>
      <rPr>
        <sz val="10"/>
        <rFont val="Noto Sans CJK SC"/>
        <family val="2"/>
      </rPr>
      <t xml:space="preserve">（寫入一批 </t>
    </r>
    <r>
      <rPr>
        <sz val="10"/>
        <rFont val="Arial"/>
        <family val="0"/>
        <charset val="1"/>
      </rPr>
      <t xml:space="preserve">CSV → </t>
    </r>
    <r>
      <rPr>
        <sz val="10"/>
        <rFont val="Noto Sans CJK SC"/>
        <family val="2"/>
      </rPr>
      <t xml:space="preserve">復原 → 斷言重新請求 </t>
    </r>
    <r>
      <rPr>
        <sz val="10"/>
        <rFont val="Arial"/>
        <family val="0"/>
        <charset val="1"/>
      </rPr>
      <t xml:space="preserve">/api/input/holdings</t>
    </r>
    <r>
      <rPr>
        <sz val="10"/>
        <rFont val="Noto Sans CJK SC"/>
        <family val="2"/>
      </rPr>
      <t xml:space="preserve">）。變異（拿掉接管那一行）→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test_input_js_adopts_the_page_seam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window.pdLedgerRefresh is not re-pointed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Timeout 20000ms … waiting for event "request"</t>
    </r>
    <r>
      <rPr>
        <sz val="10"/>
        <rFont val="Noto Sans CJK SC"/>
        <family val="2"/>
      </rPr>
      <t xml:space="preserve">」；變異（拿掉 </t>
    </r>
    <r>
      <rPr>
        <sz val="10"/>
        <rFont val="Arial"/>
        <family val="0"/>
        <charset val="1"/>
      </rPr>
      <t xml:space="preserve">onCsvWritten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ledger-writing path(s) ['commitCsv'] never reach refreshAfterLedgerChange</t>
    </r>
    <r>
      <rPr>
        <sz val="10"/>
        <rFont val="Noto Sans CJK SC"/>
        <family val="2"/>
      </rPr>
      <t xml:space="preserve">」。改回後通過。</t>
    </r>
  </si>
  <si>
    <r>
      <rPr>
        <sz val="10"/>
        <rFont val="Noto Sans CJK SC"/>
        <family val="2"/>
      </rPr>
      <t xml:space="preserve">真實瀏覽器：手動輸入「賣出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」草稿開著時，於同頁復原匯入批次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；讀網路請求與草稿持股提示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</si>
  <si>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時復原批次後手動草稿仍顯示舊持股
假設：①復原後重抓 </t>
    </r>
    <r>
      <rPr>
        <sz val="10"/>
        <rFont val="Arial"/>
        <family val="0"/>
        <charset val="1"/>
      </rPr>
      <t xml:space="preserve">context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；②只重抓批次列表
排除：</t>
    </r>
    <r>
      <rPr>
        <sz val="10"/>
        <rFont val="Arial"/>
        <family val="0"/>
        <charset val="1"/>
      </rPr>
      <t xml:space="preserve">DELETE /api/import/batches/11 </t>
    </r>
    <r>
      <rPr>
        <sz val="10"/>
        <rFont val="Noto Sans CJK SC"/>
        <family val="2"/>
      </rPr>
      <t xml:space="preserve">後依序 </t>
    </r>
    <r>
      <rPr>
        <sz val="10"/>
        <rFont val="Arial"/>
        <family val="0"/>
        <charset val="1"/>
      </rPr>
      <t xml:space="preserve">GET /api/import/batches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/api/input/context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/api/ledgers/transactions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/api/input/holdings</t>
    </r>
    <r>
      <rPr>
        <sz val="10"/>
        <rFont val="Noto Sans CJK SC"/>
        <family val="2"/>
      </rPr>
      <t xml:space="preserve">；草稿「持股 </t>
    </r>
    <r>
      <rPr>
        <sz val="10"/>
        <rFont val="Arial"/>
        <family val="0"/>
        <charset val="1"/>
      </rPr>
      <t xml:space="preserve">3,000 → 2,999</t>
    </r>
    <r>
      <rPr>
        <sz val="10"/>
        <rFont val="Noto Sans CJK SC"/>
        <family val="2"/>
      </rPr>
      <t xml:space="preserve">」變為「持股 </t>
    </r>
    <r>
      <rPr>
        <sz val="10"/>
        <rFont val="Arial"/>
        <family val="0"/>
        <charset val="1"/>
      </rPr>
      <t xml:space="preserve">1,500 → 1,499</t>
    </r>
    <r>
      <rPr>
        <sz val="10"/>
        <rFont val="Noto Sans CJK SC"/>
        <family val="2"/>
      </rPr>
      <t xml:space="preserve">」
定位：開發者於復原後重新指向 </t>
    </r>
    <r>
      <rPr>
        <sz val="10"/>
        <rFont val="Arial"/>
        <family val="0"/>
        <charset val="1"/>
      </rPr>
      <t xml:space="preserve">seam</t>
    </r>
    <r>
      <rPr>
        <sz val="10"/>
        <rFont val="Noto Sans CJK SC"/>
        <family val="2"/>
      </rPr>
      <t xml:space="preserve">；變異移除 → </t>
    </r>
    <r>
      <rPr>
        <sz val="10"/>
        <rFont val="Arial"/>
        <family val="0"/>
        <charset val="1"/>
      </rPr>
      <t xml:space="preserve">1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</si>
  <si>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復原後草稿持股即時更新；復原對話框文案已改為「將刪除這批匯入寫進帳本的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筆交易紀錄（來源：貼上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）…」；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</si>
  <si>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</si>
  <si>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</si>
  <si>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agents.py:577 revalidate_ai_drafts</t>
    </r>
    <r>
      <rPr>
        <sz val="10"/>
        <rFont val="Noto Sans CJK SC"/>
        <family val="2"/>
      </rPr>
      <t xml:space="preserve">：把後處理抽成 </t>
    </r>
    <r>
      <rPr>
        <sz val="10"/>
        <rFont val="Arial"/>
        <family val="0"/>
        <charset val="1"/>
      </rPr>
      <t xml:space="preserve">_build_result</t>
    </r>
    <r>
      <rPr>
        <sz val="10"/>
        <rFont val="Noto Sans CJK SC"/>
        <family val="2"/>
      </rPr>
      <t xml:space="preserve">，模型解析與手動編輯共用同一條流程（逐列預覽、代號格式檢查、</t>
    </r>
    <r>
      <rPr>
        <sz val="10"/>
        <rFont val="Arial"/>
        <family val="0"/>
        <charset val="1"/>
      </rPr>
      <t xml:space="preserve">DEF-036 </t>
    </r>
    <r>
      <rPr>
        <sz val="10"/>
        <rFont val="Noto Sans CJK SC"/>
        <family val="2"/>
      </rPr>
      <t xml:space="preserve">金額檢查、現金類別標籤、伺服器重新產生寫入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），完全不呼叫模型；回應多帶 </t>
    </r>
    <r>
      <rPr>
        <sz val="10"/>
        <rFont val="Arial"/>
        <family val="0"/>
        <charset val="1"/>
      </rPr>
      <t xml:space="preserve">drafts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cash_kinds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input_center.py </t>
    </r>
    <r>
      <rPr>
        <sz val="10"/>
        <rFont val="Noto Sans CJK SC"/>
        <family val="2"/>
      </rPr>
      <t xml:space="preserve">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門（</t>
    </r>
    <r>
      <rPr>
        <sz val="10"/>
        <rFont val="Arial"/>
        <family val="0"/>
        <charset val="1"/>
      </rPr>
      <t xml:space="preserve">AiBody.drafts</t>
    </r>
    <r>
      <rPr>
        <sz val="10"/>
        <rFont val="Noto Sans CJK SC"/>
        <family val="2"/>
      </rPr>
      <t xml:space="preserve">；有 </t>
    </r>
    <r>
      <rPr>
        <sz val="10"/>
        <rFont val="Arial"/>
        <family val="0"/>
        <charset val="1"/>
      </rPr>
      <t xml:space="preserve">drafts </t>
    </r>
    <r>
      <rPr>
        <sz val="10"/>
        <rFont val="Noto Sans CJK SC"/>
        <family val="2"/>
      </rPr>
      <t xml:space="preserve">直接重新檢核；</t>
    </r>
    <r>
      <rPr>
        <sz val="10"/>
        <rFont val="Arial"/>
        <family val="0"/>
        <charset val="1"/>
      </rPr>
      <t xml:space="preserve">_ai_wire</t>
    </r>
    <r>
      <rPr>
        <sz val="10"/>
        <rFont val="Noto Sans CJK SC"/>
        <family val="2"/>
      </rPr>
      <t xml:space="preserve">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</t>
    </r>
    <r>
      <rPr>
        <sz val="10"/>
        <rFont val="Arial"/>
        <family val="0"/>
        <charset val="1"/>
      </rPr>
      <t xml:space="preserve">pdNames.accountOption</t>
    </r>
    <r>
      <rPr>
        <sz val="10"/>
        <rFont val="Noto Sans CJK SC"/>
        <family val="2"/>
      </rPr>
      <t xml:space="preserve">；改完一格 </t>
    </r>
    <r>
      <rPr>
        <sz val="10"/>
        <rFont val="Arial"/>
        <family val="0"/>
        <charset val="1"/>
      </rPr>
      <t xml:space="preserve">250ms </t>
    </r>
    <r>
      <rPr>
        <sz val="10"/>
        <rFont val="Noto Sans CJK SC"/>
        <family val="2"/>
      </rPr>
      <t xml:space="preserve">防抖送回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門重新檢核（序號，過期回應丟棄）並換成伺服器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，前端不組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；打錯的值保持原樣、框變紅、原因寫在該列且該類不能寫入；費用／稅唯讀由引擎依編輯後股數價格重算；無 </t>
    </r>
    <r>
      <rPr>
        <sz val="10"/>
        <rFont val="Arial"/>
        <family val="0"/>
        <charset val="1"/>
      </rPr>
      <t xml:space="preserve">drafts </t>
    </r>
    <r>
      <rPr>
        <sz val="10"/>
        <rFont val="Noto Sans CJK SC"/>
        <family val="2"/>
      </rPr>
      <t xml:space="preserve">退回唯讀顯示（帳戶中文名）；</t>
    </r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表「模型備註」→「狀態／原因」。</t>
    </r>
  </si>
  <si>
    <r>
      <rPr>
        <sz val="10"/>
        <rFont val="Noto Sans CJK SC"/>
        <family val="2"/>
      </rPr>
      <t xml:space="preserve">原始帳戶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直接顯示：全站 </t>
    </r>
    <r>
      <rPr>
        <sz val="10"/>
        <rFont val="Arial"/>
        <family val="0"/>
        <charset val="1"/>
      </rPr>
      <t xml:space="preserve">web/*.js </t>
    </r>
    <r>
      <rPr>
        <sz val="10"/>
        <rFont val="Noto Sans CJK SC"/>
        <family val="2"/>
      </rPr>
      <t xml:space="preserve">修前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web/corp-action-form.js:781 `el('option', null, prefill.account_id)`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I-9</t>
    </r>
    <r>
      <rPr>
        <sz val="10"/>
        <rFont val="Noto Sans CJK SC"/>
        <family val="2"/>
      </rPr>
      <t xml:space="preserve">）；可編輯欄位共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個，唯讀白名單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（交易的費用、稅，引擎為權威）。</t>
    </r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</si>
  <si>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</si>
  <si>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r>
      <rPr>
        <sz val="10"/>
        <rFont val="Noto Sans CJK SC"/>
        <family val="2"/>
      </rPr>
      <t xml:space="preserve">真實瀏覽器：交易帳本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行（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100@46.45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2@330</t>
    </r>
    <r>
      <rPr>
        <sz val="10"/>
        <rFont val="Noto Sans CJK SC"/>
        <family val="2"/>
      </rPr>
      <t xml:space="preserve">／閒聊）→ 解析 → 檢查草稿每格控制項 → 把第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列價格改成 </t>
    </r>
    <r>
      <rPr>
        <sz val="10"/>
        <rFont val="Arial"/>
        <family val="0"/>
        <charset val="1"/>
      </rPr>
      <t xml:space="preserve">500 → </t>
    </r>
    <r>
      <rPr>
        <sz val="10"/>
        <rFont val="Noto Sans CJK SC"/>
        <family val="2"/>
      </rPr>
      <t xml:space="preserve">不寫入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</si>
  <si>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時草稿每格是純文字、帳戶顯示 </t>
    </r>
    <r>
      <rPr>
        <sz val="10"/>
        <rFont val="Arial"/>
        <family val="0"/>
        <charset val="1"/>
      </rPr>
      <t xml:space="preserve">tw_broker
</t>
    </r>
    <r>
      <rPr>
        <sz val="10"/>
        <rFont val="Noto Sans CJK SC"/>
        <family val="2"/>
      </rPr>
      <t xml:space="preserve">假設：①每格改為可編輯控制項並以中文帳戶名顯示；②編輯後重驗
排除：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列各有 帳戶 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（顯示「台灣券商（</t>
    </r>
    <r>
      <rPr>
        <sz val="10"/>
        <rFont val="Arial"/>
        <family val="0"/>
        <charset val="1"/>
      </rPr>
      <t xml:space="preserve">TWD</t>
    </r>
    <r>
      <rPr>
        <sz val="10"/>
        <rFont val="Noto Sans CJK SC"/>
        <family val="2"/>
      </rPr>
      <t xml:space="preserve">）」「嘉信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）」）、日期 </t>
    </r>
    <r>
      <rPr>
        <sz val="10"/>
        <rFont val="Arial"/>
        <family val="0"/>
        <charset val="1"/>
      </rPr>
      <t xml:space="preserve">date</t>
    </r>
    <r>
      <rPr>
        <sz val="10"/>
        <rFont val="Noto Sans CJK SC"/>
        <family val="2"/>
      </rPr>
      <t xml:space="preserve">、買賣 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、代號／股數／價格 </t>
    </r>
    <r>
      <rPr>
        <sz val="10"/>
        <rFont val="Arial"/>
        <family val="0"/>
        <charset val="1"/>
      </rPr>
      <t xml:space="preserve">text input</t>
    </r>
    <r>
      <rPr>
        <sz val="10"/>
        <rFont val="Noto Sans CJK SC"/>
        <family val="2"/>
      </rPr>
      <t xml:space="preserve">；閒聊列列在「有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列無法歸類（不會寫入…）」。把第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列價格 </t>
    </r>
    <r>
      <rPr>
        <sz val="10"/>
        <rFont val="Arial"/>
        <family val="0"/>
        <charset val="1"/>
      </rPr>
      <t xml:space="preserve">46→500 </t>
    </r>
    <r>
      <rPr>
        <sz val="10"/>
        <rFont val="Noto Sans CJK SC"/>
        <family val="2"/>
      </rPr>
      <t xml:space="preserve">後自動送 </t>
    </r>
    <r>
      <rPr>
        <sz val="10"/>
        <rFont val="Arial"/>
        <family val="0"/>
        <charset val="1"/>
      </rPr>
      <t xml:space="preserve">POST /api/input/ai/preview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、回應 </t>
    </r>
    <r>
      <rPr>
        <sz val="10"/>
        <rFont val="Arial"/>
        <family val="0"/>
        <charset val="1"/>
      </rPr>
      <t xml:space="preserve">meta.model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 null</t>
    </r>
    <r>
      <rPr>
        <sz val="10"/>
        <rFont val="Noto Sans CJK SC"/>
        <family val="2"/>
      </rPr>
      <t xml:space="preserve">，不再呼叫模型），該列變「✓ 解析完整」，手續費依規則重算 </t>
    </r>
    <r>
      <rPr>
        <sz val="10"/>
        <rFont val="Arial"/>
        <family val="0"/>
        <charset val="1"/>
      </rPr>
      <t xml:space="preserve">20→71</t>
    </r>
    <r>
      <rPr>
        <sz val="10"/>
        <rFont val="Noto Sans CJK SC"/>
        <family val="2"/>
      </rPr>
      <t xml:space="preserve">。額度只扣首次解析 </t>
    </r>
    <r>
      <rPr>
        <sz val="10"/>
        <rFont val="Arial"/>
        <family val="0"/>
        <charset val="1"/>
      </rPr>
      <t xml:space="preserve">0.0005936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3.2697655→3.2691719</t>
    </r>
    <r>
      <rPr>
        <sz val="10"/>
        <rFont val="Noto Sans CJK SC"/>
        <family val="2"/>
      </rPr>
      <t xml:space="preserve">）
定位：</t>
    </r>
    <r>
      <rPr>
        <sz val="10"/>
        <rFont val="Arial"/>
        <family val="0"/>
        <charset val="1"/>
      </rPr>
      <t xml:space="preserve">input.js AI </t>
    </r>
    <r>
      <rPr>
        <sz val="10"/>
        <rFont val="Noto Sans CJK SC"/>
        <family val="2"/>
      </rPr>
      <t xml:space="preserve">草稿表格；變異還原 </t>
    </r>
    <r>
      <rPr>
        <sz val="10"/>
        <rFont val="Arial"/>
        <family val="0"/>
        <charset val="1"/>
      </rPr>
      <t xml:space="preserve">drafts </t>
    </r>
    <r>
      <rPr>
        <sz val="10"/>
        <rFont val="Noto Sans CJK SC"/>
        <family val="2"/>
      </rPr>
      <t xml:space="preserve">路徑 → </t>
    </r>
    <r>
      <rPr>
        <sz val="10"/>
        <rFont val="Arial"/>
        <family val="0"/>
        <charset val="1"/>
      </rPr>
      <t xml:space="preserve">1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</si>
  <si>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草稿可逐欄編輯、編輯後重驗不花費、中文帳戶名；未寫入，</t>
    </r>
    <r>
      <rPr>
        <sz val="10"/>
        <rFont val="Arial"/>
        <family val="0"/>
        <charset val="1"/>
      </rPr>
      <t xml:space="preserve">cmp D035 </t>
    </r>
    <r>
      <rPr>
        <sz val="10"/>
        <rFont val="Noto Sans CJK SC"/>
        <family val="2"/>
      </rPr>
      <t xml:space="preserve">只差額度 </t>
    </r>
    <r>
      <rPr>
        <sz val="10"/>
        <rFont val="Arial"/>
        <family val="0"/>
        <charset val="1"/>
      </rPr>
      <t xml:space="preserve">0.0005936</t>
    </r>
    <r>
      <rPr>
        <sz val="10"/>
        <rFont val="Noto Sans CJK SC"/>
        <family val="2"/>
      </rPr>
      <t xml:space="preserve">（本次解析花費）</t>
    </r>
  </si>
  <si>
    <t xml:space="preserve">agents.py:92 `note: str | None = None`</t>
  </si>
  <si>
    <r>
      <rPr>
        <sz val="10"/>
        <rFont val="Noto Sans CJK SC"/>
        <family val="2"/>
      </rPr>
      <t xml:space="preserve">資料結構裡沒有這個欄位，語料格式也表達不出來；加上 </t>
    </r>
    <r>
      <rPr>
        <sz val="10"/>
        <rFont val="Arial"/>
        <family val="0"/>
        <charset val="1"/>
      </rPr>
      <t xml:space="preserve">extra="forbid"</t>
    </r>
    <r>
      <rPr>
        <sz val="10"/>
        <rFont val="Noto Sans CJK SC"/>
        <family val="2"/>
      </rPr>
      <t xml:space="preserve">，模型根本無處可放。語料與線上評估只比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欄位。補：語料格式加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amount_check </t>
    </r>
    <r>
      <rPr>
        <sz val="10"/>
        <rFont val="Noto Sans CJK SC"/>
        <family val="2"/>
      </rPr>
      <t xml:space="preserve">並要求三種判定都有案例、確定性重播。</t>
    </r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</si>
  <si>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</si>
  <si>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r>
      <rPr>
        <sz val="10"/>
        <rFont val="Noto Sans CJK SC"/>
        <family val="2"/>
      </rPr>
      <t xml:space="preserve">模型抄寫的數字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結構化欄位 共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組：已處理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成交金額；張／股換算差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倍同一檢查可抓；股利 扣繳＋淨額≤毛額 既有 </t>
    </r>
    <r>
      <rPr>
        <sz val="10"/>
        <rFont val="Arial"/>
        <family val="0"/>
        <charset val="1"/>
      </rPr>
      <t xml:space="preserve">check_amounts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淨額：碎股四捨五入會誤報；明示手續費／稅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引擎：提示詞禁止模型輸出、引擎為權威；資金金額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家幣取得成本：兩種幣別、</t>
    </r>
    <r>
      <rPr>
        <sz val="10"/>
        <rFont val="Arial"/>
        <family val="0"/>
        <charset val="1"/>
      </rPr>
      <t xml:space="preserve">F1 </t>
    </r>
    <r>
      <rPr>
        <sz val="10"/>
        <rFont val="Noto Sans CJK SC"/>
        <family val="2"/>
      </rPr>
      <t xml:space="preserve">禁止由匯率推導）。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</si>
  <si>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tests/data_ingestion/test_def036_stated_amount.py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：驗證者原句、一致、含費用應付、賣方淨收、未提及、</t>
    </r>
    <r>
      <rPr>
        <sz val="10"/>
        <rFont val="Arial"/>
        <family val="0"/>
        <charset val="1"/>
      </rPr>
      <t xml:space="preserve">1% </t>
    </r>
    <r>
      <rPr>
        <sz val="10"/>
        <rFont val="Noto Sans CJK SC"/>
        <family val="2"/>
      </rPr>
      <t xml:space="preserve">容差兩邊界 </t>
    </r>
    <r>
      <rPr>
        <sz val="10"/>
        <rFont val="Arial"/>
        <family val="0"/>
        <charset val="1"/>
      </rPr>
      <t xml:space="preserve">10,120 </t>
    </r>
    <r>
      <rPr>
        <sz val="10"/>
        <rFont val="Noto Sans CJK SC"/>
        <family val="2"/>
      </rPr>
      <t xml:space="preserve">一致／</t>
    </r>
    <r>
      <rPr>
        <sz val="10"/>
        <rFont val="Arial"/>
        <family val="0"/>
        <charset val="1"/>
      </rPr>
      <t xml:space="preserve">10,121 </t>
    </r>
    <r>
      <rPr>
        <sz val="10"/>
        <rFont val="Noto Sans CJK SC"/>
        <family val="2"/>
      </rPr>
      <t xml:space="preserve">矛盾、不進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）；語料 </t>
    </r>
    <r>
      <rPr>
        <sz val="10"/>
        <rFont val="Arial"/>
        <family val="0"/>
        <charset val="1"/>
      </rPr>
      <t xml:space="preserve">tests/golden/ai_extraction/cases.json 40→45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矛盾含驗證者原句、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一致、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未提及）；</t>
    </r>
    <r>
      <rPr>
        <sz val="10"/>
        <rFont val="Arial"/>
        <family val="0"/>
        <charset val="1"/>
      </rPr>
      <t xml:space="preserve">test_ai_extraction_corpus.py </t>
    </r>
    <r>
      <rPr>
        <sz val="10"/>
        <rFont val="Noto Sans CJK SC"/>
        <family val="2"/>
      </rPr>
      <t xml:space="preserve">新增防腐與確定性重播；</t>
    </r>
    <r>
      <rPr>
        <sz val="10"/>
        <rFont val="Arial"/>
        <family val="0"/>
        <charset val="1"/>
      </rPr>
      <t xml:space="preserve">test_official_templates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v8</t>
    </r>
    <r>
      <rPr>
        <sz val="10"/>
        <rFont val="Noto Sans CJK SC"/>
        <family val="2"/>
      </rPr>
      <t xml:space="preserve">。變異（拿掉 </t>
    </r>
    <r>
      <rPr>
        <sz val="10"/>
        <rFont val="Arial"/>
        <family val="0"/>
        <charset val="1"/>
      </rPr>
      <t xml:space="preserve">_append_amount_check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test_the_measured_contradiction_is_flagged_not_ok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0 == 1</t>
    </r>
    <r>
      <rPr>
        <sz val="10"/>
        <rFont val="Noto Sans CJK SC"/>
        <family val="2"/>
      </rPr>
      <t xml:space="preserve">」，語料重播「</t>
    </r>
    <r>
      <rPr>
        <sz val="10"/>
        <rFont val="Arial"/>
        <family val="0"/>
        <charset val="1"/>
      </rPr>
      <t xml:space="preserve">('amount-contradiction-measured','mismatch',[])</t>
    </r>
    <r>
      <rPr>
        <sz val="10"/>
        <rFont val="Noto Sans CJK SC"/>
        <family val="2"/>
      </rPr>
      <t xml:space="preserve">」）；變異（改回預設勾選）→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expected not to be checked, Actual: checked</t>
    </r>
    <r>
      <rPr>
        <sz val="10"/>
        <rFont val="Noto Sans CJK SC"/>
        <family val="2"/>
      </rPr>
      <t xml:space="preserve">」；變異（提示詞拿掉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則失敗。改回後通過。</t>
    </r>
  </si>
  <si>
    <r>
      <rPr>
        <sz val="10"/>
        <rFont val="Noto Sans CJK SC"/>
        <family val="2"/>
      </rPr>
      <t xml:space="preserve">同上一次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解析：「</t>
    </r>
    <r>
      <rPr>
        <sz val="10"/>
        <rFont val="Arial"/>
        <family val="0"/>
        <charset val="1"/>
      </rPr>
      <t xml:space="preserve">2026/09/22 </t>
    </r>
    <r>
      <rPr>
        <sz val="10"/>
        <rFont val="Noto Sans CJK SC"/>
        <family val="2"/>
      </rPr>
      <t xml:space="preserve">台灣券商 買進 玉山金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</si>
  <si>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100×46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矛盾卻「✓ 解析完整」
假設：①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增 </t>
    </r>
    <r>
      <rPr>
        <sz val="10"/>
        <rFont val="Arial"/>
        <family val="0"/>
        <charset val="1"/>
      </rPr>
      <t xml:space="preserve">stated_amount </t>
    </r>
    <r>
      <rPr>
        <sz val="10"/>
        <rFont val="Noto Sans CJK SC"/>
        <family val="2"/>
      </rPr>
      <t xml:space="preserve">並由後端比對；②靠模型自評
排除：回應 </t>
    </r>
    <r>
      <rPr>
        <sz val="10"/>
        <rFont val="Arial"/>
        <family val="0"/>
        <charset val="1"/>
      </rPr>
      <t xml:space="preserve">data.stated_amount "50000"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amount_mismatch "1"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 warn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kinds ["amount_mismatch"]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；請確認股數、價格與金額後再勾選寫入」，該列預設不勾選；把價格改成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100×500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）重驗後矛盾消失，證明是後端依數字比對而非模型自評
定位：開發者後端金額檢核；變異關閉 → </t>
    </r>
    <r>
      <rPr>
        <sz val="10"/>
        <rFont val="Arial"/>
        <family val="0"/>
        <charset val="1"/>
      </rPr>
      <t xml:space="preserve">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</si>
  <si>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矛盾被標示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、預設不勾；修正後即解除</t>
    </r>
  </si>
  <si>
    <r>
      <rPr>
        <sz val="10"/>
        <rFont val="Noto Sans CJK SC"/>
        <family val="2"/>
      </rPr>
      <t xml:space="preserve">同意驗證者。攔住 </t>
    </r>
    <r>
      <rPr>
        <sz val="10"/>
        <rFont val="Arial"/>
        <family val="0"/>
        <charset val="1"/>
      </rPr>
      <t xml:space="preserve">acq-rate </t>
    </r>
    <r>
      <rPr>
        <sz val="10"/>
        <rFont val="Noto Sans CJK SC"/>
        <family val="2"/>
      </rPr>
      <t xml:space="preserve">回應、使用者填 </t>
    </r>
    <r>
      <rPr>
        <sz val="10"/>
        <rFont val="Arial"/>
        <family val="0"/>
        <charset val="1"/>
      </rPr>
      <t xml:space="preserve">31.5 </t>
    </r>
    <r>
      <rPr>
        <sz val="10"/>
        <rFont val="Noto Sans CJK SC"/>
        <family val="2"/>
      </rPr>
      <t xml:space="preserve">後放行：舊碼欄位變成 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、模式被切回「匯率」；提示句標輸入日。</t>
    </r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</si>
  <si>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</si>
  <si>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r>
      <rPr>
        <sz val="10"/>
        <rFont val="Noto Sans CJK SC"/>
        <family val="2"/>
      </rPr>
      <t xml:space="preserve">序號（</t>
    </r>
    <r>
      <rPr>
        <sz val="10"/>
        <rFont val="Arial"/>
        <family val="0"/>
        <charset val="1"/>
      </rPr>
      <t xml:space="preserve">sequence token</t>
    </r>
    <r>
      <rPr>
        <sz val="10"/>
        <rFont val="Noto Sans CJK SC"/>
        <family val="2"/>
      </rPr>
      <t xml:space="preserve">）被當成「欄位歸屬」的守門，其實它只管回應先後；既有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test_fx_acq_cost_flow</t>
    </r>
    <r>
      <rPr>
        <sz val="10"/>
        <rFont val="Noto Sans CJK SC"/>
        <family val="2"/>
      </rPr>
      <t xml:space="preserve">）都等預填落地後才打字，競態視窗從沒被走到；沒有任何靜態規則管「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之後寫 </t>
    </r>
    <r>
      <rPr>
        <sz val="10"/>
        <rFont val="Arial"/>
        <family val="0"/>
        <charset val="1"/>
      </rPr>
      <t xml:space="preserve">.value</t>
    </r>
    <r>
      <rPr>
        <sz val="10"/>
        <rFont val="Noto Sans CJK SC"/>
        <family val="2"/>
      </rPr>
      <t xml:space="preserve">」。補：</t>
    </r>
    <r>
      <rPr>
        <sz val="10"/>
        <rFont val="Arial"/>
        <family val="0"/>
        <charset val="1"/>
      </rPr>
      <t xml:space="preserve">tests/contract/test_def007_async_field_writes.py</t>
    </r>
    <r>
      <rPr>
        <sz val="10"/>
        <rFont val="Noto Sans CJK SC"/>
        <family val="2"/>
      </rPr>
      <t xml:space="preserve">（掃描 </t>
    </r>
    <r>
      <rPr>
        <sz val="10"/>
        <rFont val="Arial"/>
        <family val="0"/>
        <charset val="1"/>
      </rPr>
      <t xml:space="preserve">async/await </t>
    </r>
    <r>
      <rPr>
        <sz val="10"/>
        <rFont val="Noto Sans CJK SC"/>
        <family val="2"/>
      </rPr>
      <t xml:space="preserve">後與 </t>
    </r>
    <r>
      <rPr>
        <sz val="10"/>
        <rFont val="Arial"/>
        <family val="0"/>
        <charset val="1"/>
      </rPr>
      <t xml:space="preserve">.then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.value </t>
    </r>
    <r>
      <rPr>
        <sz val="10"/>
        <rFont val="Noto Sans CJK SC"/>
        <family val="2"/>
      </rPr>
      <t xml:space="preserve">寫入）＋攔截回應的競態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</si>
  <si>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</si>
  <si>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</si>
  <si>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tests/contract/test_def007_async_field_writes.py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tests/e2e/test_def007_acq_prefill_race_flow.py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攔住 </t>
    </r>
    <r>
      <rPr>
        <sz val="10"/>
        <rFont val="Arial"/>
        <family val="0"/>
        <charset val="1"/>
      </rPr>
      <t xml:space="preserve">acq-rate</t>
    </r>
    <r>
      <rPr>
        <sz val="10"/>
        <rFont val="Noto Sans CJK SC"/>
        <family val="2"/>
      </rPr>
      <t xml:space="preserve">；「匯率」模式填 </t>
    </r>
    <r>
      <rPr>
        <sz val="10"/>
        <rFont val="Arial"/>
        <family val="0"/>
        <charset val="1"/>
      </rPr>
      <t xml:space="preserve">31.5 </t>
    </r>
    <r>
      <rPr>
        <sz val="10"/>
        <rFont val="Noto Sans CJK SC"/>
        <family val="2"/>
      </rPr>
      <t xml:space="preserve">後放行值仍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、入帳 </t>
    </r>
    <r>
      <rPr>
        <sz val="10"/>
        <rFont val="Arial"/>
        <family val="0"/>
        <charset val="1"/>
      </rPr>
      <t xml:space="preserve">acq_home_amount=="31500"</t>
    </r>
    <r>
      <rPr>
        <sz val="10"/>
        <rFont val="Noto Sans CJK SC"/>
        <family val="2"/>
      </rPr>
      <t xml:space="preserve">；「家幣金額」模式填 </t>
    </r>
    <r>
      <rPr>
        <sz val="10"/>
        <rFont val="Arial"/>
        <family val="0"/>
        <charset val="1"/>
      </rPr>
      <t xml:space="preserve">31500 </t>
    </r>
    <r>
      <rPr>
        <sz val="10"/>
        <rFont val="Noto Sans CJK SC"/>
        <family val="2"/>
      </rPr>
      <t xml:space="preserve">值與模式不變；空欄位仍自動帶入）。變異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（放回舊 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）→ 靜態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web/cash.js writes an editable field after an await without the DEF-007 guard — line 938 / 939 / 944 / 1054 / 1186 / 1290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the </t>
    </r>
    <r>
      <rPr>
        <sz val="10"/>
        <rFont val="Noto Sans CJK SC"/>
        <family val="2"/>
      </rPr>
      <t xml:space="preserve">取得成本 </t>
    </r>
    <r>
      <rPr>
        <sz val="10"/>
        <rFont val="Arial"/>
        <family val="0"/>
        <charset val="1"/>
      </rPr>
      <t xml:space="preserve">mode is the owner's choice — no code path may set it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ReferenceError: autoFill is not defined</t>
    </r>
    <r>
      <rPr>
        <sz val="10"/>
        <rFont val="Noto Sans CJK SC"/>
        <family val="2"/>
      </rPr>
      <t xml:space="preserve">」；變異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（舊 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跑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）→「</t>
    </r>
    <r>
      <rPr>
        <sz val="10"/>
        <rFont val="Arial"/>
        <family val="0"/>
        <charset val="1"/>
      </rPr>
      <t xml:space="preserve">the late reference overwrote the owner assert '33' == '31.5'</t>
    </r>
    <r>
      <rPr>
        <sz val="10"/>
        <rFont val="Noto Sans CJK SC"/>
        <family val="2"/>
      </rPr>
      <t xml:space="preserve">」。改回後通過。</t>
    </r>
  </si>
  <si>
    <r>
      <rPr>
        <sz val="10"/>
        <rFont val="Noto Sans CJK SC"/>
        <family val="2"/>
      </rPr>
      <t xml:space="preserve">真實瀏覽器：資金管理 › 出金入金，於頁內把 </t>
    </r>
    <r>
      <rPr>
        <sz val="10"/>
        <rFont val="Arial"/>
        <family val="0"/>
        <charset val="1"/>
      </rPr>
      <t xml:space="preserve">GET /api/cash/acq-rate </t>
    </r>
    <r>
      <rPr>
        <sz val="10"/>
        <rFont val="Noto Sans CJK SC"/>
        <family val="2"/>
      </rPr>
      <t xml:space="preserve">人為延遲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秒，期間填入 嘉信 </t>
    </r>
    <r>
      <rPr>
        <sz val="10"/>
        <rFont val="Arial"/>
        <family val="0"/>
        <charset val="1"/>
      </rPr>
      <t xml:space="preserve">USD 2026-09-23 </t>
    </r>
    <r>
      <rPr>
        <sz val="10"/>
        <rFont val="Noto Sans CJK SC"/>
        <family val="2"/>
      </rPr>
      <t xml:space="preserve">入金 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、匯率 </t>
    </r>
    <r>
      <rPr>
        <sz val="10"/>
        <rFont val="Arial"/>
        <family val="0"/>
        <charset val="1"/>
      </rPr>
      <t xml:space="preserve">31.5 → </t>
    </r>
    <r>
      <rPr>
        <sz val="10"/>
        <rFont val="Noto Sans CJK SC"/>
        <family val="2"/>
      </rPr>
      <t xml:space="preserve">等回應全部到達後寫入，再刪除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</si>
  <si>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時晚到的參考匯率會蓋掉使用者輸入並切回「匯率」模式
假設：①晚到回應不再覆寫已輸入值；②只是回應變快而已
排除：人為延遲下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acq-rate </t>
    </r>
    <r>
      <rPr>
        <sz val="10"/>
        <rFont val="Noto Sans CJK SC"/>
        <family val="2"/>
      </rPr>
      <t xml:space="preserve">回應都在輸入後才到，欄位仍為 </t>
    </r>
    <r>
      <rPr>
        <sz val="10"/>
        <rFont val="Arial"/>
        <family val="0"/>
        <charset val="1"/>
      </rPr>
      <t xml:space="preserve">31.5</t>
    </r>
    <r>
      <rPr>
        <sz val="10"/>
        <rFont val="Noto Sans CJK SC"/>
        <family val="2"/>
      </rPr>
      <t xml:space="preserve">、模式仍為 </t>
    </r>
    <r>
      <rPr>
        <sz val="10"/>
        <rFont val="Arial"/>
        <family val="0"/>
        <charset val="1"/>
      </rPr>
      <t xml:space="preserve">rate</t>
    </r>
    <r>
      <rPr>
        <sz val="10"/>
        <rFont val="Noto Sans CJK SC"/>
        <family val="2"/>
      </rPr>
      <t xml:space="preserve">，提示改為「參考值：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收盤 </t>
    </r>
    <r>
      <rPr>
        <sz val="10"/>
        <rFont val="Arial"/>
        <family val="0"/>
        <charset val="1"/>
      </rPr>
      <t xml:space="preserve">1 USD = 31.66 TWD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尚無收盤匯率，採最近一個交易日）（市場中價，僅供參考；未覆寫你輸入的值）」——日期標的是匯率實際日期；</t>
    </r>
    <r>
      <rPr>
        <sz val="10"/>
        <rFont val="Arial"/>
        <family val="0"/>
        <charset val="1"/>
      </rPr>
      <t xml:space="preserve">POST body acq_rate "31.5"</t>
    </r>
    <r>
      <rPr>
        <sz val="10"/>
        <rFont val="Noto Sans CJK SC"/>
        <family val="2"/>
      </rPr>
      <t xml:space="preserve">，帳本 </t>
    </r>
    <r>
      <rPr>
        <sz val="10"/>
        <rFont val="Arial"/>
        <family val="0"/>
        <charset val="1"/>
      </rPr>
      <t xml:space="preserve">acq_home_amount 31500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31699</t>
    </r>
    <r>
      <rPr>
        <sz val="10"/>
        <rFont val="Noto Sans CJK SC"/>
        <family val="2"/>
      </rPr>
      <t xml:space="preserve">）
定位：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覆寫守門；變異還原 </t>
    </r>
    <r>
      <rPr>
        <sz val="10"/>
        <rFont val="Arial"/>
        <family val="0"/>
        <charset val="1"/>
      </rPr>
      <t xml:space="preserve">cash.js → 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</si>
  <si>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延遲回應不覆寫；提示日期＝匯率實際日；寫入 </t>
    </r>
    <r>
      <rPr>
        <sz val="10"/>
        <rFont val="Arial"/>
        <family val="0"/>
        <charset val="1"/>
      </rPr>
      <t xml:space="preserve">31,500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cmp D007 same:true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</si>
  <si>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</si>
  <si>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r>
      <rPr>
        <sz val="10"/>
        <rFont val="Noto Sans CJK SC"/>
        <family val="2"/>
      </rPr>
      <t xml:space="preserve">同意驗證者。透支訊息有五個出處三種寫法；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副行印出錯誤碼。</t>
    </r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</si>
  <si>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</si>
  <si>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</si>
  <si>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r>
      <rPr>
        <sz val="10"/>
        <rFont val="Noto Sans CJK SC"/>
        <family val="2"/>
      </rPr>
      <t xml:space="preserve">共用句型：</t>
    </r>
    <r>
      <rPr>
        <sz val="10"/>
        <rFont val="Arial"/>
        <family val="0"/>
        <charset val="1"/>
      </rPr>
      <t xml:space="preserve">validate.py:184 cash_amount_text</t>
    </r>
    <r>
      <rPr>
        <sz val="10"/>
        <rFont val="Noto Sans CJK SC"/>
        <family val="2"/>
      </rPr>
      <t xml:space="preserve">（幣別最小單位：</t>
    </r>
    <r>
      <rPr>
        <sz val="10"/>
        <rFont val="Arial"/>
        <family val="0"/>
        <charset val="1"/>
      </rPr>
      <t xml:space="preserve">TWD 0 </t>
    </r>
    <r>
      <rPr>
        <sz val="10"/>
        <rFont val="Noto Sans CJK SC"/>
        <family val="2"/>
      </rPr>
      <t xml:space="preserve">位、</t>
    </r>
    <r>
      <rPr>
        <sz val="10"/>
        <rFont val="Arial"/>
        <family val="0"/>
        <charset val="1"/>
      </rPr>
      <t xml:space="preserve">USD/MYR 2 </t>
    </r>
    <r>
      <rPr>
        <sz val="10"/>
        <rFont val="Noto Sans CJK SC"/>
        <family val="2"/>
      </rPr>
      <t xml:space="preserve">位、千分位、負號 </t>
    </r>
    <r>
      <rPr>
        <sz val="10"/>
        <rFont val="Arial"/>
        <family val="0"/>
        <charset val="1"/>
      </rPr>
      <t xml:space="preserve">U+2212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format.js </t>
    </r>
    <r>
      <rPr>
        <sz val="10"/>
        <rFont val="Noto Sans CJK SC"/>
        <family val="2"/>
      </rPr>
      <t xml:space="preserve">一致）；</t>
    </r>
    <r>
      <rPr>
        <sz val="10"/>
        <rFont val="Arial"/>
        <family val="0"/>
        <charset val="1"/>
      </rPr>
      <t xml:space="preserve">validate.py:203 cash_dip_sentence</t>
    </r>
    <r>
      <rPr>
        <sz val="10"/>
        <rFont val="Noto Sans CJK SC"/>
        <family val="2"/>
      </rPr>
      <t xml:space="preserve">「此筆</t>
    </r>
    <r>
      <rPr>
        <sz val="10"/>
        <rFont val="Arial"/>
        <family val="0"/>
        <charset val="1"/>
      </rPr>
      <t xml:space="preserve">&lt;X&gt;</t>
    </r>
    <r>
      <rPr>
        <sz val="10"/>
        <rFont val="Noto Sans CJK SC"/>
        <family val="2"/>
      </rPr>
      <t xml:space="preserve">會使 </t>
    </r>
    <r>
      <rPr>
        <sz val="10"/>
        <rFont val="Arial"/>
        <family val="0"/>
        <charset val="1"/>
      </rPr>
      <t xml:space="preserve">{account:id}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CCY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（原因）」；出金兩分支（當日「出金當日」、另一條「出金日早於資金到位」）、</t>
    </r>
    <r>
      <rPr>
        <sz val="10"/>
        <rFont val="Arial"/>
        <family val="0"/>
        <charset val="1"/>
      </rPr>
      <t xml:space="preserve">fx_import </t>
    </r>
    <r>
      <rPr>
        <sz val="10"/>
        <rFont val="Noto Sans CJK SC"/>
        <family val="2"/>
      </rPr>
      <t xml:space="preserve">換匯兩分支、</t>
    </r>
    <r>
      <rPr>
        <sz val="10"/>
        <rFont val="Arial"/>
        <family val="0"/>
        <charset val="1"/>
      </rPr>
      <t xml:space="preserve">cash.py negative_cash </t>
    </r>
    <r>
      <rPr>
        <sz val="10"/>
        <rFont val="Noto Sans CJK SC"/>
        <family val="2"/>
      </rPr>
      <t xml:space="preserve">都改走；「帳戶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不存在」改 </t>
    </r>
    <r>
      <rPr>
        <sz val="10"/>
        <rFont val="Arial"/>
        <family val="0"/>
        <charset val="1"/>
      </rPr>
      <t xml:space="preserve">unknown_account_message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ledgers.py:501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export.py 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{account:x} </t>
    </r>
    <r>
      <rPr>
        <sz val="10"/>
        <rFont val="Noto Sans CJK SC"/>
        <family val="2"/>
      </rPr>
      <t xml:space="preserve">無折讓款設定」；</t>
    </r>
    <r>
      <rPr>
        <sz val="10"/>
        <rFont val="Arial"/>
        <family val="0"/>
        <charset val="1"/>
      </rPr>
      <t xml:space="preserve">dividend_inbox.py:286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rebates.py:274/400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account_name </t>
    </r>
    <r>
      <rPr>
        <sz val="10"/>
        <rFont val="Noto Sans CJK SC"/>
        <family val="2"/>
      </rPr>
      <t xml:space="preserve">改記號；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兩句「期初 </t>
    </r>
    <r>
      <rPr>
        <sz val="10"/>
        <rFont val="Arial"/>
        <family val="0"/>
        <charset val="1"/>
      </rPr>
      <t xml:space="preserve">{account:x}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 </t>
    </r>
    <r>
      <rPr>
        <sz val="10"/>
        <rFont val="Noto Sans CJK SC"/>
        <family val="2"/>
      </rPr>
      <t xml:space="preserve">不存在」；</t>
    </r>
    <r>
      <rPr>
        <sz val="10"/>
        <rFont val="Arial"/>
        <family val="0"/>
        <charset val="1"/>
      </rPr>
      <t xml:space="preserve">OversellError </t>
    </r>
    <r>
      <rPr>
        <sz val="10"/>
        <rFont val="Noto Sans CJK SC"/>
        <family val="2"/>
      </rPr>
      <t xml:space="preserve">四份副本收斂成 </t>
    </r>
    <r>
      <rPr>
        <sz val="10"/>
        <rFont val="Arial"/>
        <family val="0"/>
        <charset val="1"/>
      </rPr>
      <t xml:space="preserve">shared/oversold.py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oversold_position_message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oversold_position_issues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Protocol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errors.py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actions.py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export.py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whatif.py </t>
    </r>
    <r>
      <rPr>
        <sz val="10"/>
        <rFont val="Noto Sans CJK SC"/>
        <family val="2"/>
      </rPr>
      <t xml:space="preserve">改用）。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web/shell.js window.toast </t>
    </r>
    <r>
      <rPr>
        <sz val="10"/>
        <rFont val="Noto Sans CJK SC"/>
        <family val="2"/>
      </rPr>
      <t xml:space="preserve">唯一入口加 </t>
    </r>
    <r>
      <rPr>
        <sz val="10"/>
        <rFont val="Arial"/>
        <family val="0"/>
        <charset val="1"/>
      </rPr>
      <t xml:space="preserve">DIAG_CODE=/^[a-z][a-z0-9_]*$/</t>
    </r>
    <r>
      <rPr>
        <sz val="10"/>
        <rFont val="Noto Sans CJK SC"/>
        <family val="2"/>
      </rPr>
      <t xml:space="preserve">，機器碼副行不顯示，改放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「錯誤碼：…」與 </t>
    </r>
    <r>
      <rPr>
        <sz val="10"/>
        <rFont val="Arial"/>
        <family val="0"/>
        <charset val="1"/>
      </rPr>
      <t xml:space="preserve">console.debug</t>
    </r>
    <r>
      <rPr>
        <sz val="10"/>
        <rFont val="Noto Sans CJK SC"/>
        <family val="2"/>
      </rPr>
      <t xml:space="preserve">。剩餘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broker_import.py:322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input_center.py:289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validate.py:247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cost_basis.py </t>
    </r>
    <r>
      <rPr>
        <sz val="10"/>
        <rFont val="Noto Sans CJK SC"/>
        <family val="2"/>
      </rPr>
      <t xml:space="preserve">六句、</t>
    </r>
    <r>
      <rPr>
        <sz val="10"/>
        <rFont val="Arial"/>
        <family val="0"/>
        <charset val="1"/>
      </rPr>
      <t xml:space="preserve">dashboard.py:774</t>
    </r>
    <r>
      <rPr>
        <sz val="10"/>
        <rFont val="Noto Sans CJK SC"/>
        <family val="2"/>
      </rPr>
      <t xml:space="preserve">）由收尾包 </t>
    </r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修掉。</t>
    </r>
  </si>
  <si>
    <r>
      <rPr>
        <sz val="10"/>
        <rFont val="Noto Sans CJK SC"/>
        <family val="2"/>
      </rPr>
      <t xml:space="preserve">透支句型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；後端使用者可見句嵌帳戶名／裸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31</t>
    </r>
    <r>
      <rPr>
        <sz val="10"/>
        <rFont val="Noto Sans CJK SC"/>
        <family val="2"/>
      </rPr>
      <t xml:space="preserve">：修 </t>
    </r>
    <r>
      <rPr>
        <sz val="10"/>
        <rFont val="Arial"/>
        <family val="0"/>
        <charset val="1"/>
      </rPr>
      <t xml:space="preserve">21</t>
    </r>
    <r>
      <rPr>
        <sz val="10"/>
        <rFont val="Noto Sans CJK SC"/>
        <family val="2"/>
      </rPr>
      <t xml:space="preserve">（原 </t>
    </r>
    <r>
      <rPr>
        <sz val="10"/>
        <rFont val="Arial"/>
        <family val="0"/>
        <charset val="1"/>
      </rPr>
      <t xml:space="preserve">PENDING 18</t>
    </r>
    <r>
      <rPr>
        <sz val="10"/>
        <rFont val="Noto Sans CJK SC"/>
        <family val="2"/>
      </rPr>
      <t xml:space="preserve">＋寬掃新找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）／跨包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（收尾包 </t>
    </r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鍵（原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檔名與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頁尾、</t>
    </r>
    <r>
      <rPr>
        <sz val="10"/>
        <rFont val="Arial"/>
        <family val="0"/>
        <charset val="1"/>
      </rPr>
      <t xml:space="preserve">alerts id </t>
    </r>
    <r>
      <rPr>
        <sz val="10"/>
        <rFont val="Noto Sans CJK SC"/>
        <family val="2"/>
      </rPr>
      <t xml:space="preserve">鍵）；</t>
    </r>
    <r>
      <rPr>
        <sz val="10"/>
        <rFont val="Arial"/>
        <family val="0"/>
        <charset val="1"/>
      </rPr>
      <t xml:space="preserve">OversellError 4 </t>
    </r>
    <r>
      <rPr>
        <sz val="10"/>
        <rFont val="Noto Sans CJK SC"/>
        <family val="2"/>
      </rPr>
      <t xml:space="preserve">副本→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產生器；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附錯誤碼 共 </t>
    </r>
    <r>
      <rPr>
        <sz val="10"/>
        <rFont val="Arial"/>
        <family val="0"/>
        <charset val="1"/>
      </rPr>
      <t xml:space="preserve">105 </t>
    </r>
    <r>
      <rPr>
        <sz val="10"/>
        <rFont val="Noto Sans CJK SC"/>
        <family val="2"/>
      </rPr>
      <t xml:space="preserve">處呼叫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檔，改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個入口，後端 </t>
    </r>
    <r>
      <rPr>
        <sz val="10"/>
        <rFont val="Arial"/>
        <family val="0"/>
        <charset val="1"/>
      </rPr>
      <t xml:space="preserve">107 </t>
    </r>
    <r>
      <rPr>
        <sz val="10"/>
        <rFont val="Noto Sans CJK SC"/>
        <family val="2"/>
      </rPr>
      <t xml:space="preserve">個錯誤碼全部符合過濾規則、白名單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</si>
  <si>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tests/contract/test_def008_pool_guard_sentences.py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：逐字釘住「…於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（出金當日）…」「…於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253,820</t>
    </r>
    <r>
      <rPr>
        <sz val="10"/>
        <rFont val="Noto Sans CJK SC"/>
        <family val="2"/>
      </rPr>
      <t xml:space="preserve">（出金日早於資金到位）…」，含 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、換匯、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、未知帳戶、折讓款）、</t>
    </r>
    <r>
      <rPr>
        <sz val="10"/>
        <rFont val="Arial"/>
        <family val="0"/>
        <charset val="1"/>
      </rPr>
      <t xml:space="preserve">tests/contract/test_def008_toast_hides_error_codes.py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test_def007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則）</t>
    </r>
    <r>
      <rPr>
        <sz val="10"/>
        <rFont val="Arial"/>
        <family val="0"/>
        <charset val="1"/>
      </rPr>
      <t xml:space="preserve">toast msg</t>
    </r>
    <r>
      <rPr>
        <sz val="10"/>
        <rFont val="Noto Sans CJK SC"/>
        <family val="2"/>
      </rPr>
      <t xml:space="preserve">「此筆出金會使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2026-05-01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500.00</t>
    </r>
    <r>
      <rPr>
        <sz val="10"/>
        <rFont val="Noto Sans CJK SC"/>
        <family val="2"/>
      </rPr>
      <t xml:space="preserve">（出金當日）…」、無 </t>
    </r>
    <r>
      <rPr>
        <sz val="10"/>
        <rFont val="Arial"/>
        <family val="0"/>
        <charset val="1"/>
      </rPr>
      <t xml:space="preserve">.sub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「錯誤碼：</t>
    </r>
    <r>
      <rPr>
        <sz val="10"/>
        <rFont val="Arial"/>
        <family val="0"/>
        <charset val="1"/>
      </rPr>
      <t xml:space="preserve">withdraw_insufficient_balance</t>
    </r>
    <r>
      <rPr>
        <sz val="10"/>
        <rFont val="Noto Sans CJK SC"/>
        <family val="2"/>
      </rPr>
      <t xml:space="preserve">」。變異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（放回舊出金分支＋</t>
    </r>
    <r>
      <rPr>
        <sz val="10"/>
        <rFont val="Arial"/>
        <family val="0"/>
        <charset val="1"/>
      </rPr>
      <t xml:space="preserve">_acct_name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出金金額 </t>
    </r>
    <r>
      <rPr>
        <sz val="10"/>
        <rFont val="Arial"/>
        <family val="0"/>
        <charset val="1"/>
      </rPr>
      <t xml:space="preserve">3033799…' == '</t>
    </r>
    <r>
      <rPr>
        <sz val="10"/>
        <rFont val="Noto Sans CJK SC"/>
        <family val="2"/>
      </rPr>
      <t xml:space="preserve">此筆出金會使 </t>
    </r>
    <r>
      <rPr>
        <sz val="10"/>
        <rFont val="Arial"/>
        <family val="0"/>
        <charset val="1"/>
      </rPr>
      <t xml:space="preserve">{acco…'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守門「</t>
    </r>
    <r>
      <rPr>
        <sz val="10"/>
        <rFont val="Arial"/>
        <family val="0"/>
        <charset val="1"/>
      </rPr>
      <t xml:space="preserve">a backend f-string names an account by its English name or bare 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guard_contract 5 </t>
    </r>
    <r>
      <rPr>
        <sz val="10"/>
        <rFont val="Noto Sans CJK SC"/>
        <family val="2"/>
      </rPr>
      <t xml:space="preserve">例）；變異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（舊 </t>
    </r>
    <r>
      <rPr>
        <sz val="10"/>
        <rFont val="Arial"/>
        <family val="0"/>
        <charset val="1"/>
      </rPr>
      <t xml:space="preserve">shell.js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the toast still prints a sub-line … 'sub': 'withdraw_insufficient_balance'</t>
    </r>
    <r>
      <rPr>
        <sz val="10"/>
        <rFont val="Noto Sans CJK SC"/>
        <family val="2"/>
      </rPr>
      <t xml:space="preserve">」。舊措辭斷言重錄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處（新行為即裁定）。改回後通過。</t>
    </r>
  </si>
  <si>
    <r>
      <rPr>
        <sz val="10"/>
        <rFont val="Noto Sans CJK SC"/>
        <family val="2"/>
      </rPr>
      <t xml:space="preserve">真實瀏覽器：資金管理 › 台灣券商 </t>
    </r>
    <r>
      <rPr>
        <sz val="10"/>
        <rFont val="Arial"/>
        <family val="0"/>
        <charset val="1"/>
      </rPr>
      <t xml:space="preserve">2026-07-14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4,000,000</t>
    </r>
    <r>
      <rPr>
        <sz val="10"/>
        <rFont val="Noto Sans CJK SC"/>
        <family val="2"/>
      </rPr>
      <t xml:space="preserve">（前端放行、後端擋）；另以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送今日出金 </t>
    </r>
    <r>
      <rPr>
        <sz val="10"/>
        <rFont val="Arial"/>
        <family val="0"/>
        <charset val="1"/>
      </rPr>
      <t xml:space="preserve">6,067,596</t>
    </r>
    <r>
      <rPr>
        <sz val="10"/>
        <rFont val="Noto Sans CJK SC"/>
        <family val="2"/>
      </rPr>
      <t xml:space="preserve">（餘額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</si>
  <si>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時句子帶英文帳戶名、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位小數、無日期，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附錯誤碼
假設：①共用句型＋記號縫＋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過濾錯誤碼
排除：②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此筆出金會使 台灣券商 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2026-07-17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253,820</t>
    </r>
    <r>
      <rPr>
        <sz val="10"/>
        <rFont val="Noto Sans CJK SC"/>
        <family val="2"/>
      </rPr>
      <t xml:space="preserve">（出金日早於資金到位）— 出金不可透支，請先補登入金或換匯」，錯誤碼只在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「錯誤碼：</t>
    </r>
    <r>
      <rPr>
        <sz val="10"/>
        <rFont val="Arial"/>
        <family val="0"/>
        <charset val="1"/>
      </rPr>
      <t xml:space="preserve">withdraw_insufficient_balance</t>
    </r>
    <r>
      <rPr>
        <sz val="10"/>
        <rFont val="Noto Sans CJK SC"/>
        <family val="2"/>
      </rPr>
      <t xml:space="preserve">」；①</t>
    </r>
    <r>
      <rPr>
        <sz val="10"/>
        <rFont val="Arial"/>
        <family val="0"/>
        <charset val="1"/>
      </rPr>
      <t xml:space="preserve">API 422</t>
    </r>
    <r>
      <rPr>
        <sz val="10"/>
        <rFont val="Noto Sans CJK SC"/>
        <family val="2"/>
      </rPr>
      <t xml:space="preserve">「此筆出金會使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（出金當日）…」——有日期、有原因、整數格式與 </t>
    </r>
    <r>
      <rPr>
        <sz val="10"/>
        <rFont val="Arial"/>
        <family val="0"/>
        <charset val="1"/>
      </rPr>
      <t xml:space="preserve">U+2212 </t>
    </r>
    <r>
      <rPr>
        <sz val="10"/>
        <rFont val="Noto Sans CJK SC"/>
        <family val="2"/>
      </rPr>
      <t xml:space="preserve">負號，帳戶以記號交前端轉中文。前端預檢另有「出金金額超過帳戶現金（</t>
    </r>
    <r>
      <rPr>
        <sz val="10"/>
        <rFont val="Arial"/>
        <family val="0"/>
        <charset val="1"/>
      </rPr>
      <t xml:space="preserve">6,067,595 TWD</t>
    </r>
    <r>
      <rPr>
        <sz val="10"/>
        <rFont val="Noto Sans CJK SC"/>
        <family val="2"/>
      </rPr>
      <t xml:space="preserve">）— 出金不可透支」並停用確認鍵。換匯同類句（</t>
    </r>
    <r>
      <rPr>
        <sz val="10"/>
        <rFont val="Arial"/>
        <family val="0"/>
        <charset val="1"/>
      </rPr>
      <t xml:space="preserve">DEF-024 </t>
    </r>
    <r>
      <rPr>
        <sz val="10"/>
        <rFont val="Noto Sans CJK SC"/>
        <family val="2"/>
      </rPr>
      <t xml:space="preserve">複驗時看到）「此筆換匯會使 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2026-07-10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31,000</t>
    </r>
    <r>
      <rPr>
        <sz val="10"/>
        <rFont val="Noto Sans CJK SC"/>
        <family val="2"/>
      </rPr>
      <t xml:space="preserve">（換匯當日）」同句型
定位：</t>
    </r>
    <r>
      <rPr>
        <sz val="10"/>
        <rFont val="Arial"/>
        <family val="0"/>
        <charset val="1"/>
      </rPr>
      <t xml:space="preserve">validate.py cash_dip_sentence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shell.js toast DIAG_CODE</t>
    </r>
    <r>
      <rPr>
        <sz val="10"/>
        <rFont val="Noto Sans CJK SC"/>
        <family val="2"/>
      </rPr>
      <t xml:space="preserve">；變異 →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</si>
  <si>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兩條分支句型一致，無英文名、無原始碼、有日期；未寫入任何列（資金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列不變）</t>
    </r>
  </si>
  <si>
    <r>
      <rPr>
        <sz val="10"/>
        <rFont val="Noto Sans CJK SC"/>
        <family val="2"/>
      </rPr>
      <t xml:space="preserve">同意驗證者：是文案錯，行為符合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returns.py XIRR_CASH_KINDS </t>
    </r>
    <r>
      <rPr>
        <sz val="10"/>
        <rFont val="Noto Sans CJK SC"/>
        <family val="2"/>
      </rPr>
      <t xml:space="preserve">明列 </t>
    </r>
    <r>
      <rPr>
        <sz val="10"/>
        <rFont val="Arial"/>
        <family val="0"/>
        <charset val="1"/>
      </rPr>
      <t xml:space="preserve">REBATE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</si>
  <si>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</si>
  <si>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r>
      <rPr>
        <sz val="10"/>
        <rFont val="Noto Sans CJK SC"/>
        <family val="2"/>
      </rPr>
      <t xml:space="preserve">沒有測試把文案跟 </t>
    </r>
    <r>
      <rPr>
        <sz val="10"/>
        <rFont val="Arial"/>
        <family val="0"/>
        <charset val="1"/>
      </rPr>
      <t xml:space="preserve">AI-D42 </t>
    </r>
    <r>
      <rPr>
        <sz val="10"/>
        <rFont val="Noto Sans CJK SC"/>
        <family val="2"/>
      </rPr>
      <t xml:space="preserve">的行為綁在一起；標點與語言守門只檢查形式。補：以 </t>
    </r>
    <r>
      <rPr>
        <sz val="10"/>
        <rFont val="Arial"/>
        <family val="0"/>
        <charset val="1"/>
      </rPr>
      <t xml:space="preserve">portfolio/returns.py::XIRR_CASH_KINDS </t>
    </r>
    <r>
      <rPr>
        <sz val="10"/>
        <rFont val="Noto Sans CJK SC"/>
        <family val="2"/>
      </rPr>
      <t xml:space="preserve">為錨的文案守門（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去標籤後整行再讀一次，因為被 </t>
    </r>
    <r>
      <rPr>
        <sz val="10"/>
        <rFont val="Arial"/>
        <family val="0"/>
        <charset val="1"/>
      </rPr>
      <t xml:space="preserve">&lt;b&gt; </t>
    </r>
    <r>
      <rPr>
        <sz val="10"/>
        <rFont val="Noto Sans CJK SC"/>
        <family val="2"/>
      </rPr>
      <t xml:space="preserve">切開的句子原本看不到）。</t>
    </r>
  </si>
  <si>
    <r>
      <rPr>
        <sz val="10"/>
        <rFont val="Noto Sans CJK SC"/>
        <family val="2"/>
      </rPr>
      <t xml:space="preserve">改為「不改變持倉成本與資產損益，但會計入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與含匯兌總損益」：</t>
    </r>
    <r>
      <rPr>
        <sz val="10"/>
        <rFont val="Arial"/>
        <family val="0"/>
        <charset val="1"/>
      </rPr>
      <t xml:space="preserve">dividend-inbox.html:69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rebate-inbox.js:221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:157 </t>
    </r>
    <r>
      <rPr>
        <sz val="10"/>
        <rFont val="Noto Sans CJK SC"/>
        <family val="2"/>
      </rPr>
      <t xml:space="preserve">確認框補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說明）；</t>
    </r>
    <r>
      <rPr>
        <sz val="10"/>
        <rFont val="Arial"/>
        <family val="0"/>
        <charset val="1"/>
      </rPr>
      <t xml:space="preserve">shared/whatsnew.py </t>
    </r>
    <r>
      <rPr>
        <sz val="10"/>
        <rFont val="Noto Sans CJK SC"/>
        <family val="2"/>
      </rPr>
      <t xml:space="preserve">兩條（折讓款那條；「三種都不列入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」那條——融資利息與券商費用其實會計入，同樣違反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</si>
  <si>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「否定詞＋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／損益／報酬」共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處：屬「某類現金收支對報酬的影響」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處——錯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全修、對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白名單（重組費用是 </t>
    </r>
    <r>
      <rPr>
        <sz val="10"/>
        <rFont val="Arial"/>
        <family val="0"/>
        <charset val="1"/>
      </rPr>
      <t xml:space="preserve">WITHDRAW </t>
    </r>
    <r>
      <rPr>
        <sz val="10"/>
        <rFont val="Noto Sans CJK SC"/>
        <family val="2"/>
      </rPr>
      <t xml:space="preserve">本來就不進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；「入金／出金／期初與閒置現金利息仍然不算」）；其餘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不屬此類（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標籤、取得成本、指數報酬說明、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處「不計入成本」正確保留。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</si>
  <si>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tests/contract/test_def011_cash_kind_copy_matches_ai_d42.py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：釘住 </t>
    </r>
    <r>
      <rPr>
        <sz val="10"/>
        <rFont val="Arial"/>
        <family val="0"/>
        <charset val="1"/>
      </rPr>
      <t xml:space="preserve">AI-D42 </t>
    </r>
    <r>
      <rPr>
        <sz val="10"/>
        <rFont val="Noto Sans CJK SC"/>
        <family val="2"/>
      </rPr>
      <t xml:space="preserve">分類表；折讓款相關句不得「否定詞＋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」；融資利息／券商費用與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同句且有否定詞時必須寫明「會計入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」；面板與 </t>
    </r>
    <r>
      <rPr>
        <sz val="10"/>
        <rFont val="Arial"/>
        <family val="0"/>
        <charset val="1"/>
      </rPr>
      <t xml:space="preserve">rebate-inbox.js </t>
    </r>
    <r>
      <rPr>
        <sz val="10"/>
        <rFont val="Noto Sans CJK SC"/>
        <family val="2"/>
      </rPr>
      <t xml:space="preserve">都必須寫明兩個會變動的數字）。變異（放回舊文案）→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則失敗，點名 </t>
    </r>
    <r>
      <rPr>
        <sz val="10"/>
        <rFont val="Arial"/>
        <family val="0"/>
        <charset val="1"/>
      </rPr>
      <t xml:space="preserve">rebate-inbox.js:221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dividend-inbox.html:69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whatsnew.py:1244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whatsnew.py:373</t>
    </r>
    <r>
      <rPr>
        <sz val="10"/>
        <rFont val="Noto Sans CJK SC"/>
        <family val="2"/>
      </rPr>
      <t xml:space="preserve">「三種都不列入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」，另「</t>
    </r>
    <r>
      <rPr>
        <sz val="10"/>
        <rFont val="Arial"/>
        <family val="0"/>
        <charset val="1"/>
      </rPr>
      <t xml:space="preserve">AssertionError: panel</t>
    </r>
    <r>
      <rPr>
        <sz val="10"/>
        <rFont val="Noto Sans CJK SC"/>
        <family val="2"/>
      </rPr>
      <t xml:space="preserve">」。改回後通過。</t>
    </r>
  </si>
  <si>
    <t xml:space="preserve">真實瀏覽器：收件匣 › 待確認退款（折讓款）區塊標題、每張卡與頁尾說明文字</t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</si>
  <si>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時文案寫「不計入成本／損益／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」，實際會動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
假設：①三處文案都改為與實際行為一致；②只改一處
排除：標題下「它是交易成本的退回：不改變持倉成本與資產損益，但會計入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與含匯兌總損益」、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張卡片內文、頁尾「…但會計入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與含匯兌總損益（交易與融資成本項）」三處一致；與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實測（確認 </t>
    </r>
    <r>
      <rPr>
        <sz val="10"/>
        <rFont val="Arial"/>
        <family val="0"/>
        <charset val="1"/>
      </rPr>
      <t xml:space="preserve">620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XIRR 10.22407→10.22472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不變）相符
定位：</t>
    </r>
    <r>
      <rPr>
        <sz val="10"/>
        <rFont val="Arial"/>
        <family val="0"/>
        <charset val="1"/>
      </rPr>
      <t xml:space="preserve">dividend-inbox </t>
    </r>
    <r>
      <rPr>
        <sz val="10"/>
        <rFont val="Noto Sans CJK SC"/>
        <family val="2"/>
      </rPr>
      <t xml:space="preserve">文案；變異還原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</si>
  <si>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</si>
  <si>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</si>
  <si>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</si>
  <si>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</si>
  <si>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r>
      <rPr>
        <sz val="10"/>
        <rFont val="Noto Sans CJK SC"/>
        <family val="2"/>
      </rPr>
      <t xml:space="preserve">「配息刷新」彙總的產生處共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；其他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呼叫（報價、歷史、匯率、基準、回補）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處仍英文無理由（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釘住）→ 由 </t>
    </r>
    <r>
      <rPr>
        <sz val="10"/>
        <rFont val="Arial"/>
        <family val="0"/>
        <charset val="1"/>
      </rPr>
      <t xml:space="preserve">Agent G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同類補修。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</si>
  <si>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tests/api/test_def015_dividend_scan_names_failures.py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</t>
    </r>
    <r>
      <rPr>
        <sz val="10"/>
        <rFont val="Arial"/>
        <family val="0"/>
        <charset val="1"/>
      </rPr>
      <t xml:space="preserve">refresh </t>
    </r>
    <r>
      <rPr>
        <sz val="10"/>
        <rFont val="Noto Sans CJK SC"/>
        <family val="2"/>
      </rPr>
      <t xml:space="preserve">帶理由、格式器句型、收件匣 </t>
    </r>
    <r>
      <rPr>
        <sz val="10"/>
        <rFont val="Arial"/>
        <family val="0"/>
        <charset val="1"/>
      </rPr>
      <t xml:space="preserve">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同一句、不帶 </t>
    </r>
    <r>
      <rPr>
        <sz val="10"/>
        <rFont val="Arial"/>
        <family val="0"/>
        <charset val="1"/>
      </rPr>
      <t xml:space="preserve">refresh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、兩個排程工作同一格式器、</t>
    </r>
    <r>
      <rPr>
        <sz val="10"/>
        <rFont val="Arial"/>
        <family val="0"/>
        <charset val="1"/>
      </rPr>
      <t xml:space="preserve">inbox.js </t>
    </r>
    <r>
      <rPr>
        <sz val="10"/>
        <rFont val="Noto Sans CJK SC"/>
        <family val="2"/>
      </rPr>
      <t xml:space="preserve">讀結構化欄位）。變異（格式器改回只給計數、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改回吞掉理由）→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test_the_registry_records_a_reason_per_failed_symbol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test_refresh_dividends_carries_the_reasons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test_one_sentence_names_every_failure_with_its_reason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test_the_inbox_refresh_names…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test_both_scheduler_jobs_use_the_one_formatter</t>
    </r>
    <r>
      <rPr>
        <sz val="10"/>
        <rFont val="Noto Sans CJK SC"/>
        <family val="2"/>
      </rPr>
      <t xml:space="preserve">）。改回後通過。</t>
    </r>
  </si>
  <si>
    <r>
      <rPr>
        <sz val="10"/>
        <rFont val="Noto Sans CJK SC"/>
        <family val="2"/>
      </rPr>
      <t xml:space="preserve">真實瀏覽器：收件匣 › 待確認匯入 › 重新偵測（外部來源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</si>
  <si>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時只說「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檔失敗」
假設：①回應帶 </t>
    </r>
    <r>
      <rPr>
        <sz val="10"/>
        <rFont val="Arial"/>
        <family val="0"/>
        <charset val="1"/>
      </rPr>
      <t xml:space="preserve">failed[{symbol, reason}] </t>
    </r>
    <r>
      <rPr>
        <sz val="10"/>
        <rFont val="Noto Sans CJK SC"/>
        <family val="2"/>
      </rPr>
      <t xml:space="preserve">並顯示；②只加到 </t>
    </r>
    <r>
      <rPr>
        <sz val="10"/>
        <rFont val="Arial"/>
        <family val="0"/>
        <charset val="1"/>
      </rPr>
      <t xml:space="preserve">API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GET /api/dividend-inbox?refresh=1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refreshed {updated 14, failed [{symbol TSLA, reason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無配息資料」</t>
    </r>
    <r>
      <rPr>
        <sz val="10"/>
        <rFont val="Arial"/>
        <family val="0"/>
        <charset val="1"/>
      </rPr>
      <t xml:space="preserve">}], text…}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偵測完成（部分標的失敗）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筆」，狀態列「上次偵測：…」同句
定位：</t>
    </r>
    <r>
      <rPr>
        <sz val="10"/>
        <rFont val="Arial"/>
        <family val="0"/>
        <charset val="1"/>
      </rPr>
      <t xml:space="preserve">dividend_inbox refresh </t>
    </r>
    <r>
      <rPr>
        <sz val="10"/>
        <rFont val="Noto Sans CJK SC"/>
        <family val="2"/>
      </rPr>
      <t xml:space="preserve">回傳失敗明細；變異只回計數 → </t>
    </r>
    <r>
      <rPr>
        <sz val="10"/>
        <rFont val="Arial"/>
        <family val="0"/>
        <charset val="1"/>
      </rPr>
      <t xml:space="preserve">3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</si>
  <si>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</si>
  <si>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r>
      <rPr>
        <sz val="10"/>
        <rFont val="Noto Sans CJK SC"/>
        <family val="2"/>
      </rPr>
      <t xml:space="preserve">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</si>
  <si>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</si>
  <si>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</si>
  <si>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</si>
  <si>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r>
      <rPr>
        <sz val="10"/>
        <rFont val="Noto Sans CJK SC"/>
        <family val="2"/>
      </rPr>
      <t xml:space="preserve">讀取時推導而非改六個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入口：</t>
    </r>
    <r>
      <rPr>
        <sz val="10"/>
        <rFont val="Arial"/>
        <family val="0"/>
        <charset val="1"/>
      </rPr>
      <t xml:space="preserve">data_ingestion/provenance.py list_batches——row_count </t>
    </r>
    <r>
      <rPr>
        <sz val="10"/>
        <rFont val="Noto Sans CJK SC"/>
        <family val="2"/>
      </rPr>
      <t xml:space="preserve">即時計算各帳本表仍帶該 </t>
    </r>
    <r>
      <rPr>
        <sz val="10"/>
        <rFont val="Arial"/>
        <family val="0"/>
        <charset val="1"/>
      </rPr>
      <t xml:space="preserve">import_batch_id </t>
    </r>
    <r>
      <rPr>
        <sz val="10"/>
        <rFont val="Noto Sans CJK SC"/>
        <family val="2"/>
      </rPr>
      <t xml:space="preserve">的列，原存數字改 </t>
    </r>
    <r>
      <rPr>
        <sz val="10"/>
        <rFont val="Arial"/>
        <family val="0"/>
        <charset val="1"/>
      </rPr>
      <t xml:space="preserve">written_count</t>
    </r>
    <r>
      <rPr>
        <sz val="10"/>
        <rFont val="Noto Sans CJK SC"/>
        <family val="2"/>
      </rPr>
      <t xml:space="preserve">；已無剩餘列的批次不列出（不論從哪個入口刪）；</t>
    </r>
    <r>
      <rPr>
        <sz val="10"/>
        <rFont val="Arial"/>
        <family val="0"/>
        <charset val="1"/>
      </rPr>
      <t xml:space="preserve">is_undoable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openings </t>
    </r>
    <r>
      <rPr>
        <sz val="10"/>
        <rFont val="Noto Sans CJK SC"/>
        <family val="2"/>
      </rPr>
      <t xml:space="preserve">表以（帳戶</t>
    </r>
    <r>
      <rPr>
        <sz val="10"/>
        <rFont val="Arial"/>
        <family val="0"/>
        <charset val="1"/>
      </rPr>
      <t xml:space="preserve">,</t>
    </r>
    <r>
      <rPr>
        <sz val="10"/>
        <rFont val="Noto Sans CJK SC"/>
        <family val="2"/>
      </rPr>
      <t xml:space="preserve">代號）覆寫、列上沒有批次 </t>
    </r>
    <r>
      <rPr>
        <sz val="10"/>
        <rFont val="Arial"/>
        <family val="0"/>
        <charset val="1"/>
      </rPr>
      <t xml:space="preserve">id → undoable:false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DELETE /api/import/batches/{id}</t>
    </r>
    <r>
      <rPr>
        <sz val="10"/>
        <rFont val="Noto Sans CJK SC"/>
        <family val="2"/>
      </rPr>
      <t xml:space="preserve">：列已刪光回 </t>
    </r>
    <r>
      <rPr>
        <sz val="10"/>
        <rFont val="Arial"/>
        <family val="0"/>
        <charset val="1"/>
      </rPr>
      <t xml:space="preserve">{deleted:0, import_batch_id, message:"</t>
    </r>
    <r>
      <rPr>
        <sz val="10"/>
        <rFont val="Noto Sans CJK SC"/>
        <family val="2"/>
      </rPr>
      <t xml:space="preserve">此批次的列已在帳本中刪除</t>
    </r>
    <r>
      <rPr>
        <sz val="10"/>
        <rFont val="Arial"/>
        <family val="0"/>
        <charset val="1"/>
      </rPr>
      <t xml:space="preserve">"} </t>
    </r>
    <r>
      <rPr>
        <sz val="10"/>
        <rFont val="Noto Sans CJK SC"/>
        <family val="2"/>
      </rPr>
      <t xml:space="preserve">並清掉空批次紀錄；</t>
    </r>
    <r>
      <rPr>
        <sz val="10"/>
        <rFont val="Arial"/>
        <family val="0"/>
        <charset val="1"/>
      </rPr>
      <t xml:space="preserve">openings </t>
    </r>
    <r>
      <rPr>
        <sz val="10"/>
        <rFont val="Noto Sans CJK SC"/>
        <family val="2"/>
      </rPr>
      <t xml:space="preserve">批次 </t>
    </r>
    <r>
      <rPr>
        <sz val="10"/>
        <rFont val="Arial"/>
        <family val="0"/>
        <charset val="1"/>
      </rPr>
      <t xml:space="preserve">422 batch_not_undoable</t>
    </r>
    <r>
      <rPr>
        <sz val="10"/>
        <rFont val="Noto Sans CJK SC"/>
        <family val="2"/>
      </rPr>
      <t xml:space="preserve">；有剩餘列的正常復原回應逐字不變。前端（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）手動股利與期初庫存表單送 </t>
    </r>
    <r>
      <rPr>
        <sz val="10"/>
        <rFont val="Arial"/>
        <family val="0"/>
        <charset val="1"/>
      </rPr>
      <t xml:space="preserve">source_name:"</t>
    </r>
    <r>
      <rPr>
        <sz val="10"/>
        <rFont val="Noto Sans CJK SC"/>
        <family val="2"/>
      </rPr>
      <t xml:space="preserve">手動輸入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匯入送檔名／「貼上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寫入送「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輸入」，最近匯入清單顯示來源；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的批次清單／復原對話框（</t>
    </r>
    <r>
      <rPr>
        <sz val="10"/>
        <rFont val="Arial"/>
        <family val="0"/>
        <charset val="1"/>
      </rPr>
      <t xml:space="preserve">undoable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written_count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deleted 0 </t>
    </r>
    <r>
      <rPr>
        <sz val="10"/>
        <rFont val="Noto Sans CJK SC"/>
        <family val="2"/>
      </rPr>
      <t xml:space="preserve">的訊息、矛盾文案）由收尾包 </t>
    </r>
    <r>
      <rPr>
        <sz val="10"/>
        <rFont val="Arial"/>
        <family val="0"/>
        <charset val="1"/>
      </rPr>
      <t xml:space="preserve">I-8 </t>
    </r>
    <r>
      <rPr>
        <sz val="10"/>
        <rFont val="Noto Sans CJK SC"/>
        <family val="2"/>
      </rPr>
      <t xml:space="preserve">處理。</t>
    </r>
  </si>
  <si>
    <r>
      <rPr>
        <sz val="10"/>
        <rFont val="Noto Sans CJK SC"/>
        <family val="2"/>
      </rPr>
      <t xml:space="preserve">會刪帳本列的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個有批次追蹤全部由讀取時推導涵蓋；</t>
    </r>
    <r>
      <rPr>
        <sz val="10"/>
        <rFont val="Arial"/>
        <family val="0"/>
        <charset val="1"/>
      </rPr>
      <t xml:space="preserve">openings 1 </t>
    </r>
    <r>
      <rPr>
        <sz val="10"/>
        <rFont val="Noto Sans CJK SC"/>
        <family val="2"/>
      </rPr>
      <t xml:space="preserve">個標示不可復原。走 </t>
    </r>
    <r>
      <rPr>
        <sz val="10"/>
        <rFont val="Arial"/>
        <family val="0"/>
        <charset val="1"/>
      </rPr>
      <t xml:space="preserve">/api/import/commit </t>
    </r>
    <r>
      <rPr>
        <sz val="10"/>
        <rFont val="Noto Sans CJK SC"/>
        <family val="2"/>
      </rPr>
      <t xml:space="preserve">的手動表單共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股利、期初庫存），換匯與資金在 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/api/cash/fx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/api/cash/movements </t>
    </r>
    <r>
      <rPr>
        <sz val="10"/>
        <rFont val="Noto Sans CJK SC"/>
        <family val="2"/>
      </rPr>
      <t xml:space="preserve">不產生批次。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</si>
  <si>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tests/contract/test_def017_batches_follow_the_ledger.py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：交易、股利、換匯、資金各一例刪一列後 </t>
    </r>
    <r>
      <rPr>
        <sz val="10"/>
        <rFont val="Arial"/>
        <family val="0"/>
        <charset val="1"/>
      </rPr>
      <t xml:space="preserve">row_count 2→1</t>
    </r>
    <r>
      <rPr>
        <sz val="10"/>
        <rFont val="Noto Sans CJK SC"/>
        <family val="2"/>
      </rPr>
      <t xml:space="preserve">、刪最後一列後批次不再列出；公司行動一例；驗證者原案例 </t>
    </r>
    <r>
      <rPr>
        <sz val="10"/>
        <rFont val="Arial"/>
        <family val="0"/>
        <charset val="1"/>
      </rPr>
      <t xml:space="preserve">source_name="</t>
    </r>
    <r>
      <rPr>
        <sz val="10"/>
        <rFont val="Noto Sans CJK SC"/>
        <family val="2"/>
      </rPr>
      <t xml:space="preserve">手動輸入</t>
    </r>
    <r>
      <rPr>
        <sz val="10"/>
        <rFont val="Arial"/>
        <family val="0"/>
        <charset val="1"/>
      </rPr>
      <t xml:space="preserve">" </t>
    </r>
    <r>
      <rPr>
        <sz val="10"/>
        <rFont val="Noto Sans CJK SC"/>
        <family val="2"/>
      </rPr>
      <t xml:space="preserve">刪除後復原得如實回應且紀錄被清除；正常復原回應逐字不變；</t>
    </r>
    <r>
      <rPr>
        <sz val="10"/>
        <rFont val="Arial"/>
        <family val="0"/>
        <charset val="1"/>
      </rPr>
      <t xml:space="preserve">openings </t>
    </r>
    <r>
      <rPr>
        <sz val="10"/>
        <rFont val="Noto Sans CJK SC"/>
        <family val="2"/>
      </rPr>
      <t xml:space="preserve">批次不可復原）；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驗證最近匯入顯示「貼上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」。變異（放回舊清單查詢與舊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 KeyError 'written_count'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1 not in {1: …}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1 KeyError 'undoable'</t>
    </r>
    <r>
      <rPr>
        <sz val="10"/>
        <rFont val="Noto Sans CJK SC"/>
        <family val="2"/>
      </rPr>
      <t xml:space="preserve">）。改回後通過。</t>
    </r>
  </si>
  <si>
    <r>
      <rPr>
        <sz val="10"/>
        <rFont val="Noto Sans CJK SC"/>
        <family val="2"/>
      </rPr>
      <t xml:space="preserve">真實瀏覽器：交易帳本 › 股利表單寫入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現金股利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於帳本股利分頁刪除 → 同頁回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匯入看「最近匯入」並按復原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</si>
  <si>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面已修——寫入後 </t>
    </r>
    <r>
      <rPr>
        <sz val="10"/>
        <rFont val="Arial"/>
        <family val="0"/>
        <charset val="1"/>
      </rPr>
      <t xml:space="preserve">GET /api/import/batches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{id 12, source_name</t>
    </r>
    <r>
      <rPr>
        <sz val="10"/>
        <rFont val="Noto Sans CJK SC"/>
        <family val="2"/>
      </rPr>
      <t xml:space="preserve">「手動輸入」</t>
    </r>
    <r>
      <rPr>
        <sz val="10"/>
        <rFont val="Arial"/>
        <family val="0"/>
        <charset val="1"/>
      </rPr>
      <t xml:space="preserve">, row_count 1, written_count 1, undoable true}</t>
    </r>
    <r>
      <rPr>
        <sz val="10"/>
        <rFont val="Noto Sans CJK SC"/>
        <family val="2"/>
      </rPr>
      <t xml:space="preserve">，最近匯入顯示來源「手動輸入」；從帳本刪除後 </t>
    </r>
    <r>
      <rPr>
        <sz val="10"/>
        <rFont val="Arial"/>
        <family val="0"/>
        <charset val="1"/>
      </rPr>
      <t xml:space="preserve">GET /api/import/batches → []
</t>
    </r>
    <r>
      <rPr>
        <sz val="10"/>
        <rFont val="Noto Sans CJK SC"/>
        <family val="2"/>
      </rPr>
      <t xml:space="preserve">假設：①同頁的最近匯入清單會跟著刷新；②只有重新載入才會刷新
排除：刪除後 </t>
    </r>
    <r>
      <rPr>
        <sz val="10"/>
        <rFont val="Arial"/>
        <family val="0"/>
        <charset val="1"/>
      </rPr>
      <t xml:space="preserve">DELETE /api/ledgers/dividends/44 </t>
    </r>
    <r>
      <rPr>
        <sz val="10"/>
        <rFont val="Noto Sans CJK SC"/>
        <family val="2"/>
      </rPr>
      <t xml:space="preserve">之後沒有任何 </t>
    </r>
    <r>
      <rPr>
        <sz val="10"/>
        <rFont val="Arial"/>
        <family val="0"/>
        <charset val="1"/>
      </rPr>
      <t xml:space="preserve">GET /api/import/batches</t>
    </r>
    <r>
      <rPr>
        <sz val="10"/>
        <rFont val="Noto Sans CJK SC"/>
        <family val="2"/>
      </rPr>
      <t xml:space="preserve">，同頁清單仍顯示「</t>
    </r>
    <r>
      <rPr>
        <sz val="10"/>
        <rFont val="Arial"/>
        <family val="0"/>
        <charset val="1"/>
      </rPr>
      <t xml:space="preserve">2026-09-24 02:28:56 </t>
    </r>
    <r>
      <rPr>
        <sz val="10"/>
        <rFont val="Noto Sans CJK SC"/>
        <family val="2"/>
      </rPr>
      <t xml:space="preserve">股利 手動輸入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復原」，排除①。按復原 → 對話框仍寫「將刪除這批匯入寫進帳本的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筆股利紀錄」，實際 </t>
    </r>
    <r>
      <rPr>
        <sz val="10"/>
        <rFont val="Arial"/>
        <family val="0"/>
        <charset val="1"/>
      </rPr>
      <t xml:space="preserve">DELETE /api/import/batches/12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{deleted:0, message:</t>
    </r>
    <r>
      <rPr>
        <sz val="10"/>
        <rFont val="Noto Sans CJK SC"/>
        <family val="2"/>
      </rPr>
      <t xml:space="preserve">「此批次的列已在帳本中刪除」</t>
    </r>
    <r>
      <rPr>
        <sz val="10"/>
        <rFont val="Arial"/>
        <family val="0"/>
        <charset val="1"/>
      </rPr>
      <t xml:space="preserve">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沒有可復原的列」，清單此時才刷新為「尚無匯入紀錄」
定位：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帳本刪除成功後未重抓批次清單（與 </t>
    </r>
    <r>
      <rPr>
        <sz val="10"/>
        <rFont val="Arial"/>
        <family val="0"/>
        <charset val="1"/>
      </rPr>
      <t xml:space="preserve">DEF-019 </t>
    </r>
    <r>
      <rPr>
        <sz val="10"/>
        <rFont val="Noto Sans CJK SC"/>
        <family val="2"/>
      </rPr>
      <t xml:space="preserve">復原後重抓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為反方向）；復原對話框筆數取清單快取的 </t>
    </r>
    <r>
      <rPr>
        <sz val="10"/>
        <rFont val="Arial"/>
        <family val="0"/>
        <charset val="1"/>
      </rPr>
      <t xml:space="preserve">row_count
</t>
    </r>
    <r>
      <rPr>
        <sz val="10"/>
        <rFont val="Noto Sans CJK SC"/>
        <family val="2"/>
      </rPr>
      <t xml:space="preserve">判定：部分通過——後端與重新載入後的畫面正確；同頁操作時對話框筆數仍與實際不符（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所報「文案說刪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筆、實際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筆」在同頁情境仍可重現）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</si>
  <si>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</si>
  <si>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</si>
  <si>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r>
      <rPr>
        <sz val="10"/>
        <rFont val="Noto Sans CJK SC"/>
        <family val="2"/>
      </rPr>
      <t xml:space="preserve">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</t>
    </r>
  </si>
  <si>
    <r>
      <rPr>
        <sz val="10"/>
        <rFont val="Noto Sans CJK SC"/>
        <family val="2"/>
      </rPr>
      <t xml:space="preserve">同意驗證者。修前實測 </t>
    </r>
    <r>
      <rPr>
        <sz val="10"/>
        <rFont val="Arial"/>
        <family val="0"/>
        <charset val="1"/>
      </rPr>
      <t xml:space="preserve">1,440px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scrollWidth 3,874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3,673</t>
    </r>
    <r>
      <rPr>
        <sz val="10"/>
        <rFont val="Noto Sans CJK SC"/>
        <family val="2"/>
      </rPr>
      <t xml:space="preserve">；兩層原因：變數表沒包捲動容器＋</t>
    </r>
    <r>
      <rPr>
        <sz val="10"/>
        <rFont val="Arial"/>
        <family val="0"/>
        <charset val="1"/>
      </rPr>
      <t xml:space="preserve">td nowrap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</si>
  <si>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</si>
  <si>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r>
      <rPr>
        <sz val="10"/>
        <rFont val="Noto Sans CJK SC"/>
        <family val="2"/>
      </rPr>
      <t xml:space="preserve">應由版面溢位守門（</t>
    </r>
    <r>
      <rPr>
        <sz val="10"/>
        <rFont val="Arial"/>
        <family val="0"/>
        <charset val="1"/>
      </rPr>
      <t xml:space="preserve">tests/e2e/test_no_horizontal_scroll.py:73-78 _assert_no_h_scroll</t>
    </r>
    <r>
      <rPr>
        <sz val="10"/>
        <rFont val="Noto Sans CJK SC"/>
        <family val="2"/>
      </rPr>
      <t xml:space="preserve">）攔下，它有三個盲點：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載入後直接量、從不展開 </t>
    </r>
    <r>
      <rPr>
        <sz val="10"/>
        <rFont val="Arial"/>
        <family val="0"/>
        <charset val="1"/>
      </rPr>
      <t xml:space="preserve">&lt;details&gt;</t>
    </r>
    <r>
      <rPr>
        <sz val="10"/>
        <rFont val="Noto Sans CJK SC"/>
        <family val="2"/>
      </rPr>
      <t xml:space="preserve">（收合內容不參與版面）；</t>
    </r>
    <r>
      <rPr>
        <sz val="10"/>
        <rFont val="Arial"/>
        <family val="0"/>
        <charset val="1"/>
      </rPr>
      <t xml:space="preserve">(2) settings.html 8 </t>
    </r>
    <r>
      <rPr>
        <sz val="10"/>
        <rFont val="Noto Sans CJK SC"/>
        <family val="2"/>
      </rPr>
      <t xml:space="preserve">個分頁只量到預設與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個有轉址頁的分頁，預警規則／通知中心／匯出中心從沒顯示過；</t>
    </r>
    <r>
      <rPr>
        <sz val="10"/>
        <rFont val="Arial"/>
        <family val="0"/>
        <charset val="1"/>
      </rPr>
      <t xml:space="preserve">(3) settings-*.html </t>
    </r>
    <r>
      <rPr>
        <sz val="10"/>
        <rFont val="Noto Sans CJK SC"/>
        <family val="2"/>
      </rPr>
      <t xml:space="preserve">轉址是同一份文件的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切換，上一頁展開狀態帶進下一頁。三個都已修：每次量測前 </t>
    </r>
    <r>
      <rPr>
        <sz val="10"/>
        <rFont val="Arial"/>
        <family val="0"/>
        <charset val="1"/>
      </rPr>
      <t xml:space="preserve">goto about:blank</t>
    </r>
    <r>
      <rPr>
        <sz val="10"/>
        <rFont val="Noto Sans CJK SC"/>
        <family val="2"/>
      </rPr>
      <t xml:space="preserve">；先量一次再 </t>
    </r>
    <r>
      <rPr>
        <sz val="10"/>
        <rFont val="Arial"/>
        <family val="0"/>
        <charset val="1"/>
      </rPr>
      <t xml:space="preserve">_EXPAND </t>
    </r>
    <r>
      <rPr>
        <sz val="10"/>
        <rFont val="Noto Sans CJK SC"/>
        <family val="2"/>
      </rPr>
      <t xml:space="preserve">打開所有 </t>
    </r>
    <r>
      <rPr>
        <sz val="10"/>
        <rFont val="Arial"/>
        <family val="0"/>
        <charset val="1"/>
      </rPr>
      <t xml:space="preserve">&lt;details&gt;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[aria-expanded=false] </t>
    </r>
    <r>
      <rPr>
        <sz val="10"/>
        <rFont val="Noto Sans CJK SC"/>
        <family val="2"/>
      </rPr>
      <t xml:space="preserve">再量；逐一走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個分頁；新增指定走到「數據變數總表」的測試並證明展開發生（</t>
    </r>
    <r>
      <rPr>
        <sz val="10"/>
        <rFont val="Arial"/>
        <family val="0"/>
        <charset val="1"/>
      </rPr>
      <t xml:space="preserve">opened≥1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</si>
  <si>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原則：每張表都在自己的水平捲動容器（優先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；不能改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的在容器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overflow-x:auto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變數表包進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settings.css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td.vars-desc </t>
    </r>
    <r>
      <rPr>
        <sz val="10"/>
        <rFont val="Noto Sans CJK SC"/>
        <family val="2"/>
      </rPr>
      <t xml:space="preserve">可換行（</t>
    </r>
    <r>
      <rPr>
        <sz val="10"/>
        <rFont val="Arial"/>
        <family val="0"/>
        <charset val="1"/>
      </rPr>
      <t xml:space="preserve">min 220px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#users-wrap overflow-x:auto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settings-users.js </t>
    </r>
    <r>
      <rPr>
        <sz val="10"/>
        <rFont val="Noto Sans CJK SC"/>
        <family val="2"/>
      </rPr>
      <t xml:space="preserve">改容器不動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.billing-grid &gt; * { min-width:0 }</t>
    </r>
    <r>
      <rPr>
        <sz val="10"/>
        <rFont val="Noto Sans CJK SC"/>
        <family val="2"/>
      </rPr>
      <t xml:space="preserve">（新守門抓到自己修法造成的回歸：加值歷史表包 </t>
    </r>
    <r>
      <rPr>
        <sz val="10"/>
        <rFont val="Arial"/>
        <family val="0"/>
        <charset val="1"/>
      </rPr>
      <t xml:space="preserve">.table-wrap </t>
    </r>
    <r>
      <rPr>
        <sz val="10"/>
        <rFont val="Noto Sans CJK SC"/>
        <family val="2"/>
      </rPr>
      <t xml:space="preserve">後手機寬度 </t>
    </r>
    <r>
      <rPr>
        <sz val="10"/>
        <rFont val="Arial"/>
        <family val="0"/>
        <charset val="1"/>
      </rPr>
      <t xml:space="preserve">min 640px </t>
    </r>
    <r>
      <rPr>
        <sz val="10"/>
        <rFont val="Noto Sans CJK SC"/>
        <family val="2"/>
      </rPr>
      <t xml:space="preserve">撐大 </t>
    </r>
    <r>
      <rPr>
        <sz val="10"/>
        <rFont val="Arial"/>
        <family val="0"/>
        <charset val="1"/>
      </rPr>
      <t xml:space="preserve">grid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頁寬 </t>
    </r>
    <r>
      <rPr>
        <sz val="10"/>
        <rFont val="Arial"/>
        <family val="0"/>
        <charset val="1"/>
      </rPr>
      <t xml:space="preserve">673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settings.html:288 </t>
    </r>
    <r>
      <rPr>
        <sz val="10"/>
        <rFont val="Noto Sans CJK SC"/>
        <family val="2"/>
      </rPr>
      <t xml:space="preserve">加值歷史表包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運行記錄表包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</si>
  <si>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表格建立點共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JS 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HTML 31</t>
    </r>
    <r>
      <rPr>
        <sz val="10"/>
        <rFont val="Noto Sans CJK SC"/>
        <family val="2"/>
      </rPr>
      <t xml:space="preserve">；變數總表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個建立點產生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張表）：修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變數表、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運行記錄表、</t>
    </r>
    <r>
      <rPr>
        <sz val="10"/>
        <rFont val="Arial"/>
        <family val="0"/>
        <charset val="1"/>
      </rPr>
      <t xml:space="preserve">settings.html:288 </t>
    </r>
    <r>
      <rPr>
        <sz val="10"/>
        <rFont val="Noto Sans CJK SC"/>
        <family val="2"/>
      </rPr>
      <t xml:space="preserve">加值歷史表、</t>
    </r>
    <r>
      <rPr>
        <sz val="10"/>
        <rFont val="Arial"/>
        <family val="0"/>
        <charset val="1"/>
      </rPr>
      <t xml:space="preserve">settings-users.js </t>
    </r>
    <r>
      <rPr>
        <sz val="10"/>
        <rFont val="Noto Sans CJK SC"/>
        <family val="2"/>
      </rPr>
      <t xml:space="preserve">表改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容器）／白名單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.rbt-detail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.ca-modal .ca-acct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.ccyret-table-wrap </t>
    </r>
    <r>
      <rPr>
        <sz val="10"/>
        <rFont val="Noto Sans CJK SC"/>
        <family val="2"/>
      </rPr>
      <t xml:space="preserve">容器本身會捲；</t>
    </r>
    <r>
      <rPr>
        <sz val="10"/>
        <rFont val="Arial"/>
        <family val="0"/>
        <charset val="1"/>
      </rPr>
      <t xml:space="preserve">index.html table.fresh </t>
    </r>
    <r>
      <rPr>
        <sz val="10"/>
        <rFont val="Noto Sans CJK SC"/>
        <family val="2"/>
      </rPr>
      <t xml:space="preserve">兩欄新鮮度表由展開後掃描量測；白名單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規則由測試讀回驗證）／原本就有包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</si>
  <si>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tests/contract/test_def002_tables_scroll_inside_a_wrap.py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，表格數量鎖定 </t>
    </r>
    <r>
      <rPr>
        <sz val="10"/>
        <rFont val="Arial"/>
        <family val="0"/>
        <charset val="1"/>
      </rPr>
      <t xml:space="preserve">JS 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HTML 31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tests/e2e/test_no_horizontal_scroll.py </t>
    </r>
    <r>
      <rPr>
        <sz val="10"/>
        <rFont val="Noto Sans CJK SC"/>
        <family val="2"/>
      </rPr>
      <t xml:space="preserve">並新增 </t>
    </r>
    <r>
      <rPr>
        <sz val="10"/>
        <rFont val="Arial"/>
        <family val="0"/>
        <charset val="1"/>
      </rPr>
      <t xml:space="preserve">test_prompt_variable_tables_scroll_inside_their_own_wrap[1440/390]</t>
    </r>
    <r>
      <rPr>
        <sz val="10"/>
        <rFont val="Noto Sans CJK SC"/>
        <family val="2"/>
      </rPr>
      <t xml:space="preserve">。修前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settings.html#prompts @ 1440px scrolls horizontally once its disclosures are expanded ({'opened': 7, 'clicked': 1}): document scrollWidth=3874</t>
    </r>
    <r>
      <rPr>
        <sz val="10"/>
        <rFont val="Noto Sans CJK SC"/>
        <family val="2"/>
      </rPr>
      <t xml:space="preserve">」（未展開的第一次量測是通過的）。變異（</t>
    </r>
    <r>
      <rPr>
        <sz val="10"/>
        <rFont val="Arial"/>
        <family val="0"/>
        <charset val="1"/>
      </rPr>
      <t xml:space="preserve">sec.appendChild(table) </t>
    </r>
    <r>
      <rPr>
        <sz val="10"/>
        <rFont val="Noto Sans CJK SC"/>
        <family val="2"/>
      </rPr>
      <t xml:space="preserve">放回）→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test_every_js_table_is_inside_a_horizontal_scroller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settings-prompts.js:728 `table` (class 'data vars-table') is appended into sec (vars-cat)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test_the_variable_tables_are_the_reproduction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'table-wrap' in ['vars-cat']</t>
    </r>
    <r>
      <rPr>
        <sz val="10"/>
        <rFont val="Noto Sans CJK SC"/>
        <family val="2"/>
      </rPr>
      <t xml:space="preserve">」。改回後 </t>
    </r>
    <r>
      <rPr>
        <sz val="10"/>
        <rFont val="Arial"/>
        <family val="0"/>
        <charset val="1"/>
      </rPr>
      <t xml:space="preserve">test_no_horizontal_scroll.py </t>
    </r>
    <r>
      <rPr>
        <sz val="10"/>
        <rFont val="Noto Sans CJK SC"/>
        <family val="2"/>
      </rPr>
      <t xml:space="preserve">整檔 </t>
    </r>
    <r>
      <rPr>
        <sz val="10"/>
        <rFont val="Arial"/>
        <family val="0"/>
        <charset val="1"/>
      </rPr>
      <t xml:space="preserve">17 passed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</si>
  <si>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真實瀏覽器模擬 </t>
    </r>
    <r>
      <rPr>
        <sz val="10"/>
        <rFont val="Arial"/>
        <family val="0"/>
        <charset val="1"/>
      </rPr>
      <t xml:space="preserve">390×844 → </t>
    </r>
    <r>
      <rPr>
        <sz val="10"/>
        <rFont val="Noto Sans CJK SC"/>
        <family val="2"/>
      </rPr>
      <t xml:space="preserve">系統設定 </t>
    </r>
    <r>
      <rPr>
        <sz val="10"/>
        <rFont val="Arial"/>
        <family val="0"/>
        <charset val="1"/>
      </rPr>
      <t xml:space="preserve">#prompts → </t>
    </r>
    <r>
      <rPr>
        <sz val="10"/>
        <rFont val="Noto Sans CJK SC"/>
        <family val="2"/>
      </rPr>
      <t xml:space="preserve">展開「數據變數總表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個變數」；另以同源 </t>
    </r>
    <r>
      <rPr>
        <sz val="10"/>
        <rFont val="Arial"/>
        <family val="0"/>
        <charset val="1"/>
      </rPr>
      <t xml:space="preserve">iframe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）掃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個頁面／分頁的 </t>
    </r>
    <r>
      <rPr>
        <sz val="10"/>
        <rFont val="Arial"/>
        <family val="0"/>
        <charset val="1"/>
      </rPr>
      <t xml:space="preserve">scrollWidth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</si>
  <si>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時展開後整頁 </t>
    </r>
    <r>
      <rPr>
        <sz val="10"/>
        <rFont val="Arial"/>
        <family val="0"/>
        <charset val="1"/>
      </rPr>
      <t xml:space="preserve">scrollWidth 3,673
</t>
    </r>
    <r>
      <rPr>
        <sz val="10"/>
        <rFont val="Noto Sans CJK SC"/>
        <family val="2"/>
      </rPr>
      <t xml:space="preserve">假設：①表格包進可橫捲容器；②只是縮字
排除：展開後 </t>
    </r>
    <r>
      <rPr>
        <sz val="10"/>
        <rFont val="Arial"/>
        <family val="0"/>
        <charset val="1"/>
      </rPr>
      <t xml:space="preserve">document.documentElement.scrollWidth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（展開前也是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張表最寬 </t>
    </r>
    <r>
      <rPr>
        <sz val="10"/>
        <rFont val="Arial"/>
        <family val="0"/>
        <charset val="1"/>
      </rPr>
      <t xml:space="preserve">715px</t>
    </r>
    <r>
      <rPr>
        <sz val="10"/>
        <rFont val="Noto Sans CJK SC"/>
        <family val="2"/>
      </rPr>
      <t xml:space="preserve">，但父層 </t>
    </r>
    <r>
      <rPr>
        <sz val="10"/>
        <rFont val="Arial"/>
        <family val="0"/>
        <charset val="1"/>
      </rPr>
      <t xml:space="preserve">overflow-x:auto</t>
    </r>
    <r>
      <rPr>
        <sz val="10"/>
        <rFont val="Noto Sans CJK SC"/>
        <family val="2"/>
      </rPr>
      <t xml:space="preserve">，只在表格區內橫捲，排除②。</t>
    </r>
    <r>
      <rPr>
        <sz val="10"/>
        <rFont val="Arial"/>
        <family val="0"/>
        <charset val="1"/>
      </rPr>
      <t xml:space="preserve">J-05 </t>
    </r>
    <r>
      <rPr>
        <sz val="10"/>
        <rFont val="Noto Sans CJK SC"/>
        <family val="2"/>
      </rPr>
      <t xml:space="preserve">同步掃描：</t>
    </r>
    <r>
      <rPr>
        <sz val="10"/>
        <rFont val="Arial"/>
        <family val="0"/>
        <charset val="1"/>
      </rPr>
      <t xml:space="preserve">index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pipeline-hub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#prompts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#llm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#scheduler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全部＝</t>
    </r>
    <r>
      <rPr>
        <sz val="10"/>
        <rFont val="Arial"/>
        <family val="0"/>
        <charset val="1"/>
      </rPr>
      <t xml:space="preserve">390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表格外層容器；變異還原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</si>
  <si>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</si>
  <si>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r>
      <rPr>
        <sz val="10"/>
        <rFont val="Noto Sans CJK SC"/>
        <family val="2"/>
      </rPr>
      <t xml:space="preserve">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</si>
  <si>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r>
      <rPr>
        <sz val="10"/>
        <rFont val="Noto Sans CJK SC"/>
        <family val="2"/>
      </rPr>
      <t xml:space="preserve">同意驗證者。按鈕只有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；乾跑預檢 </t>
    </r>
    <r>
      <rPr>
        <sz val="10"/>
        <rFont val="Arial"/>
        <family val="0"/>
        <charset val="1"/>
      </rPr>
      <t xml:space="preserve">R2/R4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修正動作導向的也是這顆按鈕。</t>
    </r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</si>
  <si>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</si>
  <si>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r>
      <rPr>
        <sz val="10"/>
        <rFont val="Noto Sans CJK SC"/>
        <family val="2"/>
      </rPr>
      <t xml:space="preserve">沒有測試檢查按下後的效果；站點架構圖把抽屜的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套到每顆按鈕，這顆被標成 </t>
    </r>
    <r>
      <rPr>
        <sz val="10"/>
        <rFont val="Arial"/>
        <family val="0"/>
        <charset val="1"/>
      </rPr>
      <t xml:space="preserve">WIRED-API </t>
    </r>
    <r>
      <rPr>
        <sz val="10"/>
        <rFont val="Noto Sans CJK SC"/>
        <family val="2"/>
      </rPr>
      <t xml:space="preserve">看起來像有接線；沒有「處理器只有一個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」守門，也沒有比對後端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與前端 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。補：</t>
    </r>
    <r>
      <rPr>
        <sz val="10"/>
        <rFont val="Arial"/>
        <family val="0"/>
        <charset val="1"/>
      </rPr>
      <t xml:space="preserve">test_no_pipeline_click_handler_is_only_a_toast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對映測試＋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</si>
  <si>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</si>
  <si>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</si>
  <si>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tests/contract/test_def031_universe_edit.py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tests/e2e/test_def031_universe_dialog_flow.py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）。修前／變異失敗：</t>
    </r>
    <r>
      <rPr>
        <sz val="10"/>
        <rFont val="Arial"/>
        <family val="0"/>
        <charset val="1"/>
      </rPr>
      <t xml:space="preserve">test_the_button_and_the_fix_action_open_the_universe_dialog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the toast-only </t>
    </r>
    <r>
      <rPr>
        <sz val="10"/>
        <rFont val="Noto Sans CJK SC"/>
        <family val="2"/>
      </rPr>
      <t xml:space="preserve">編輯標的 </t>
    </r>
    <r>
      <rPr>
        <sz val="10"/>
        <rFont val="Arial"/>
        <family val="0"/>
        <charset val="1"/>
      </rPr>
      <t xml:space="preserve">handler is back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test_no_pipeline_click_handler_is_only_a_toast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click handlers that only toast: ['pipeline.js:463']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e2e test_edit_universe_opens_a_dialog…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test_the_preflight_edit_universe_fix_opens_the_dialog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Locator expected to have text '</t>
    </r>
    <r>
      <rPr>
        <sz val="10"/>
        <rFont val="Noto Sans CJK SC"/>
        <family val="2"/>
      </rPr>
      <t xml:space="preserve">編輯標的 — 個股健檢</t>
    </r>
    <r>
      <rPr>
        <sz val="10"/>
        <rFont val="Arial"/>
        <family val="0"/>
        <charset val="1"/>
      </rPr>
      <t xml:space="preserve">' … element(s) not found</t>
    </r>
    <r>
      <rPr>
        <sz val="10"/>
        <rFont val="Noto Sans CJK SC"/>
        <family val="2"/>
      </rPr>
      <t xml:space="preserve">」。改回後 </t>
    </r>
    <r>
      <rPr>
        <sz val="10"/>
        <rFont val="Arial"/>
        <family val="0"/>
        <charset val="1"/>
      </rPr>
      <t xml:space="preserve">contract 5 passed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e2e 3 passed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</si>
  <si>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真實瀏覽器：以精靈建立暫存任務「</t>
    </r>
    <r>
      <rPr>
        <sz val="10"/>
        <rFont val="Arial"/>
        <family val="0"/>
        <charset val="1"/>
      </rPr>
      <t xml:space="preserve">QA R2 </t>
    </r>
    <r>
      <rPr>
        <sz val="10"/>
        <rFont val="Noto Sans CJK SC"/>
        <family val="2"/>
      </rPr>
      <t xml:space="preserve">暫存任務（</t>
    </r>
    <r>
      <rPr>
        <sz val="10"/>
        <rFont val="Arial"/>
        <family val="0"/>
        <charset val="1"/>
      </rPr>
      <t xml:space="preserve">DEF-031</t>
    </r>
    <r>
      <rPr>
        <sz val="10"/>
        <rFont val="Noto Sans CJK SC"/>
        <family val="2"/>
      </rPr>
      <t xml:space="preserve">）」（自選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、個股健檢策略、關閉自我校正；乾跑預檢不花費）→ 開「② 輸入」抽屜 → 編輯標的 → 加勾 </t>
    </r>
    <r>
      <rPr>
        <sz val="10"/>
        <rFont val="Arial"/>
        <family val="0"/>
        <charset val="1"/>
      </rPr>
      <t xml:space="preserve">2330 → </t>
    </r>
    <r>
      <rPr>
        <sz val="10"/>
        <rFont val="Noto Sans CJK SC"/>
        <family val="2"/>
      </rPr>
      <t xml:space="preserve">儲存標的 → 刪除暫存任務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</si>
  <si>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時「編輯標的」只跳 </t>
    </r>
    <r>
      <rPr>
        <sz val="10"/>
        <rFont val="Arial"/>
        <family val="0"/>
        <charset val="1"/>
      </rPr>
      <t xml:space="preserve">toast
</t>
    </r>
    <r>
      <rPr>
        <sz val="10"/>
        <rFont val="Noto Sans CJK SC"/>
        <family val="2"/>
      </rPr>
      <t xml:space="preserve">假設：①開啟真正的標的選擇器並寫回任務；②只換文案
排除：按鈕開出與精靈相同的選擇器（全部持倉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／含觀察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／自選），預先勾好目前的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，即時摘要「將分析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張洞察卡」；儲存送 </t>
    </r>
    <r>
      <rPr>
        <sz val="10"/>
        <rFont val="Arial"/>
        <family val="0"/>
        <charset val="1"/>
      </rPr>
      <t xml:space="preserve">PUT /api/insight-tasks/11 universe {custom, [2330, 2884]}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已更新標的 …：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檔標的」，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回讀相同。刪除框「將同步移除排程、整條校正鏈封存；歷史洞察與運行記錄保留可反查（軟刪除）」→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，任務清單回到 </t>
    </r>
    <r>
      <rPr>
        <sz val="10"/>
        <rFont val="Arial"/>
        <family val="0"/>
        <charset val="1"/>
      </rPr>
      <t xml:space="preserve">1,2,7,8,9</t>
    </r>
    <r>
      <rPr>
        <sz val="10"/>
        <rFont val="Noto Sans CJK SC"/>
        <family val="2"/>
      </rPr>
      <t xml:space="preserve">，排程工作只剩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。額度 </t>
    </r>
    <r>
      <rPr>
        <sz val="10"/>
        <rFont val="Arial"/>
        <family val="0"/>
        <charset val="1"/>
      </rPr>
      <t xml:space="preserve">3.2697655 </t>
    </r>
    <r>
      <rPr>
        <sz val="10"/>
        <rFont val="Noto Sans CJK SC"/>
        <family val="2"/>
      </rPr>
      <t xml:space="preserve">前後不變
定位：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；變異還原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</si>
  <si>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t xml:space="preserve">編輯標的可用且寫回；暫存任務已刪除、無花費</t>
  </si>
  <si>
    <r>
      <rPr>
        <sz val="10"/>
        <rFont val="Noto Sans CJK SC"/>
        <family val="2"/>
      </rPr>
      <t xml:space="preserve">同意驗證者，並發現延伸後果：兩個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都勾會存成 </t>
    </r>
    <r>
      <rPr>
        <sz val="10"/>
        <rFont val="Arial"/>
        <family val="0"/>
        <charset val="1"/>
      </rPr>
      <t xml:space="preserve">["AAPL","AAPL"]</t>
    </r>
    <r>
      <rPr>
        <sz val="10"/>
        <rFont val="Noto Sans CJK SC"/>
        <family val="2"/>
      </rPr>
      <t xml:space="preserve">，後端自選模式沒去重 → 同一代號產生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張卡、收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次費用。</t>
    </r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</si>
  <si>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</si>
  <si>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</si>
  <si>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</si>
  <si>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r>
      <rPr>
        <sz val="10"/>
        <rFont val="Noto Sans CJK SC"/>
        <family val="2"/>
      </rPr>
      <t xml:space="preserve">前端從持倉列推導代號／數量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；後端自選模式沒去重 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app.js:481 </t>
    </r>
    <r>
      <rPr>
        <sz val="10"/>
        <rFont val="Noto Sans CJK SC"/>
        <family val="2"/>
      </rPr>
      <t xml:space="preserve">帳戶清單、</t>
    </r>
    <r>
      <rPr>
        <sz val="10"/>
        <rFont val="Arial"/>
        <family val="0"/>
        <charset val="1"/>
      </rPr>
      <t xml:space="preserve">rebalance.js:179 </t>
    </r>
    <r>
      <rPr>
        <sz val="10"/>
        <rFont val="Noto Sans CJK SC"/>
        <family val="2"/>
      </rPr>
      <t xml:space="preserve">已按代號分組、</t>
    </r>
    <r>
      <rPr>
        <sz val="10"/>
        <rFont val="Arial"/>
        <family val="0"/>
        <charset val="1"/>
      </rPr>
      <t xml:space="preserve">detail.js:143 </t>
    </r>
    <r>
      <rPr>
        <sz val="10"/>
        <rFont val="Noto Sans CJK SC"/>
        <family val="2"/>
      </rPr>
      <t xml:space="preserve">刻意以帳戶＋代號為單位）。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</si>
  <si>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tests/contract/test_def032_universe_source.py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test_the_wizard_lists_and_counts_symbols_not_holding_rows</t>
    </r>
    <r>
      <rPr>
        <sz val="10"/>
        <rFont val="Noto Sans CJK SC"/>
        <family val="2"/>
      </rPr>
      <t xml:space="preserve">。變異失敗：</t>
    </r>
    <r>
      <rPr>
        <sz val="10"/>
        <rFont val="Arial"/>
        <family val="0"/>
        <charset val="1"/>
      </rPr>
      <t xml:space="preserve">test_a_symbol_held_in_two_accounts_counts_once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列）、</t>
    </r>
    <r>
      <rPr>
        <sz val="10"/>
        <rFont val="Arial"/>
        <family val="0"/>
        <charset val="1"/>
      </rPr>
      <t xml:space="preserve">test_the_wizard_reads_the_shared_source…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pipeline-wizard.js maps dashboard holding ROWS to symbols again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test_a_duplicated_custom_symbol_is_one_symbol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'3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 == '2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Locator expected to contain text '2 </t>
    </r>
    <r>
      <rPr>
        <sz val="10"/>
        <rFont val="Noto Sans CJK SC"/>
        <family val="2"/>
      </rPr>
      <t xml:space="preserve">檔</t>
    </r>
    <r>
      <rPr>
        <sz val="10"/>
        <rFont val="Arial"/>
        <family val="0"/>
        <charset val="1"/>
      </rPr>
      <t xml:space="preserve">' / Actual value: </t>
    </r>
    <r>
      <rPr>
        <sz val="10"/>
        <rFont val="Noto Sans CJK SC"/>
        <family val="2"/>
      </rPr>
      <t xml:space="preserve">全部持倉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檔・自動跟隨持倉變動」。改回後通過。</t>
    </r>
  </si>
  <si>
    <t xml:space="preserve">真實瀏覽器：洞察管線 › ＋新增洞察任務 → 先不排程 → 單一標的 → 看範圍計數與管線預覽 → 自選標的清單</t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</si>
  <si>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時以持倉列計數（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兩個勾選框）
假設：①前端以代號去重；②後端去重
排除：範圍選項「全部持倉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檔・自動跟隨持倉變動」「含觀察標的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檔」，管線預覽「全部持倉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檔・每檔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卡／產出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張洞察卡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次／</t>
    </r>
    <r>
      <rPr>
        <sz val="10"/>
        <rFont val="Arial"/>
        <family val="0"/>
        <charset val="1"/>
      </rPr>
      <t xml:space="preserve">~$0.13</t>
    </r>
    <r>
      <rPr>
        <sz val="10"/>
        <rFont val="Noto Sans CJK SC"/>
        <family val="2"/>
      </rPr>
      <t xml:space="preserve">」；自選清單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個勾選框，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個、標示「嘉信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」兩帳戶
定位：前端 </t>
    </r>
    <r>
      <rPr>
        <sz val="10"/>
        <rFont val="Arial"/>
        <family val="0"/>
        <charset val="1"/>
      </rPr>
      <t xml:space="preserve">held </t>
    </r>
    <r>
      <rPr>
        <sz val="10"/>
        <rFont val="Noto Sans CJK SC"/>
        <family val="2"/>
      </rPr>
      <t xml:space="preserve">改由代號彙整（變異 </t>
    </r>
    <r>
      <rPr>
        <sz val="10"/>
        <rFont val="Arial"/>
        <family val="0"/>
        <charset val="1"/>
      </rPr>
      <t xml:space="preserve">032b → 2 failed</t>
    </r>
    <r>
      <rPr>
        <sz val="10"/>
        <rFont val="Noto Sans CJK SC"/>
        <family val="2"/>
      </rPr>
      <t xml:space="preserve">）；後端去重變異 </t>
    </r>
    <r>
      <rPr>
        <sz val="10"/>
        <rFont val="Arial"/>
        <family val="0"/>
        <charset val="1"/>
      </rPr>
      <t xml:space="preserve">5 passed </t>
    </r>
    <r>
      <rPr>
        <sz val="10"/>
        <rFont val="Noto Sans CJK SC"/>
        <family val="2"/>
      </rPr>
      <t xml:space="preserve">未抓到，但前端已去重、行為正確
判定：通過</t>
    </r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</si>
  <si>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</si>
  <si>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r>
      <rPr>
        <sz val="10"/>
        <rFont val="Noto Sans CJK SC"/>
        <family val="2"/>
      </rPr>
      <t xml:space="preserve">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</si>
  <si>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r>
      <rPr>
        <sz val="10"/>
        <rFont val="Noto Sans CJK SC"/>
        <family val="2"/>
      </rPr>
      <t xml:space="preserve">同意驗證者，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重現：兩次存閾值後點一次開關送出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。同頁其他在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內處理的控制項都不累積（</t>
    </r>
    <r>
      <rPr>
        <sz val="10"/>
        <rFont val="Arial"/>
        <family val="0"/>
        <charset val="1"/>
      </rPr>
      <t xml:space="preserve">renderModels </t>
    </r>
    <r>
      <rPr>
        <sz val="10"/>
        <rFont val="Noto Sans CJK SC"/>
        <family val="2"/>
      </rPr>
      <t xml:space="preserve">只綁自己重建的節點；</t>
    </r>
    <r>
      <rPr>
        <sz val="10"/>
        <rFont val="Arial"/>
        <family val="0"/>
        <charset val="1"/>
      </rPr>
      <t xml:space="preserve">renderRoles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onchange </t>
    </r>
    <r>
      <rPr>
        <sz val="10"/>
        <rFont val="Noto Sans CJK SC"/>
        <family val="2"/>
      </rPr>
      <t xml:space="preserve">屬性；圖表有 </t>
    </r>
    <r>
      <rPr>
        <sz val="10"/>
        <rFont val="Arial"/>
        <family val="0"/>
        <charset val="1"/>
      </rPr>
      <t xml:space="preserve">if (!llmChart)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resize </t>
    </r>
    <r>
      <rPr>
        <sz val="10"/>
        <rFont val="Noto Sans CJK SC"/>
        <family val="2"/>
      </rPr>
      <t xml:space="preserve">在模組層只綁一次）。</t>
    </r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</si>
  <si>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</si>
  <si>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r>
      <rPr>
        <sz val="10"/>
        <rFont val="Noto Sans CJK SC"/>
        <family val="2"/>
      </rPr>
      <t xml:space="preserve">既有的 </t>
    </r>
    <r>
      <rPr>
        <sz val="10"/>
        <rFont val="Arial"/>
        <family val="0"/>
        <charset val="1"/>
      </rPr>
      <t xml:space="preserve">L13 </t>
    </r>
    <r>
      <rPr>
        <sz val="10"/>
        <rFont val="Noto Sans CJK SC"/>
        <family val="2"/>
      </rPr>
      <t xml:space="preserve">測試只做靜態存在檢查；沒有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走「重載之後再點」；沒有「可重入函式重複綁定」守門。補：</t>
    </r>
    <r>
      <rPr>
        <sz val="10"/>
        <rFont val="Arial"/>
        <family val="0"/>
        <charset val="1"/>
      </rPr>
      <t xml:space="preserve">test_def034_rebinding_listeners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及其遞迴呼叫的函式不得綁頁面既有元素；全站可重入函式無守門數必須為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</si>
  <si>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改成頁面初始化時執行一次的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（與同檔 </t>
    </r>
    <r>
      <rPr>
        <sz val="10"/>
        <rFont val="Arial"/>
        <family val="0"/>
        <charset val="1"/>
      </rPr>
      <t xml:space="preserve">initThreshold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initTopup </t>
    </r>
    <r>
      <rPr>
        <sz val="10"/>
        <rFont val="Noto Sans CJK SC"/>
        <family val="2"/>
      </rPr>
      <t xml:space="preserve">同一寫法），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只負責載入資料；開關的顯示狀態由它自己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的回應更新。</t>
    </r>
  </si>
  <si>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（先剝掉註解）「有 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個呼叫點或被這類函式呼叫、且對頁面既有元素 </t>
    </r>
    <r>
      <rPr>
        <sz val="10"/>
        <rFont val="Arial"/>
        <family val="0"/>
        <charset val="1"/>
      </rPr>
      <t xml:space="preserve">addEventListener</t>
    </r>
    <r>
      <rPr>
        <sz val="10"/>
        <rFont val="Noto Sans CJK SC"/>
        <family val="2"/>
      </rPr>
      <t xml:space="preserve">」的函式 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settings-llm.js initAutoAiToggle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charts.js wireModeOnce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modeWired </t>
    </r>
    <r>
      <rPr>
        <sz val="10"/>
        <rFont val="Noto Sans CJK SC"/>
        <family val="2"/>
      </rPr>
      <t xml:space="preserve">旗標；</t>
    </r>
    <r>
      <rPr>
        <sz val="10"/>
        <rFont val="Arial"/>
        <family val="0"/>
        <charset val="1"/>
      </rPr>
      <t xml:space="preserve">digest.js openHistory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settings-scheduler.js openRunModal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instruments.js delInstrument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whatsnew.js _renderPanel </t>
    </r>
    <r>
      <rPr>
        <sz val="10"/>
        <rFont val="Noto Sans CJK SC"/>
        <family val="2"/>
      </rPr>
      <t xml:space="preserve">有對應 </t>
    </r>
    <r>
      <rPr>
        <sz val="10"/>
        <rFont val="Arial"/>
        <family val="0"/>
        <charset val="1"/>
      </rPr>
      <t xml:space="preserve">removeEventListener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whatsnew.js _startArrival </t>
    </r>
    <r>
      <rPr>
        <sz val="10"/>
        <rFont val="Noto Sans CJK SC"/>
        <family val="2"/>
      </rPr>
      <t xml:space="preserve">先 </t>
    </r>
    <r>
      <rPr>
        <sz val="10"/>
        <rFont val="Arial"/>
        <family val="0"/>
        <charset val="1"/>
      </rPr>
      <t xml:space="preserve">_endArrival</t>
    </r>
    <r>
      <rPr>
        <sz val="10"/>
        <rFont val="Noto Sans CJK SC"/>
        <family val="2"/>
      </rPr>
      <t xml:space="preserve">）；第一版掃描沒剝註解多報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個假陽性，逐一查證都只呼叫一次。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</si>
  <si>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tests/contract/test_def034_rebinding_listeners.py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tests/e2e/test_def034_auto_ai_toggle_binds_once.py</t>
    </r>
    <r>
      <rPr>
        <sz val="10"/>
        <rFont val="Noto Sans CJK SC"/>
        <family val="2"/>
      </rPr>
      <t xml:space="preserve">（兩次存閾值後點開關只能有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）。變異失敗：「</t>
    </r>
    <r>
      <rPr>
        <sz val="10"/>
        <rFont val="Arial"/>
        <family val="0"/>
        <charset val="1"/>
      </rPr>
      <t xml:space="preserve">boot() re-binds page elements on every reload: {'initAutoAiToggle': ['t.addEventListener']}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{'settings-llm.js': ['initAutoAiToggle']}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one click sent 3 PUT /api/ui-prefs — listeners stacked on reload / assert 3 == 1</t>
    </r>
    <r>
      <rPr>
        <sz val="10"/>
        <rFont val="Noto Sans CJK SC"/>
        <family val="2"/>
      </rPr>
      <t xml:space="preserve">」。改回後通過。</t>
    </r>
  </si>
  <si>
    <r>
      <rPr>
        <sz val="10"/>
        <rFont val="Noto Sans CJK SC"/>
        <family val="2"/>
      </rPr>
      <t xml:space="preserve">真實瀏覽器：系統設定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與額度，低額度警示 </t>
    </r>
    <r>
      <rPr>
        <sz val="10"/>
        <rFont val="Arial"/>
        <family val="0"/>
        <charset val="1"/>
      </rPr>
      <t xml:space="preserve">1.00→1.50→1.00</t>
    </r>
    <r>
      <rPr>
        <sz val="10"/>
        <rFont val="Noto Sans CJK SC"/>
        <family val="2"/>
      </rPr>
      <t xml:space="preserve">（各離開欄位一次）→ 點一下「代號查無時自動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辨識」開關 → 再點一下還原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</si>
  <si>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時每存一次閾值就多綁一個監聽，點一下送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
</t>
    </r>
    <r>
      <rPr>
        <sz val="10"/>
        <rFont val="Noto Sans CJK SC"/>
        <family val="2"/>
      </rPr>
      <t xml:space="preserve">假設：①監聽只綁一次；②去抖
排除：兩次閾值儲存各送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 /api/llm/quota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）；之後點開關只送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 /api/ui-prefs {auto_ai_resolve:false}</t>
    </r>
    <r>
      <rPr>
        <sz val="10"/>
        <rFont val="Noto Sans CJK SC"/>
        <family val="2"/>
      </rPr>
      <t xml:space="preserve">、只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已儲存 不再自動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辨識…」；再點一次送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{auto_ai_resolve:true}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settings-llm.js</t>
    </r>
    <r>
      <rPr>
        <sz val="10"/>
        <rFont val="Noto Sans CJK SC"/>
        <family val="2"/>
      </rPr>
      <t xml:space="preserve">；變異還原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</si>
  <si>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兩次儲存後點一下＝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；閾值與開關皆已還原（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</si>
  <si>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同意驗證者。另在數據變數總表發現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處殘留「其中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個待後端新增」「需新增資料快照（</t>
    </r>
    <r>
      <rPr>
        <sz val="10"/>
        <rFont val="Arial"/>
        <family val="0"/>
        <charset val="1"/>
      </rPr>
      <t xml:space="preserve">spec 06</t>
    </r>
    <r>
      <rPr>
        <sz val="10"/>
        <rFont val="Noto Sans CJK SC"/>
        <family val="2"/>
      </rPr>
      <t xml:space="preserve">）」，</t>
    </r>
    <r>
      <rPr>
        <sz val="10"/>
        <rFont val="Arial"/>
        <family val="0"/>
        <charset val="1"/>
      </rPr>
      <t xml:space="preserve">variables.py </t>
    </r>
    <r>
      <rPr>
        <sz val="10"/>
        <rFont val="Noto Sans CJK SC"/>
        <family val="2"/>
      </rPr>
      <t xml:space="preserve">已把這些變數註冊為 </t>
    </r>
    <r>
      <rPr>
        <sz val="10"/>
        <rFont val="Arial"/>
        <family val="0"/>
        <charset val="1"/>
      </rPr>
      <t xml:space="preserve">available=True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</si>
  <si>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</si>
  <si>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r>
      <rPr>
        <sz val="10"/>
        <rFont val="Noto Sans CJK SC"/>
        <family val="2"/>
      </rPr>
      <t xml:space="preserve">沒有殘留文案的守門，也沒有「連結必須帶分頁且錨點存在」的守門。補：</t>
    </r>
    <r>
      <rPr>
        <sz val="10"/>
        <rFont val="Arial"/>
        <family val="0"/>
        <charset val="1"/>
      </rPr>
      <t xml:space="preserve">test_def038_residual_copy_and_settings_links</t>
    </r>
    <r>
      <rPr>
        <sz val="10"/>
        <rFont val="Noto Sans CJK SC"/>
        <family val="2"/>
      </rPr>
      <t xml:space="preserve">（殘留文案清單＋每條 </t>
    </r>
    <r>
      <rPr>
        <sz val="10"/>
        <rFont val="Arial"/>
        <family val="0"/>
        <charset val="1"/>
      </rPr>
      <t xml:space="preserve">settings </t>
    </r>
    <r>
      <rPr>
        <sz val="10"/>
        <rFont val="Noto Sans CJK SC"/>
        <family val="2"/>
      </rPr>
      <t xml:space="preserve">連結必須帶分頁與真實錨點）＋深連結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</si>
  <si>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</si>
  <si>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殘留文案：關鍵字 </t>
    </r>
    <r>
      <rPr>
        <sz val="10"/>
        <rFont val="Arial"/>
        <family val="0"/>
        <charset val="1"/>
      </rPr>
      <t xml:space="preserve">grep 22 </t>
    </r>
    <r>
      <rPr>
        <sz val="10"/>
        <rFont val="Noto Sans CJK SC"/>
        <family val="2"/>
      </rPr>
      <t xml:space="preserve">行——使用者可見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行修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shell.js:425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settings-prompts.js:712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:723</t>
    </r>
    <r>
      <rPr>
        <sz val="10"/>
        <rFont val="Noto Sans CJK SC"/>
        <family val="2"/>
      </rPr>
      <t xml:space="preserve">）、過期註解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行更正、白名單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行如實記錄 </t>
    </r>
    <r>
      <rPr>
        <sz val="10"/>
        <rFont val="Arial"/>
        <family val="0"/>
        <charset val="1"/>
      </rPr>
      <t xml:space="preserve">mock </t>
    </r>
    <r>
      <rPr>
        <sz val="10"/>
        <rFont val="Noto Sans CJK SC"/>
        <family val="2"/>
      </rPr>
      <t xml:space="preserve">退役的註解、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行只是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名稱）；沒有真正未實作需保留的文案。指向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的連結共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：不帶分頁 </t>
    </r>
    <r>
      <rPr>
        <sz val="10"/>
        <rFont val="Arial"/>
        <family val="0"/>
        <charset val="1"/>
      </rPr>
      <t xml:space="preserve">4——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pipeline-hub.html:47</t>
    </r>
    <r>
      <rPr>
        <sz val="10"/>
        <rFont val="Noto Sans CJK SC"/>
        <family val="2"/>
      </rPr>
      <t xml:space="preserve">）、白名單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側欄本就去預設分頁；</t>
    </r>
    <r>
      <rPr>
        <sz val="10"/>
        <rFont val="Arial"/>
        <family val="0"/>
        <charset val="1"/>
      </rPr>
      <t xml:space="preserve">whatsnew.js:93 </t>
    </r>
    <r>
      <rPr>
        <sz val="10"/>
        <rFont val="Noto Sans CJK SC"/>
        <family val="2"/>
      </rPr>
      <t xml:space="preserve">是頁名比對；</t>
    </r>
    <r>
      <rPr>
        <sz val="10"/>
        <rFont val="Arial"/>
        <family val="0"/>
        <charset val="1"/>
      </rPr>
      <t xml:space="preserve">alerts.js:43 </t>
    </r>
    <r>
      <rPr>
        <sz val="10"/>
        <rFont val="Noto Sans CJK SC"/>
        <family val="2"/>
      </rPr>
      <t xml:space="preserve">跨包 → 收尾包 </t>
    </r>
    <r>
      <rPr>
        <sz val="10"/>
        <rFont val="Arial"/>
        <family val="0"/>
        <charset val="1"/>
      </rPr>
      <t xml:space="preserve">I-15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條精準化到區塊錨點；修後 </t>
    </r>
    <r>
      <rPr>
        <sz val="10"/>
        <rFont val="Arial"/>
        <family val="0"/>
        <charset val="1"/>
      </rPr>
      <t xml:space="preserve">37 </t>
    </r>
    <r>
      <rPr>
        <sz val="10"/>
        <rFont val="Noto Sans CJK SC"/>
        <family val="2"/>
      </rPr>
      <t xml:space="preserve">只帶分頁、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帶錨點。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</si>
  <si>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tests/contract/test_def038_residual_copy_and_settings_links.py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tests/e2e/test_def038_settings_deep_links.py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：真的點三張資產卡，檢查分頁是「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提示詞」、目標區塊在視窗內、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已打開）。修 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前失敗「</t>
    </r>
    <r>
      <rPr>
        <sz val="10"/>
        <rFont val="Arial"/>
        <family val="0"/>
        <charset val="1"/>
      </rPr>
      <t xml:space="preserve">stale 'not wired yet' copy: ['shell.js:425 </t>
    </r>
    <r>
      <rPr>
        <sz val="10"/>
        <rFont val="Noto Sans CJK SC"/>
        <family val="2"/>
      </rPr>
      <t xml:space="preserve">接線後生效</t>
    </r>
    <r>
      <rPr>
        <sz val="10"/>
        <rFont val="Arial"/>
        <family val="0"/>
        <charset val="1"/>
      </rPr>
      <t xml:space="preserve">']</t>
    </r>
    <r>
      <rPr>
        <sz val="10"/>
        <rFont val="Noto Sans CJK SC"/>
        <family val="2"/>
      </rPr>
      <t xml:space="preserve">」；變異（連結改回 </t>
    </r>
    <r>
      <rPr>
        <sz val="10"/>
        <rFont val="Arial"/>
        <family val="0"/>
        <charset val="1"/>
      </rPr>
      <t xml:space="preserve">settings.html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test_every_settings_link_names_a_tab_and_a_real_anchor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settings links that land on the wrong place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test_the_evolution_card_lands_on_the_evolution_panel </t>
    </r>
    <r>
      <rPr>
        <sz val="10"/>
        <rFont val="Noto Sans CJK SC"/>
        <family val="2"/>
      </rPr>
      <t xml:space="preserve">失敗、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TimeoutError: Timeout 30000ms exceeded</t>
    </r>
    <r>
      <rPr>
        <sz val="10"/>
        <rFont val="Noto Sans CJK SC"/>
        <family val="2"/>
      </rPr>
      <t xml:space="preserve">」。改回後 </t>
    </r>
    <r>
      <rPr>
        <sz val="10"/>
        <rFont val="Arial"/>
        <family val="0"/>
        <charset val="1"/>
      </rPr>
      <t xml:space="preserve">contract 5 passed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e2e 3 passed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</si>
  <si>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真實瀏覽器：儀表板「⟳重新整理」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；洞察管線 › 點「進化設定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項安全邊界」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</si>
  <si>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寫「（後端接線後生效）」、進化設定連到設定首頁
假設：①兩處都改
排除：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現為「更新報價或重建統計」；進化設定 </t>
    </r>
    <r>
      <rPr>
        <sz val="10"/>
        <rFont val="Arial"/>
        <family val="0"/>
        <charset val="1"/>
      </rPr>
      <t xml:space="preserve">href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，點擊後切到「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提示詞」分頁，資料載入後自動捲到頁底的「自我進化設定」面板（</t>
    </r>
    <r>
      <rPr>
        <sz val="10"/>
        <rFont val="Arial"/>
        <family val="0"/>
        <charset val="1"/>
      </rPr>
      <t xml:space="preserve">scrollY 535</t>
    </r>
    <r>
      <rPr>
        <sz val="10"/>
        <rFont val="Noto Sans CJK SC"/>
        <family val="2"/>
      </rPr>
      <t xml:space="preserve">＝最大捲動量，面板在可視範圍）
定位：</t>
    </r>
    <r>
      <rPr>
        <sz val="10"/>
        <rFont val="Arial"/>
        <family val="0"/>
        <charset val="1"/>
      </rPr>
      <t xml:space="preserve">shell.js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pipeline-hub.html</t>
    </r>
    <r>
      <rPr>
        <sz val="10"/>
        <rFont val="Noto Sans CJK SC"/>
        <family val="2"/>
      </rPr>
      <t xml:space="preserve">；變異還原 → </t>
    </r>
    <r>
      <rPr>
        <sz val="10"/>
        <rFont val="Arial"/>
        <family val="0"/>
        <charset val="1"/>
      </rPr>
      <t xml:space="preserve">2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</si>
  <si>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</si>
  <si>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r>
      <rPr>
        <sz val="10"/>
        <rFont val="Noto Sans CJK SC"/>
        <family val="2"/>
      </rPr>
      <t xml:space="preserve">同意驗證者。修復前測試照原步驟重現 </t>
    </r>
    <r>
      <rPr>
        <sz val="10"/>
        <rFont val="Arial"/>
        <family val="0"/>
        <charset val="1"/>
      </rPr>
      <t xml:space="preserve">status='error'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detail="'insight:1'"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payload=None</t>
    </r>
    <r>
      <rPr>
        <sz val="10"/>
        <rFont val="Noto Sans CJK SC"/>
        <family val="2"/>
      </rPr>
      <t xml:space="preserve">（同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）；設定表有但系統不能執行的列（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）也回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後背景失敗。另發現：任務入口 </t>
    </r>
    <r>
      <rPr>
        <sz val="10"/>
        <rFont val="Arial"/>
        <family val="0"/>
        <charset val="1"/>
      </rPr>
      <t xml:space="preserve">run_insight_func </t>
    </r>
    <r>
      <rPr>
        <sz val="10"/>
        <rFont val="Noto Sans CJK SC"/>
        <family val="2"/>
      </rPr>
      <t xml:space="preserve">在沒有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拋錯時直接 </t>
    </r>
    <r>
      <rPr>
        <sz val="10"/>
        <rFont val="Arial"/>
        <family val="0"/>
        <charset val="1"/>
      </rPr>
      <t xml:space="preserve">return</t>
    </r>
    <r>
      <rPr>
        <sz val="10"/>
        <rFont val="Noto Sans CJK SC"/>
        <family val="2"/>
      </rPr>
      <t xml:space="preserve">，留下永遠 </t>
    </r>
    <r>
      <rPr>
        <sz val="10"/>
        <rFont val="Arial"/>
        <family val="0"/>
        <charset val="1"/>
      </rPr>
      <t xml:space="preserve">running </t>
    </r>
    <r>
      <rPr>
        <sz val="10"/>
        <rFont val="Noto Sans CJK SC"/>
        <family val="2"/>
      </rPr>
      <t xml:space="preserve">的列（之後每次執行被 </t>
    </r>
    <r>
      <rPr>
        <sz val="10"/>
        <rFont val="Arial"/>
        <family val="0"/>
        <charset val="1"/>
      </rPr>
      <t xml:space="preserve">409 </t>
    </r>
    <r>
      <rPr>
        <sz val="10"/>
        <rFont val="Noto Sans CJK SC"/>
        <family val="2"/>
      </rPr>
      <t xml:space="preserve">擋）；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失敗只寫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</si>
  <si>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</si>
  <si>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</si>
  <si>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</si>
  <si>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r>
      <rPr>
        <sz val="10"/>
        <rFont val="Noto Sans CJK SC"/>
        <family val="2"/>
      </rPr>
      <t xml:space="preserve">直接查靜態表 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run_job_outcome </t>
    </r>
    <r>
      <rPr>
        <sz val="10"/>
        <rFont val="Noto Sans CJK SC"/>
        <family val="2"/>
      </rPr>
      <t xml:space="preserve">同步門只收寫死靜態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KeyError </t>
    </r>
    <r>
      <rPr>
        <sz val="10"/>
        <rFont val="Noto Sans CJK SC"/>
        <family val="2"/>
      </rPr>
      <t xml:space="preserve">在插入列之前變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不留卡住列）；入口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（立即執行、工作清單、暫停切換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、執行歷史）修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改接共用執行器、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只多回欄位；以「</t>
    </r>
    <r>
      <rPr>
        <sz val="10"/>
        <rFont val="Arial"/>
        <family val="0"/>
        <charset val="1"/>
      </rPr>
      <t xml:space="preserve">insight:</t>
    </r>
    <r>
      <rPr>
        <sz val="10"/>
        <rFont val="Noto Sans CJK SC"/>
        <family val="2"/>
      </rPr>
      <t xml:space="preserve">」前綴判斷種類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處白名單＋守門 </t>
    </r>
    <r>
      <rPr>
        <sz val="10"/>
        <rFont val="Arial"/>
        <family val="0"/>
        <charset val="1"/>
      </rPr>
      <t xml:space="preserve">test_a_static_job_id_can_never_look_like_a_dynamic_one</t>
    </r>
    <r>
      <rPr>
        <sz val="10"/>
        <rFont val="Noto Sans CJK SC"/>
        <family val="2"/>
      </rPr>
      <t xml:space="preserve">；背景例外裸 </t>
    </r>
    <r>
      <rPr>
        <sz val="10"/>
        <rFont val="Arial"/>
        <family val="0"/>
        <charset val="1"/>
      </rPr>
      <t xml:space="preserve">str(exc)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generate.py stop_detail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reason </t>
    </r>
    <r>
      <rPr>
        <sz val="10"/>
        <rFont val="Noto Sans CJK SC"/>
        <family val="2"/>
      </rPr>
      <t xml:space="preserve">前綴且 </t>
    </r>
    <r>
      <rPr>
        <sz val="10"/>
        <rFont val="Arial"/>
        <family val="0"/>
        <charset val="1"/>
      </rPr>
      <t xml:space="preserve">llm_insight </t>
    </r>
    <r>
      <rPr>
        <sz val="10"/>
        <rFont val="Noto Sans CJK SC"/>
        <family val="2"/>
      </rPr>
      <t xml:space="preserve">不能 </t>
    </r>
    <r>
      <rPr>
        <sz val="10"/>
        <rFont val="Arial"/>
        <family val="0"/>
        <charset val="1"/>
      </rPr>
      <t xml:space="preserve">import scheduler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jobs.py _run_ingest 740/753 </t>
    </r>
    <r>
      <rPr>
        <sz val="10"/>
        <rFont val="Noto Sans CJK SC"/>
        <family val="2"/>
      </rPr>
      <t xml:space="preserve">為資料來源健康表）／跨包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api/routers/news.py:134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英文彙總 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另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句其他英文執行摘要未在此範圍）。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</si>
  <si>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tests/contract/test_def030_scheduler_insight_run_now.py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tests/scheduler/test_def030_worker_failure_detail.py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test_scheduler_center_names_insight_rows_and_locks_a_paused_task</t>
    </r>
    <r>
      <rPr>
        <sz val="10"/>
        <rFont val="Noto Sans CJK SC"/>
        <family val="2"/>
      </rPr>
      <t xml:space="preserve">；修復前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`{'detail': "'insight:1'" …} assert 'error' == 'ok'`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`assert 202 == 404`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M1</t>
    </r>
    <r>
      <rPr>
        <sz val="10"/>
        <rFont val="Noto Sans CJK SC"/>
        <family val="2"/>
      </rPr>
      <t xml:space="preserve">（放回舊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本體）→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`assert "'x'" == "</t>
    </r>
    <r>
      <rPr>
        <sz val="10"/>
        <rFont val="Noto Sans CJK SC"/>
        <family val="2"/>
      </rPr>
      <t xml:space="preserve">執行失敗：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'x'"` </t>
    </r>
    <r>
      <rPr>
        <sz val="10"/>
        <rFont val="Noto Sans CJK SC"/>
        <family val="2"/>
      </rPr>
      <t xml:space="preserve">等）；</t>
    </r>
    <r>
      <rPr>
        <sz val="10"/>
        <rFont val="Arial"/>
        <family val="0"/>
        <charset val="1"/>
      </rPr>
      <t xml:space="preserve">M2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str(exc)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（路由不檢查 </t>
    </r>
    <r>
      <rPr>
        <sz val="10"/>
        <rFont val="Arial"/>
        <family val="0"/>
        <charset val="1"/>
      </rPr>
      <t xml:space="preserve">job_kind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`assert 202 == 409`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effective_enabled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（無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return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 running row left behind blocks every later run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M12</t>
    </r>
    <r>
      <rPr>
        <sz val="10"/>
        <rFont val="Noto Sans CJK SC"/>
        <family val="2"/>
      </rPr>
      <t xml:space="preserve">（前端開關改回 </t>
    </r>
    <r>
      <rPr>
        <sz val="10"/>
        <rFont val="Arial"/>
        <family val="0"/>
        <charset val="1"/>
      </rPr>
      <t xml:space="preserve">j.enabled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e2e 1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放回英文句）→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則失敗。改回後通過；</t>
    </r>
    <r>
      <rPr>
        <sz val="10"/>
        <rFont val="Arial"/>
        <family val="0"/>
        <charset val="1"/>
      </rPr>
      <t xml:space="preserve">test_scheduler_api.py::test_runs_row_shape_and_filter </t>
    </r>
    <r>
      <rPr>
        <sz val="10"/>
        <rFont val="Noto Sans CJK SC"/>
        <family val="2"/>
      </rPr>
      <t xml:space="preserve">更新（列多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</si>
  <si>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真實瀏覽器：系統設定 › 排程中心，看 </t>
    </r>
    <r>
      <rPr>
        <sz val="10"/>
        <rFont val="Arial"/>
        <family val="0"/>
        <charset val="1"/>
      </rPr>
      <t xml:space="preserve">insight:* </t>
    </r>
    <r>
      <rPr>
        <sz val="10"/>
        <rFont val="Noto Sans CJK SC"/>
        <family val="2"/>
      </rPr>
      <t xml:space="preserve">列名稱 → 市場週報（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）立即執行；再到洞察管線暫停該任務，看排程中心開關，再啟用還原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</si>
  <si>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insight:* </t>
    </r>
    <r>
      <rPr>
        <sz val="10"/>
        <rFont val="Noto Sans CJK SC"/>
        <family val="2"/>
      </rPr>
      <t xml:space="preserve">立即執行一律失敗「</t>
    </r>
    <r>
      <rPr>
        <sz val="10"/>
        <rFont val="Arial"/>
        <family val="0"/>
        <charset val="1"/>
      </rPr>
      <t xml:space="preserve">'insight:7'</t>
    </r>
    <r>
      <rPr>
        <sz val="10"/>
        <rFont val="Noto Sans CJK SC"/>
        <family val="2"/>
      </rPr>
      <t xml:space="preserve">」、列上無任務名、暫停後開關仍亮
假設：①</t>
    </r>
    <r>
      <rPr>
        <sz val="10"/>
        <rFont val="Arial"/>
        <family val="0"/>
        <charset val="1"/>
      </rPr>
      <t xml:space="preserve">run-now </t>
    </r>
    <r>
      <rPr>
        <sz val="10"/>
        <rFont val="Noto Sans CJK SC"/>
        <family val="2"/>
      </rPr>
      <t xml:space="preserve">走正確的派發；②名稱與暫停狀態由後端帶出
排除：列名「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」，歷史列含「（已刪除）」標示；立即執行 → </t>
    </r>
    <r>
      <rPr>
        <sz val="10"/>
        <rFont val="Arial"/>
        <family val="0"/>
        <charset val="1"/>
      </rPr>
      <t xml:space="preserve">202 run #180 → 14.4 s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status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 0.0023063</t>
    </r>
    <r>
      <rPr>
        <sz val="10"/>
        <rFont val="Noto Sans CJK SC"/>
        <family val="2"/>
      </rPr>
      <t xml:space="preserve">，額度 </t>
    </r>
    <r>
      <rPr>
        <sz val="10"/>
        <rFont val="Arial"/>
        <family val="0"/>
        <charset val="1"/>
      </rPr>
      <t xml:space="preserve">3.2720718→3.2697655</t>
    </r>
    <r>
      <rPr>
        <sz val="10"/>
        <rFont val="Noto Sans CJK SC"/>
        <family val="2"/>
      </rPr>
      <t xml:space="preserve">（差額相同），產出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個市場）；洞察管線暫停 → </t>
    </r>
    <r>
      <rPr>
        <sz val="10"/>
        <rFont val="Arial"/>
        <family val="0"/>
        <charset val="1"/>
      </rPr>
      <t xml:space="preserve">PUT /api/insight-tasks/7 enabled:false → /api/scheduler/jobs insight:7 effective_enabled 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「任務已在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洞察管線暫停，排程觸發時不會執行；請至洞察管線啟用」，排程中心該列開關 </t>
    </r>
    <r>
      <rPr>
        <sz val="10"/>
        <rFont val="Arial"/>
        <family val="0"/>
        <charset val="1"/>
      </rPr>
      <t xml:space="preserve">aria-checked false </t>
    </r>
    <r>
      <rPr>
        <sz val="10"/>
        <rFont val="Noto Sans CJK SC"/>
        <family val="2"/>
      </rPr>
      <t xml:space="preserve">並有「前往洞察管線 →」；再啟用後恢復 </t>
    </r>
    <r>
      <rPr>
        <sz val="10"/>
        <rFont val="Arial"/>
        <family val="0"/>
        <charset val="1"/>
      </rPr>
      <t xml:space="preserve">eff true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scheduler insight </t>
    </r>
    <r>
      <rPr>
        <sz val="10"/>
        <rFont val="Noto Sans CJK SC"/>
        <family val="2"/>
      </rPr>
      <t xml:space="preserve">派發路徑；變異關閉 → </t>
    </r>
    <r>
      <rPr>
        <sz val="10"/>
        <rFont val="Arial"/>
        <family val="0"/>
        <charset val="1"/>
      </rPr>
      <t xml:space="preserve">3 failed
</t>
    </r>
    <r>
      <rPr>
        <sz val="10"/>
        <rFont val="Noto Sans CJK SC"/>
        <family val="2"/>
      </rPr>
      <t xml:space="preserve">判定：通過</t>
    </r>
  </si>
  <si>
    <t xml:space="preserve">立即執行成功、名稱顯示、暫停狀態同步；任務已重新啟用</t>
  </si>
  <si>
    <r>
      <rPr>
        <sz val="10"/>
        <rFont val="Noto Sans CJK SC"/>
        <family val="2"/>
      </rPr>
      <t xml:space="preserve">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</si>
  <si>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r>
      <rPr>
        <sz val="10"/>
        <rFont val="Noto Sans CJK SC"/>
        <family val="2"/>
      </rPr>
      <t xml:space="preserve">同意驗證者。帳戶、產業、幣別層級的預警都會被當成個股產卡；模型沒被告知觸發了什麼預警只能推測（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實際是 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，卡片卻寫「</t>
    </r>
    <r>
      <rPr>
        <sz val="10"/>
        <rFont val="Arial"/>
        <family val="0"/>
        <charset val="1"/>
      </rPr>
      <t xml:space="preserve">RSI</t>
    </r>
    <r>
      <rPr>
        <sz val="10"/>
        <rFont val="Noto Sans CJK SC"/>
        <family val="2"/>
      </rPr>
      <t xml:space="preserve">過熱」）；同一檔同一天兩條不同預警的提示詞完全相同，第二張卡命中快取根本沒寫入。</t>
    </r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</si>
  <si>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</si>
  <si>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</si>
  <si>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r>
      <rPr>
        <sz val="10"/>
        <rFont val="Noto Sans CJK SC"/>
        <family val="2"/>
      </rPr>
      <t xml:space="preserve">結構化並保留字串相容：</t>
    </r>
    <r>
      <rPr>
        <sz val="10"/>
        <rFont val="Arial"/>
        <family val="0"/>
        <charset val="1"/>
      </rPr>
      <t xml:space="preserve">strategy/alerts.py Alert </t>
    </r>
    <r>
      <rPr>
        <sz val="10"/>
        <rFont val="Noto Sans CJK SC"/>
        <family val="2"/>
      </rPr>
      <t xml:space="preserve">新增必填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subject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validator </t>
    </r>
    <r>
      <rPr>
        <sz val="10"/>
        <rFont val="Noto Sans CJK SC"/>
        <family val="2"/>
      </rPr>
      <t xml:space="preserve">要求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rule:subject </t>
    </r>
    <r>
      <rPr>
        <sz val="10"/>
        <rFont val="Noto Sans CJK SC"/>
        <family val="2"/>
      </rPr>
      <t xml:space="preserve">或以它開頭），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處建構全部標明（</t>
    </r>
    <r>
      <rPr>
        <sz val="10"/>
        <rFont val="Arial"/>
        <family val="0"/>
        <charset val="1"/>
      </rPr>
      <t xml:space="preserve">symbol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sector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currency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 3</t>
    </r>
    <r>
      <rPr>
        <sz val="10"/>
        <rFont val="Noto Sans CJK SC"/>
        <family val="2"/>
      </rPr>
      <t xml:space="preserve">），兩欄 </t>
    </r>
    <r>
      <rPr>
        <sz val="10"/>
        <rFont val="Arial"/>
        <family val="0"/>
        <charset val="1"/>
      </rPr>
      <t xml:space="preserve">exclude=True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/api/alerts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位元組不變）；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alerts_bridge card_target()</t>
    </r>
    <r>
      <rPr>
        <sz val="10"/>
        <rFont val="Noto Sans CJK SC"/>
        <family val="2"/>
      </rPr>
      <t xml:space="preserve">：只有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送個股卡、</t>
    </r>
    <r>
      <rPr>
        <sz val="10"/>
        <rFont val="Arial"/>
        <family val="0"/>
        <charset val="1"/>
      </rPr>
      <t xml:space="preserve">portfolio </t>
    </r>
    <r>
      <rPr>
        <sz val="10"/>
        <rFont val="Noto Sans CJK SC"/>
        <family val="2"/>
      </rPr>
      <t xml:space="preserve">送組合卡（舊事件 </t>
    </r>
    <r>
      <rPr>
        <sz val="10"/>
        <rFont val="Arial"/>
        <family val="0"/>
        <charset val="1"/>
      </rPr>
      <t xml:space="preserve">signal_* </t>
    </r>
    <r>
      <rPr>
        <sz val="10"/>
        <rFont val="Noto Sans CJK SC"/>
        <family val="2"/>
      </rPr>
      <t xml:space="preserve">視為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視為 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、其餘不派發）；</t>
    </r>
    <r>
      <rPr>
        <sz val="10"/>
        <rFont val="Arial"/>
        <family val="0"/>
        <charset val="1"/>
      </rPr>
      <t xml:space="preserve">dispatch_alert_events_ex()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DispatchResult(dispatched, skipped)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alert_scan detail </t>
    </r>
    <r>
      <rPr>
        <sz val="10"/>
        <rFont val="Noto Sans CJK SC"/>
        <family val="2"/>
      </rPr>
      <t xml:space="preserve">加「；略過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條非個股預警（不產個股卡）：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{account:moomoo_my}</t>
    </r>
    <r>
      <rPr>
        <sz val="10"/>
        <rFont val="Noto Sans CJK SC"/>
        <family val="2"/>
      </rPr>
      <t xml:space="preserve">、…」；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scope="task"</t>
    </r>
    <r>
      <rPr>
        <sz val="10"/>
        <rFont val="Noto Sans CJK SC"/>
        <family val="2"/>
      </rPr>
      <t xml:space="preserve">。卡片溯源：</t>
    </r>
    <r>
      <rPr>
        <sz val="10"/>
        <rFont val="Arial"/>
        <family val="0"/>
        <charset val="1"/>
      </rPr>
      <t xml:space="preserve">insights.trigger_json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InsightTrigger{source: alert/schedule/manual, rule, alert_id, fired_at, scope, subject, title, detail}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RunInputs.trigger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run_for_id(trigger=) </t>
    </r>
    <r>
      <rPr>
        <sz val="10"/>
        <rFont val="Noto Sans CJK SC"/>
        <family val="2"/>
      </rPr>
      <t xml:space="preserve">傳到兩處 </t>
    </r>
    <r>
      <rPr>
        <sz val="10"/>
        <rFont val="Arial"/>
        <family val="0"/>
        <charset val="1"/>
      </rPr>
      <t xml:space="preserve">add_card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shadow </t>
    </r>
    <r>
      <rPr>
        <sz val="10"/>
        <rFont val="Noto Sans CJK SC"/>
        <family val="2"/>
      </rPr>
      <t xml:space="preserve">卡也帶）；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每張卡加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rule_label </t>
    </r>
    <r>
      <rPr>
        <sz val="10"/>
        <rFont val="Noto Sans CJK SC"/>
        <family val="2"/>
      </rPr>
      <t xml:space="preserve">取自 </t>
    </r>
    <r>
      <rPr>
        <sz val="10"/>
        <rFont val="Arial"/>
        <family val="0"/>
        <charset val="1"/>
      </rPr>
      <t xml:space="preserve">ops.notify.RULE_CATALOG</t>
    </r>
    <r>
      <rPr>
        <sz val="10"/>
        <rFont val="Noto Sans CJK SC"/>
        <family val="2"/>
      </rPr>
      <t xml:space="preserve">，舊卡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）。提示詞：</t>
    </r>
    <r>
      <rPr>
        <sz val="10"/>
        <rFont val="Arial"/>
        <family val="0"/>
        <charset val="1"/>
      </rPr>
      <t xml:space="preserve">official_templates.ON_ALERT_CONTEXT </t>
    </r>
    <r>
      <rPr>
        <sz val="10"/>
        <rFont val="Noto Sans CJK SC"/>
        <family val="2"/>
      </rPr>
      <t xml:space="preserve">把規則代碼、預警標題、內容、觸發日期餵進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附加段並規定只能依此描述（只放日期，同日同預警仍命中快取）；</t>
    </r>
    <r>
      <rPr>
        <sz val="10"/>
        <rFont val="Arial"/>
        <family val="0"/>
        <charset val="1"/>
      </rPr>
      <t xml:space="preserve">ON_ALERT_NOTE_VERSION v1→v2</t>
    </r>
    <r>
      <rPr>
        <sz val="10"/>
        <rFont val="Noto Sans CJK SC"/>
        <family val="2"/>
      </rPr>
      <t xml:space="preserve">。前端 </t>
    </r>
    <r>
      <rPr>
        <sz val="10"/>
        <rFont val="Arial"/>
        <family val="0"/>
        <charset val="1"/>
      </rPr>
      <t xml:space="preserve">insights.html </t>
    </r>
    <r>
      <rPr>
        <sz val="10"/>
        <rFont val="Noto Sans CJK SC"/>
        <family val="2"/>
      </rPr>
      <t xml:space="preserve">洞察卡與健診卡底列「由預警「目標價穿越」觸發」連 </t>
    </r>
    <r>
      <rPr>
        <sz val="10"/>
        <rFont val="Arial"/>
        <family val="0"/>
        <charset val="1"/>
      </rPr>
      <t xml:space="preserve">settings.html#alerts</t>
    </r>
    <r>
      <rPr>
        <sz val="10"/>
        <rFont val="Noto Sans CJK SC"/>
        <family val="2"/>
      </rPr>
      <t xml:space="preserve">，滑鼠提示為預警標題／內容／時間；排程或手動來源顯示淡色標籤。</t>
    </r>
  </si>
  <si>
    <r>
      <rPr>
        <sz val="10"/>
        <rFont val="Noto Sans CJK SC"/>
        <family val="2"/>
      </rPr>
      <t xml:space="preserve">從字串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拆後綴推斷代號／帳戶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 _alert_symbol</t>
    </r>
    <r>
      <rPr>
        <sz val="10"/>
        <rFont val="Noto Sans CJK SC"/>
        <family val="2"/>
      </rPr>
      <t xml:space="preserve">）／跨包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api/digest_service.py:510-516 _drift_symbols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web/alerts.js:200 symbolOf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I-16</t>
    </r>
    <r>
      <rPr>
        <sz val="10"/>
        <rFont val="Noto Sans CJK SC"/>
        <family val="2"/>
      </rPr>
      <t xml:space="preserve">，連同 </t>
    </r>
    <r>
      <rPr>
        <sz val="10"/>
        <rFont val="Arial"/>
        <family val="0"/>
        <charset val="1"/>
      </rPr>
      <t xml:space="preserve">ops/notify.py format_event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_alerts_today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signals_service record_event_ex scope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處全部結構化（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處以前會被當成個股）；產卡入口寫溯源 </t>
    </r>
    <r>
      <rPr>
        <sz val="10"/>
        <rFont val="Arial"/>
        <family val="0"/>
        <charset val="1"/>
      </rPr>
      <t xml:space="preserve">runner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add_card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run_insight_type 3 </t>
    </r>
    <r>
      <rPr>
        <sz val="10"/>
        <rFont val="Noto Sans CJK SC"/>
        <family val="2"/>
      </rPr>
      <t xml:space="preserve">處（主流程與 </t>
    </r>
    <r>
      <rPr>
        <sz val="10"/>
        <rFont val="Arial"/>
        <family val="0"/>
        <charset val="1"/>
      </rPr>
      <t xml:space="preserve">shadow </t>
    </r>
    <r>
      <rPr>
        <sz val="10"/>
        <rFont val="Noto Sans CJK SC"/>
        <family val="2"/>
      </rPr>
      <t xml:space="preserve">寫、未知任務不產卡）；</t>
    </r>
    <r>
      <rPr>
        <sz val="10"/>
        <rFont val="Arial"/>
        <family val="0"/>
        <charset val="1"/>
      </rPr>
      <t xml:space="preserve">gating.py </t>
    </r>
    <r>
      <rPr>
        <sz val="10"/>
        <rFont val="Noto Sans CJK SC"/>
        <family val="2"/>
      </rPr>
      <t xml:space="preserve">只用結構化 </t>
    </r>
    <r>
      <rPr>
        <sz val="10"/>
        <rFont val="Arial"/>
        <family val="0"/>
        <charset val="1"/>
      </rPr>
      <t xml:space="preserve">fired_symbol </t>
    </r>
    <r>
      <rPr>
        <sz val="10"/>
        <rFont val="Noto Sans CJK SC"/>
        <family val="2"/>
      </rPr>
      <t xml:space="preserve">不解析字串、未改。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</si>
  <si>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tests/scheduler/test_def037_alert_scope_dispatch.py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守門）、</t>
    </r>
    <r>
      <rPr>
        <sz val="10"/>
        <rFont val="Arial"/>
        <family val="0"/>
        <charset val="1"/>
      </rPr>
      <t xml:space="preserve">tests/llm_insight/test_def037_card_trigger.py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：提示詞有餵入、兩條預警產兩張卡、排程與手動來源、</t>
    </r>
    <r>
      <rPr>
        <sz val="10"/>
        <rFont val="Arial"/>
        <family val="0"/>
        <charset val="1"/>
      </rPr>
      <t xml:space="preserve">API rule_label</t>
    </r>
    <r>
      <rPr>
        <sz val="10"/>
        <rFont val="Noto Sans CJK SC"/>
        <family val="2"/>
      </rPr>
      <t xml:space="preserve">、頁面靜態、真實規則引擎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test_an_alert_card_says_which_alert_produced_it</t>
    </r>
    <r>
      <rPr>
        <sz val="10"/>
        <rFont val="Noto Sans CJK SC"/>
        <family val="2"/>
      </rPr>
      <t xml:space="preserve">；改寫釘錯舊測試（</t>
    </r>
    <r>
      <rPr>
        <sz val="10"/>
        <rFont val="Arial"/>
        <family val="0"/>
        <charset val="1"/>
      </rPr>
      <t xml:space="preserve">test_alert_scan 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處建構、</t>
    </r>
    <r>
      <rPr>
        <sz val="10"/>
        <rFont val="Arial"/>
        <family val="0"/>
        <charset val="1"/>
      </rPr>
      <t xml:space="preserve">test_alerts_bridge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test_pipeline_hub_api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test_insight_dispatch 3 stub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unit/test_digest 3 </t>
    </r>
    <r>
      <rPr>
        <sz val="10"/>
        <rFont val="Noto Sans CJK SC"/>
        <family val="2"/>
      </rPr>
      <t xml:space="preserve">處）；修復前新卡片測試檔 </t>
    </r>
    <r>
      <rPr>
        <sz val="10"/>
        <rFont val="Arial"/>
        <family val="0"/>
        <charset val="1"/>
      </rPr>
      <t xml:space="preserve">collection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ImportError</t>
    </r>
    <r>
      <rPr>
        <sz val="10"/>
        <rFont val="Noto Sans CJK SC"/>
        <family val="2"/>
      </rPr>
      <t xml:space="preserve">、派發測試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則失敗。變異 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（派發改回有後綴就當代號）→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an account id reached the per-symbol card as fired_symbol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M8</t>
    </r>
    <r>
      <rPr>
        <sz val="10"/>
        <rFont val="Noto Sans CJK SC"/>
        <family val="2"/>
      </rPr>
      <t xml:space="preserve">（提示詞改回只有原附加段）→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`'2330 </t>
    </r>
    <r>
      <rPr>
        <sz val="10"/>
        <rFont val="Noto Sans CJK SC"/>
        <family val="2"/>
      </rPr>
      <t xml:space="preserve">跌破目標價</t>
    </r>
    <r>
      <rPr>
        <sz val="10"/>
        <rFont val="Arial"/>
        <family val="0"/>
        <charset val="1"/>
      </rPr>
      <t xml:space="preserve">' in '&lt;prompt&gt;'` </t>
    </r>
    <r>
      <rPr>
        <sz val="10"/>
        <rFont val="Noto Sans CJK SC"/>
        <family val="2"/>
      </rPr>
      <t xml:space="preserve">為假）；</t>
    </r>
    <r>
      <rPr>
        <sz val="10"/>
        <rFont val="Arial"/>
        <family val="0"/>
        <charset val="1"/>
      </rPr>
      <t xml:space="preserve">M9</t>
    </r>
    <r>
      <rPr>
        <sz val="10"/>
        <rFont val="Noto Sans CJK SC"/>
        <family val="2"/>
      </rPr>
      <t xml:space="preserve">（不存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None is not None`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建構拿掉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AST `[(335, 'scope missing or not a literal')]`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ValidationError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M11</t>
    </r>
    <r>
      <rPr>
        <sz val="10"/>
        <rFont val="Noto Sans CJK SC"/>
        <family val="2"/>
      </rPr>
      <t xml:space="preserve">（健診卡拿掉觸發標籤）→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則失敗。改回後通過。觀察（需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裁定，未做）：只在觀察清單的標的因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產「持倉提點」卡；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既有錯誤卡（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）因卡片表只增不改而保留。</t>
    </r>
  </si>
  <si>
    <r>
      <rPr>
        <sz val="10"/>
        <rFont val="Noto Sans CJK SC"/>
        <family val="2"/>
      </rPr>
      <t xml:space="preserve">真實瀏覽器：系統設定 ›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立即執行三次（</t>
    </r>
    <r>
      <rPr>
        <sz val="10"/>
        <rFont val="Arial"/>
        <family val="0"/>
        <charset val="1"/>
      </rPr>
      <t xml:space="preserve">#181 2884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#182 2884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#183 2330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）→ 比對 </t>
    </r>
    <r>
      <rPr>
        <sz val="10"/>
        <rFont val="Arial"/>
        <family val="0"/>
        <charset val="1"/>
      </rPr>
      <t xml:space="preserve">job </t>
    </r>
    <r>
      <rPr>
        <sz val="10"/>
        <rFont val="Noto Sans CJK SC"/>
        <family val="2"/>
      </rPr>
      <t xml:space="preserve">詳情、派發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與新卡欄位 → 目標價全部改回空白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</si>
  <si>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fx_drift:moomoo_my </t>
    </r>
    <r>
      <rPr>
        <sz val="10"/>
        <rFont val="Noto Sans CJK SC"/>
        <family val="2"/>
      </rPr>
      <t xml:space="preserve">被當代號派發、卡片無觸發紀錄
假設：①派發只收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 scope</t>
    </r>
    <r>
      <rPr>
        <sz val="10"/>
        <rFont val="Noto Sans CJK SC"/>
        <family val="2"/>
      </rPr>
      <t xml:space="preserve">；②卡片帶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結構
排除：三次掃描詳情都寫「略過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條非個股預警（不產個股卡）：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…」，沒有任何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的新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#182 0 dispatched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已派發過 </t>
    </r>
    <r>
      <rPr>
        <sz val="10"/>
        <rFont val="Arial"/>
        <family val="0"/>
        <charset val="1"/>
      </rPr>
      <t xml:space="preserve">2884 target_cross</t>
    </r>
    <r>
      <rPr>
        <sz val="10"/>
        <rFont val="Noto Sans CJK SC"/>
        <family val="2"/>
      </rPr>
      <t xml:space="preserve">，程式註解 </t>
    </r>
    <r>
      <rPr>
        <sz val="10"/>
        <rFont val="Arial"/>
        <family val="0"/>
        <charset val="1"/>
      </rPr>
      <t xml:space="preserve">per (rule, symbol) 24h-debounced</t>
    </r>
    <r>
      <rPr>
        <sz val="10"/>
        <rFont val="Noto Sans CJK SC"/>
        <family val="2"/>
      </rPr>
      <t xml:space="preserve">）；換成新組合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上限 </t>
    </r>
    <r>
      <rPr>
        <sz val="10"/>
        <rFont val="Arial"/>
        <family val="0"/>
        <charset val="1"/>
      </rPr>
      <t xml:space="preserve">1000 → #183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 dispatched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insight:9 run #184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 0.0007319</t>
    </r>
    <r>
      <rPr>
        <sz val="10"/>
        <rFont val="Noto Sans CJK SC"/>
        <family val="2"/>
      </rPr>
      <t xml:space="preserve">（額度 </t>
    </r>
    <r>
      <rPr>
        <sz val="10"/>
        <rFont val="Arial"/>
        <family val="0"/>
        <charset val="1"/>
      </rPr>
      <t xml:space="preserve">3.2691719→3.2684400 </t>
    </r>
    <r>
      <rPr>
        <sz val="10"/>
        <rFont val="Noto Sans CJK SC"/>
        <family val="2"/>
      </rPr>
      <t xml:space="preserve">相同）→ 新卡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 {source alert, rule target_cross, alert_id 132, scope symbol, subject 2330, title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突破目標價」</t>
    </r>
    <r>
      <rPr>
        <sz val="10"/>
        <rFont val="Arial"/>
        <family val="0"/>
        <charset val="1"/>
      </rPr>
      <t xml:space="preserve">, detail</t>
    </r>
    <r>
      <rPr>
        <sz val="10"/>
        <rFont val="Noto Sans CJK SC"/>
        <family val="2"/>
      </rPr>
      <t xml:space="preserve">「現價 </t>
    </r>
    <r>
      <rPr>
        <sz val="10"/>
        <rFont val="Arial"/>
        <family val="0"/>
        <charset val="1"/>
      </rPr>
      <t xml:space="preserve">2460.0 ≥ </t>
    </r>
    <r>
      <rPr>
        <sz val="10"/>
        <rFont val="Noto Sans CJK SC"/>
        <family val="2"/>
      </rPr>
      <t xml:space="preserve">目標上限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, rule_label</t>
    </r>
    <r>
      <rPr>
        <sz val="10"/>
        <rFont val="Noto Sans CJK SC"/>
        <family val="2"/>
      </rPr>
      <t xml:space="preserve">「目標價穿越」</t>
    </r>
    <r>
      <rPr>
        <sz val="10"/>
        <rFont val="Arial"/>
        <family val="0"/>
        <charset val="1"/>
      </rPr>
      <t xml:space="preserve">}</t>
    </r>
    <r>
      <rPr>
        <sz val="10"/>
        <rFont val="Noto Sans CJK SC"/>
        <family val="2"/>
      </rPr>
      <t xml:space="preserve">，標題「台積電</t>
    </r>
    <r>
      <rPr>
        <sz val="10"/>
        <rFont val="Arial"/>
        <family val="0"/>
        <charset val="1"/>
      </rPr>
      <t xml:space="preserve">(2330) </t>
    </r>
    <r>
      <rPr>
        <sz val="10"/>
        <rFont val="Noto Sans CJK SC"/>
        <family val="2"/>
      </rPr>
      <t xml:space="preserve">突破警示目標價」，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卡片顯示「由預警「目標價穿越」觸發」
定位：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Alert.scope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_alert_symbol </t>
    </r>
    <r>
      <rPr>
        <sz val="10"/>
        <rFont val="Noto Sans CJK SC"/>
        <family val="2"/>
      </rPr>
      <t xml:space="preserve">已刪；變異 → </t>
    </r>
    <r>
      <rPr>
        <sz val="10"/>
        <rFont val="Arial"/>
        <family val="0"/>
        <charset val="1"/>
      </rPr>
      <t xml:space="preserve">4 failed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</si>
  <si>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帳戶層級預警不再產卡；卡片可追溯觸發預警；本案花費 </t>
    </r>
    <r>
      <rPr>
        <sz val="10"/>
        <rFont val="Arial"/>
        <family val="0"/>
        <charset val="1"/>
      </rPr>
      <t xml:space="preserve">$0.0007319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檔目標價皆已改回空白</t>
    </r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</si>
  <si>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</si>
  <si>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</si>
  <si>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r>
      <rPr>
        <sz val="10"/>
        <rFont val="Noto Sans CJK SC"/>
        <family val="2"/>
      </rPr>
      <t xml:space="preserve">—（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裁定列，本輪未修）</t>
    </r>
  </si>
  <si>
    <r>
      <rPr>
        <sz val="10"/>
        <rFont val="Noto Sans CJK SC"/>
        <family val="2"/>
      </rPr>
      <t xml:space="preserve">非複驗：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裁定（驗證者整理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個方案供選，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選定）</t>
    </r>
  </si>
  <si>
    <r>
      <rPr>
        <sz val="10"/>
        <rFont val="Noto Sans CJK SC"/>
        <family val="2"/>
      </rPr>
      <t xml:space="preserve">裁定：以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</t>
    </r>
  </si>
  <si>
    <r>
      <rPr>
        <sz val="10"/>
        <rFont val="Noto Sans CJK SC"/>
        <family val="2"/>
      </rPr>
      <t xml:space="preserve">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</t>
    </r>
  </si>
  <si>
    <t xml:space="preserve">依裁定現行行為不符 → 狀態改「新開」交開發者</t>
  </si>
  <si>
    <r>
      <rPr>
        <sz val="10"/>
        <rFont val="Noto Sans CJK SC"/>
        <family val="2"/>
      </rPr>
      <t xml:space="preserve">裁定：維持中性色：入金實心、出金外框（方向不是損益，不用紅綠），不改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</si>
  <si>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</si>
  <si>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</si>
  <si>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</si>
  <si>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r>
      <rPr>
        <sz val="10"/>
        <rFont val="Noto Sans CJK SC"/>
        <family val="2"/>
      </rPr>
      <t xml:space="preserve">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</t>
    </r>
  </si>
  <si>
    <r>
      <rPr>
        <sz val="10"/>
        <rFont val="Noto Sans CJK SC"/>
        <family val="2"/>
      </rPr>
      <t xml:space="preserve">裁定：兩者都做：退款預估器對費率快照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</t>
    </r>
  </si>
  <si>
    <r>
      <rPr>
        <sz val="10"/>
        <rFont val="Noto Sans CJK SC"/>
        <family val="2"/>
      </rPr>
      <t xml:space="preserve">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</t>
    </r>
  </si>
  <si>
    <t xml:space="preserve">裁定：允許「當沖＋放空」組合（台股現股當沖可先賣後買）；表單加組合說明，交易帳本列標示「當沖」「放空」。</t>
  </si>
  <si>
    <r>
      <rPr>
        <sz val="10"/>
        <rFont val="Noto Sans CJK SC"/>
        <family val="2"/>
      </rPr>
      <t xml:space="preserve">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</t>
    </r>
  </si>
  <si>
    <r>
      <rPr>
        <sz val="10"/>
        <rFont val="Noto Sans CJK SC"/>
        <family val="2"/>
      </rPr>
      <t xml:space="preserve">裁定：入帳日（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</t>
    </r>
  </si>
  <si>
    <r>
      <rPr>
        <sz val="10"/>
        <rFont val="Noto Sans CJK SC"/>
        <family val="2"/>
      </rPr>
      <t xml:space="preserve">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</t>
    </r>
  </si>
  <si>
    <r>
      <rPr>
        <sz val="10"/>
        <rFont val="Noto Sans CJK SC"/>
        <family val="2"/>
      </rPr>
      <t xml:space="preserve">裁定：維持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</t>
    </r>
  </si>
  <si>
    <r>
      <rPr>
        <sz val="10"/>
        <rFont val="Noto Sans CJK SC"/>
        <family val="2"/>
      </rPr>
      <t xml:space="preserve">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</si>
  <si>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r>
      <rPr>
        <sz val="10"/>
        <rFont val="Noto Sans CJK SC"/>
        <family val="2"/>
      </rPr>
      <t xml:space="preserve">裁定：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</t>
    </r>
  </si>
  <si>
    <r>
      <rPr>
        <sz val="10"/>
        <rFont val="Noto Sans CJK SC"/>
        <family val="2"/>
      </rPr>
      <t xml:space="preserve">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</t>
    </r>
  </si>
  <si>
    <t xml:space="preserve">裁定：策略提示詞做完整版本記錄：每次儲存留一版，可檢視差異並回復任一版，洞察卡記錄生成時使用的版本。</t>
  </si>
  <si>
    <r>
      <rPr>
        <sz val="10"/>
        <rFont val="Noto Sans CJK SC"/>
        <family val="2"/>
      </rPr>
      <t xml:space="preserve">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</t>
    </r>
  </si>
  <si>
    <r>
      <rPr>
        <sz val="10"/>
        <rFont val="Noto Sans CJK SC"/>
        <family val="2"/>
      </rPr>
      <t xml:space="preserve">—（本輪由檢驗方發現／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</t>
    </r>
  </si>
  <si>
    <r>
      <rPr>
        <sz val="10"/>
        <rFont val="Noto Sans CJK SC"/>
        <family val="2"/>
      </rPr>
      <t xml:space="preserve">真實瀏覽器走完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的券商對帳單流程，讀賣超列的提示文字</t>
    </r>
  </si>
  <si>
    <r>
      <rPr>
        <sz val="10"/>
        <rFont val="Noto Sans CJK SC"/>
        <family val="2"/>
      </rPr>
      <t xml:space="preserve">觀察：提示中的持股是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位小數原文
假設：①前端未經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；②後端回傳已格式化字串
排除：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原文，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其他處（持倉表）都有格式化，排除②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顯示格式不一致</t>
    </r>
  </si>
  <si>
    <r>
      <rPr>
        <sz val="10"/>
        <rFont val="Noto Sans CJK SC"/>
        <family val="2"/>
      </rPr>
      <t xml:space="preserve">提示顯示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位小數；缺口數值正確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</si>
  <si>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DEF-039</t>
    </r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</si>
  <si>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</si>
  <si>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</si>
  <si>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</si>
  <si>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</si>
  <si>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r>
      <rPr>
        <sz val="10"/>
        <rFont val="Noto Sans CJK SC"/>
        <family val="2"/>
      </rPr>
      <t xml:space="preserve">觀察：觀察標的仍在預警清單且屬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訂閱規則；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裁定只派發持有中標的</t>
    </r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</si>
  <si>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</si>
  <si>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</si>
  <si>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J-03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→ 刪除；讀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本文與回應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</si>
  <si>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{ok, fee, tax}</t>
    </r>
    <r>
      <rPr>
        <sz val="10"/>
        <rFont val="Noto Sans CJK SC"/>
        <family val="2"/>
      </rPr>
      <t xml:space="preserve">，無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；開發者自述 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更正門不走驗證器（跨包白名單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裁定要統一</t>
    </r>
  </si>
  <si>
    <r>
      <rPr>
        <sz val="10"/>
        <rFont val="Noto Sans CJK SC"/>
        <family val="2"/>
      </rPr>
      <t xml:space="preserve">編輯成功、統計正確（均價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）；無日期類提示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</si>
  <si>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</si>
  <si>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真實瀏覽器讀洞察管線任務卡；對照 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自動 </t>
    </r>
    <r>
      <rPr>
        <sz val="10"/>
        <rFont val="Arial"/>
        <family val="0"/>
        <charset val="1"/>
      </rPr>
      <t xml:space="preserve">run</t>
    </r>
  </si>
  <si>
    <r>
      <rPr>
        <sz val="10"/>
        <rFont val="Noto Sans CJK SC"/>
        <family val="2"/>
      </rPr>
      <t xml:space="preserve">觀察：卡片說不會自動執行，但 </t>
    </r>
    <r>
      <rPr>
        <sz val="10"/>
        <rFont val="Arial"/>
        <family val="0"/>
        <charset val="1"/>
      </rPr>
      <t xml:space="preserve">run #184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自動派發
假設：①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需另外排程；②狀態判斷漏了 </t>
    </r>
    <r>
      <rPr>
        <sz val="10"/>
        <rFont val="Arial"/>
        <family val="0"/>
        <charset val="1"/>
      </rPr>
      <t xml:space="preserve">scope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#184 </t>
    </r>
    <r>
      <rPr>
        <sz val="10"/>
        <rFont val="Noto Sans CJK SC"/>
        <family val="2"/>
      </rPr>
      <t xml:space="preserve">為自動派發，排除①
定位：</t>
    </r>
    <r>
      <rPr>
        <sz val="10"/>
        <rFont val="Arial"/>
        <family val="0"/>
        <charset val="1"/>
      </rPr>
      <t xml:space="preserve">pipeline_status.py:86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</si>
  <si>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Noto Sans CJK SC"/>
        <family val="2"/>
      </rPr>
      <t xml:space="preserve">觸發節點誤報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；需注意計數多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</si>
  <si>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DEF-043</t>
    </r>
  </si>
  <si>
    <r>
      <rPr>
        <sz val="10"/>
        <rFont val="Noto Sans CJK SC"/>
        <family val="2"/>
      </rPr>
      <t xml:space="preserve">真實瀏覽器讀排程中心列文字；</t>
    </r>
    <r>
      <rPr>
        <sz val="10"/>
        <rFont val="Arial"/>
        <family val="0"/>
        <charset val="1"/>
      </rPr>
      <t xml:space="preserve">grep web/*.html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script </t>
    </r>
    <r>
      <rPr>
        <sz val="10"/>
        <rFont val="Noto Sans CJK SC"/>
        <family val="2"/>
      </rPr>
      <t xml:space="preserve">標籤</t>
    </r>
  </si>
  <si>
    <r>
      <rPr>
        <sz val="10"/>
        <rFont val="Noto Sans CJK SC"/>
        <family val="2"/>
      </rPr>
      <t xml:space="preserve">觀察：畫面出現 </t>
    </r>
    <r>
      <rPr>
        <sz val="10"/>
        <rFont val="Arial"/>
        <family val="0"/>
        <charset val="1"/>
      </rPr>
      <t xml:space="preserve">moomoo_my
</t>
    </r>
    <r>
      <rPr>
        <sz val="10"/>
        <rFont val="Noto Sans CJK SC"/>
        <family val="2"/>
      </rPr>
      <t xml:space="preserve">假設：①後端沒轉；②前端退化路徑
排除：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為記號、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註解寫明無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時印 </t>
    </r>
    <r>
      <rPr>
        <sz val="10"/>
        <rFont val="Arial"/>
        <family val="0"/>
        <charset val="1"/>
      </rPr>
      <t xml:space="preserve">id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api.js:49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</si>
  <si>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</si>
  <si>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DEF-044</t>
    </r>
  </si>
  <si>
    <t xml:space="preserve">真實瀏覽器下載（攔截）帳本報告，搜尋帳戶名</t>
  </si>
  <si>
    <r>
      <rPr>
        <sz val="10"/>
        <rFont val="Noto Sans CJK SC"/>
        <family val="2"/>
      </rPr>
      <t xml:space="preserve">觀察：報告為英文名
定位：</t>
    </r>
    <r>
      <rPr>
        <sz val="10"/>
        <rFont val="Arial"/>
        <family val="0"/>
        <charset val="1"/>
      </rPr>
      <t xml:space="preserve">ledgers_report.py:439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accounts.name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</si>
  <si>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Noto Sans CJK SC"/>
        <family val="2"/>
      </rPr>
      <t xml:space="preserve">報告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處以上英文帳戶名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</si>
  <si>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DEF-045</t>
    </r>
  </si>
  <si>
    <t xml:space="preserve">真實瀏覽器讀持倉健診清單</t>
  </si>
  <si>
    <r>
      <rPr>
        <sz val="10"/>
        <rFont val="Noto Sans CJK SC"/>
        <family val="2"/>
      </rPr>
      <t xml:space="preserve">觀察：錯誤卡仍在。屬修復前寫入的舊資料，程式已正確 → 依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分類為資料殘留，交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</t>
    </r>
  </si>
  <si>
    <t xml:space="preserve">卡片仍在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</si>
  <si>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</t>
    </r>
  </si>
  <si>
    <r>
      <rPr>
        <sz val="10"/>
        <rFont val="Noto Sans CJK SC"/>
        <family val="2"/>
      </rPr>
      <t xml:space="preserve">真實瀏覽器按重新偵測，讀 </t>
    </r>
    <r>
      <rPr>
        <sz val="10"/>
        <rFont val="Arial"/>
        <family val="0"/>
        <charset val="1"/>
      </rPr>
      <t xml:space="preserve">refreshed.failed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</si>
  <si>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內只有「無配息資料」一類原因
判定：規格未定，交 </t>
    </r>
    <r>
      <rPr>
        <sz val="10"/>
        <rFont val="Arial"/>
        <family val="0"/>
        <charset val="1"/>
      </rPr>
      <t xml:space="preserve">owner</t>
    </r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</si>
  <si>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</si>
  <si>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</si>
  <si>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複驗時的兩個草稿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</si>
  <si>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position_preview.old_shares</t>
    </r>
    <r>
      <rPr>
        <sz val="10"/>
        <rFont val="Noto Sans CJK SC"/>
        <family val="2"/>
      </rPr>
      <t xml:space="preserve">＝目前持股
判定：規格未定，交 </t>
    </r>
    <r>
      <rPr>
        <sz val="10"/>
        <rFont val="Arial"/>
        <family val="0"/>
        <charset val="1"/>
      </rPr>
      <t xml:space="preserve">owner</t>
    </r>
  </si>
  <si>
    <t xml:space="preserve">草稿持股為今天的持股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</si>
  <si>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</si>
  <si>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同意驗證者。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放進 </t>
    </r>
    <r>
      <rPr>
        <sz val="10"/>
        <rFont val="Arial"/>
        <family val="0"/>
        <charset val="1"/>
      </rPr>
      <t xml:space="preserve">renderUnregisteredBanner()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之後；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標的全部已註冊，所以區塊永遠不出現。刪除警告、帳本「未套用」</t>
    </r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、深連結都正常，只有儀表板入口失效。</t>
    </r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</si>
  <si>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</si>
  <si>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</si>
  <si>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</si>
  <si>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檢查的是被呼叫者自己的掛載點或同頁元素 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檢查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層是否存在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檢查的正是被呼叫者要渲染的資料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，例：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txSection→renderActionIssues</t>
    </r>
    <r>
      <rPr>
        <sz val="10"/>
        <rFont val="Noto Sans CJK SC"/>
        <family val="2"/>
      </rPr>
      <t xml:space="preserve">，有未套用行動就一定有 </t>
    </r>
    <r>
      <rPr>
        <sz val="10"/>
        <rFont val="Arial"/>
        <family val="0"/>
        <charset val="1"/>
      </rPr>
      <t xml:space="preserve">activity</t>
    </r>
    <r>
      <rPr>
        <sz val="10"/>
        <rFont val="Noto Sans CJK SC"/>
        <family val="2"/>
      </rPr>
      <t xml:space="preserve">；一次性／過期序號／防重入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</si>
  <si>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tests/contract/test_def023_unapplied_banner_renders.py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tests/e2e/test_def023_unapplied_banner_flow.py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test_unapplied_actions_have_an_entry.py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）。變異（把呼叫放回 </t>
    </r>
    <r>
      <rPr>
        <sz val="10"/>
        <rFont val="Arial"/>
        <family val="0"/>
        <charset val="1"/>
      </rPr>
      <t xml:space="preserve">e6fd9f4 </t>
    </r>
    <r>
      <rPr>
        <sz val="10"/>
        <rFont val="Noto Sans CJK SC"/>
        <family val="2"/>
      </rPr>
      <t xml:space="preserve">的位置）→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test_the_block_renders_on_a_ledger_with_no_unregistered_symbol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#unapplied-banner missing … {'order': []}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test_the_dashboard_renders_a_visible_block_with_an_entry_per_row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'renderUnappliedBanner();' is contained here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Locator expected to be visible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</si>
  <si>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</si>
  <si>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本輪整體閘門（開發機、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ruff check portfolio_dash tests scripts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6,082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（前景分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段）・</t>
    </r>
    <r>
      <rPr>
        <sz val="10"/>
        <rFont val="Arial"/>
        <family val="0"/>
        <charset val="1"/>
      </rPr>
      <t xml:space="preserve">e2e 72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272 </t>
    </r>
    <r>
      <rPr>
        <sz val="10"/>
        <rFont val="Noto Sans CJK SC"/>
        <family val="2"/>
      </rPr>
      <t xml:space="preserve">則全過（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批前景；其中 </t>
    </r>
    <r>
      <rPr>
        <sz val="10"/>
        <rFont val="Arial"/>
        <family val="0"/>
        <charset val="1"/>
      </rPr>
      <t xml:space="preserve">test_the_rebalance_footer_total_equals_the_visible_fields </t>
    </r>
    <r>
      <rPr>
        <sz val="10"/>
        <rFont val="Noto Sans CJK SC"/>
        <family val="2"/>
      </rPr>
      <t xml:space="preserve">為既有時序競態：未改前連跑「失敗／通過／失敗」，試算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新舊版皆 </t>
    </r>
    <r>
      <rPr>
        <sz val="10"/>
        <rFont val="Arial"/>
        <family val="0"/>
        <charset val="1"/>
      </rPr>
      <t xml:space="preserve">10–13 ms</t>
    </r>
    <r>
      <rPr>
        <sz val="10"/>
        <rFont val="Noto Sans CJK SC"/>
        <family val="2"/>
      </rPr>
      <t xml:space="preserve">，改為等待頁尾出現後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通過）・</t>
    </r>
    <r>
      <rPr>
        <sz val="10"/>
        <rFont val="Arial"/>
        <family val="0"/>
        <charset val="1"/>
      </rPr>
      <t xml:space="preserve">stress-audit phase 1 ops=128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pass=6,025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fail=0</t>
    </r>
    <r>
      <rPr>
        <sz val="10"/>
        <rFont val="Noto Sans CJK SC"/>
        <family val="2"/>
      </rPr>
      <t xml:space="preserve">。各缺陷的定向測試與變異見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欄。部署：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備份 </t>
    </r>
    <r>
      <rPr>
        <sz val="10"/>
        <rFont val="Arial"/>
        <family val="0"/>
        <charset val="1"/>
      </rPr>
      <t xml:space="preserve">portfolio-pre-4655845-20260924T092906Z.db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integrity ok</t>
    </r>
    <r>
      <rPr>
        <sz val="10"/>
        <rFont val="Noto Sans CJK SC"/>
        <family val="2"/>
      </rPr>
      <t xml:space="preserve">；交易／股利／資金／公司行動／洞察卡／評分／稽核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77</t>
    </r>
    <r>
      <rPr>
        <sz val="10"/>
        <rFont val="Noto Sans CJK SC"/>
        <family val="2"/>
      </rPr>
      <t xml:space="preserve">）→ 部署 </t>
    </r>
    <r>
      <rPr>
        <sz val="10"/>
        <rFont val="Arial"/>
        <family val="0"/>
        <charset val="1"/>
      </rPr>
      <t xml:space="preserve">4655845 → /api/health commit=4655845 → </t>
    </r>
    <r>
      <rPr>
        <sz val="10"/>
        <rFont val="Noto Sans CJK SC"/>
        <family val="2"/>
      </rPr>
      <t xml:space="preserve">新欄位 </t>
    </r>
    <r>
      <rPr>
        <sz val="10"/>
        <rFont val="Arial"/>
        <family val="0"/>
        <charset val="1"/>
      </rPr>
      <t xml:space="preserve">cash_movements.rebate_period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insights.strategy_versions </t>
    </r>
    <r>
      <rPr>
        <sz val="10"/>
        <rFont val="Noto Sans CJK SC"/>
        <family val="2"/>
      </rPr>
      <t xml:space="preserve">與新表 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已建立（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則策略回填為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；折讓款 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連結 </t>
    </r>
    <r>
      <rPr>
        <sz val="10"/>
        <rFont val="Arial"/>
        <family val="0"/>
        <charset val="1"/>
      </rPr>
      <t xml:space="preserve">2026-01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verify_live --expect-version 0.1.28 ALL PASS → </t>
    </r>
    <r>
      <rPr>
        <sz val="10"/>
        <rFont val="Noto Sans CJK SC"/>
        <family val="2"/>
      </rPr>
      <t xml:space="preserve">無頭瀏覽器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頁零主控台錯誤、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皆在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之前。資料清理（先備份、先試跑再執行、重跑為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ledger_audit insights delete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 #1314</t>
    </r>
    <r>
      <rPr>
        <sz val="10"/>
        <rFont val="Noto Sans CJK SC"/>
        <family val="2"/>
      </rPr>
      <t xml:space="preserve">）；清理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 </t>
    </r>
    <r>
      <rPr>
        <sz val="10"/>
        <rFont val="Arial"/>
        <family val="0"/>
        <charset val="1"/>
      </rPr>
      <t xml:space="preserve">rebate_rate→0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ledger_audit transactions update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 #1315</t>
    </r>
    <r>
      <rPr>
        <sz val="10"/>
        <rFont val="Noto Sans CJK SC"/>
        <family val="2"/>
      </rPr>
      <t xml:space="preserve">，手續費不變）。</t>
    </r>
  </si>
  <si>
    <r>
      <rPr>
        <sz val="10"/>
        <rFont val="Noto Sans CJK SC"/>
        <family val="2"/>
      </rPr>
      <t xml:space="preserve">真實瀏覽器：重放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未解情境——確認 </t>
    </r>
    <r>
      <rPr>
        <sz val="10"/>
        <rFont val="Arial"/>
        <family val="0"/>
        <charset val="1"/>
      </rPr>
      <t xml:space="preserve">freshness.unregistered_symbols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（無未註冊標的）→ 台灣券商買 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登錄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#16</t>
    </r>
    <r>
      <rPr>
        <sz val="10"/>
        <rFont val="Noto Sans CJK SC"/>
        <family val="2"/>
      </rPr>
      <t xml:space="preserve">）→ 刪除該筆買進 → 儀表板 → 點區塊內連結 → 刪除行動並比對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</si>
  <si>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時儀表板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中沒有 </t>
    </r>
    <r>
      <rPr>
        <sz val="10"/>
        <rFont val="Arial"/>
        <family val="0"/>
        <charset val="1"/>
      </rPr>
      <t xml:space="preserve">#unapplied-banner</t>
    </r>
    <r>
      <rPr>
        <sz val="10"/>
        <rFont val="Noto Sans CJK SC"/>
        <family val="2"/>
      </rPr>
      <t xml:space="preserve">（被 </t>
    </r>
    <r>
      <rPr>
        <sz val="10"/>
        <rFont val="Arial"/>
        <family val="0"/>
        <charset val="1"/>
      </rPr>
      <t xml:space="preserve">app.js:100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擋掉）
假設：①區塊改由頁首直接畫；②只在有未註冊標的時才出現（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狀態）
排除：本次 </t>
    </r>
    <r>
      <rPr>
        <sz val="10"/>
        <rFont val="Arial"/>
        <family val="0"/>
        <charset val="1"/>
      </rPr>
      <t xml:space="preserve">unregistered_symbols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不存在，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仍出現在頁首（</t>
    </r>
    <r>
      <rPr>
        <sz val="10"/>
        <rFont val="Arial"/>
        <family val="0"/>
        <charset val="1"/>
      </rPr>
      <t xml:space="preserve">top 51px</t>
    </r>
    <r>
      <rPr>
        <sz val="10"/>
        <rFont val="Noto Sans CJK SC"/>
        <family val="2"/>
      </rPr>
      <t xml:space="preserve">、可見），內容「⚠ 帳本中有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筆公司行動無法套用（待釐清）…台灣券商・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・分割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（台灣券商）於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沒有持倉…」＋「前往該筆公司行動」，排除②。點連結 → </t>
    </r>
    <r>
      <rPr>
        <sz val="10"/>
        <rFont val="Arial"/>
        <family val="0"/>
        <charset val="1"/>
      </rPr>
      <t xml:space="preserve">trades.html?ledger=action&amp;action_id=16… </t>
    </r>
    <r>
      <rPr>
        <sz val="10"/>
        <rFont val="Noto Sans CJK SC"/>
        <family val="2"/>
      </rPr>
      <t xml:space="preserve">直接切到公司行動分頁並標示該列（未套用 </t>
    </r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）。刪除買進時警告「⚠ 刪除後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分割 可能失去持倉依據而無法套用（待釐清）」仍在
定位：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 </t>
    </r>
    <r>
      <rPr>
        <sz val="10"/>
        <rFont val="Arial"/>
        <family val="0"/>
        <charset val="1"/>
      </rPr>
      <t xml:space="preserve">renderUnappliedBanner</t>
    </r>
    <r>
      <rPr>
        <sz val="10"/>
        <rFont val="Noto Sans CJK SC"/>
        <family val="2"/>
      </rPr>
      <t xml:space="preserve">；守門改為實際渲染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內不呼叫 </t>
    </r>
    <r>
      <rPr>
        <sz val="10"/>
        <rFont val="Arial"/>
        <family val="0"/>
        <charset val="1"/>
      </rPr>
      <t xml:space="preserve">renderUnappliedBanner</t>
    </r>
    <r>
      <rPr>
        <sz val="10"/>
        <rFont val="Noto Sans CJK SC"/>
        <family val="2"/>
      </rPr>
      <t xml:space="preserve">（等同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被提前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擋住）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#unapplied-banner missing — the unapplied block is gated by another banner's early return: {'order': []}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E2E test_def023_unapplied_banner_flow</t>
    </r>
    <r>
      <rPr>
        <sz val="10"/>
        <rFont val="Noto Sans CJK SC"/>
        <family val="2"/>
      </rPr>
      <t xml:space="preserve">：頁面快照中找不到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區塊（只剩持倉表）），還原後通過</t>
    </r>
  </si>
  <si>
    <r>
      <rPr>
        <sz val="10"/>
        <rFont val="Noto Sans CJK SC"/>
        <family val="2"/>
      </rPr>
      <t xml:space="preserve">無未註冊標的時區塊與連結正常顯示並可跳轉；刪除行動後 </t>
    </r>
    <r>
      <rPr>
        <sz val="10"/>
        <rFont val="Arial"/>
        <family val="0"/>
        <charset val="1"/>
      </rPr>
      <t xml:space="preserve">cmp D023R3 same:true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prices_restated 1 </t>
    </r>
    <r>
      <rPr>
        <sz val="10"/>
        <rFont val="Noto Sans CJK SC"/>
        <family val="2"/>
      </rPr>
      <t xml:space="preserve">已還原）</t>
    </r>
  </si>
  <si>
    <r>
      <rPr>
        <sz val="10"/>
        <rFont val="Noto Sans CJK SC"/>
        <family val="2"/>
      </rPr>
      <t xml:space="preserve">同意驗證者。後端與重新整理後的畫面都正確；同頁操作時，帳本刪除後「最近匯入」沒有重抓，復原對話框又引用快取的 </t>
    </r>
    <r>
      <rPr>
        <sz val="10"/>
        <rFont val="Arial"/>
        <family val="0"/>
        <charset val="1"/>
      </rPr>
      <t xml:space="preserve">row_count</t>
    </r>
    <r>
      <rPr>
        <sz val="10"/>
        <rFont val="Noto Sans CJK SC"/>
        <family val="2"/>
      </rPr>
      <t xml:space="preserve">，所以寫「將刪除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筆。</t>
    </r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</si>
  <si>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</si>
  <si>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</si>
  <si>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r>
      <rPr>
        <sz val="10"/>
        <rFont val="Noto Sans CJK SC"/>
        <family val="2"/>
      </rPr>
      <t xml:space="preserve">兩條都做（第二條是類別修法：破壞性確認框不得引用快取數字）：①刷新縫在每一次帳本變動後都重抓最近匯入（移除 </t>
    </r>
    <r>
      <rPr>
        <sz val="10"/>
        <rFont val="Arial"/>
        <family val="0"/>
        <charset val="1"/>
      </rPr>
      <t xml:space="preserve">!o.external </t>
    </r>
    <r>
      <rPr>
        <sz val="10"/>
        <rFont val="Noto Sans CJK SC"/>
        <family val="2"/>
      </rPr>
      <t xml:space="preserve">條件）；②</t>
    </r>
    <r>
      <rPr>
        <sz val="10"/>
        <rFont val="Arial"/>
        <family val="0"/>
        <charset val="1"/>
      </rPr>
      <t xml:space="preserve">undoBatch </t>
    </r>
    <r>
      <rPr>
        <sz val="10"/>
        <rFont val="Noto Sans CJK SC"/>
        <family val="2"/>
      </rPr>
      <t xml:space="preserve">開框前先 </t>
    </r>
    <r>
      <rPr>
        <sz val="10"/>
        <rFont val="Arial"/>
        <family val="0"/>
        <charset val="1"/>
      </rPr>
      <t xml:space="preserve">GET /api/import/batches </t>
    </r>
    <r>
      <rPr>
        <sz val="10"/>
        <rFont val="Noto Sans CJK SC"/>
        <family val="2"/>
      </rPr>
      <t xml:space="preserve">取該批次當下筆數——批次已不在清單則不開框、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「沒有可復原的列／此批次的列已在帳本中刪除」並重抓清單；重讀失敗不開框（無法確認筆數時不要求使用者確認破壞性動作）；筆數有變則同步重繪。同類掃描：</t>
    </r>
    <r>
      <rPr>
        <sz val="10"/>
        <rFont val="Arial"/>
        <family val="0"/>
        <charset val="1"/>
      </rPr>
      <t xml:space="preserve">web/*.js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confirmDialog </t>
    </r>
    <r>
      <rPr>
        <sz val="10"/>
        <rFont val="Noto Sans CJK SC"/>
        <family val="2"/>
      </rPr>
      <t xml:space="preserve">呼叫點。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</si>
  <si>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31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 removeMovement </t>
    </r>
    <r>
      <rPr>
        <sz val="10"/>
        <rFont val="Noto Sans CJK SC"/>
        <family val="2"/>
      </rPr>
      <t xml:space="preserve">引用被刪那一列自己的欄位、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用同一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ledger.js actionDeleteConsequences </t>
    </r>
    <r>
      <rPr>
        <sz val="10"/>
        <rFont val="Noto Sans CJK SC"/>
        <family val="2"/>
      </rPr>
      <t xml:space="preserve">引用該列自己的連結紀錄，同頁任何變動後列表重讀、伺服器刪除時重新判定；</t>
    </r>
    <r>
      <rPr>
        <sz val="10"/>
        <rFont val="Arial"/>
        <family val="0"/>
        <charset val="1"/>
      </rPr>
      <t xml:space="preserve">inbox.js </t>
    </r>
    <r>
      <rPr>
        <sz val="10"/>
        <rFont val="Noto Sans CJK SC"/>
        <family val="2"/>
      </rPr>
      <t xml:space="preserve">批次確認入帳非破壞性，筆數＝送出的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數）；其餘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處不引用快取數字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</si>
  <si>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e2e 2 </t>
    </r>
    <r>
      <rPr>
        <sz val="10"/>
        <rFont val="Noto Sans CJK SC"/>
        <family val="2"/>
      </rPr>
      <t xml:space="preserve">則：同頁刪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筆後清單顯示「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）」、再刪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筆後批次消失；頁面背後用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筆後對話框寫「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筆」、最後一筆也刪掉後不開框改出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（放回 </t>
    </r>
    <r>
      <rPr>
        <sz val="10"/>
        <rFont val="Arial"/>
        <family val="0"/>
        <charset val="1"/>
      </rPr>
      <t xml:space="preserve">!o.external &amp;&amp;</t>
    </r>
    <r>
      <rPr>
        <sz val="10"/>
        <rFont val="Noto Sans CJK SC"/>
        <family val="2"/>
      </rPr>
      <t xml:space="preserve">）→ 第一則失敗「</t>
    </r>
    <r>
      <rPr>
        <sz val="10"/>
        <rFont val="Arial"/>
        <family val="0"/>
        <charset val="1"/>
      </rPr>
      <t xml:space="preserve">to_contain_text '1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 Actual …</t>
    </r>
    <r>
      <rPr>
        <sz val="10"/>
        <rFont val="Noto Sans CJK SC"/>
        <family val="2"/>
      </rPr>
      <t xml:space="preserve">復原」；變異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（對話框改回快取）→ 第二則失敗「…將刪除這批匯入寫進帳本的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筆股利紀錄…」。還原後全過。</t>
    </r>
  </si>
  <si>
    <r>
      <rPr>
        <sz val="10"/>
        <rFont val="Noto Sans CJK SC"/>
        <family val="2"/>
      </rPr>
      <t xml:space="preserve">真實瀏覽器：交易帳本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匯入（股利範本）貼上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列寫入（批次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）→ 同頁到帳本股利分頁刪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 → 看「最近匯入」→ 按「復原」讀框後取消 → 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在頁面背後刪掉最後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列（模擬另一分頁）→ 再按「復原」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</si>
  <si>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時同頁刪帳本列後清單不刷新、復原框仍寫「將刪除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
假設：①每次帳本變動都重抓清單＋開框前重讀筆數；②只做其一
排除：刪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後立即 </t>
    </r>
    <r>
      <rPr>
        <sz val="10"/>
        <rFont val="Arial"/>
        <family val="0"/>
        <charset val="1"/>
      </rPr>
      <t xml:space="preserve">GET /api/import/batches</t>
    </r>
    <r>
      <rPr>
        <sz val="10"/>
        <rFont val="Noto Sans CJK SC"/>
        <family val="2"/>
      </rPr>
      <t xml:space="preserve">，清單改為「</t>
    </r>
    <r>
      <rPr>
        <sz val="10"/>
        <rFont val="Arial"/>
        <family val="0"/>
        <charset val="1"/>
      </rPr>
      <t xml:space="preserve">2026-09-24 21:30:37 </t>
    </r>
    <r>
      <rPr>
        <sz val="10"/>
        <rFont val="Noto Sans CJK SC"/>
        <family val="2"/>
      </rPr>
      <t xml:space="preserve">股利 貼上 </t>
    </r>
    <r>
      <rPr>
        <sz val="10"/>
        <rFont val="Arial"/>
        <family val="0"/>
        <charset val="1"/>
      </rPr>
      <t xml:space="preserve">CSV 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）」；按復原先 </t>
    </r>
    <r>
      <rPr>
        <sz val="10"/>
        <rFont val="Arial"/>
        <family val="0"/>
        <charset val="1"/>
      </rPr>
      <t xml:space="preserve">GET /api/import/batches?limit=500</t>
    </r>
    <r>
      <rPr>
        <sz val="10"/>
        <rFont val="Noto Sans CJK SC"/>
        <family val="2"/>
      </rPr>
      <t xml:space="preserve">，框寫「將刪除這批匯入寫進帳本的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筆股利紀錄」；背後刪掉最後一列後再按復原 → 先重讀得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，不開框，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沒有可復原的列 此批次的列已在帳本中刪除」，清單同時變「尚無匯入紀錄」，排除②（背後刪除的情境只有開框前重讀才抓得到）
定位：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刷新縫移除 </t>
    </r>
    <r>
      <rPr>
        <sz val="10"/>
        <rFont val="Arial"/>
        <family val="0"/>
        <charset val="1"/>
      </rPr>
      <t xml:space="preserve">!o.external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 undoBatch </t>
    </r>
    <r>
      <rPr>
        <sz val="10"/>
        <rFont val="Noto Sans CJK SC"/>
        <family val="2"/>
      </rPr>
      <t xml:space="preserve">開框前重讀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`!o.external &amp;&amp;`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 undoBatch </t>
    </r>
    <r>
      <rPr>
        <sz val="10"/>
        <rFont val="Noto Sans CJK SC"/>
        <family val="2"/>
      </rPr>
      <t xml:space="preserve">改用快取列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contain text '1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contain text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筆股利紀錄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</si>
  <si>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清單即時「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（原寫入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）」；框內筆數為當下值；批次已空不開框；</t>
    </r>
    <r>
      <rPr>
        <sz val="10"/>
        <rFont val="Arial"/>
        <family val="0"/>
        <charset val="1"/>
      </rPr>
      <t xml:space="preserve">cmp D017R3 same:true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</si>
  <si>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賣超列比照手動輸入，預設不勾、確認框逐列點名並寫明成本基礎會被永久捨棄。另發現更根本的問題：伺服器只要整檔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就寫入賣超，</t>
    </r>
    <r>
      <rPr>
        <sz val="10"/>
        <rFont val="Arial"/>
        <family val="0"/>
        <charset val="1"/>
      </rPr>
      <t xml:space="preserve">R2 DEF-027 </t>
    </r>
    <r>
      <rPr>
        <sz val="10"/>
        <rFont val="Noto Sans CJK SC"/>
        <family val="2"/>
      </rPr>
      <t xml:space="preserve">的逐列確認只是券商頁面的慣例，不是規則；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門也有同樣的預勾與通用確認框。</t>
    </r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</si>
  <si>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</si>
  <si>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</si>
  <si>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r>
      <rPr>
        <sz val="10"/>
        <rFont val="Noto Sans CJK SC"/>
        <family val="2"/>
      </rPr>
      <t xml:space="preserve">伺服器端強制「每一列賣超要有它自己的確認」：</t>
    </r>
    <r>
      <rPr>
        <sz val="10"/>
        <rFont val="Arial"/>
        <family val="0"/>
        <charset val="1"/>
      </rPr>
      <t xml:space="preserve">/api/import/commit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ack_rows</t>
    </r>
    <r>
      <rPr>
        <sz val="10"/>
        <rFont val="Noto Sans CJK SC"/>
        <family val="2"/>
      </rPr>
      <t xml:space="preserve">，會寫入的賣超列不在其中 → </t>
    </r>
    <r>
      <rPr>
        <sz val="10"/>
        <rFont val="Arial"/>
        <family val="0"/>
        <charset val="1"/>
      </rPr>
      <t xml:space="preserve">422 oversell_rows_unacknowledged</t>
    </r>
    <r>
      <rPr>
        <sz val="10"/>
        <rFont val="Noto Sans CJK SC"/>
        <family val="2"/>
      </rPr>
      <t xml:space="preserve">，逐列點名「第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列 代號 … 成本基礎會被永久捨棄」，整批不寫（只看真的會寫入的列：未勾、硬錯、重複匯入的列不問）。前端把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券商頁的逐列確認框抽成共用的 </t>
    </r>
    <r>
      <rPr>
        <sz val="10"/>
        <rFont val="Arial"/>
        <family val="0"/>
        <charset val="1"/>
      </rPr>
      <t xml:space="preserve">web/import-ack.js</t>
    </r>
    <r>
      <rPr>
        <sz val="10"/>
        <rFont val="Noto Sans CJK SC"/>
        <family val="2"/>
      </rPr>
      <t xml:space="preserve">：收到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後重取預覽，每列勾選框預設不勾，勾選並確認後才送 </t>
    </r>
    <r>
      <rPr>
        <sz val="10"/>
        <rFont val="Arial"/>
        <family val="0"/>
        <charset val="1"/>
      </rPr>
      <t xml:space="preserve">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ack_rows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門、券商門、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門全部改走它；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的賣超列預設不勾。同類掃描：</t>
    </r>
    <r>
      <rPr>
        <sz val="10"/>
        <rFont val="Arial"/>
        <family val="0"/>
        <charset val="1"/>
      </rPr>
      <t xml:space="preserve">grep /api/import/commit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write_transaction_row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insert_transaction </t>
    </r>
    <r>
      <rPr>
        <sz val="10"/>
        <rFont val="Noto Sans CJK SC"/>
        <family val="2"/>
      </rPr>
      <t xml:space="preserve">呼叫點，並以 </t>
    </r>
    <r>
      <rPr>
        <sz val="10"/>
        <rFont val="Arial"/>
        <family val="0"/>
        <charset val="1"/>
      </rPr>
      <t xml:space="preserve">TestClient </t>
    </r>
    <r>
      <rPr>
        <sz val="10"/>
        <rFont val="Noto Sans CJK SC"/>
        <family val="2"/>
      </rPr>
      <t xml:space="preserve">探測每個門。</t>
    </r>
  </si>
  <si>
    <r>
      <rPr>
        <sz val="10"/>
        <rFont val="Noto Sans CJK SC"/>
        <family val="2"/>
      </rPr>
      <t xml:space="preserve">可寫入賣超的批次門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門、券商門、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門、伺服器端點本身）／白名單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（單筆股利／期初表單不可能產生賣超；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工具的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沒有賣超列，萬一送了也會被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擋下）。單列門（手動、帳本編輯、帳本刪除）本來就逐列確認，不列入。另發現：批次「復原」可讓之後的賣出變成賣超且不問確認，建議另開缺陷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</si>
  <si>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tests/contract/test_def025_bulk_oversell_needs_its_own_ack.py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tests/contract/test_def025_import_ack_front.py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執行）、</t>
    </r>
    <r>
      <rPr>
        <sz val="10"/>
        <rFont val="Arial"/>
        <family val="0"/>
        <charset val="1"/>
      </rPr>
      <t xml:space="preserve">tests/e2e/test_def009_def025_flows.py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；依裁定改寫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的確認步驟。變異：拿掉伺服器檢查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200 == 422</t>
    </r>
    <r>
      <rPr>
        <sz val="10"/>
        <rFont val="Noto Sans CJK SC"/>
        <family val="2"/>
      </rPr>
      <t xml:space="preserve">」（回應 </t>
    </r>
    <r>
      <rPr>
        <sz val="10"/>
        <rFont val="Arial"/>
        <family val="0"/>
        <charset val="1"/>
      </rPr>
      <t xml:space="preserve">{"written":2,…}</t>
    </r>
    <r>
      <rPr>
        <sz val="10"/>
        <rFont val="Noto Sans CJK SC"/>
        <family val="2"/>
      </rPr>
      <t xml:space="preserve">）；確認模組不送 </t>
    </r>
    <r>
      <rPr>
        <sz val="10"/>
        <rFont val="Arial"/>
        <family val="0"/>
        <charset val="1"/>
      </rPr>
      <t xml:space="preserve">ack_rows → 2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KeyError: 'ack_rows'</t>
    </r>
    <r>
      <rPr>
        <sz val="10"/>
        <rFont val="Noto Sans CJK SC"/>
        <family val="2"/>
      </rPr>
      <t xml:space="preserve">；前端改回預勾 → </t>
    </r>
    <r>
      <rPr>
        <sz val="10"/>
        <rFont val="Arial"/>
        <family val="0"/>
        <charset val="1"/>
      </rPr>
      <t xml:space="preserve">e2e 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Locator expected not to be checked</t>
    </r>
    <r>
      <rPr>
        <sz val="10"/>
        <rFont val="Noto Sans CJK SC"/>
        <family val="2"/>
      </rPr>
      <t xml:space="preserve">」；改回通用確認框 → </t>
    </r>
    <r>
      <rPr>
        <sz val="10"/>
        <rFont val="Arial"/>
        <family val="0"/>
        <charset val="1"/>
      </rPr>
      <t xml:space="preserve">e2e 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expected to contain text '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2330'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</si>
  <si>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匯入貼上兩列（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5000</t>
    </r>
    <r>
      <rPr>
        <sz val="10"/>
        <rFont val="Noto Sans CJK SC"/>
        <family val="2"/>
      </rPr>
      <t xml:space="preserve">，持有 </t>
    </r>
    <r>
      <rPr>
        <sz val="10"/>
        <rFont val="Arial"/>
        <family val="0"/>
        <charset val="1"/>
      </rPr>
      <t xml:space="preserve">2600</t>
    </r>
    <r>
      <rPr>
        <sz val="10"/>
        <rFont val="Noto Sans CJK SC"/>
        <family val="2"/>
      </rPr>
      <t xml:space="preserve">）→ 預覽 → 勾選賣超列按「確認寫入勾選列」→ 取消；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探測整檔 </t>
    </r>
    <r>
      <rPr>
        <sz val="10"/>
        <rFont val="Arial"/>
        <family val="0"/>
        <charset val="1"/>
      </rPr>
      <t xml:space="preserve">ack_warnings:true </t>
    </r>
    <r>
      <rPr>
        <sz val="10"/>
        <rFont val="Noto Sans CJK SC"/>
        <family val="2"/>
      </rPr>
      <t xml:space="preserve">不帶 </t>
    </r>
    <r>
      <rPr>
        <sz val="10"/>
        <rFont val="Arial"/>
        <family val="0"/>
        <charset val="1"/>
      </rPr>
      <t xml:space="preserve">ack_rows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輸入同樣兩行 → 解析 → 勾選賣超列寫入 → 取消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</si>
  <si>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賣超列預設勾選、通用確認框一按即寫入
假設：①前端預設不勾＋逐列確認，伺服器強制逐列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；②只有前端改
排除：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列預設不勾，列內「賣超：預設不勾選。勾選並確認寫入後，這個部位的成本基礎會被永久捨棄（待釐清）」；勾選後寫入 → 第一次 </t>
    </r>
    <r>
      <rPr>
        <sz val="10"/>
        <rFont val="Arial"/>
        <family val="0"/>
        <charset val="1"/>
      </rPr>
      <t xml:space="preserve">commit 422 warnings_unacknowledged → </t>
    </r>
    <r>
      <rPr>
        <sz val="10"/>
        <rFont val="Noto Sans CJK SC"/>
        <family val="2"/>
      </rPr>
      <t xml:space="preserve">重新預覽 → 「匯入警告確認 —— 交易」框逐列點名「第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是賣超：勾選並確認後，這個部位的成本基礎會被永久捨棄…」，框內勾選預設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、「寫入勾選的警告列」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直接送 </t>
    </r>
    <r>
      <rPr>
        <sz val="10"/>
        <rFont val="Arial"/>
        <family val="0"/>
        <charset val="1"/>
      </rPr>
      <t xml:space="preserve">ack_warnings true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select [0,1] </t>
    </r>
    <r>
      <rPr>
        <sz val="10"/>
        <rFont val="Noto Sans CJK SC"/>
        <family val="2"/>
      </rPr>
      <t xml:space="preserve">不帶 </t>
    </r>
    <r>
      <rPr>
        <sz val="10"/>
        <rFont val="Arial"/>
        <family val="0"/>
        <charset val="1"/>
      </rPr>
      <t xml:space="preserve">ack_rows → 422 oversell_rows_unacknowledged</t>
    </r>
    <r>
      <rPr>
        <sz val="10"/>
        <rFont val="Noto Sans CJK SC"/>
        <family val="2"/>
      </rPr>
      <t xml:space="preserve">「第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是賣超，需逐列勾選確認後才寫入…」，整批未寫（交易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列、批次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），排除②。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門：賣超列預設不勾、勾選後同一逐列框。券商門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已驗
定位：</t>
    </r>
    <r>
      <rPr>
        <sz val="10"/>
        <rFont val="Arial"/>
        <family val="0"/>
        <charset val="1"/>
      </rPr>
      <t xml:space="preserve">input_center.py ack_rows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web/import-ack.js </t>
    </r>
    <r>
      <rPr>
        <sz val="10"/>
        <rFont val="Noto Sans CJK SC"/>
        <family val="2"/>
      </rPr>
      <t xml:space="preserve">共用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重做）：伺服器 </t>
    </r>
    <r>
      <rPr>
        <sz val="10"/>
        <rFont val="Arial"/>
        <family val="0"/>
        <charset val="1"/>
      </rPr>
      <t xml:space="preserve">`if unacked:`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`if False:` → 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{"written":2,"skipped":0,"import_batch_id":1}</t>
    </r>
    <r>
      <rPr>
        <sz val="10"/>
        <rFont val="Noto Sans CJK SC"/>
        <family val="2"/>
      </rPr>
      <t xml:space="preserve">），還原後通過</t>
    </r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</si>
  <si>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</si>
  <si>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</si>
  <si>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裁定實作完整版本記錄。「同步官方」確認框自己寫「你的自訂修改將遺失」；洞察卡也不記錄生成時用了哪一版。</t>
    </r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</si>
  <si>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</si>
  <si>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r>
      <rPr>
        <sz val="10"/>
        <rFont val="Noto Sans CJK SC"/>
        <family val="2"/>
      </rPr>
      <t xml:space="preserve">沒有守門（規格未定，從未要求版本記錄）。新守門全部驗行為：</t>
    </r>
    <r>
      <rPr>
        <sz val="10"/>
        <rFont val="Arial"/>
        <family val="0"/>
        <charset val="1"/>
      </rPr>
      <t xml:space="preserve">store 13 </t>
    </r>
    <r>
      <rPr>
        <sz val="10"/>
        <rFont val="Noto Sans CJK SC"/>
        <family val="2"/>
      </rPr>
      <t xml:space="preserve">則、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契約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則、</t>
    </r>
    <r>
      <rPr>
        <sz val="10"/>
        <rFont val="Arial"/>
        <family val="0"/>
        <charset val="1"/>
      </rPr>
      <t xml:space="preserve">Playwright e2e 1 </t>
    </r>
    <r>
      <rPr>
        <sz val="10"/>
        <rFont val="Noto Sans CJK SC"/>
        <family val="2"/>
      </rPr>
      <t xml:space="preserve">則、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執行頁面函式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</si>
  <si>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新表 </t>
    </r>
    <r>
      <rPr>
        <sz val="10"/>
        <rFont val="Arial"/>
        <family val="0"/>
        <charset val="1"/>
      </rPr>
      <t xml:space="preserve">strategy_prompt_versions</t>
    </r>
    <r>
      <rPr>
        <sz val="10"/>
        <rFont val="Noto Sans CJK SC"/>
        <family val="2"/>
      </rPr>
      <t xml:space="preserve">（只增不改）：每個寫入內文的門經 </t>
    </r>
    <r>
      <rPr>
        <sz val="10"/>
        <rFont val="Arial"/>
        <family val="0"/>
        <charset val="1"/>
      </rPr>
      <t xml:space="preserve">composer_store </t>
    </r>
    <r>
      <rPr>
        <sz val="10"/>
        <rFont val="Noto Sans CJK SC"/>
        <family val="2"/>
      </rPr>
      <t xml:space="preserve">追加一版並標來源（新增／自官方模板加入／儲存／同步官方／回復）；內文沒變不加版；回復＝另存成新版，歷史永不改寫；遷移時每則策略的現行內文回填為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（冪等）。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/api/strategy-prompt-versions</t>
    </r>
    <r>
      <rPr>
        <sz val="10"/>
        <rFont val="Noto Sans CJK SC"/>
        <family val="2"/>
      </rPr>
      <t xml:space="preserve">（清單）、</t>
    </r>
    <r>
      <rPr>
        <sz val="10"/>
        <rFont val="Arial"/>
        <family val="0"/>
        <charset val="1"/>
      </rPr>
      <t xml:space="preserve">/{id}</t>
    </r>
    <r>
      <rPr>
        <sz val="10"/>
        <rFont val="Noto Sans CJK SC"/>
        <family val="2"/>
      </rPr>
      <t xml:space="preserve">（內文）、</t>
    </r>
    <r>
      <rPr>
        <sz val="10"/>
        <rFont val="Arial"/>
        <family val="0"/>
        <charset val="1"/>
      </rPr>
      <t xml:space="preserve">/{id}/diff</t>
    </r>
    <r>
      <rPr>
        <sz val="10"/>
        <rFont val="Noto Sans CJK SC"/>
        <family val="2"/>
      </rPr>
      <t xml:space="preserve">（後端 </t>
    </r>
    <r>
      <rPr>
        <sz val="10"/>
        <rFont val="Arial"/>
        <family val="0"/>
        <charset val="1"/>
      </rPr>
      <t xml:space="preserve">difflib </t>
    </r>
    <r>
      <rPr>
        <sz val="10"/>
        <rFont val="Noto Sans CJK SC"/>
        <family val="2"/>
      </rPr>
      <t xml:space="preserve">逐行差異，對照前一版／目前）、</t>
    </r>
    <r>
      <rPr>
        <sz val="10"/>
        <rFont val="Arial"/>
        <family val="0"/>
        <charset val="1"/>
      </rPr>
      <t xml:space="preserve">POST /{id}/restore</t>
    </r>
    <r>
      <rPr>
        <sz val="10"/>
        <rFont val="Noto Sans CJK SC"/>
        <family val="2"/>
      </rPr>
      <t xml:space="preserve">（操作記錄「策略模板回復版本」）。洞察卡新增 </t>
    </r>
    <r>
      <rPr>
        <sz val="10"/>
        <rFont val="Arial"/>
        <family val="0"/>
        <charset val="1"/>
      </rPr>
      <t xml:space="preserve">insights.strategy_versions</t>
    </r>
    <r>
      <rPr>
        <sz val="10"/>
        <rFont val="Noto Sans CJK SC"/>
        <family val="2"/>
      </rPr>
      <t xml:space="preserve">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</t>
    </r>
    <r>
      <rPr>
        <sz val="10"/>
        <rFont val="Arial"/>
        <family val="0"/>
        <charset val="1"/>
      </rPr>
      <t xml:space="preserve">prompt </t>
    </r>
    <r>
      <rPr>
        <sz val="10"/>
        <rFont val="Noto Sans CJK SC"/>
        <family val="2"/>
      </rPr>
      <t xml:space="preserve">已含內文，內文一變指紋就變）。</t>
    </r>
  </si>
  <si>
    <r>
      <rPr>
        <sz val="10"/>
        <rFont val="Noto Sans CJK SC"/>
        <family val="2"/>
      </rPr>
      <t xml:space="preserve">寫入策略內文的門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（新增、自官方模板複製、同步官方、儲存、一鍵官方套件）。使用者可編輯且儲存即覆寫的提示詞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（策略，本裁定範圍）／白名單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（校正提示詞本來就是只增不改的版本鏈）；系統提示詞、新聞整理提示詞、任務自評提示詞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</si>
  <si>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tests/llm_insight/test_def033_strategy_prompt_versions.py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tests/contract/test_def033_strategy_prompt_versions_api.py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tests/e2e/test_def033_prompt_versions_flow.py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v2→</t>
    </r>
    <r>
      <rPr>
        <sz val="10"/>
        <rFont val="Noto Sans CJK SC"/>
        <family val="2"/>
      </rPr>
      <t xml:space="preserve">版本記錄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列→檢視 </t>
    </r>
    <r>
      <rPr>
        <sz val="10"/>
        <rFont val="Arial"/>
        <family val="0"/>
        <charset val="1"/>
      </rPr>
      <t xml:space="preserve">v1→</t>
    </r>
    <r>
      <rPr>
        <sz val="10"/>
        <rFont val="Noto Sans CJK SC"/>
        <family val="2"/>
      </rPr>
      <t xml:space="preserve">對照目前→回復→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「已回復至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」→最上列「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目前 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v1/v2 </t>
    </r>
    <r>
      <rPr>
        <sz val="10"/>
        <rFont val="Noto Sans CJK SC"/>
        <family val="2"/>
      </rPr>
      <t xml:space="preserve">仍在→洞察頁「提示詞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」／「生成時版本未記錄」，零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）。變異：儲存不加版 →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則失敗；生成不記版本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[] == [{'name': '</t>
    </r>
    <r>
      <rPr>
        <sz val="10"/>
        <rFont val="Noto Sans CJK SC"/>
        <family val="2"/>
      </rPr>
      <t xml:space="preserve">甲</t>
    </r>
    <r>
      <rPr>
        <sz val="10"/>
        <rFont val="Arial"/>
        <family val="0"/>
        <charset val="1"/>
      </rPr>
      <t xml:space="preserve">'…'version': 2}]</t>
    </r>
    <r>
      <rPr>
        <sz val="10"/>
        <rFont val="Noto Sans CJK SC"/>
        <family val="2"/>
      </rPr>
      <t xml:space="preserve">」；頁面不顯示版本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None == '</t>
    </r>
    <r>
      <rPr>
        <sz val="10"/>
        <rFont val="Noto Sans CJK SC"/>
        <family val="2"/>
      </rPr>
      <t xml:space="preserve">生成時版本未記錄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</si>
  <si>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策略「持倉提點策略」在內文尾加一行「（</t>
    </r>
    <r>
      <rPr>
        <sz val="10"/>
        <rFont val="Arial"/>
        <family val="0"/>
        <charset val="1"/>
      </rPr>
      <t xml:space="preserve">QA-R3 </t>
    </r>
    <r>
      <rPr>
        <sz val="10"/>
        <rFont val="Noto Sans CJK SC"/>
        <family val="2"/>
      </rPr>
      <t xml:space="preserve">版本測試）」→ 儲存 → 版本記錄 →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「對照目前」→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「回復此版」→ 確認；讀 </t>
    </r>
    <r>
      <rPr>
        <sz val="10"/>
        <rFont val="Arial"/>
        <family val="0"/>
        <charset val="1"/>
      </rPr>
      <t xml:space="preserve">/api/strategy-prompt-versions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prompt_versions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</si>
  <si>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時策略提示詞儲存直接覆寫、無版本、無法回復
假設：①只增不改的版本表＋差異＋回復＋卡片記版號；②只留上一版
排除：遷移後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則策略各有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「啟用版本記錄時的內容」；儲存 → 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「…內文已寫入資料庫（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）…」，版本清單「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目前 儲存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行／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啟用版本記錄時的內容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行」；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「對照目前」→ </t>
    </r>
    <r>
      <rPr>
        <sz val="10"/>
        <rFont val="Arial"/>
        <family val="0"/>
        <charset val="1"/>
      </rPr>
      <t xml:space="preserve">GET …/5/diff?against=current</t>
    </r>
    <r>
      <rPr>
        <sz val="10"/>
        <rFont val="Noto Sans CJK SC"/>
        <family val="2"/>
      </rPr>
      <t xml:space="preserve">，差異只有「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QA-R3 </t>
    </r>
    <r>
      <rPr>
        <sz val="10"/>
        <rFont val="Noto Sans CJK SC"/>
        <family val="2"/>
      </rPr>
      <t xml:space="preserve">版本測試）」一行；回復 → 視窗內確認「回復至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：將以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的內文另存為新版本；目前內容仍保留在版本記錄中…」→ </t>
    </r>
    <r>
      <rPr>
        <sz val="10"/>
        <rFont val="Arial"/>
        <family val="0"/>
        <charset val="1"/>
      </rPr>
      <t xml:space="preserve">POST …/5/restore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「已回復至 </t>
    </r>
    <r>
      <rPr>
        <sz val="10"/>
        <rFont val="Arial"/>
        <family val="0"/>
        <charset val="1"/>
      </rPr>
      <t xml:space="preserve">v1…</t>
    </r>
    <r>
      <rPr>
        <sz val="10"/>
        <rFont val="Noto Sans CJK SC"/>
        <family val="2"/>
      </rPr>
      <t xml:space="preserve">另存為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」，清單「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」全部保留，內文與測試前逐字相同（</t>
    </r>
    <r>
      <rPr>
        <sz val="10"/>
        <rFont val="Arial"/>
        <family val="0"/>
        <charset val="1"/>
      </rPr>
      <t xml:space="preserve">640 </t>
    </r>
    <r>
      <rPr>
        <sz val="10"/>
        <rFont val="Noto Sans CJK SC"/>
        <family val="2"/>
      </rPr>
      <t xml:space="preserve">字），排除②。卡片：本輪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產生的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 prompt_versions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[{strategy_id 5, </t>
    </r>
    <r>
      <rPr>
        <sz val="10"/>
        <rFont val="Noto Sans CJK SC"/>
        <family val="2"/>
      </rPr>
      <t xml:space="preserve">持倉提點策略</t>
    </r>
    <r>
      <rPr>
        <sz val="10"/>
        <rFont val="Arial"/>
        <family val="0"/>
        <charset val="1"/>
      </rPr>
      <t xml:space="preserve">, version 1}]</t>
    </r>
    <r>
      <rPr>
        <sz val="10"/>
        <rFont val="Noto Sans CJK SC"/>
        <family val="2"/>
      </rPr>
      <t xml:space="preserve">，洞察頁顯示「提示詞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」，舊卡顯示「生成時版本未記錄」（持倉健診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張）
定位：</t>
    </r>
    <r>
      <rPr>
        <sz val="10"/>
        <rFont val="Arial"/>
        <family val="0"/>
        <charset val="1"/>
      </rPr>
      <t xml:space="preserve">composer_store </t>
    </r>
    <r>
      <rPr>
        <sz val="10"/>
        <rFont val="Noto Sans CJK SC"/>
        <family val="2"/>
      </rPr>
      <t xml:space="preserve">版本表、</t>
    </r>
    <r>
      <rPr>
        <sz val="10"/>
        <rFont val="Arial"/>
        <family val="0"/>
        <charset val="1"/>
      </rPr>
      <t xml:space="preserve">insights.prompt_versions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重做）：儲存路徑的 </t>
    </r>
    <r>
      <rPr>
        <sz val="10"/>
        <rFont val="Arial"/>
        <family val="0"/>
        <charset val="1"/>
      </rPr>
      <t xml:space="preserve">_append_version </t>
    </r>
    <r>
      <rPr>
        <sz val="10"/>
        <rFont val="Noto Sans CJK SC"/>
        <family val="2"/>
      </rPr>
      <t xml:space="preserve">改成 </t>
    </r>
    <r>
      <rPr>
        <sz val="10"/>
        <rFont val="Arial"/>
        <family val="0"/>
        <charset val="1"/>
      </rPr>
      <t xml:space="preserve">pass → 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[(4, 'restore...reate', None)] == [(4, 'restore...reate', None)]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</si>
  <si>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儲存成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、差異正確、回復成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＝原文；卡片記錄版號</t>
    </r>
  </si>
  <si>
    <r>
      <rPr>
        <sz val="10"/>
        <rFont val="Noto Sans CJK SC"/>
        <family val="2"/>
      </rPr>
      <t xml:space="preserve">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</si>
  <si>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裁定實作：編輯更正走同一個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，警告與確認流程與新增一致。另發現編輯框的預覽問的是「再新增一筆」，把本列當成自己的重複與自己的賣超，所以舊碼只能把這兩類結果丟掉。</t>
    </r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</si>
  <si>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</si>
  <si>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</si>
  <si>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</si>
  <si>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r>
      <rPr>
        <sz val="10"/>
        <rFont val="Noto Sans CJK SC"/>
        <family val="2"/>
      </rPr>
      <t xml:space="preserve">更正門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（交易）／已同源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（換匯 </t>
    </r>
    <r>
      <rPr>
        <sz val="10"/>
        <rFont val="Arial"/>
        <family val="0"/>
        <charset val="1"/>
      </rPr>
      <t xml:space="preserve">fx_change_guard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movement_guard</t>
    </r>
    <r>
      <rPr>
        <sz val="10"/>
        <rFont val="Noto Sans CJK SC"/>
        <family val="2"/>
      </rPr>
      <t xml:space="preserve">、公司行動 </t>
    </r>
    <r>
      <rPr>
        <sz val="10"/>
        <rFont val="Arial"/>
        <family val="0"/>
        <charset val="1"/>
      </rPr>
      <t xml:space="preserve">validate_corporate_action</t>
    </r>
    <r>
      <rPr>
        <sz val="10"/>
        <rFont val="Noto Sans CJK SC"/>
        <family val="2"/>
      </rPr>
      <t xml:space="preserve">、期初 </t>
    </r>
    <r>
      <rPr>
        <sz val="10"/>
        <rFont val="Arial"/>
        <family val="0"/>
        <charset val="1"/>
      </rPr>
      <t xml:space="preserve">validate_opening_cost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（股利：新增門的檢查寫在 </t>
    </r>
    <r>
      <rPr>
        <sz val="10"/>
        <rFont val="Arial"/>
        <family val="0"/>
        <charset val="1"/>
      </rPr>
      <t xml:space="preserve">CSV builder </t>
    </r>
    <r>
      <rPr>
        <sz val="10"/>
        <rFont val="Noto Sans CJK SC"/>
        <family val="2"/>
      </rPr>
      <t xml:space="preserve">內、沒有可重用的驗證器；更正門已跑金額檢查、帳戶守門與重播防護，缺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種股利型別檢查——建議下一輪抽出 </t>
    </r>
    <r>
      <rPr>
        <sz val="10"/>
        <rFont val="Arial"/>
        <family val="0"/>
        <charset val="1"/>
      </rPr>
      <t xml:space="preserve">validate_dividend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</si>
  <si>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tests/contract/test_def042_edit_runs_validate_transaction.py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tests/e2e/test_r3_k_ledger_and_draft_flow.py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M3-02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test_ledger_correction_doors_flow.py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test_def007</t>
    </r>
    <r>
      <rPr>
        <sz val="10"/>
        <rFont val="Noto Sans CJK SC"/>
        <family val="2"/>
      </rPr>
      <t xml:space="preserve">（移除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筆失效項）。變異：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不驗證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the correction door must report the DEF-014 finding it saved over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'future_trade_date' in []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assert 200 == 400</t>
    </r>
    <r>
      <rPr>
        <sz val="10"/>
        <rFont val="Noto Sans CJK SC"/>
        <family val="2"/>
      </rPr>
      <t xml:space="preserve">」）；不排除本列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則（「超過持有的 </t>
    </r>
    <r>
      <rPr>
        <sz val="10"/>
        <rFont val="Arial"/>
        <family val="0"/>
        <charset val="1"/>
      </rPr>
      <t xml:space="preserve">-50 </t>
    </r>
    <r>
      <rPr>
        <sz val="10"/>
        <rFont val="Noto Sans CJK SC"/>
        <family val="2"/>
      </rPr>
      <t xml:space="preserve">股」、同日較晚列仍當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）；重複檢查不排除本列 → 「</t>
    </r>
    <r>
      <rPr>
        <sz val="10"/>
        <rFont val="Arial"/>
        <family val="0"/>
        <charset val="1"/>
      </rPr>
      <t xml:space="preserve">'duplicate_trade' not in ['duplicate_trade']</t>
    </r>
    <r>
      <rPr>
        <sz val="10"/>
        <rFont val="Noto Sans CJK SC"/>
        <family val="2"/>
      </rPr>
      <t xml:space="preserve">」；前端不等勾選 → 「</t>
    </r>
    <r>
      <rPr>
        <sz val="10"/>
        <rFont val="Arial"/>
        <family val="0"/>
        <charset val="1"/>
      </rPr>
      <t xml:space="preserve">Locator expected to be disabled / Actual: enabled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</si>
  <si>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交易 › 編輯 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8299 2026-07-21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）把日期改 </t>
    </r>
    <r>
      <rPr>
        <sz val="10"/>
        <rFont val="Arial"/>
        <family val="0"/>
        <charset val="1"/>
      </rPr>
      <t xml:space="preserve">2026-07-01</t>
    </r>
    <r>
      <rPr>
        <sz val="10"/>
        <rFont val="Noto Sans CJK SC"/>
        <family val="2"/>
      </rPr>
      <t xml:space="preserve">、再改 </t>
    </r>
    <r>
      <rPr>
        <sz val="10"/>
        <rFont val="Arial"/>
        <family val="0"/>
        <charset val="1"/>
      </rPr>
      <t xml:space="preserve">2026-12-01</t>
    </r>
    <r>
      <rPr>
        <sz val="10"/>
        <rFont val="Noto Sans CJK SC"/>
        <family val="2"/>
      </rPr>
      <t xml:space="preserve">；編輯 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2412 2026-07-19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</t>
    </r>
    <r>
      <rPr>
        <sz val="10"/>
        <rFont val="Noto Sans CJK SC"/>
        <family val="2"/>
      </rPr>
      <t xml:space="preserve">）把股數改 </t>
    </r>
    <r>
      <rPr>
        <sz val="10"/>
        <rFont val="Arial"/>
        <family val="0"/>
        <charset val="1"/>
      </rPr>
      <t xml:space="preserve">3000 </t>
    </r>
    <r>
      <rPr>
        <sz val="10"/>
        <rFont val="Noto Sans CJK SC"/>
        <family val="2"/>
      </rPr>
      <t xml:space="preserve">並嘗試儲存；皆取消。另把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備註改「加碼 </t>
    </r>
    <r>
      <rPr>
        <sz val="10"/>
        <rFont val="Arial"/>
        <family val="0"/>
        <charset val="1"/>
      </rPr>
      <t xml:space="preserve">QA-R3</t>
    </r>
    <r>
      <rPr>
        <sz val="10"/>
        <rFont val="Noto Sans CJK SC"/>
        <family val="2"/>
      </rPr>
      <t xml:space="preserve">」儲存再改回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</si>
  <si>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時更正門不跑驗證器，日期類提示到不了
假設：①編輯開框即呼叫同一個預覽並逐項勾選；②只在儲存後由伺服器擋
排除：開框即送 </t>
    </r>
    <r>
      <rPr>
        <sz val="10"/>
        <rFont val="Arial"/>
        <family val="0"/>
        <charset val="1"/>
      </rPr>
      <t xml:space="preserve">POST /api/input/manual/preview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replaces_txn_id 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 285</t>
    </r>
    <r>
      <rPr>
        <sz val="10"/>
        <rFont val="Noto Sans CJK SC"/>
        <family val="2"/>
      </rPr>
      <t xml:space="preserve">）；日期改 </t>
    </r>
    <r>
      <rPr>
        <sz val="10"/>
        <rFont val="Arial"/>
        <family val="0"/>
        <charset val="1"/>
      </rPr>
      <t xml:space="preserve">07-01 → </t>
    </r>
    <r>
      <rPr>
        <sz val="10"/>
        <rFont val="Noto Sans CJK SC"/>
        <family val="2"/>
      </rPr>
      <t xml:space="preserve">預覽 </t>
    </r>
    <r>
      <rPr>
        <sz val="10"/>
        <rFont val="Arial"/>
        <family val="0"/>
        <charset val="1"/>
      </rPr>
      <t xml:space="preserve">issues trade_before_opening</t>
    </r>
    <r>
      <rPr>
        <sz val="10"/>
        <rFont val="Noto Sans CJK SC"/>
        <family val="2"/>
      </rPr>
      <t xml:space="preserve">「交易日 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 台灣券商 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」，框內出現「我了解，仍要儲存。」勾選框，儲存鍵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，勾選後 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；改 </t>
    </r>
    <r>
      <rPr>
        <sz val="10"/>
        <rFont val="Arial"/>
        <family val="0"/>
        <charset val="1"/>
      </rPr>
      <t xml:space="preserve">12-01 → </t>
    </r>
    <r>
      <rPr>
        <sz val="10"/>
        <rFont val="Noto Sans CJK SC"/>
        <family val="2"/>
      </rPr>
      <t xml:space="preserve">「交易日期 </t>
    </r>
    <r>
      <rPr>
        <sz val="10"/>
        <rFont val="Arial"/>
        <family val="0"/>
        <charset val="1"/>
      </rPr>
      <t xml:space="preserve">2026-12-01 </t>
    </r>
    <r>
      <rPr>
        <sz val="10"/>
        <rFont val="Noto Sans CJK SC"/>
        <family val="2"/>
      </rPr>
      <t xml:space="preserve">晚於今日，確認無誤？」並重新要求勾選（儲存又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）。賣超：股數 </t>
    </r>
    <r>
      <rPr>
        <sz val="10"/>
        <rFont val="Arial"/>
        <family val="0"/>
        <charset val="1"/>
      </rPr>
      <t xml:space="preserve">3000 → </t>
    </r>
    <r>
      <rPr>
        <sz val="10"/>
        <rFont val="Noto Sans CJK SC"/>
        <family val="2"/>
      </rPr>
      <t xml:space="preserve">預覽 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「賣出 </t>
    </r>
    <r>
      <rPr>
        <sz val="10"/>
        <rFont val="Arial"/>
        <family val="0"/>
        <charset val="1"/>
      </rPr>
      <t xml:space="preserve">3000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股」＋「儲存時會再請你確認賣超：確認後這個部位的成本基礎會被永久捨棄」，按儲存 → </t>
    </r>
    <r>
      <rPr>
        <sz val="10"/>
        <rFont val="Arial"/>
        <family val="0"/>
        <charset val="1"/>
      </rPr>
      <t xml:space="preserve">PUT 422 oversell</t>
    </r>
    <r>
      <rPr>
        <sz val="10"/>
        <rFont val="Noto Sans CJK SC"/>
        <family val="2"/>
      </rPr>
      <t xml:space="preserve">，再跳「賣超確認」框。只改備註 → </t>
    </r>
    <r>
      <rPr>
        <sz val="10"/>
        <rFont val="Arial"/>
        <family val="0"/>
        <charset val="1"/>
      </rPr>
      <t xml:space="preserve">PUT 200 issues []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fee 285 </t>
    </r>
    <r>
      <rPr>
        <sz val="10"/>
        <rFont val="Noto Sans CJK SC"/>
        <family val="2"/>
      </rPr>
      <t xml:space="preserve">與清理後的費率快照原樣保留
定位：</t>
    </r>
    <r>
      <rPr>
        <sz val="10"/>
        <rFont val="Arial"/>
        <family val="0"/>
        <charset val="1"/>
      </rPr>
      <t xml:space="preserve">ledgers.py PUT </t>
    </r>
    <r>
      <rPr>
        <sz val="10"/>
        <rFont val="Noto Sans CJK SC"/>
        <family val="2"/>
      </rPr>
      <t xml:space="preserve">改走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 </t>
    </r>
    <r>
      <rPr>
        <sz val="10"/>
        <rFont val="Noto Sans CJK SC"/>
        <family val="2"/>
      </rPr>
      <t xml:space="preserve">編輯框預覽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結果清空（</t>
    </r>
    <r>
      <rPr>
        <sz val="10"/>
        <rFont val="Arial"/>
        <family val="0"/>
        <charset val="1"/>
      </rPr>
      <t xml:space="preserve">findings = []</t>
    </r>
    <r>
      <rPr>
        <sz val="10"/>
        <rFont val="Noto Sans CJK SC"/>
        <family val="2"/>
      </rPr>
      <t xml:space="preserve">）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the correction door must report the DEF-014 finding it saved over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</si>
  <si>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日期兩種提示、賣超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＋確認框皆出現；只改備註可直接儲存且不重寫快照；全部取消或改回，</t>
    </r>
    <r>
      <rPr>
        <sz val="10"/>
        <rFont val="Arial"/>
        <family val="0"/>
        <charset val="1"/>
      </rPr>
      <t xml:space="preserve">cmp R3_START same:true</t>
    </r>
  </si>
  <si>
    <r>
      <rPr>
        <sz val="10"/>
        <rFont val="Noto Sans CJK SC"/>
        <family val="2"/>
      </rPr>
      <t xml:space="preserve">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</si>
  <si>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張無預測卡有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張帶信心值，所以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顯示「信心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」。</t>
    </r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</si>
  <si>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</si>
  <si>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r>
      <rPr>
        <sz val="10"/>
        <rFont val="Noto Sans CJK SC"/>
        <family val="2"/>
      </rPr>
      <t xml:space="preserve">頁面的信心標籤沒有任何測試；既有 </t>
    </r>
    <r>
      <rPr>
        <sz val="10"/>
        <rFont val="Arial"/>
        <family val="0"/>
        <charset val="1"/>
      </rPr>
      <t xml:space="preserve">tests/llm_insight/test_review_r3_ceiling_violations.py </t>
    </r>
    <r>
      <rPr>
        <sz val="10"/>
        <rFont val="Noto Sans CJK SC"/>
        <family val="2"/>
      </rPr>
      <t xml:space="preserve">的測資正是 </t>
    </r>
    <r>
      <rPr>
        <sz val="10"/>
        <rFont val="Arial"/>
        <family val="0"/>
        <charset val="1"/>
      </rPr>
      <t xml:space="preserve">prediction=None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confidence=55</t>
    </r>
    <r>
      <rPr>
        <sz val="10"/>
        <rFont val="Noto Sans CJK SC"/>
        <family val="2"/>
      </rPr>
      <t xml:space="preserve">，把「無預測卡也算進違規率」釘成正確（當時規格未定）。已修測資，並新增一檔把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個信心母體逐一釘住。</t>
    </r>
  </si>
  <si>
    <r>
      <rPr>
        <sz val="10"/>
        <rFont val="Noto Sans CJK SC"/>
        <family val="2"/>
      </rPr>
      <t xml:space="preserve">讀取時忽略（卡片只增不改，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原值不動）：唯一讀取入口 </t>
    </r>
    <r>
      <rPr>
        <sz val="10"/>
        <rFont val="Arial"/>
        <family val="0"/>
        <charset val="1"/>
      </rPr>
      <t xml:space="preserve">insights_store._card_from_row </t>
    </r>
    <r>
      <rPr>
        <sz val="10"/>
        <rFont val="Noto Sans CJK SC"/>
        <family val="2"/>
      </rPr>
      <t xml:space="preserve">遇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 → 信心回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confChip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或信心為空 → 「純描述・無預測」；唯一排除條件 </t>
    </r>
    <r>
      <rPr>
        <sz val="10"/>
        <rFont val="Arial"/>
        <family val="0"/>
        <charset val="1"/>
      </rPr>
      <t xml:space="preserve">evaluations_store._predicted_clause </t>
    </r>
    <r>
      <rPr>
        <sz val="10"/>
        <rFont val="Noto Sans CJK SC"/>
        <family val="2"/>
      </rPr>
      <t xml:space="preserve">套用在校準曲線、信心命中（</t>
    </r>
    <r>
      <rPr>
        <sz val="10"/>
        <rFont val="Arial"/>
        <family val="0"/>
        <charset val="1"/>
      </rPr>
      <t xml:space="preserve">calib_gap </t>
    </r>
    <r>
      <rPr>
        <sz val="10"/>
        <rFont val="Noto Sans CJK SC"/>
        <family val="2"/>
      </rPr>
      <t xml:space="preserve">預警、回測信心上限）、滾動視窗（取最近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筆之前先過濾）；信心上限違規率加 </t>
    </r>
    <r>
      <rPr>
        <sz val="10"/>
        <rFont val="Arial"/>
        <family val="0"/>
        <charset val="1"/>
      </rPr>
      <t xml:space="preserve">prediction IS NOT NULL</t>
    </r>
    <r>
      <rPr>
        <sz val="10"/>
        <rFont val="Noto Sans CJK SC"/>
        <family val="2"/>
      </rPr>
      <t xml:space="preserve">；預測明細、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匯出、失誤樣本中無預測卡信心值為空；評分器寫入端也不帶。同類掃描：</t>
    </r>
    <r>
      <rPr>
        <sz val="10"/>
        <rFont val="Arial"/>
        <family val="0"/>
        <charset val="1"/>
      </rPr>
      <t xml:space="preserve">grep confidence</t>
    </r>
    <r>
      <rPr>
        <sz val="10"/>
        <rFont val="Noto Sans CJK SC"/>
        <family val="2"/>
      </rPr>
      <t xml:space="preserve">，逐一檢視讀取已儲存信心值的位置。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</si>
  <si>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數值核對改讀原值 </t>
    </r>
    <r>
      <rPr>
        <sz val="10"/>
        <rFont val="Arial"/>
        <family val="0"/>
        <charset val="1"/>
      </rPr>
      <t xml:space="preserve">stated_confidence</t>
    </r>
    <r>
      <rPr>
        <sz val="10"/>
        <rFont val="Noto Sans CJK SC"/>
        <family val="2"/>
      </rPr>
      <t xml:space="preserve">：那是模型自己印出的數字，引用不算捏造；改成空會讓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張舊卡無端出現「數值待核」）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</si>
  <si>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tests/llm_insight/test_def003_prediction_decides.py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：讀取入口、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個母體參數化、無 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表降級、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、評分器寫入端、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confChip——#182 </t>
    </r>
    <r>
      <rPr>
        <sz val="10"/>
        <rFont val="Noto Sans CJK SC"/>
        <family val="2"/>
      </rPr>
      <t xml:space="preserve">形狀→「純描述・無預測」，有預測而信心 </t>
    </r>
    <r>
      <rPr>
        <sz val="10"/>
        <rFont val="Arial"/>
        <family val="0"/>
        <charset val="1"/>
      </rPr>
      <t xml:space="preserve">0% </t>
    </r>
    <r>
      <rPr>
        <sz val="10"/>
        <rFont val="Noto Sans CJK SC"/>
        <family val="2"/>
      </rPr>
      <t xml:space="preserve">仍顯示「信心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」）；修正 </t>
    </r>
    <r>
      <rPr>
        <sz val="10"/>
        <rFont val="Arial"/>
        <family val="0"/>
        <charset val="1"/>
      </rPr>
      <t xml:space="preserve">test_review_r3_ceiling_violations.py </t>
    </r>
    <r>
      <rPr>
        <sz val="10"/>
        <rFont val="Noto Sans CJK SC"/>
        <family val="2"/>
      </rPr>
      <t xml:space="preserve">測資。變異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組全數被攔，例：頁面只看信心 → 「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信心 </t>
    </r>
    <r>
      <rPr>
        <sz val="10"/>
        <rFont val="Arial"/>
        <family val="0"/>
        <charset val="1"/>
      </rPr>
      <t xml:space="preserve">0%' == '</t>
    </r>
    <r>
      <rPr>
        <sz val="10"/>
        <rFont val="Noto Sans CJK SC"/>
        <family val="2"/>
      </rPr>
      <t xml:space="preserve">純描述・無預測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」；拿掉排除條件 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[('0-20',1),('80-100',1)] == [('80-100',1)]</t>
    </r>
    <r>
      <rPr>
        <sz val="10"/>
        <rFont val="Noto Sans CJK SC"/>
        <family val="2"/>
      </rPr>
      <t xml:space="preserve">」；讀取入口照給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則。還原後全過。</t>
    </r>
  </si>
  <si>
    <r>
      <rPr>
        <sz val="10"/>
        <rFont val="Noto Sans CJK SC"/>
        <family val="2"/>
      </rPr>
      <t xml:space="preserve">真實瀏覽器：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洞察卡；分頁讀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195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/api/ai-score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</si>
  <si>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為空但有信心值的卡顯示「信心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張）
假設：①讀取入口依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決定、前端同規則；②只改前端文字
排除：</t>
    </r>
    <r>
      <rPr>
        <sz val="10"/>
        <rFont val="Arial"/>
        <family val="0"/>
        <charset val="1"/>
      </rPr>
      <t xml:space="preserve">API 195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 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張，其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全部為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原值不動、讀取時忽略），排除②；畫面可見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個「純描述・無預測」標籤，其所屬卡片內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個「信心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」；有預測的卡仍顯示信心。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校準分桶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／…、</t>
    </r>
    <r>
      <rPr>
        <sz val="10"/>
        <rFont val="Arial"/>
        <family val="0"/>
        <charset val="1"/>
      </rPr>
      <t xml:space="preserve">totals n 94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相同——被評分的母體本來就都有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，排除條件未改變現有數字
定位：</t>
    </r>
    <r>
      <rPr>
        <sz val="10"/>
        <rFont val="Arial"/>
        <family val="0"/>
        <charset val="1"/>
      </rPr>
      <t xml:space="preserve">insights_store._card_from_row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evaluations_store._predicted_clause</t>
    </r>
    <r>
      <rPr>
        <sz val="10"/>
        <rFont val="Noto Sans CJK SC"/>
        <family val="2"/>
      </rPr>
      <t xml:space="preserve">；變異見開發者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組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_card_from_row </t>
    </r>
    <r>
      <rPr>
        <sz val="10"/>
        <rFont val="Noto Sans CJK SC"/>
        <family val="2"/>
      </rPr>
      <t xml:space="preserve">無條件回傳 </t>
    </r>
    <r>
      <rPr>
        <sz val="10"/>
        <rFont val="Arial"/>
        <family val="0"/>
        <charset val="1"/>
      </rPr>
      <t xml:space="preserve">confidence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(None is None and 10 is None)</t>
    </r>
    <r>
      <rPr>
        <sz val="10"/>
        <rFont val="Noto Sans CJK SC"/>
        <family val="2"/>
      </rPr>
      <t xml:space="preserve">），還原後通過</t>
    </r>
  </si>
  <si>
    <t xml:space="preserve">無預測卡一律「純描述・無預測」、不帶信心；校準母體不含無預測卡</t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</si>
  <si>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裁定實作整列可編輯。原本的鎖是為了防止同月重複入帳，但它把「去重的鍵」和「可編輯欄位」綁在一起，所以不能只拿掉鎖。另發現資金紀錄的編輯與刪除完全沒有寫入稽核軌跡（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update </t>
    </r>
    <r>
      <rPr>
        <sz val="10"/>
        <rFont val="Noto Sans CJK SC"/>
        <family val="2"/>
      </rPr>
      <t xml:space="preserve">稽核為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筆）。</t>
    </r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</si>
  <si>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</si>
  <si>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r>
      <rPr>
        <sz val="10"/>
        <rFont val="Noto Sans CJK SC"/>
        <family val="2"/>
      </rPr>
      <t xml:space="preserve">鎖本身被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個守門當成正確行為釘住（</t>
    </r>
    <r>
      <rPr>
        <sz val="10"/>
        <rFont val="Arial"/>
        <family val="0"/>
        <charset val="1"/>
      </rPr>
      <t xml:space="preserve">test_cash_movement_guard_contract.py 2 </t>
    </r>
    <r>
      <rPr>
        <sz val="10"/>
        <rFont val="Noto Sans CJK SC"/>
        <family val="2"/>
      </rPr>
      <t xml:space="preserve">個錄製斷言、</t>
    </r>
    <r>
      <rPr>
        <sz val="10"/>
        <rFont val="Arial"/>
        <family val="0"/>
        <charset val="1"/>
      </rPr>
      <t xml:space="preserve">test_rebates_api </t>
    </r>
    <r>
      <rPr>
        <sz val="10"/>
        <rFont val="Noto Sans CJK SC"/>
        <family val="2"/>
      </rPr>
      <t xml:space="preserve">的「類型與日期已鎖定」、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外幣折讓款編輯框），已依裁定重錄或替換。稽核：</t>
    </r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的稽核測試只涵蓋交易、股利、換匯、公司行動，沒有資金；新增 </t>
    </r>
    <r>
      <rPr>
        <sz val="10"/>
        <rFont val="Arial"/>
        <family val="0"/>
        <charset val="1"/>
      </rPr>
      <t xml:space="preserve">test_every_cash_edit_and_delete_writes_its_before_image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</si>
  <si>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nullable </t>
    </r>
    <r>
      <rPr>
        <sz val="10"/>
        <rFont val="Noto Sans CJK SC"/>
        <family val="2"/>
      </rPr>
      <t xml:space="preserve">欄位 </t>
    </r>
    <r>
      <rPr>
        <sz val="10"/>
        <rFont val="Arial"/>
        <family val="0"/>
        <charset val="1"/>
      </rPr>
      <t xml:space="preserve">cash_movements.rebate_period</t>
    </r>
    <r>
      <rPr>
        <sz val="10"/>
        <rFont val="Noto Sans CJK SC"/>
        <family val="2"/>
      </rPr>
      <t xml:space="preserve">（結構性連結）：收件匣確認入帳時寫入；欄位首次建立時對既有折讓款回填一次（優先備註標記的月份，其次日期前一個月＝收件匣原本就認定已入帳的月份，所以沒有月份會因此重開；</t>
    </r>
    <r>
      <rPr>
        <sz val="10"/>
        <rFont val="Arial"/>
        <family val="0"/>
        <charset val="1"/>
      </rPr>
      <t xml:space="preserve">demo #34 → 2026-01</t>
    </r>
    <r>
      <rPr>
        <sz val="10"/>
        <rFont val="Noto Sans CJK SC"/>
        <family val="2"/>
      </rPr>
      <t xml:space="preserve">）。去重先讀這個連結，所以改日期／類型／金額／備註都不會讓該月重新出現在收件匣。拿掉前後端的鎖，對話框說明「修改後 </t>
    </r>
    <r>
      <rPr>
        <sz val="10"/>
        <rFont val="Arial"/>
        <family val="0"/>
        <charset val="1"/>
      </rPr>
      <t xml:space="preserve">YYYY-MM </t>
    </r>
    <r>
      <rPr>
        <sz val="10"/>
        <rFont val="Noto Sans CJK SC"/>
        <family val="2"/>
      </rPr>
      <t xml:space="preserve">仍視為已入帳」。資金紀錄的修改與刪除都把整列寫入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（稽核軌跡）。同類掃描：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下所有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的編輯欄位＋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所有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與寫稽核的對應。</t>
    </r>
  </si>
  <si>
    <r>
      <rPr>
        <sz val="10"/>
        <rFont val="Noto Sans CJK SC"/>
        <family val="2"/>
      </rPr>
      <t xml:space="preserve">鎖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（前後端兩層）／修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；自動入帳的列 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類／修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（折讓款）／白名單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（重組費列、收件匣確認的股利、期初庫存本來就可編輯且有稽核）；更正函式的稽核 共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（批次復原：是復原不是編輯，併入另開缺陷的建議）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</si>
  <si>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tests/contract/test_def009_rebate_row_fully_editable.py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（折讓款整列可編輯且該月仍為已入帳）；重錄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個錄製斷言。變異：去重不讀連結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assert '2026-05' not in ['2026-05']</t>
    </r>
    <r>
      <rPr>
        <sz val="10"/>
        <rFont val="Noto Sans CJK SC"/>
        <family val="2"/>
      </rPr>
      <t xml:space="preserve">」等）；更新不寫稽核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[] == ['update']</t>
    </r>
    <r>
      <rPr>
        <sz val="10"/>
        <rFont val="Noto Sans CJK SC"/>
        <family val="2"/>
      </rPr>
      <t xml:space="preserve">」；放回後端鎖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「折讓款的類型與日期已鎖定…」）；放回前端鎖 → </t>
    </r>
    <r>
      <rPr>
        <sz val="10"/>
        <rFont val="Arial"/>
        <family val="0"/>
        <charset val="1"/>
      </rPr>
      <t xml:space="preserve">e2e 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Locator expected to be enabled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</si>
  <si>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真實瀏覽器：資金管理 › 出金入金 › 折讓款列 </t>
    </r>
    <r>
      <rPr>
        <sz val="10"/>
        <rFont val="Arial"/>
        <family val="0"/>
        <charset val="1"/>
      </rPr>
      <t xml:space="preserve">#34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2026-02-01 191 TWD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折讓款」）→ 編輯：日期改 </t>
    </r>
    <r>
      <rPr>
        <sz val="10"/>
        <rFont val="Arial"/>
        <family val="0"/>
        <charset val="1"/>
      </rPr>
      <t xml:space="preserve">2026-02-03</t>
    </r>
    <r>
      <rPr>
        <sz val="10"/>
        <rFont val="Noto Sans CJK SC"/>
        <family val="2"/>
      </rPr>
      <t xml:space="preserve">、金額 </t>
    </r>
    <r>
      <rPr>
        <sz val="10"/>
        <rFont val="Arial"/>
        <family val="0"/>
        <charset val="1"/>
      </rPr>
      <t xml:space="preserve">190</t>
    </r>
    <r>
      <rPr>
        <sz val="10"/>
        <rFont val="Noto Sans CJK SC"/>
        <family val="2"/>
      </rPr>
      <t xml:space="preserve">、備註「</t>
    </r>
    <r>
      <rPr>
        <sz val="10"/>
        <rFont val="Arial"/>
        <family val="0"/>
        <charset val="1"/>
      </rPr>
      <t xml:space="preserve">QA-R3 </t>
    </r>
    <r>
      <rPr>
        <sz val="10"/>
        <rFont val="Noto Sans CJK SC"/>
        <family val="2"/>
      </rPr>
      <t xml:space="preserve">折讓」→ 儲存 → 看收件匣待確認退款 → 全部改回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</si>
  <si>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時折讓款只能改金額、日期／類型／備註鎖定
假設：①四欄皆可改且月份仍視為已入帳；②解鎖後月份靠備註判斷（改備註就會重開）
排除：編輯框四個控制項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，框內說明「此筆為 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月份的折讓款入帳…每次修改都會寫入稽核軌跡；修改後 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仍視為已入帳…」；</t>
    </r>
    <r>
      <rPr>
        <sz val="10"/>
        <rFont val="Arial"/>
        <family val="0"/>
        <charset val="1"/>
      </rPr>
      <t xml:space="preserve">PUT /api/cash/movements/34 200</t>
    </r>
    <r>
      <rPr>
        <sz val="10"/>
        <rFont val="Noto Sans CJK SC"/>
        <family val="2"/>
      </rPr>
      <t xml:space="preserve">，列變為 </t>
    </r>
    <r>
      <rPr>
        <sz val="10"/>
        <rFont val="Arial"/>
        <family val="0"/>
        <charset val="1"/>
      </rPr>
      <t xml:space="preserve">2026-02-03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190</t>
    </r>
    <r>
      <rPr>
        <sz val="10"/>
        <rFont val="Noto Sans CJK SC"/>
        <family val="2"/>
      </rPr>
      <t xml:space="preserve">／「</t>
    </r>
    <r>
      <rPr>
        <sz val="10"/>
        <rFont val="Arial"/>
        <family val="0"/>
        <charset val="1"/>
      </rPr>
      <t xml:space="preserve">QA-R3 </t>
    </r>
    <r>
      <rPr>
        <sz val="10"/>
        <rFont val="Noto Sans CJK SC"/>
        <family val="2"/>
      </rPr>
      <t xml:space="preserve">折讓」；把帶月份的備註改掉之後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月份仍為 </t>
    </r>
    <r>
      <rPr>
        <sz val="10"/>
        <rFont val="Arial"/>
        <family val="0"/>
        <charset val="1"/>
      </rPr>
      <t xml:space="preserve">2026-07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沒有重新出現）、</t>
    </r>
    <r>
      <rPr>
        <sz val="10"/>
        <rFont val="Arial"/>
        <family val="0"/>
        <charset val="1"/>
      </rPr>
      <t xml:space="preserve">count 3</t>
    </r>
    <r>
      <rPr>
        <sz val="10"/>
        <rFont val="Noto Sans CJK SC"/>
        <family val="2"/>
      </rPr>
      <t xml:space="preserve">，排除②；操作記錄「現金紀錄更正」。改回後列逐字還原
定位：</t>
    </r>
    <r>
      <rPr>
        <sz val="10"/>
        <rFont val="Arial"/>
        <family val="0"/>
        <charset val="1"/>
      </rPr>
      <t xml:space="preserve">cash.py </t>
    </r>
    <r>
      <rPr>
        <sz val="10"/>
        <rFont val="Noto Sans CJK SC"/>
        <family val="2"/>
      </rPr>
      <t xml:space="preserve">移除鎖＋</t>
    </r>
    <r>
      <rPr>
        <sz val="10"/>
        <rFont val="Arial"/>
        <family val="0"/>
        <charset val="1"/>
      </rPr>
      <t xml:space="preserve">cash_movements.rebate_period </t>
    </r>
    <r>
      <rPr>
        <sz val="10"/>
        <rFont val="Noto Sans CJK SC"/>
        <family val="2"/>
      </rPr>
      <t xml:space="preserve">連結；稽核寫入依開發者變異證據（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無讀取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，黑箱只能看到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重做）：去重不讀 </t>
    </r>
    <r>
      <rPr>
        <sz val="10"/>
        <rFont val="Arial"/>
        <family val="0"/>
        <charset val="1"/>
      </rPr>
      <t xml:space="preserve">rebate_period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'2026-05' not in ['2026-05']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</si>
  <si>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四欄可改、月份不重開、改回後 </t>
    </r>
    <r>
      <rPr>
        <sz val="10"/>
        <rFont val="Arial"/>
        <family val="0"/>
        <charset val="1"/>
      </rPr>
      <t xml:space="preserve">cmp D009R3 same:true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</si>
  <si>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</si>
  <si>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裁定兩者都做。同一個優惠被算兩次；除了收件匣，手動交易草稿的「預估折讓」與再平衡摘要（含列印報告）也有同樣問題，一併修。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</si>
  <si>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</si>
  <si>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</si>
  <si>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</si>
  <si>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r>
      <rPr>
        <sz val="10"/>
        <rFont val="Noto Sans CJK SC"/>
        <family val="2"/>
      </rPr>
      <t xml:space="preserve">預估器呼叫點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（收件匣、手動草稿、再平衡）；受影響畫面：收件匣待確認／累計中／已略過明細／側欄徽章／確認時檢查、草稿提示、再平衡摘要與列印報告。資料：快照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筆／清理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（裁定範圍）／保留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：該月退款已由資金 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，不在預估內；同樣自相矛盾，是否一併清理列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</si>
  <si>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tests/api/test_def010_rebate_never_forecast_on_a_discounted_fee.py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組參數化）、</t>
    </r>
    <r>
      <rPr>
        <sz val="10"/>
        <rFont val="Arial"/>
        <family val="0"/>
        <charset val="1"/>
      </rPr>
      <t xml:space="preserve">tests/scripts/test_clean_rebate_snapshots.py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，暫存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）；更新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支舊測試呼叫點。變異：三處改回不看 </t>
    </r>
    <r>
      <rPr>
        <sz val="10"/>
        <rFont val="Arial"/>
        <family val="0"/>
        <charset val="1"/>
      </rPr>
      <t xml:space="preserve">discount → 6 </t>
    </r>
    <r>
      <rPr>
        <sz val="10"/>
        <rFont val="Noto Sans CJK SC"/>
        <family val="2"/>
      </rPr>
      <t xml:space="preserve">則失敗（預期 </t>
    </r>
    <r>
      <rPr>
        <sz val="10"/>
        <rFont val="Arial"/>
        <family val="0"/>
        <charset val="1"/>
      </rPr>
      <t xml:space="preserve">262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229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'125' is None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'102' is None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153 == 0</t>
    </r>
    <r>
      <rPr>
        <sz val="10"/>
        <rFont val="Noto Sans CJK SC"/>
        <family val="2"/>
      </rPr>
      <t xml:space="preserve">」）。還原後全過。</t>
    </r>
  </si>
  <si>
    <r>
      <rPr>
        <sz val="10"/>
        <rFont val="Noto Sans CJK SC"/>
        <family val="2"/>
      </rPr>
      <t xml:space="preserve">真實瀏覽器＋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逐列對帳：收件匣 › 待確認退款三個月份，對照交易帳本各列 </t>
    </r>
    <r>
      <rPr>
        <sz val="10"/>
        <rFont val="Arial"/>
        <family val="0"/>
        <charset val="1"/>
      </rPr>
      <t xml:space="preserve">fee_rule_snapshot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</t>
    </r>
    <r>
      <rPr>
        <sz val="10"/>
        <rFont val="Noto Sans CJK SC"/>
        <family val="2"/>
      </rPr>
      <t xml:space="preserve">；另編輯已清理的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備註後改回，確認快照不被重寫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</si>
  <si>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預估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筆・手續費 </t>
    </r>
    <r>
      <rPr>
        <sz val="10"/>
        <rFont val="Arial"/>
        <family val="0"/>
        <charset val="1"/>
      </rPr>
      <t xml:space="preserve">2,601</t>
    </r>
    <r>
      <rPr>
        <sz val="10"/>
        <rFont val="Noto Sans CJK SC"/>
        <family val="2"/>
      </rPr>
      <t xml:space="preserve">・退款 </t>
    </r>
    <r>
      <rPr>
        <sz val="10"/>
        <rFont val="Arial"/>
        <family val="0"/>
        <charset val="1"/>
      </rPr>
      <t xml:space="preserve">1,997</t>
    </r>
    <r>
      <rPr>
        <sz val="10"/>
        <rFont val="Noto Sans CJK SC"/>
        <family val="2"/>
      </rPr>
      <t xml:space="preserve">，含下單已打折（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）的交易
假設：①預估器排除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且清理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筆快照；②只清資料、預估器未改
排除：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筆・</t>
    </r>
    <r>
      <rPr>
        <sz val="10"/>
        <rFont val="Arial"/>
        <family val="0"/>
        <charset val="1"/>
      </rPr>
      <t xml:space="preserve">1,412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1,083</t>
    </r>
    <r>
      <rPr>
        <sz val="10"/>
        <rFont val="Noto Sans CJK SC"/>
        <family val="2"/>
      </rPr>
      <t xml:space="preserve">：只含 </t>
    </r>
    <r>
      <rPr>
        <sz val="10"/>
        <rFont val="Arial"/>
        <family val="0"/>
        <charset val="1"/>
      </rPr>
      <t xml:space="preserve">#7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25</t>
    </r>
    <r>
      <rPr>
        <sz val="10"/>
        <rFont val="Noto Sans CJK SC"/>
        <family val="2"/>
      </rPr>
      <t xml:space="preserve">（皆 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），逐列 </t>
    </r>
    <r>
      <rPr>
        <sz val="10"/>
        <rFont val="Arial"/>
        <family val="0"/>
        <charset val="1"/>
      </rPr>
      <t xml:space="preserve">floor(fee×0.77)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103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137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182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1,083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）已排除且快照 </t>
    </r>
    <r>
      <rPr>
        <sz val="10"/>
        <rFont val="Arial"/>
        <family val="0"/>
        <charset val="1"/>
      </rPr>
      <t xml:space="preserve">rebate_rate "0"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rebate_rate_was "0.77"</t>
    </r>
    <r>
      <rPr>
        <sz val="10"/>
        <rFont val="Noto Sans CJK SC"/>
        <family val="2"/>
      </rPr>
      <t xml:space="preserve">、附清理說明。</t>
    </r>
    <r>
      <rPr>
        <sz val="10"/>
        <rFont val="Arial"/>
        <family val="0"/>
        <charset val="1"/>
      </rPr>
      <t xml:space="preserve">2026-06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筆・</t>
    </r>
    <r>
      <rPr>
        <sz val="10"/>
        <rFont val="Arial"/>
        <family val="0"/>
        <charset val="1"/>
      </rPr>
      <t xml:space="preserve">746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573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 </t>
    </r>
    <r>
      <rPr>
        <sz val="10"/>
        <rFont val="Noto Sans CJK SC"/>
        <family val="2"/>
      </rPr>
      <t xml:space="preserve">排除）；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筆・</t>
    </r>
    <r>
      <rPr>
        <sz val="10"/>
        <rFont val="Arial"/>
        <family val="0"/>
        <charset val="1"/>
      </rPr>
      <t xml:space="preserve">1,765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1,358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排除）——三個月逐列手算全符。清理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筆＝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與開發者所列相同。只改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 →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fee 285</t>
    </r>
    <r>
      <rPr>
        <sz val="10"/>
        <rFont val="Noto Sans CJK SC"/>
        <family val="2"/>
      </rPr>
      <t xml:space="preserve">、快照（含 </t>
    </r>
    <r>
      <rPr>
        <sz val="10"/>
        <rFont val="Arial"/>
        <family val="0"/>
        <charset val="1"/>
      </rPr>
      <t xml:space="preserve">cleaned </t>
    </r>
    <r>
      <rPr>
        <sz val="10"/>
        <rFont val="Noto Sans CJK SC"/>
        <family val="2"/>
      </rPr>
      <t xml:space="preserve">標記）逐字未變、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1,083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fees.rebate_applies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clean_rebate_snapshots.py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rebate_applies </t>
    </r>
    <r>
      <rPr>
        <sz val="10"/>
        <rFont val="Noto Sans CJK SC"/>
        <family val="2"/>
      </rPr>
      <t xml:space="preserve">恆回 </t>
    </r>
    <r>
      <rPr>
        <sz val="10"/>
        <rFont val="Arial"/>
        <family val="0"/>
        <charset val="1"/>
      </rPr>
      <t xml:space="preserve">True → 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'125' is None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</si>
  <si>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三個月份預估逐列手算相符；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筆快照已清理；編輯不會重寫快照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</si>
  <si>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</si>
  <si>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裁定實作：允許「當沖＋放空」組合，表單加組合說明，帳本列標示兩者。兩個旗標本來就是 </t>
    </r>
    <r>
      <rPr>
        <sz val="10"/>
        <rFont val="Arial"/>
        <family val="0"/>
        <charset val="1"/>
      </rPr>
      <t xml:space="preserve">transactions </t>
    </r>
    <r>
      <rPr>
        <sz val="10"/>
        <rFont val="Noto Sans CJK SC"/>
        <family val="2"/>
      </rPr>
      <t xml:space="preserve">的欄位（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），不需新增欄位。</t>
    </r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</si>
  <si>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</si>
  <si>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沒有任何測試涵蓋兩旗標同時勾選或帳本列標示。新增契約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則＋</t>
    </r>
    <r>
      <rPr>
        <sz val="10"/>
        <rFont val="Arial"/>
        <family val="0"/>
        <charset val="1"/>
      </rPr>
      <t xml:space="preserve">e2e 1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</si>
  <si>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；網頁帳本列與列印帳本加「當沖」「放空」徽章；手動表單兩者皆勾時顯示組合說明（當沖 </t>
    </r>
    <r>
      <rPr>
        <sz val="10"/>
        <rFont val="Arial"/>
        <family val="0"/>
        <charset val="1"/>
      </rPr>
      <t xml:space="preserve">0.15% </t>
    </r>
    <r>
      <rPr>
        <sz val="10"/>
        <rFont val="Noto Sans CJK SC"/>
        <family val="2"/>
      </rPr>
      <t xml:space="preserve">優先於 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；放空以收到的價金為空單成本、回補時結算）；編輯框加兩個勾選（僅賣出）與說明，預覽與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都帶；</t>
    </r>
    <r>
      <rPr>
        <sz val="10"/>
        <rFont val="Arial"/>
        <family val="0"/>
        <charset val="1"/>
      </rPr>
      <t xml:space="preserve">TxEditBody.short_sale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update_transaction(short_sale=)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的兩欄本來就能表達（補測試）。</t>
    </r>
  </si>
  <si>
    <r>
      <rPr>
        <sz val="10"/>
        <rFont val="Noto Sans CJK SC"/>
        <family val="2"/>
      </rPr>
      <t xml:space="preserve">輸入門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（手動、編輯）／已同源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（券商對帳單：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美股沒有當沖概念）；顯示面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（帳本分頁、列印帳本）／已同源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預覽）／白名單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（個股抽屜交易明細，不是交易帳本、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無旗標）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</si>
  <si>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tests/contract/test_def013_daytrade_and_short_together.py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。變異：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daytrade → 2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不更新 </t>
    </r>
    <r>
      <rPr>
        <sz val="10"/>
        <rFont val="Arial"/>
        <family val="0"/>
        <charset val="1"/>
      </rPr>
      <t xml:space="preserve">short_sale → </t>
    </r>
    <r>
      <rPr>
        <sz val="10"/>
        <rFont val="Noto Sans CJK SC"/>
        <family val="2"/>
      </rPr>
      <t xml:space="preserve">失敗；拿掉放空徽章 → 「</t>
    </r>
    <r>
      <rPr>
        <sz val="10"/>
        <rFont val="Arial"/>
        <family val="0"/>
        <charset val="1"/>
      </rPr>
      <t xml:space="preserve">expected to have text '</t>
    </r>
    <r>
      <rPr>
        <sz val="10"/>
        <rFont val="Noto Sans CJK SC"/>
        <family val="2"/>
      </rPr>
      <t xml:space="preserve">放空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」；說明永遠隱藏 → 「</t>
    </r>
    <r>
      <rPr>
        <sz val="10"/>
        <rFont val="Arial"/>
        <family val="0"/>
        <charset val="1"/>
      </rPr>
      <t xml:space="preserve">expected to be visible</t>
    </r>
    <r>
      <rPr>
        <sz val="10"/>
        <rFont val="Noto Sans CJK SC"/>
        <family val="2"/>
      </rPr>
      <t xml:space="preserve">」；列印不帶旗標 → 失敗。還原後全過。</t>
    </r>
  </si>
  <si>
    <r>
      <rPr>
        <sz val="10"/>
        <rFont val="Noto Sans CJK SC"/>
        <family val="2"/>
      </rPr>
      <t xml:space="preserve">真實瀏覽器：手動交易 台灣券商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（未持有）賣 </t>
    </r>
    <r>
      <rPr>
        <sz val="10"/>
        <rFont val="Arial"/>
        <family val="0"/>
        <charset val="1"/>
      </rPr>
      <t xml:space="preserve">1000@1500</t>
    </r>
    <r>
      <rPr>
        <sz val="10"/>
        <rFont val="Noto Sans CJK SC"/>
        <family val="2"/>
      </rPr>
      <t xml:space="preserve">、同時勾「當沖」「放空」→ 看組合說明 → 寫入 </t>
    </r>
    <r>
      <rPr>
        <sz val="10"/>
        <rFont val="Arial"/>
        <family val="0"/>
        <charset val="1"/>
      </rPr>
      <t xml:space="preserve">#105 → </t>
    </r>
    <r>
      <rPr>
        <sz val="10"/>
        <rFont val="Noto Sans CJK SC"/>
        <family val="2"/>
      </rPr>
      <t xml:space="preserve">交易帳本列與列印帳本報告 → 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</si>
  <si>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時兩者可同勾但無說明、帳本列不標示放空
假設：①允許組合＋說明＋雙徽章；②只加說明
排除：兩者皆勾時表單出現「當沖＋放空（先賣後買）：這筆賣出的證交稅以當沖 </t>
    </r>
    <r>
      <rPr>
        <sz val="10"/>
        <rFont val="Arial"/>
        <family val="0"/>
        <charset val="1"/>
      </rPr>
      <t xml:space="preserve">0.15% </t>
    </r>
    <r>
      <rPr>
        <sz val="10"/>
        <rFont val="Noto Sans CJK SC"/>
        <family val="2"/>
      </rPr>
      <t xml:space="preserve">計算（當沖優先於 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0.1%</t>
    </r>
    <r>
      <rPr>
        <sz val="10"/>
        <rFont val="Noto Sans CJK SC"/>
        <family val="2"/>
      </rPr>
      <t xml:space="preserve">）；同時宣告為放空，賣出股數可以超過持股…買回回補時才結算已實現損益」；草稿稅 </t>
    </r>
    <r>
      <rPr>
        <sz val="10"/>
        <rFont val="Arial"/>
        <family val="0"/>
        <charset val="1"/>
      </rPr>
      <t xml:space="preserve">2,250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1,500,000×0.15%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2,137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floor(2,137.5)</t>
    </r>
    <r>
      <rPr>
        <sz val="10"/>
        <rFont val="Noto Sans CJK SC"/>
        <family val="2"/>
      </rPr>
      <t xml:space="preserve">、開空 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股；寫入後 </t>
    </r>
    <r>
      <rPr>
        <sz val="10"/>
        <rFont val="Arial"/>
        <family val="0"/>
        <charset val="1"/>
      </rPr>
      <t xml:space="preserve">API daytrade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short_sale true</t>
    </r>
    <r>
      <rPr>
        <sz val="10"/>
        <rFont val="Noto Sans CJK SC"/>
        <family val="2"/>
      </rPr>
      <t xml:space="preserve">，帳本列「賣 當沖 放空」（</t>
    </r>
    <r>
      <rPr>
        <sz val="10"/>
        <rFont val="Arial"/>
        <family val="0"/>
        <charset val="1"/>
      </rPr>
      <t xml:space="preserve">class tx-flag-daytrade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tx-flag-short</t>
    </r>
    <r>
      <rPr>
        <sz val="10"/>
        <rFont val="Noto Sans CJK SC"/>
        <family val="2"/>
      </rPr>
      <t xml:space="preserve">），列印報告同列「賣 當沖 放空」。編輯框（賣出列）也出現「當沖（賣出稅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）」「放空（賣出股數可超過持股）」兩個勾選
定位：</t>
    </r>
    <r>
      <rPr>
        <sz val="10"/>
        <rFont val="Arial"/>
        <family val="0"/>
        <charset val="1"/>
      </rPr>
      <t xml:space="preserve">ledgers.py wire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徽章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daytrade → 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'daytrade'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</si>
  <si>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組合說明、稅率、帳本與列印徽章皆符合 </t>
    </r>
    <r>
      <rPr>
        <sz val="10"/>
        <rFont val="Arial"/>
        <family val="0"/>
        <charset val="1"/>
      </rPr>
      <t xml:space="preserve">B-10③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cmp R3_START same:true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</si>
  <si>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裁定實作：入帳日晚於估值日的股利不進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，總報酬與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都以實際入帳為準（現金池原本就依日期）。實測：一筆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天後入帳的 </t>
    </r>
    <r>
      <rPr>
        <sz val="10"/>
        <rFont val="Arial"/>
        <family val="0"/>
        <charset val="1"/>
      </rPr>
      <t xml:space="preserve">18,200 </t>
    </r>
    <r>
      <rPr>
        <sz val="10"/>
        <rFont val="Noto Sans CJK SC"/>
        <family val="2"/>
      </rPr>
      <t xml:space="preserve">股利讓 </t>
    </r>
    <r>
      <rPr>
        <sz val="10"/>
        <rFont val="Arial"/>
        <family val="0"/>
        <charset val="1"/>
      </rPr>
      <t xml:space="preserve">XIRR 0.5677→0.6703</t>
    </r>
    <r>
      <rPr>
        <sz val="10"/>
        <rFont val="Noto Sans CJK SC"/>
        <family val="2"/>
      </rPr>
      <t xml:space="preserve">、總報酬 </t>
    </r>
    <r>
      <rPr>
        <sz val="10"/>
        <rFont val="Arial"/>
        <family val="0"/>
        <charset val="1"/>
      </rPr>
      <t xml:space="preserve">111,600→129,800</t>
    </r>
    <r>
      <rPr>
        <sz val="10"/>
        <rFont val="Noto Sans CJK SC"/>
        <family val="2"/>
      </rPr>
      <t xml:space="preserve">，而現金池與走勢圖不動。</t>
    </r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</si>
  <si>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</si>
  <si>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r>
      <rPr>
        <sz val="10"/>
        <rFont val="Noto Sans CJK SC"/>
        <family val="2"/>
      </rPr>
      <t xml:space="preserve">沒有守門；</t>
    </r>
    <r>
      <rPr>
        <sz val="10"/>
        <rFont val="Arial"/>
        <family val="0"/>
        <charset val="1"/>
      </rPr>
      <t xml:space="preserve">stress-audit oracle </t>
    </r>
    <r>
      <rPr>
        <sz val="10"/>
        <rFont val="Noto Sans CJK SC"/>
        <family val="2"/>
      </rPr>
      <t xml:space="preserve">也是整本帳比對（同一個錯），情境全是過去日期。補：</t>
    </r>
    <r>
      <rPr>
        <sz val="10"/>
        <rFont val="Arial"/>
        <family val="0"/>
        <charset val="1"/>
      </rPr>
      <t xml:space="preserve">test_def016 </t>
    </r>
    <r>
      <rPr>
        <sz val="10"/>
        <rFont val="Noto Sans CJK SC"/>
        <family val="2"/>
      </rPr>
      <t xml:space="preserve">逐一比對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個數字面；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補上同一規則的轉錄與對 </t>
    </r>
    <r>
      <rPr>
        <sz val="10"/>
        <rFont val="Arial"/>
        <family val="0"/>
        <charset val="1"/>
      </rPr>
      <t xml:space="preserve">app </t>
    </r>
    <r>
      <rPr>
        <sz val="10"/>
        <rFont val="Noto Sans CJK SC"/>
        <family val="2"/>
      </rPr>
      <t xml:space="preserve">的行為測試。</t>
    </r>
  </si>
  <si>
    <r>
      <rPr>
        <sz val="10"/>
        <rFont val="Noto Sans CJK SC"/>
        <family val="2"/>
      </rPr>
      <t xml:space="preserve">新增單一接縫 </t>
    </r>
    <r>
      <rPr>
        <sz val="10"/>
        <rFont val="Arial"/>
        <family val="0"/>
        <charset val="1"/>
      </rPr>
      <t xml:space="preserve">LedgerBundle.received_by(as_of)</t>
    </r>
    <r>
      <rPr>
        <sz val="10"/>
        <rFont val="Noto Sans CJK SC"/>
        <family val="2"/>
      </rPr>
      <t xml:space="preserve">：去掉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（付款日；配股為除權日）晚於估值日的股利，規則集中在 </t>
    </r>
    <r>
      <rPr>
        <sz val="10"/>
        <rFont val="Arial"/>
        <family val="0"/>
        <charset val="1"/>
      </rPr>
      <t xml:space="preserve">dividend_effective_date()</t>
    </r>
    <r>
      <rPr>
        <sz val="10"/>
        <rFont val="Noto Sans CJK SC"/>
        <family val="2"/>
      </rPr>
      <t xml:space="preserve">。套用：儀表板（帳本／總報酬／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／已收股利／本金匯率效果及所有下游）、試算、稅務包、賣出提示均價、個股抽屜對帳、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。驗證用的重播（重算、更正門防護、公司行動可達性）仍看整本帳。規則已寫入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。同類掃描：</t>
    </r>
    <r>
      <rPr>
        <sz val="10"/>
        <rFont val="Arial"/>
        <family val="0"/>
        <charset val="1"/>
      </rPr>
      <t xml:space="preserve">grep build_book( / load_ledger_bundle( / list_dividends( / .dividends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</si>
  <si>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／已同源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（走勢圖、現金池、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池、淨值現金序列、公司行動驗證、手動草稿交易日重播）／白名單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（重算與更正門防護等驗證用重播：驗證的是將存入的帳本；各種列表：股利帳本頁、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、列印報表、收件匣去重——列出紀錄本身而非估值）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</si>
  <si>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tests/contract/test_def016_future_dividend_counts_from_pay_date.py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tests/scripts/test_oracle_pay_date_rule.py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）；改 </t>
    </r>
    <r>
      <rPr>
        <sz val="10"/>
        <rFont val="Arial"/>
        <family val="0"/>
        <charset val="1"/>
      </rPr>
      <t xml:space="preserve">test_def001</t>
    </r>
    <r>
      <rPr>
        <sz val="10"/>
        <rFont val="Noto Sans CJK SC"/>
        <family val="2"/>
      </rPr>
      <t xml:space="preserve">（時鐘移到所有事件之後）、</t>
    </r>
    <r>
      <rPr>
        <sz val="10"/>
        <rFont val="Arial"/>
        <family val="0"/>
        <charset val="1"/>
      </rPr>
      <t xml:space="preserve">test_short_sale_api</t>
    </r>
    <r>
      <rPr>
        <sz val="10"/>
        <rFont val="Noto Sans CJK SC"/>
        <family val="2"/>
      </rPr>
      <t xml:space="preserve">（股利日期 ≤ 時鐘）。變異：儀表板不切 →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個數字面全動；抽屜不切、試算、稅務包（多一列 </t>
    </r>
    <r>
      <rPr>
        <sz val="10"/>
        <rFont val="Arial"/>
        <family val="0"/>
        <charset val="1"/>
      </rPr>
      <t xml:space="preserve">18,200</t>
    </r>
    <r>
      <rPr>
        <sz val="10"/>
        <rFont val="Noto Sans CJK SC"/>
        <family val="2"/>
      </rPr>
      <t xml:space="preserve">）、賣出提示、</t>
    </r>
    <r>
      <rPr>
        <sz val="10"/>
        <rFont val="Arial"/>
        <family val="0"/>
        <charset val="1"/>
      </rPr>
      <t xml:space="preserve">oracle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476800 == 495000</t>
    </r>
    <r>
      <rPr>
        <sz val="10"/>
        <rFont val="Noto Sans CJK SC"/>
        <family val="2"/>
      </rPr>
      <t xml:space="preserve">」）各自失敗。還原後全過。</t>
    </r>
  </si>
  <si>
    <r>
      <rPr>
        <sz val="10"/>
        <rFont val="Noto Sans CJK SC"/>
        <family val="2"/>
      </rPr>
      <t xml:space="preserve">真實瀏覽器：交易帳本 › 股利表單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現金股利 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（發放日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，晚於今天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）→ 寫入（批次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）→ 比對儀表板、現金池、個股抽屜 → 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</si>
  <si>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時入帳日在未來的股利被放進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
假設：①儀表板等計算以估值日切掉未入帳股利；②只從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排除、現金與調整成本仍先入帳
排除：寫入後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balances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六段字串與寫入前完全相同（</t>
    </r>
    <r>
      <rPr>
        <sz val="10"/>
        <rFont val="Arial"/>
        <family val="0"/>
        <charset val="1"/>
      </rPr>
      <t xml:space="preserve">XIRR 10.871082685115885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調整均價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／調整成本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不變、已收股利 </t>
    </r>
    <r>
      <rPr>
        <sz val="10"/>
        <rFont val="Arial"/>
        <family val="0"/>
        <charset val="1"/>
      </rPr>
      <t xml:space="preserve">TWD 146,708 </t>
    </r>
    <r>
      <rPr>
        <sz val="10"/>
        <rFont val="Noto Sans CJK SC"/>
        <family val="2"/>
      </rPr>
      <t xml:space="preserve">不變），只有股利帳本列數 </t>
    </r>
    <r>
      <rPr>
        <sz val="10"/>
        <rFont val="Arial"/>
        <family val="0"/>
        <charset val="1"/>
      </rPr>
      <t xml:space="preserve">23→24 </t>
    </r>
    <r>
      <rPr>
        <sz val="10"/>
        <rFont val="Noto Sans CJK SC"/>
        <family val="2"/>
      </rPr>
      <t xml:space="preserve">與批次數 </t>
    </r>
    <r>
      <rPr>
        <sz val="10"/>
        <rFont val="Arial"/>
        <family val="0"/>
        <charset val="1"/>
      </rPr>
      <t xml:space="preserve">0→1</t>
    </r>
    <r>
      <rPr>
        <sz val="10"/>
        <rFont val="Noto Sans CJK SC"/>
        <family val="2"/>
      </rPr>
      <t xml:space="preserve">，排除②（</t>
    </r>
    <r>
      <rPr>
        <sz val="10"/>
        <rFont val="Arial"/>
        <family val="0"/>
        <charset val="1"/>
      </rPr>
      <t xml:space="preserve">C-02 ⑦ </t>
    </r>
    <r>
      <rPr>
        <sz val="10"/>
        <rFont val="Noto Sans CJK SC"/>
        <family val="2"/>
      </rPr>
      <t xml:space="preserve">的 ①③⑤⑥ 皆未提前生效）；個股抽屜 </t>
    </r>
    <r>
      <rPr>
        <sz val="10"/>
        <rFont val="Arial"/>
        <family val="0"/>
        <charset val="1"/>
      </rPr>
      <t xml:space="preserve">dividend_events </t>
    </r>
    <r>
      <rPr>
        <sz val="10"/>
        <rFont val="Noto Sans CJK SC"/>
        <family val="2"/>
      </rPr>
      <t xml:space="preserve">仍列出該筆（帳本面可見）。刪除後六段與列數回到基準
定位：</t>
    </r>
    <r>
      <rPr>
        <sz val="10"/>
        <rFont val="Arial"/>
        <family val="0"/>
        <charset val="1"/>
      </rPr>
      <t xml:space="preserve">LedgerBundle.received_by(as_of)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重做）：儀表板不呼叫 </t>
    </r>
    <r>
      <rPr>
        <sz val="10"/>
        <rFont val="Arial"/>
        <family val="0"/>
        <charset val="1"/>
      </rPr>
      <t xml:space="preserve">received_by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 dividend whose pay date is after the valuation day moved these figures (baseline, with-unpaid-row): {'xirr': ('0.567700348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</si>
  <si>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未來股利入帳日前不影響任何計算；刪除後 </t>
    </r>
    <r>
      <rPr>
        <sz val="10"/>
        <rFont val="Arial"/>
        <family val="0"/>
        <charset val="1"/>
      </rPr>
      <t xml:space="preserve">cmp D016R3 same:true</t>
    </r>
  </si>
  <si>
    <r>
      <rPr>
        <sz val="10"/>
        <rFont val="Noto Sans CJK SC"/>
        <family val="2"/>
      </rPr>
      <t xml:space="preserve">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</si>
  <si>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</si>
  <si>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r>
      <rPr>
        <sz val="10"/>
        <rFont val="Noto Sans CJK SC"/>
        <family val="2"/>
      </rPr>
      <t xml:space="preserve">沒有這類守門。新增 </t>
    </r>
    <r>
      <rPr>
        <sz val="10"/>
        <rFont val="Arial"/>
        <family val="0"/>
        <charset val="1"/>
      </rPr>
      <t xml:space="preserve">tests/contract/test_def039_broker_hint_formats_shares.py</t>
    </r>
    <r>
      <rPr>
        <sz val="10"/>
        <rFont val="Noto Sans CJK SC"/>
        <family val="2"/>
      </rPr>
      <t xml:space="preserve">：以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執行真正的 </t>
    </r>
    <r>
      <rPr>
        <sz val="10"/>
        <rFont val="Arial"/>
        <family val="0"/>
        <charset val="1"/>
      </rPr>
      <t xml:space="preserve">renderNeedsInput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completedOpeningsCsv</t>
    </r>
    <r>
      <rPr>
        <sz val="10"/>
        <rFont val="Noto Sans CJK SC"/>
        <family val="2"/>
      </rPr>
      <t xml:space="preserve">，餵實測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，句子須顯示 </t>
    </r>
    <r>
      <rPr>
        <sz val="10"/>
        <rFont val="Arial"/>
        <family val="0"/>
        <charset val="1"/>
      </rPr>
      <t xml:space="preserve">85.039255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914.960745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，寫出去的期初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仍須是精確字串；另加一則類別靜態守門：這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欄位不得未經格式化就拼進文字。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</si>
  <si>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fmtShares</t>
    </r>
    <r>
      <rPr>
        <sz val="10"/>
        <rFont val="Noto Sans CJK SC"/>
        <family val="2"/>
      </rPr>
      <t xml:space="preserve">（委派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fmt.shares</t>
    </r>
    <r>
      <rPr>
        <sz val="10"/>
        <rFont val="Noto Sans CJK SC"/>
        <family val="2"/>
      </rPr>
      <t xml:space="preserve">）：句子裡「說出來」的數字一律格式化，「寫出去」的值（期初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）保留原字串。同類掃描（自寫 </t>
    </r>
    <r>
      <rPr>
        <sz val="10"/>
        <rFont val="Arial"/>
        <family val="0"/>
        <charset val="1"/>
      </rPr>
      <t xml:space="preserve">scan_raw_member.py</t>
    </r>
    <r>
      <rPr>
        <sz val="10"/>
        <rFont val="Noto Sans CJK SC"/>
        <family val="2"/>
      </rPr>
      <t xml:space="preserve">：找未經格式化就拼進字串、設成 </t>
    </r>
    <r>
      <rPr>
        <sz val="10"/>
        <rFont val="Arial"/>
        <family val="0"/>
        <charset val="1"/>
      </rPr>
      <t xml:space="preserve">textContent </t>
    </r>
    <r>
      <rPr>
        <sz val="10"/>
        <rFont val="Noto Sans CJK SC"/>
        <family val="2"/>
      </rPr>
      <t xml:space="preserve">或當 </t>
    </r>
    <r>
      <rPr>
        <sz val="10"/>
        <rFont val="Arial"/>
        <family val="0"/>
        <charset val="1"/>
      </rPr>
      <t xml:space="preserve">el() </t>
    </r>
    <r>
      <rPr>
        <sz val="10"/>
        <rFont val="Noto Sans CJK SC"/>
        <family val="2"/>
      </rPr>
      <t xml:space="preserve">文字的成員運算式，再以 </t>
    </r>
    <r>
      <rPr>
        <sz val="10"/>
        <rFont val="Arial"/>
        <family val="0"/>
        <charset val="1"/>
      </rPr>
      <t xml:space="preserve">grep </t>
    </r>
    <r>
      <rPr>
        <sz val="10"/>
        <rFont val="Noto Sans CJK SC"/>
        <family val="2"/>
      </rPr>
      <t xml:space="preserve">補抓陣列形式）後一併修：</t>
    </r>
    <r>
      <rPr>
        <sz val="10"/>
        <rFont val="Arial"/>
        <family val="0"/>
        <charset val="1"/>
      </rPr>
      <t xml:space="preserve">web/inbox.js:256 r.per_share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web/digest.js:150 m.close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web/input.js:1004 ar.last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web/ledger.js:880-881 </t>
    </r>
    <r>
      <rPr>
        <sz val="10"/>
        <rFont val="Noto Sans CJK SC"/>
        <family val="2"/>
      </rPr>
      <t xml:space="preserve">目標價上下限改經 </t>
    </r>
    <r>
      <rPr>
        <sz val="10"/>
        <rFont val="Arial"/>
        <family val="0"/>
        <charset val="1"/>
      </rPr>
      <t xml:space="preserve">f.exact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f.money </t>
    </r>
    <r>
      <rPr>
        <sz val="10"/>
        <rFont val="Noto Sans CJK SC"/>
        <family val="2"/>
      </rPr>
      <t xml:space="preserve">會把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元捨成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</si>
  <si>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候選 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，屬 </t>
    </r>
    <r>
      <rPr>
        <sz val="10"/>
        <rFont val="Arial"/>
        <family val="0"/>
        <charset val="1"/>
      </rPr>
      <t xml:space="preserve">wire Decimal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匯率三角 </t>
    </r>
    <r>
      <rPr>
        <sz val="10"/>
        <rFont val="Arial"/>
        <family val="0"/>
        <charset val="1"/>
      </rPr>
      <t xml:space="preserve">implied/direct/gap_pct 3</t>
    </r>
    <r>
      <rPr>
        <sz val="10"/>
        <rFont val="Noto Sans CJK SC"/>
        <family val="2"/>
      </rPr>
      <t xml:space="preserve">：後端已量化、</t>
    </r>
    <r>
      <rPr>
        <sz val="10"/>
        <rFont val="Arial"/>
        <family val="0"/>
        <charset val="1"/>
      </rPr>
      <t xml:space="preserve">M3-08 </t>
    </r>
    <r>
      <rPr>
        <sz val="10"/>
        <rFont val="Noto Sans CJK SC"/>
        <family val="2"/>
      </rPr>
      <t xml:space="preserve">裁定原樣印；</t>
    </r>
    <r>
      <rPr>
        <sz val="10"/>
        <rFont val="Arial"/>
        <family val="0"/>
        <charset val="1"/>
      </rPr>
      <t xml:space="preserve">detail.js tech_score 1</t>
    </r>
    <r>
      <rPr>
        <sz val="10"/>
        <rFont val="Noto Sans CJK SC"/>
        <family val="2"/>
      </rPr>
      <t xml:space="preserve">：後端已量化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位；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比例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：使用者輸入的整數比例；</t>
    </r>
    <r>
      <rPr>
        <sz val="10"/>
        <rFont val="Arial"/>
        <family val="0"/>
        <charset val="1"/>
      </rPr>
      <t xml:space="preserve">ledger.js cost_carry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acq_home_amount 2</t>
    </r>
    <r>
      <rPr>
        <sz val="10"/>
        <rFont val="Noto Sans CJK SC"/>
        <family val="2"/>
      </rPr>
      <t xml:space="preserve">：帳本刻意原樣顯示輸入值；</t>
    </r>
    <r>
      <rPr>
        <sz val="10"/>
        <rFont val="Arial"/>
        <family val="0"/>
        <charset val="1"/>
      </rPr>
      <t xml:space="preserve">broker-import.js rowCells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lab.shares 2</t>
    </r>
    <r>
      <rPr>
        <sz val="10"/>
        <rFont val="Noto Sans CJK SC"/>
        <family val="2"/>
      </rPr>
      <t xml:space="preserve">：「將寫入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的逐欄值」對帳檢視，格式化會捨入；</t>
    </r>
    <r>
      <rPr>
        <sz val="10"/>
        <rFont val="Arial"/>
        <family val="0"/>
        <charset val="1"/>
      </rPr>
      <t xml:space="preserve">detail.js prefill 1</t>
    </r>
    <r>
      <rPr>
        <sz val="10"/>
        <rFont val="Noto Sans CJK SC"/>
        <family val="2"/>
      </rPr>
      <t xml:space="preserve">：輸入欄位值不是顯示文字）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</si>
  <si>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tests/contract/test_def039_broker_hint_formats_shares.py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）。變異：</t>
    </r>
    <r>
      <rPr>
        <sz val="10"/>
        <rFont val="Arial"/>
        <family val="0"/>
        <charset val="1"/>
      </rPr>
      <t xml:space="preserve">fmtShares </t>
    </r>
    <r>
      <rPr>
        <sz val="10"/>
        <rFont val="Noto Sans CJK SC"/>
        <family val="2"/>
      </rPr>
      <t xml:space="preserve">改回原字串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'…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85.039255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改回原寫法 → 類別守門失敗「</t>
    </r>
    <r>
      <rPr>
        <sz val="10"/>
        <rFont val="Arial"/>
        <family val="0"/>
        <charset val="1"/>
      </rPr>
      <t xml:space="preserve">digest.js:150: … + m.close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</si>
  <si>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› 券商對帳單（嘉信）上傳自製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格式檔「</t>
    </r>
    <r>
      <rPr>
        <sz val="10"/>
        <rFont val="Arial"/>
        <family val="0"/>
        <charset val="1"/>
      </rPr>
      <t xml:space="preserve">09/23/2026 Sell AAPL 1000 @230</t>
    </r>
    <r>
      <rPr>
        <sz val="10"/>
        <rFont val="Noto Sans CJK SC"/>
        <family val="2"/>
      </rPr>
      <t xml:space="preserve">」→ 讀期初缺口提示；不寫入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</si>
  <si>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時提示把帳本持股印成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
假設：①句子內的數字經 </t>
    </r>
    <r>
      <rPr>
        <sz val="10"/>
        <rFont val="Arial"/>
        <family val="0"/>
        <charset val="1"/>
      </rPr>
      <t xml:space="preserve">fmt.shares</t>
    </r>
    <r>
      <rPr>
        <sz val="10"/>
        <rFont val="Noto Sans CJK SC"/>
        <family val="2"/>
      </rPr>
      <t xml:space="preserve">；②只截斷位數
排除：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AAPL 85.03925471251653744415967210</t>
    </r>
    <r>
      <rPr>
        <sz val="10"/>
        <rFont val="Noto Sans CJK SC"/>
        <family val="2"/>
      </rPr>
      <t xml:space="preserve">（原字串），</t>
    </r>
    <r>
      <rPr>
        <sz val="10"/>
        <rFont val="Arial"/>
        <family val="0"/>
        <charset val="1"/>
      </rPr>
      <t xml:space="preserve">POST /api/broker/convert 200 </t>
    </r>
    <r>
      <rPr>
        <sz val="10"/>
        <rFont val="Noto Sans CJK SC"/>
        <family val="2"/>
      </rPr>
      <t xml:space="preserve">後提示為「期初庫存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對帳單需要 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85.039255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914.960745 </t>
    </r>
    <r>
      <rPr>
        <sz val="10"/>
        <rFont val="Noto Sans CJK SC"/>
        <family val="2"/>
      </rPr>
      <t xml:space="preserve">股…」——千分位與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位小數與持倉表一致，</t>
    </r>
    <r>
      <rPr>
        <sz val="10"/>
        <rFont val="Arial"/>
        <family val="0"/>
        <charset val="1"/>
      </rPr>
      <t xml:space="preserve">914.960745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1,000−85.039255 </t>
    </r>
    <r>
      <rPr>
        <sz val="10"/>
        <rFont val="Noto Sans CJK SC"/>
        <family val="2"/>
      </rPr>
      <t xml:space="preserve">相符，排除②（非字串截斷：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有千分位）
定位：</t>
    </r>
    <r>
      <rPr>
        <sz val="10"/>
        <rFont val="Arial"/>
        <family val="0"/>
        <charset val="1"/>
      </rPr>
      <t xml:space="preserve">broker-import.js fmtShares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fmtShares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String(v)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⚠ </t>
    </r>
    <r>
      <rPr>
        <sz val="10"/>
        <rFont val="Noto Sans CJK SC"/>
        <family val="2"/>
      </rPr>
      <t xml:space="preserve">需要你補的資料（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）這些欄位匯出檔本身沒有寫，系統不會用猜的填 —— 猜出來的比例或成本會安靜地算錯，而且畫面上看起來完全正常。留白就是不匯入那一列。期初庫存　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　對帳單需要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2025-12-31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85.039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</si>
  <si>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提示數字已格式化且相減正確；未寫入，</t>
    </r>
    <r>
      <rPr>
        <sz val="10"/>
        <rFont val="Arial"/>
        <family val="0"/>
        <charset val="1"/>
      </rPr>
      <t xml:space="preserve">cmp R3_START </t>
    </r>
    <r>
      <rPr>
        <sz val="10"/>
        <rFont val="Noto Sans CJK SC"/>
        <family val="2"/>
      </rPr>
      <t xml:space="preserve">帳本六段相同（僅額度差為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解析）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</si>
  <si>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裁定實作：刪除分拆時一併移除它寫入、且之後未被正式報價覆蓋的子公司起始價；不可移除時在刪除框與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說明原因。</t>
    </r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</si>
  <si>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</si>
  <si>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r>
      <rPr>
        <sz val="10"/>
        <rFont val="Noto Sans CJK SC"/>
        <family val="2"/>
      </rPr>
      <t xml:space="preserve">沒有守門。新增契約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則＋</t>
    </r>
    <r>
      <rPr>
        <sz val="10"/>
        <rFont val="Arial"/>
        <family val="0"/>
        <charset val="1"/>
      </rPr>
      <t xml:space="preserve">e2e 1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</si>
  <si>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pricing/seed.py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仍是價格列唯一寫入者）：</t>
    </r>
    <r>
      <rPr>
        <sz val="10"/>
        <rFont val="Arial"/>
        <family val="0"/>
        <charset val="1"/>
      </rPr>
      <t xml:space="preserve">write_seed_price</t>
    </r>
    <r>
      <rPr>
        <sz val="10"/>
        <rFont val="Noto Sans CJK SC"/>
        <family val="2"/>
      </rPr>
      <t xml:space="preserve">（以簽章 </t>
    </r>
    <r>
      <rPr>
        <sz val="10"/>
        <rFont val="Arial"/>
        <family val="0"/>
        <charset val="1"/>
      </rPr>
      <t xml:space="preserve">source='manual'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＝行動日 </t>
    </r>
    <r>
      <rPr>
        <sz val="10"/>
        <rFont val="Arial"/>
        <family val="0"/>
        <charset val="1"/>
      </rPr>
      <t xml:space="preserve">00:00 </t>
    </r>
    <r>
      <rPr>
        <sz val="10"/>
        <rFont val="Noto Sans CJK SC"/>
        <family val="2"/>
      </rPr>
      <t xml:space="preserve">寫入）、</t>
    </r>
    <r>
      <rPr>
        <sz val="10"/>
        <rFont val="Arial"/>
        <family val="0"/>
        <charset val="1"/>
      </rPr>
      <t xml:space="preserve">pending_seed_removal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remove_seed_price</t>
    </r>
    <r>
      <rPr>
        <sz val="10"/>
        <rFont val="Noto Sans CJK SC"/>
        <family val="2"/>
      </rPr>
      <t xml:space="preserve">（併入刪除交易）。供應商寫入不會產生這個簽章，同日正式報價會同時覆蓋兩欄，所以可由價格列本身判定「是它寫的、且未被覆蓋」，也涵蓋修正前寫入的列。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（單筆、整組、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批次復原共用）綁定：依整組判定後移除；列表回 </t>
    </r>
    <r>
      <rPr>
        <sz val="10"/>
        <rFont val="Arial"/>
        <family val="0"/>
        <charset val="1"/>
      </rPr>
      <t xml:space="preserve">child_price_restore</t>
    </r>
    <r>
      <rPr>
        <sz val="10"/>
        <rFont val="Noto Sans CJK SC"/>
        <family val="2"/>
      </rPr>
      <t xml:space="preserve">，刪除回 </t>
    </r>
    <r>
      <rPr>
        <sz val="10"/>
        <rFont val="Arial"/>
        <family val="0"/>
        <charset val="1"/>
      </rPr>
      <t xml:space="preserve">child_price_removed</t>
    </r>
    <r>
      <rPr>
        <sz val="10"/>
        <rFont val="Noto Sans CJK SC"/>
        <family val="2"/>
      </rPr>
      <t xml:space="preserve">，前端確認框與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比照目標價／權重的「條件可逆」說明。</t>
    </r>
  </si>
  <si>
    <r>
      <rPr>
        <sz val="10"/>
        <rFont val="Noto Sans CJK SC"/>
        <family val="2"/>
      </rPr>
      <t xml:space="preserve">刪除時要還原的副作用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（子公司起始價）／已同源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（目標價 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、目標權重、重組費 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（自動註冊的子公司標的：屬登錄簿設定、可能被其他列引用，裁定未涵蓋）；刪除路徑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</si>
  <si>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tests/contract/test_def040_spinoff_delete_takes_its_seed_price.py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。變異：只判定不刪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False is True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[False] == [True]</t>
    </r>
    <r>
      <rPr>
        <sz val="10"/>
        <rFont val="Noto Sans CJK SC"/>
        <family val="2"/>
      </rPr>
      <t xml:space="preserve">」）；確認框不讀承諾 → 「</t>
    </r>
    <r>
      <rPr>
        <sz val="10"/>
        <rFont val="Arial"/>
        <family val="0"/>
        <charset val="1"/>
      </rPr>
      <t xml:space="preserve">expected to contain text '</t>
    </r>
    <r>
      <rPr>
        <sz val="10"/>
        <rFont val="Noto Sans CJK SC"/>
        <family val="2"/>
      </rPr>
      <t xml:space="preserve">子公司起始價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</si>
  <si>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真實瀏覽器：公司行動 › 原持股不變另得新股（分拆）台灣券商 </t>
    </r>
    <r>
      <rPr>
        <sz val="10"/>
        <rFont val="Arial"/>
        <family val="0"/>
        <charset val="1"/>
      </rPr>
      <t xml:space="preserve">2884 → 2882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2026-09-20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當日無報價）、每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股、成本分攤 </t>
    </r>
    <r>
      <rPr>
        <sz val="10"/>
        <rFont val="Arial"/>
        <family val="0"/>
        <charset val="1"/>
      </rPr>
      <t xml:space="preserve">0.1</t>
    </r>
    <r>
      <rPr>
        <sz val="10"/>
        <rFont val="Noto Sans CJK SC"/>
        <family val="2"/>
      </rPr>
      <t xml:space="preserve">、子公司起始價 </t>
    </r>
    <r>
      <rPr>
        <sz val="10"/>
        <rFont val="Arial"/>
        <family val="0"/>
        <charset val="1"/>
      </rPr>
      <t xml:space="preserve">30 → </t>
    </r>
    <r>
      <rPr>
        <sz val="10"/>
        <rFont val="Noto Sans CJK SC"/>
        <family val="2"/>
      </rPr>
      <t xml:space="preserve">登錄 → 讀 </t>
    </r>
    <r>
      <rPr>
        <sz val="10"/>
        <rFont val="Arial"/>
        <family val="0"/>
        <charset val="1"/>
      </rPr>
      <t xml:space="preserve">/api/symbol/2882/detail </t>
    </r>
    <r>
      <rPr>
        <sz val="10"/>
        <rFont val="Noto Sans CJK SC"/>
        <family val="2"/>
      </rPr>
      <t xml:space="preserve">價格序列 → 刪除；另於本機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TestClient </t>
    </r>
    <r>
      <rPr>
        <sz val="10"/>
        <rFont val="Noto Sans CJK SC"/>
        <family val="2"/>
      </rPr>
      <t xml:space="preserve">走真實路由抽驗「子公司當日已有正式報價」的情形</t>
    </r>
  </si>
  <si>
    <r>
      <rPr>
        <sz val="10"/>
        <rFont val="Noto Sans CJK SC"/>
        <family val="2"/>
      </rPr>
      <t xml:space="preserve">觀察：黑箱正常路徑通過——登錄 </t>
    </r>
    <r>
      <rPr>
        <sz val="10"/>
        <rFont val="Arial"/>
        <family val="0"/>
        <charset val="1"/>
      </rPr>
      <t xml:space="preserve">201 child_priced 2882</t>
    </r>
    <r>
      <rPr>
        <sz val="10"/>
        <rFont val="Noto Sans CJK SC"/>
        <family val="2"/>
      </rPr>
      <t xml:space="preserve">，價格序列多出 </t>
    </r>
    <r>
      <rPr>
        <sz val="10"/>
        <rFont val="Arial"/>
        <family val="0"/>
        <charset val="1"/>
      </rPr>
      <t xml:space="preserve">2026-09-20 close 30</t>
    </r>
    <r>
      <rPr>
        <sz val="10"/>
        <rFont val="Noto Sans CJK SC"/>
        <family val="2"/>
      </rPr>
      <t xml:space="preserve">；刪除框「登錄時寫入的子公司起始價（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2026-09-20</t>
    </r>
    <r>
      <rPr>
        <sz val="10"/>
        <rFont val="Noto Sans CJK SC"/>
        <family val="2"/>
      </rPr>
      <t xml:space="preserve">）尚未被正式報價覆蓋，會一併移除」，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child_price_removed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restored true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價格序列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點與登錄前逐字相同，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。抽驗同類：子公司在行動日「已經有」正式報價時
假設：①寫入起始價時跳過或保留既有正式報價；②直接覆蓋，刪除時整列刪掉
排除：本機探測（</t>
    </r>
    <r>
      <rPr>
        <sz val="10"/>
        <rFont val="Arial"/>
        <family val="0"/>
        <charset val="1"/>
      </rPr>
      <t xml:space="preserve">tests/contract </t>
    </r>
    <r>
      <rPr>
        <sz val="10"/>
        <rFont val="Noto Sans CJK SC"/>
        <family val="2"/>
      </rPr>
      <t xml:space="preserve">相同 </t>
    </r>
    <r>
      <rPr>
        <sz val="10"/>
        <rFont val="Arial"/>
        <family val="0"/>
        <charset val="1"/>
      </rPr>
      <t xml:space="preserve">fixture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CHLD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2026-03-16 </t>
    </r>
    <r>
      <rPr>
        <sz val="10"/>
        <rFont val="Noto Sans CJK SC"/>
        <family val="2"/>
      </rPr>
      <t xml:space="preserve">先有 </t>
    </r>
    <r>
      <rPr>
        <sz val="10"/>
        <rFont val="Arial"/>
        <family val="0"/>
        <charset val="1"/>
      </rPr>
      <t xml:space="preserve">yfinance 48.70</t>
    </r>
    <r>
      <rPr>
        <sz val="10"/>
        <rFont val="Noto Sans CJK SC"/>
        <family val="2"/>
      </rPr>
      <t xml:space="preserve">）→ 登錄分拆並填 </t>
    </r>
    <r>
      <rPr>
        <sz val="10"/>
        <rFont val="Arial"/>
        <family val="0"/>
        <charset val="1"/>
      </rPr>
      <t xml:space="preserve">50.00 → </t>
    </r>
    <r>
      <rPr>
        <sz val="10"/>
        <rFont val="Noto Sans CJK SC"/>
        <family val="2"/>
      </rPr>
      <t xml:space="preserve">該列變 </t>
    </r>
    <r>
      <rPr>
        <sz val="10"/>
        <rFont val="Arial"/>
        <family val="0"/>
        <charset val="1"/>
      </rPr>
      <t xml:space="preserve">{close 50.00, source manual}</t>
    </r>
    <r>
      <rPr>
        <sz val="10"/>
        <rFont val="Noto Sans CJK SC"/>
        <family val="2"/>
      </rPr>
      <t xml:space="preserve">（原報價被覆蓋）→ 列表承諾 </t>
    </r>
    <r>
      <rPr>
        <sz val="10"/>
        <rFont val="Arial"/>
        <family val="0"/>
        <charset val="1"/>
      </rPr>
      <t xml:space="preserve">restorable true → </t>
    </r>
    <r>
      <rPr>
        <sz val="10"/>
        <rFont val="Noto Sans CJK SC"/>
        <family val="2"/>
      </rPr>
      <t xml:space="preserve">刪除回 </t>
    </r>
    <r>
      <rPr>
        <sz val="10"/>
        <rFont val="Arial"/>
        <family val="0"/>
        <charset val="1"/>
      </rPr>
      <t xml:space="preserve">restored true → </t>
    </r>
    <r>
      <rPr>
        <sz val="10"/>
        <rFont val="Noto Sans CJK SC"/>
        <family val="2"/>
      </rPr>
      <t xml:space="preserve">該日價格列不存在（</t>
    </r>
    <r>
      <rPr>
        <sz val="10"/>
        <rFont val="Arial"/>
        <family val="0"/>
        <charset val="1"/>
      </rPr>
      <t xml:space="preserve">48.70 </t>
    </r>
    <r>
      <rPr>
        <sz val="10"/>
        <rFont val="Noto Sans CJK SC"/>
        <family val="2"/>
      </rPr>
      <t xml:space="preserve">永久遺失），排除①
定位：</t>
    </r>
    <r>
      <rPr>
        <sz val="10"/>
        <rFont val="Arial"/>
        <family val="0"/>
        <charset val="1"/>
      </rPr>
      <t xml:space="preserve">portfolio_dash/pricing/seed.py 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ON CONFLICT </t>
    </r>
    <r>
      <rPr>
        <sz val="10"/>
        <rFont val="Noto Sans CJK SC"/>
        <family val="2"/>
      </rPr>
      <t xml:space="preserve">覆蓋同日正式報價，且沒有保存被覆蓋的原值；</t>
    </r>
    <r>
      <rPr>
        <sz val="10"/>
        <rFont val="Arial"/>
        <family val="0"/>
        <charset val="1"/>
      </rPr>
      <t xml:space="preserve">remove_seed_price </t>
    </r>
    <r>
      <rPr>
        <sz val="10"/>
        <rFont val="Noto Sans CJK SC"/>
        <family val="2"/>
      </rPr>
      <t xml:space="preserve">只判斷「現在是不是種子」
判定：部分通過——手冊 </t>
    </r>
    <r>
      <rPr>
        <sz val="10"/>
        <rFont val="Arial"/>
        <family val="0"/>
        <charset val="1"/>
      </rPr>
      <t xml:space="preserve">v3.1 D-10</t>
    </r>
    <r>
      <rPr>
        <sz val="10"/>
        <rFont val="Noto Sans CJK SC"/>
        <family val="2"/>
      </rPr>
      <t xml:space="preserve">「子公司起始價全部回到行動前的狀態，逐位元比對」在子公司當日已有報價時不成立（刪除後少一筆正式報價，框內卻說會移除起始價、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說已還原）。為免銷毀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真實報價，此情形只在本機重現、未在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執行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remove_seed_price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改成 </t>
    </r>
    <r>
      <rPr>
        <sz val="10"/>
        <rFont val="Arial"/>
        <family val="0"/>
        <charset val="1"/>
      </rPr>
      <t xml:space="preserve">SELECT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the seed price outlived the action that wrote it</t>
    </r>
    <r>
      <rPr>
        <sz val="10"/>
        <rFont val="Noto Sans CJK SC"/>
        <family val="2"/>
      </rPr>
      <t xml:space="preserve">），還原後通過</t>
    </r>
  </si>
  <si>
    <t xml:space="preserve">正常路徑通過；「當日已有正式報價」時存檔覆蓋、刪除後原報價遺失（本機重現）</t>
  </si>
  <si>
    <r>
      <rPr>
        <sz val="10"/>
        <rFont val="Noto Sans CJK SC"/>
        <family val="2"/>
      </rPr>
      <t xml:space="preserve">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</si>
  <si>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裁定實作：預警觸發的持倉提點只派發持有中的標的。</t>
    </r>
  </si>
  <si>
    <t xml:space="preserve">portfolio_dash/llm_insight/alerts_bridge.py:375 `for it in subscribers:`</t>
  </si>
  <si>
    <r>
      <rPr>
        <sz val="10"/>
        <rFont val="Noto Sans CJK SC"/>
        <family val="2"/>
      </rPr>
      <t xml:space="preserve">沒有守門；反而有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個測試在空帳本下派發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的卡，把「未持有也產卡」釘成正確（</t>
    </r>
    <r>
      <rPr>
        <sz val="10"/>
        <rFont val="Arial"/>
        <family val="0"/>
        <charset val="1"/>
      </rPr>
      <t xml:space="preserve">test_alert_scan.py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test_def037_alert_scope_dispatch.py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test_alerts_bridge.py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test_pipeline_hub_api.py</t>
    </r>
    <r>
      <rPr>
        <sz val="10"/>
        <rFont val="Noto Sans CJK SC"/>
        <family val="2"/>
      </rPr>
      <t xml:space="preserve">）。持倉參數改為必填、無預設值（架構規則注入義務：漏綁即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檔已明確綁定。</t>
    </r>
  </si>
  <si>
    <r>
      <rPr>
        <sz val="10"/>
        <rFont val="Noto Sans CJK SC"/>
        <family val="2"/>
      </rPr>
      <t xml:space="preserve">在唯一派發點 </t>
    </r>
    <r>
      <rPr>
        <sz val="10"/>
        <rFont val="Arial"/>
        <family val="0"/>
        <charset val="1"/>
      </rPr>
      <t xml:space="preserve">dispatch_alert_events_ex </t>
    </r>
    <r>
      <rPr>
        <sz val="10"/>
        <rFont val="Noto Sans CJK SC"/>
        <family val="2"/>
      </rPr>
      <t xml:space="preserve">加必填 </t>
    </r>
    <r>
      <rPr>
        <sz val="10"/>
        <rFont val="Arial"/>
        <family val="0"/>
        <charset val="1"/>
      </rPr>
      <t xml:space="preserve">held_symbols</t>
    </r>
    <r>
      <rPr>
        <sz val="10"/>
        <rFont val="Noto Sans CJK SC"/>
        <family val="2"/>
      </rPr>
      <t xml:space="preserve">：個股預警的標的不在持有集合 → 標記已消化、不產卡，預警事件本身仍留在預警清單／鈴鐺／推播；執行明細寫「略過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條觀察標的預警（未持有，不產卡）：…」。持有＝計算後帳本（</t>
    </r>
    <r>
      <rPr>
        <sz val="10"/>
        <rFont val="Arial"/>
        <family val="0"/>
        <charset val="1"/>
      </rPr>
      <t xml:space="preserve">build_dashboard holdings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shares ≠ 0</t>
    </r>
    <r>
      <rPr>
        <sz val="10"/>
        <rFont val="Noto Sans CJK SC"/>
        <family val="2"/>
      </rPr>
      <t xml:space="preserve">，跨帳戶；宣告放空也算持有），不另寫 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重算。讀不到持倉時該批預警不消化、下次掃描重試。</t>
    </r>
    <r>
      <rPr>
        <sz val="10"/>
        <rFont val="Arial"/>
        <family val="0"/>
        <charset val="1"/>
      </rPr>
      <t xml:space="preserve">scheduler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register_alert_held_fn </t>
    </r>
    <r>
      <rPr>
        <sz val="10"/>
        <rFont val="Noto Sans CJK SC"/>
        <family val="2"/>
      </rPr>
      <t xml:space="preserve">注入，</t>
    </r>
    <r>
      <rPr>
        <sz val="10"/>
        <rFont val="Arial"/>
        <family val="0"/>
        <charset val="1"/>
      </rPr>
      <t xml:space="preserve">app </t>
    </r>
    <r>
      <rPr>
        <sz val="10"/>
        <rFont val="Noto Sans CJK SC"/>
        <family val="2"/>
      </rPr>
      <t xml:space="preserve">啟動時註冊。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</si>
  <si>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mode:custom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mode:all_registered</t>
    </r>
    <r>
      <rPr>
        <sz val="10"/>
        <rFont val="Noto Sans CJK SC"/>
        <family val="2"/>
      </rPr>
      <t xml:space="preserve">：使用者明示納入觀察標的）；另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mode:all </t>
    </r>
    <r>
      <rPr>
        <sz val="10"/>
        <rFont val="Noto Sans CJK SC"/>
        <family val="2"/>
      </rPr>
      <t xml:space="preserve">與其草稿預檢）原本就只取持倉，改用同一個持有定義；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處不適用（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觀察「已封存標的仍被納入」：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處，列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</si>
  <si>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tests/scheduler/test_def041_alert_cards_only_for_held.py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）；修改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個既有測試檔綁定持倉。變異：拿掉持有判斷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['1234','2884','SPCX',None] == ['2884',None]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app </t>
    </r>
    <r>
      <rPr>
        <sz val="10"/>
        <rFont val="Noto Sans CJK SC"/>
        <family val="2"/>
      </rPr>
      <t xml:space="preserve">沒註冊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None is &lt;function held_symbols_for_alerts…&gt;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</si>
  <si>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真實瀏覽器：系統設定 ›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#185</t>
    </r>
    <r>
      <rPr>
        <sz val="10"/>
        <rFont val="Noto Sans CJK SC"/>
        <family val="2"/>
      </rPr>
      <t xml:space="preserve">，距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派發已逾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小時去抖）→ 讀詳情、派發的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與新卡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</si>
  <si>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時只在觀察清單的標的（</t>
    </r>
    <r>
      <rPr>
        <sz val="10"/>
        <rFont val="Arial"/>
        <family val="0"/>
        <charset val="1"/>
      </rPr>
      <t xml:space="preserve">1234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2308…</t>
    </r>
    <r>
      <rPr>
        <sz val="10"/>
        <rFont val="Noto Sans CJK SC"/>
        <family val="2"/>
      </rPr>
      <t xml:space="preserve">）因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產「持倉提點」卡
假設：①派發前以持有集合過濾；②只是 </t>
    </r>
    <r>
      <rPr>
        <sz val="10"/>
        <rFont val="Arial"/>
        <family val="0"/>
        <charset val="1"/>
      </rPr>
      <t xml:space="preserve">24h </t>
    </r>
    <r>
      <rPr>
        <sz val="10"/>
        <rFont val="Noto Sans CJK SC"/>
        <family val="2"/>
      </rPr>
      <t xml:space="preserve">去抖暫時擋住
排除：本次已超過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派發的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小時，若無過濾這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條會再派發；詳情「</t>
    </r>
    <r>
      <rPr>
        <sz val="10"/>
        <rFont val="Arial"/>
        <family val="0"/>
        <charset val="1"/>
      </rPr>
      <t xml:space="preserve">18 alert(s)…, 7 dispatched…</t>
    </r>
    <r>
      <rPr>
        <sz val="10"/>
        <rFont val="Noto Sans CJK SC"/>
        <family val="2"/>
      </rPr>
      <t xml:space="preserve">；略過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條觀察標的預警（未持有，不產卡）：</t>
    </r>
    <r>
      <rPr>
        <sz val="10"/>
        <rFont val="Arial"/>
        <family val="0"/>
        <charset val="1"/>
      </rPr>
      <t xml:space="preserve">drawdown_from_peak 1234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SPCX</t>
    </r>
    <r>
      <rPr>
        <sz val="10"/>
        <rFont val="Noto Sans CJK SC"/>
        <family val="2"/>
      </rPr>
      <t xml:space="preserve">」；實際派發 </t>
    </r>
    <r>
      <rPr>
        <sz val="10"/>
        <rFont val="Arial"/>
        <family val="0"/>
        <charset val="1"/>
      </rPr>
      <t xml:space="preserve">insight:9 run #186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single_weight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），逐一比對儀表板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全部為持有中，排除②；觀察標的預警仍列在預警清單。花費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卡合計 </t>
    </r>
    <r>
      <rPr>
        <sz val="10"/>
        <rFont val="Arial"/>
        <family val="0"/>
        <charset val="1"/>
      </rPr>
      <t xml:space="preserve">0.0050487</t>
    </r>
    <r>
      <rPr>
        <sz val="10"/>
        <rFont val="Noto Sans CJK SC"/>
        <family val="2"/>
      </rPr>
      <t xml:space="preserve">＝額度 </t>
    </r>
    <r>
      <rPr>
        <sz val="10"/>
        <rFont val="Arial"/>
        <family val="0"/>
        <charset val="1"/>
      </rPr>
      <t xml:space="preserve">3.2678872→3.2628385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alerts_bridge.dispatch_alert_events_ex(held_symbols)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`if fired_symbol not in held:`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`if False:`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['1234', '2884', 'SPCX', None] == ['2884', None]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</si>
  <si>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觀察標的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條不產卡、持有標的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條產卡；本案花費 </t>
    </r>
    <r>
      <rPr>
        <sz val="10"/>
        <rFont val="Arial"/>
        <family val="0"/>
        <charset val="1"/>
      </rPr>
      <t xml:space="preserve">$0.0050487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</si>
  <si>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</si>
  <si>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r>
      <rPr>
        <sz val="10"/>
        <rFont val="Noto Sans CJK SC"/>
        <family val="2"/>
      </rPr>
      <t xml:space="preserve">同意驗證者。乾跑預檢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本身對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已回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；錯的是觸發節點，以及由它推出的頁首「需注意」計數。</t>
    </r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</si>
  <si>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</si>
  <si>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</si>
  <si>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</si>
  <si>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處本來就考慮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：乾跑 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篩選、抽屜觸發卡、精靈摘要、</t>
    </r>
    <r>
      <rPr>
        <sz val="10"/>
        <rFont val="Arial"/>
        <family val="0"/>
        <charset val="1"/>
      </rPr>
      <t xml:space="preserve">insights.html triggerChip</t>
    </r>
    <r>
      <rPr>
        <sz val="10"/>
        <rFont val="Noto Sans CJK SC"/>
        <family val="2"/>
      </rPr>
      <t xml:space="preserve">；排程中心只列排程工作不做觸發分類）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</si>
  <si>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觸發節點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且與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同義；一般未排程任務仍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（反證）；健康的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任務整體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）。變異（令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分支失效）→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'warn' == 'ok'</t>
    </r>
    <r>
      <rPr>
        <sz val="10"/>
        <rFont val="Noto Sans CJK SC"/>
        <family val="2"/>
      </rPr>
      <t xml:space="preserve">」，反證仍通過。還原後全過。</t>
    </r>
  </si>
  <si>
    <r>
      <rPr>
        <sz val="10"/>
        <rFont val="Noto Sans CJK SC"/>
        <family val="2"/>
      </rPr>
      <t xml:space="preserve">真實瀏覽器：洞察管線中心 → 「持倉提點」（預警觸發）任務卡的 ① 觸發節點與頁首任務狀態；</t>
    </r>
    <r>
      <rPr>
        <sz val="10"/>
        <rFont val="Arial"/>
        <family val="0"/>
        <charset val="1"/>
      </rPr>
      <t xml:space="preserve">/api/insight-tasks/status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</si>
  <si>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時預警觸發任務的觸發節點寫「未排程（手動） 不會自動執行」並算進需注意
假設：①依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判斷、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；②只改文字、</t>
    </r>
    <r>
      <rPr>
        <sz val="10"/>
        <rFont val="Arial"/>
        <family val="0"/>
        <charset val="1"/>
      </rPr>
      <t xml:space="preserve">level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warn
</t>
    </r>
    <r>
      <rPr>
        <sz val="10"/>
        <rFont val="Noto Sans CJK SC"/>
        <family val="2"/>
      </rPr>
      <t xml:space="preserve">排除：卡片 ①「預警觸發 風險預警命中時自動執行」；頁首「任務狀態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個需注意」（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），排除②；手動任務（持倉週報、個股健檢）仍為「未排程（手動） 不會自動執行」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（反證）。同一輪 </t>
    </r>
    <r>
      <rPr>
        <sz val="10"/>
        <rFont val="Arial"/>
        <family val="0"/>
        <charset val="1"/>
      </rPr>
      <t xml:space="preserve">alert_scan #185 </t>
    </r>
    <r>
      <rPr>
        <sz val="10"/>
        <rFont val="Noto Sans CJK SC"/>
        <family val="2"/>
      </rPr>
      <t xml:space="preserve">確實自動派發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
定位：</t>
    </r>
    <r>
      <rPr>
        <sz val="10"/>
        <rFont val="Arial"/>
        <family val="0"/>
        <charset val="1"/>
      </rPr>
      <t xml:space="preserve">pipeline_status._trigger </t>
    </r>
    <r>
      <rPr>
        <sz val="10"/>
        <rFont val="Noto Sans CJK SC"/>
        <family val="2"/>
      </rPr>
      <t xml:space="preserve">先判 </t>
    </r>
    <r>
      <rPr>
        <sz val="10"/>
        <rFont val="Arial"/>
        <family val="0"/>
        <charset val="1"/>
      </rPr>
      <t xml:space="preserve">scope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分支失效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{'lv': 'warn', 'sub': '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', 'text': '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'}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</si>
  <si>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觸發節點正確、需注意 </t>
    </r>
    <r>
      <rPr>
        <sz val="10"/>
        <rFont val="Arial"/>
        <family val="0"/>
        <charset val="1"/>
      </rPr>
      <t xml:space="preserve">3→2</t>
    </r>
  </si>
  <si>
    <r>
      <rPr>
        <sz val="10"/>
        <rFont val="Noto Sans CJK SC"/>
        <family val="2"/>
      </rPr>
      <t xml:space="preserve">新發現（另開 </t>
    </r>
    <r>
      <rPr>
        <sz val="10"/>
        <rFont val="Arial"/>
        <family val="0"/>
        <charset val="1"/>
      </rPr>
      <t xml:space="preserve">DEF-058</t>
    </r>
    <r>
      <rPr>
        <sz val="10"/>
        <rFont val="Noto Sans CJK SC"/>
        <family val="2"/>
      </rPr>
      <t xml:space="preserve">）：同頁「最近批次 </t>
    </r>
    <r>
      <rPr>
        <sz val="10"/>
        <rFont val="Arial"/>
        <family val="0"/>
        <charset val="1"/>
      </rPr>
      <t xml:space="preserve">2026-09-24 21:40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$0.001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張卡來自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，合計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，但成本只取最後一個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0.0005979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⑧（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停用時預警觸發任務改顯示警告）見本輪裁定</t>
    </r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</si>
  <si>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</si>
  <si>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r>
      <rPr>
        <sz val="10"/>
        <rFont val="Noto Sans CJK SC"/>
        <family val="2"/>
      </rPr>
      <t xml:space="preserve">同意驗證者。帳戶記號縫只在有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的頁面生效，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（排程中心「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」）。</t>
    </r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</si>
  <si>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</si>
  <si>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r>
      <rPr>
        <sz val="10"/>
        <rFont val="Noto Sans CJK SC"/>
        <family val="2"/>
      </rPr>
      <t xml:space="preserve">沒有守門檢查「用到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的頁面都載入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測試只在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沙盒同時載入兩個檔（而且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在前），從沒看過真正的頁面。補：①</t>
    </r>
    <r>
      <rPr>
        <sz val="10"/>
        <rFont val="Arial"/>
        <family val="0"/>
        <charset val="1"/>
      </rPr>
      <t xml:space="preserve">tests/contract/test_names_js_before_api_js.py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HTMLParser </t>
    </r>
    <r>
      <rPr>
        <sz val="10"/>
        <rFont val="Noto Sans CJK SC"/>
        <family val="2"/>
      </rPr>
      <t xml:space="preserve">讀每頁 </t>
    </r>
    <r>
      <rPr>
        <sz val="10"/>
        <rFont val="Arial"/>
        <family val="0"/>
        <charset val="1"/>
      </rPr>
      <t xml:space="preserve">&lt;script src&gt; </t>
    </r>
    <r>
      <rPr>
        <sz val="10"/>
        <rFont val="Noto Sans CJK SC"/>
        <family val="2"/>
      </rPr>
      <t xml:space="preserve">順序，凡載入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shell.js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會動態注入 </t>
    </r>
    <r>
      <rPr>
        <sz val="10"/>
        <rFont val="Arial"/>
        <family val="0"/>
        <charset val="1"/>
      </rPr>
      <t xml:space="preserve">api.js</t>
    </r>
    <r>
      <rPr>
        <sz val="10"/>
        <rFont val="Noto Sans CJK SC"/>
        <family val="2"/>
      </rPr>
      <t xml:space="preserve">）的頁面，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必須存在且排在前面；②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頁以 </t>
    </r>
    <r>
      <rPr>
        <sz val="10"/>
        <rFont val="Arial"/>
        <family val="0"/>
        <charset val="1"/>
      </rPr>
      <t xml:space="preserve">page.route </t>
    </r>
    <r>
      <rPr>
        <sz val="10"/>
        <rFont val="Noto Sans CJK SC"/>
        <family val="2"/>
      </rPr>
      <t xml:space="preserve">回應含記號的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，頁面拿到的必須是中文名；③</t>
    </r>
    <r>
      <rPr>
        <sz val="10"/>
        <rFont val="Arial"/>
        <family val="0"/>
        <charset val="1"/>
      </rPr>
      <t xml:space="preserve">seam harness </t>
    </r>
    <r>
      <rPr>
        <sz val="10"/>
        <rFont val="Noto Sans CJK SC"/>
        <family val="2"/>
      </rPr>
      <t xml:space="preserve">改成頁面實際的載入順序，並斷言缺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</si>
  <si>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</si>
  <si>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頁順序在後、</t>
    </r>
    <r>
      <rPr>
        <sz val="10"/>
        <rFont val="Arial"/>
        <family val="0"/>
        <charset val="1"/>
      </rPr>
      <t xml:space="preserve">login </t>
    </r>
    <r>
      <rPr>
        <sz val="10"/>
        <rFont val="Noto Sans CJK SC"/>
        <family val="2"/>
      </rPr>
      <t xml:space="preserve">缺）；另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頁是無 </t>
    </r>
    <r>
      <rPr>
        <sz val="10"/>
        <rFont val="Arial"/>
        <family val="0"/>
        <charset val="1"/>
      </rPr>
      <t xml:space="preserve">script </t>
    </r>
    <r>
      <rPr>
        <sz val="10"/>
        <rFont val="Noto Sans CJK SC"/>
        <family val="2"/>
      </rPr>
      <t xml:space="preserve">的轉址頁，不在類別內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</si>
  <si>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tests/contract/test_names_js_before_api_js.py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tests/e2e/test_def044_account_tokens_every_page_flow.py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tests/contract/test_account_ref_seam.py</t>
    </r>
    <r>
      <rPr>
        <sz val="10"/>
        <rFont val="Noto Sans CJK SC"/>
        <family val="2"/>
      </rPr>
      <t xml:space="preserve">。變異（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頁換回 </t>
    </r>
    <r>
      <rPr>
        <sz val="10"/>
        <rFont val="Arial"/>
        <family val="0"/>
        <charset val="1"/>
      </rPr>
      <t xml:space="preserve">e6fd9f4 </t>
    </r>
    <r>
      <rPr>
        <sz val="10"/>
        <rFont val="Noto Sans CJK SC"/>
        <family val="2"/>
      </rPr>
      <t xml:space="preserve">版本）→ </t>
    </r>
    <r>
      <rPr>
        <sz val="10"/>
        <rFont val="Arial"/>
        <family val="0"/>
        <charset val="1"/>
      </rPr>
      <t xml:space="preserve">contract 11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degraded to raw ids on: data-center, insights, instruments, login, news, settings</t>
    </r>
    <r>
      <rPr>
        <sz val="10"/>
        <rFont val="Noto Sans CJK SC"/>
        <family val="2"/>
      </rPr>
      <t xml:space="preserve">」（例「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」）。還原後全過。</t>
    </r>
  </si>
  <si>
    <r>
      <rPr>
        <sz val="10"/>
        <rFont val="Noto Sans CJK SC"/>
        <family val="2"/>
      </rPr>
      <t xml:space="preserve">真實瀏覽器：系統設定 › 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詳情；逐頁讀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script </t>
    </r>
    <r>
      <rPr>
        <sz val="10"/>
        <rFont val="Noto Sans CJK SC"/>
        <family val="2"/>
      </rPr>
      <t xml:space="preserve">順序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</si>
  <si>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時排程中心顯示「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，記號退化成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
假設：①所有用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的頁面都在其前載入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；②只補 </t>
    </r>
    <r>
      <rPr>
        <sz val="10"/>
        <rFont val="Arial"/>
        <family val="0"/>
        <charset val="1"/>
      </rPr>
      <t xml:space="preserve">settings.html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API detail </t>
    </r>
    <r>
      <rPr>
        <sz val="10"/>
        <rFont val="Noto Sans CJK SC"/>
        <family val="2"/>
      </rPr>
      <t xml:space="preserve">仍為記號「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{account:moomoo_my}</t>
    </r>
    <r>
      <rPr>
        <sz val="10"/>
        <rFont val="Noto Sans CJK SC"/>
        <family val="2"/>
      </rPr>
      <t xml:space="preserve">」，畫面顯示「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index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pipeline-hub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login 11 </t>
    </r>
    <r>
      <rPr>
        <sz val="10"/>
        <rFont val="Noto Sans CJK SC"/>
        <family val="2"/>
      </rPr>
      <t xml:space="preserve">頁皆「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之前」，排除②
定位：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html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缺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console.error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names.js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settings.html reaches the API (api.js) and never loads names.js — account tokens would degrade to raw ids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</si>
  <si>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排程中心顯示中文帳戶名；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頁載入順序正確</t>
    </r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</si>
  <si>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</si>
  <si>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r>
      <rPr>
        <sz val="10"/>
        <rFont val="Noto Sans CJK SC"/>
        <family val="2"/>
      </rPr>
      <t xml:space="preserve">同意驗證者。同一類問題還出現在「現金收支明細報告」表頭「帳戶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）」，一併修。</t>
    </r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</si>
  <si>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</si>
  <si>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</si>
  <si>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</si>
  <si>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</si>
  <si>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掃描。變異（兩個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檔換回 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則失敗：「</t>
    </r>
    <r>
      <rPr>
        <sz val="10"/>
        <rFont val="Arial"/>
        <family val="0"/>
        <charset val="1"/>
      </rPr>
      <t xml:space="preserve">ledgers-report: prints the API label 'Charles Schwab'/'TW Broker'</t>
    </r>
    <r>
      <rPr>
        <sz val="10"/>
        <rFont val="Noto Sans CJK SC"/>
        <family val="2"/>
      </rPr>
      <t xml:space="preserve">」及 </t>
    </r>
    <r>
      <rPr>
        <sz val="10"/>
        <rFont val="Arial"/>
        <family val="0"/>
        <charset val="1"/>
      </rPr>
      <t xml:space="preserve">cash-statement-report </t>
    </r>
    <r>
      <rPr>
        <sz val="10"/>
        <rFont val="Noto Sans CJK SC"/>
        <family val="2"/>
      </rPr>
      <t xml:space="preserve">印原始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條；記號正向測試失敗；擴大後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掃描命中 </t>
    </r>
    <r>
      <rPr>
        <sz val="10"/>
        <rFont val="Arial"/>
        <family val="0"/>
        <charset val="1"/>
      </rPr>
      <t xml:space="preserve">cash_statement.py:_esc(account_id)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list_accounts→a.name [97,282]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ledgers_report.py [439]</t>
    </r>
    <r>
      <rPr>
        <sz val="10"/>
        <rFont val="Noto Sans CJK SC"/>
        <family val="2"/>
      </rPr>
      <t xml:space="preserve">。還原後全過。</t>
    </r>
  </si>
  <si>
    <r>
      <rPr>
        <sz val="10"/>
        <rFont val="Noto Sans CJK SC"/>
        <family val="2"/>
      </rPr>
      <t xml:space="preserve">真實瀏覽器：交易帳本 › ⎙匯出報告；資金管理 › 台灣券商 › ⎙匯出報告與 ⬇匯出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（皆攔截下載）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</si>
  <si>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時帳本報告帳戶欄為「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」
假設：①後端輸出記號、下載時由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解析；②只改其中一份報告
排除：</t>
    </r>
    <r>
      <rPr>
        <sz val="10"/>
        <rFont val="Arial"/>
        <family val="0"/>
        <charset val="1"/>
      </rPr>
      <t xml:space="preserve">ledger-report-20260924-2128.html</t>
    </r>
    <r>
      <rPr>
        <sz val="10"/>
        <rFont val="Noto Sans CJK SC"/>
        <family val="2"/>
      </rPr>
      <t xml:space="preserve">「台灣券商」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次，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{account:</t>
    </r>
    <r>
      <rPr>
        <sz val="10"/>
        <rFont val="Noto Sans CJK SC"/>
        <family val="2"/>
      </rPr>
      <t xml:space="preserve">／原始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cash-statement-tw_broker-all-…html </t>
    </r>
    <r>
      <rPr>
        <sz val="10"/>
        <rFont val="Noto Sans CJK SC"/>
        <family val="2"/>
      </rPr>
      <t xml:space="preserve">顯示「台灣券商」、原始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與英文名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，排除②。對帳級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只有頁尾「</t>
    </r>
    <r>
      <rPr>
        <sz val="10"/>
        <rFont val="Arial"/>
        <family val="0"/>
        <charset val="1"/>
      </rPr>
      <t xml:space="preserve"># account=tw_broker…</t>
    </r>
    <r>
      <rPr>
        <sz val="10"/>
        <rFont val="Noto Sans CJK SC"/>
        <family val="2"/>
      </rPr>
      <t xml:space="preserve">」機器註記（開發者白名單，屬機器可讀欄位，合理）
定位：</t>
    </r>
    <r>
      <rPr>
        <sz val="10"/>
        <rFont val="Arial"/>
        <family val="0"/>
        <charset val="1"/>
      </rPr>
      <t xml:space="preserve">ledgers_report.py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cash_statement.py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account_ref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_resolveBlobRefs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_acct_label </t>
    </r>
    <r>
      <rPr>
        <sz val="10"/>
        <rFont val="Noto Sans CJK SC"/>
        <family val="2"/>
      </rPr>
      <t xml:space="preserve">回傳原始 </t>
    </r>
    <r>
      <rPr>
        <sz val="10"/>
        <rFont val="Arial"/>
        <family val="0"/>
        <charset val="1"/>
      </rPr>
      <t xml:space="preserve">id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/api/export/ledgers-report {}: prints the bare id 'moomoo_my'</t>
    </r>
    <r>
      <rPr>
        <sz val="10"/>
        <rFont val="Noto Sans CJK SC"/>
        <family val="2"/>
      </rPr>
      <t xml:space="preserve">），還原後通過</t>
    </r>
  </si>
  <si>
    <t xml:space="preserve">兩份列印報告皆為中文顯示名</t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</si>
  <si>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裁定刪除。更正卡號：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symbol=moomoo_my </t>
    </r>
    <r>
      <rPr>
        <sz val="10"/>
        <rFont val="Noto Sans CJK SC"/>
        <family val="2"/>
      </rPr>
      <t xml:space="preserve">的錯卡是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交易商警示」，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為空）；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的正常預警卡（「玉山金</t>
    </r>
    <r>
      <rPr>
        <sz val="10"/>
        <rFont val="Arial"/>
        <family val="0"/>
        <charset val="1"/>
      </rPr>
      <t xml:space="preserve">(2884) - RSI</t>
    </r>
    <r>
      <rPr>
        <sz val="10"/>
        <rFont val="Noto Sans CJK SC"/>
        <family val="2"/>
      </rPr>
      <t xml:space="preserve">過熱警示」），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交接備註把卡號寫錯，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不刪。另有一張同根因的錯卡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交易暫停」），裁定只授權一張，列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決策。</t>
    </r>
  </si>
  <si>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前）</t>
    </r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</si>
  <si>
    <r>
      <rPr>
        <sz val="10"/>
        <rFont val="Noto Sans CJK SC"/>
        <family val="2"/>
      </rPr>
      <t xml:space="preserve">資料殘留，沒有程式守門可攔。新守門是清理腳本自己的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則測試，其中「卡片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是已註冊標的就拒絕」專門擋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這種卡號填錯。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</si>
  <si>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scripts/delete_insight_cards.py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必填（不存在就拒絕、絕不建檔）、</t>
    </r>
    <r>
      <rPr>
        <sz val="10"/>
        <rFont val="Arial"/>
        <family val="0"/>
        <charset val="1"/>
      </rPr>
      <t xml:space="preserve">--id </t>
    </r>
    <r>
      <rPr>
        <sz val="10"/>
        <rFont val="Noto Sans CJK SC"/>
        <family val="2"/>
      </rPr>
      <t xml:space="preserve">可重複、預設試跑、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</t>
    </r>
    <r>
      <rPr>
        <sz val="10"/>
        <rFont val="Arial"/>
        <family val="0"/>
        <charset val="1"/>
      </rPr>
      <t xml:space="preserve">--reason </t>
    </r>
    <r>
      <rPr>
        <sz val="10"/>
        <rFont val="Noto Sans CJK SC"/>
        <family val="2"/>
      </rPr>
      <t xml:space="preserve">寫入操作記錄；卡片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為已註冊標的時拒絕（除非 </t>
    </r>
    <r>
      <rPr>
        <sz val="10"/>
        <rFont val="Arial"/>
        <family val="0"/>
        <charset val="1"/>
      </rPr>
      <t xml:space="preserve">--allow-registered-symbol</t>
    </r>
    <r>
      <rPr>
        <sz val="10"/>
        <rFont val="Noto Sans CJK SC"/>
        <family val="2"/>
      </rPr>
      <t xml:space="preserve">）；依附表由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動態找出（含 </t>
    </r>
    <r>
      <rPr>
        <sz val="10"/>
        <rFont val="Arial"/>
        <family val="0"/>
        <charset val="1"/>
      </rPr>
      <t xml:space="preserve">insight_id </t>
    </r>
    <r>
      <rPr>
        <sz val="10"/>
        <rFont val="Noto Sans CJK SC"/>
        <family val="2"/>
      </rPr>
      <t xml:space="preserve">欄的表）；單一交易內每一列先整列寫入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）再刪，最後寫一筆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；失敗整批回滾；重跑為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。已於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</si>
  <si>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insight_id </t>
    </r>
    <r>
      <rPr>
        <sz val="10"/>
        <rFont val="Noto Sans CJK SC"/>
        <family val="2"/>
      </rPr>
      <t xml:space="preserve">欄的表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insight_evaluations</t>
    </r>
    <r>
      <rPr>
        <sz val="10"/>
        <rFont val="Noto Sans CJK SC"/>
        <family val="2"/>
      </rPr>
      <t xml:space="preserve">）／處理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；不以卡片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參照故不刪：</t>
    </r>
    <r>
      <rPr>
        <sz val="10"/>
        <rFont val="Arial"/>
        <family val="0"/>
        <charset val="1"/>
      </rPr>
      <t xml:space="preserve">alert_dispatch_log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llm_usage</t>
    </r>
    <r>
      <rPr>
        <sz val="10"/>
        <rFont val="Noto Sans CJK SC"/>
        <family val="2"/>
      </rPr>
      <t xml:space="preserve">（費用已實際發生）、</t>
    </r>
    <r>
      <rPr>
        <sz val="10"/>
        <rFont val="Arial"/>
        <family val="0"/>
        <charset val="1"/>
      </rPr>
      <t xml:space="preserve">job_runs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</si>
  <si>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tests/scripts/test_delete_insight_cards.py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，暫存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）。變異：拿掉已註冊標的防護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0 == 2</t>
    </r>
    <r>
      <rPr>
        <sz val="10"/>
        <rFont val="Noto Sans CJK SC"/>
        <family val="2"/>
      </rPr>
      <t xml:space="preserve">」；不寫稽核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0 == (0 + 3)</t>
    </r>
    <r>
      <rPr>
        <sz val="10"/>
        <rFont val="Noto Sans CJK SC"/>
        <family val="2"/>
      </rPr>
      <t xml:space="preserve">」；不刪依附列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3 == (3 - 2)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</si>
  <si>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195 </t>
    </r>
    <r>
      <rPr>
        <sz val="10"/>
        <rFont val="Noto Sans CJK SC"/>
        <family val="2"/>
      </rPr>
      <t xml:space="preserve">張（分頁），以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檢查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</si>
  <si>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交接要刪的錯卡
假設：①開發者刪的是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的錯卡；②刪錯成 </t>
    </r>
    <r>
      <rPr>
        <sz val="10"/>
        <rFont val="Arial"/>
        <family val="0"/>
        <charset val="1"/>
      </rPr>
      <t xml:space="preserve">#207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已不存在；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仍在且為正常的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預警卡「玉山金</t>
    </r>
    <r>
      <rPr>
        <sz val="10"/>
        <rFont val="Arial"/>
        <family val="0"/>
        <charset val="1"/>
      </rPr>
      <t xml:space="preserve">(2884) - RSI</t>
    </r>
    <r>
      <rPr>
        <sz val="10"/>
        <rFont val="Noto Sans CJK SC"/>
        <family val="2"/>
      </rPr>
      <t xml:space="preserve">過熱警示」，排除②——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驗證者交接寫「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」是驗證者的筆誤（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在持倉健診看到錯卡，卡號記錯），開發者更正為 </t>
    </r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正確，特此更正。全部卡片中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的只剩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交易暫停」，同一根因的更早一張）
定位：</t>
    </r>
    <r>
      <rPr>
        <sz val="10"/>
        <rFont val="Arial"/>
        <family val="0"/>
        <charset val="1"/>
      </rPr>
      <t xml:space="preserve">scripts/delete_insight_cards.py</t>
    </r>
    <r>
      <rPr>
        <sz val="10"/>
        <rFont val="Noto Sans CJK SC"/>
        <family val="2"/>
      </rPr>
      <t xml:space="preserve">（試跑／</t>
    </r>
    <r>
      <rPr>
        <sz val="10"/>
        <rFont val="Arial"/>
        <family val="0"/>
        <charset val="1"/>
      </rPr>
      <t xml:space="preserve">--apply</t>
    </r>
    <r>
      <rPr>
        <sz val="10"/>
        <rFont val="Noto Sans CJK SC"/>
        <family val="2"/>
      </rPr>
      <t xml:space="preserve">、先備份、稽核）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_audit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return</t>
    </r>
    <r>
      <rPr>
        <sz val="10"/>
        <rFont val="Noto Sans CJK SC"/>
        <family val="2"/>
      </rPr>
      <t xml:space="preserve">（不寫稽核）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0 == (0 + 3)</t>
    </r>
    <r>
      <rPr>
        <sz val="10"/>
        <rFont val="Noto Sans CJK SC"/>
        <family val="2"/>
      </rPr>
      <t xml:space="preserve">），還原後通過</t>
    </r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</si>
  <si>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</si>
  <si>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</si>
  <si>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裁定實作：來源回應成功但沒有配息紀錄不算失敗。錯在來源分類，收件匣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全都繼承了它。</t>
    </r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</si>
  <si>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</si>
  <si>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</si>
  <si>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</si>
  <si>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quote_latest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quote_history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fx_history 4</t>
    </r>
    <r>
      <rPr>
        <sz val="10"/>
        <rFont val="Noto Sans CJK SC"/>
        <family val="2"/>
      </rPr>
      <t xml:space="preserve">：已上市標的或匯率對，空回應就是抓取失敗；各快照 </t>
    </r>
    <r>
      <rPr>
        <sz val="10"/>
        <rFont val="Arial"/>
        <family val="0"/>
        <charset val="1"/>
      </rPr>
      <t xml:space="preserve">ingest </t>
    </r>
    <r>
      <rPr>
        <sz val="10"/>
        <rFont val="Noto Sans CJK SC"/>
        <family val="2"/>
      </rPr>
      <t xml:space="preserve">工作：只有例外才算失敗；</t>
    </r>
    <r>
      <rPr>
        <sz val="10"/>
        <rFont val="Arial"/>
        <family val="0"/>
        <charset val="1"/>
      </rPr>
      <t xml:space="preserve">news_daily</t>
    </r>
    <r>
      <rPr>
        <sz val="10"/>
        <rFont val="Noto Sans CJK SC"/>
        <family val="2"/>
      </rPr>
      <t xml:space="preserve">：只報數量；基準指數：只有例外才算失敗）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</si>
  <si>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）；改寫 </t>
    </r>
    <r>
      <rPr>
        <sz val="10"/>
        <rFont val="Arial"/>
        <family val="0"/>
        <charset val="1"/>
      </rPr>
      <t xml:space="preserve">test_def015_dividend_scan_names_failures.py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）。變異（空回應改回 </t>
    </r>
    <r>
      <rPr>
        <sz val="10"/>
        <rFont val="Arial"/>
        <family val="0"/>
        <charset val="1"/>
      </rPr>
      <t xml:space="preserve">failed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則失敗（新檔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＋改寫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['TSLA'] == []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refreshed["failed"] == []</t>
    </r>
    <r>
      <rPr>
        <sz val="10"/>
        <rFont val="Noto Sans CJK SC"/>
        <family val="2"/>
      </rPr>
      <t xml:space="preserve">」）。還原後全過。</t>
    </r>
  </si>
  <si>
    <t xml:space="preserve">真實瀏覽器：收件匣 › 待確認匯入 › 重新偵測（外部來源）</t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</si>
  <si>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時不配息的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被算成失敗、整次以警告色顯示
假設：①新增 </t>
    </r>
    <r>
      <rPr>
        <sz val="10"/>
        <rFont val="Arial"/>
        <family val="0"/>
        <charset val="1"/>
      </rPr>
      <t xml:space="preserve">empty </t>
    </r>
    <r>
      <rPr>
        <sz val="10"/>
        <rFont val="Noto Sans CJK SC"/>
        <family val="2"/>
      </rPr>
      <t xml:space="preserve">類、只有真失敗才警告；②只改文字
排除：</t>
    </r>
    <r>
      <rPr>
        <sz val="10"/>
        <rFont val="Arial"/>
        <family val="0"/>
        <charset val="1"/>
      </rPr>
      <t xml:space="preserve">GET /api/dividend-inbox?refresh=1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refreshed {updated 14, failed [], empty ["TSLA"], text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</t>
    </r>
    <r>
      <rPr>
        <sz val="10"/>
        <rFont val="Arial"/>
        <family val="0"/>
        <charset val="1"/>
      </rPr>
      <t xml:space="preserve">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 class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「✓ 偵測完成 …」（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偵測完成（部分標的失敗）」警告），狀態列同句、一般灰色，排除②。收件匣仍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
定位：</t>
    </r>
    <r>
      <rPr>
        <sz val="10"/>
        <rFont val="Arial"/>
        <family val="0"/>
        <charset val="1"/>
      </rPr>
      <t xml:space="preserve">pricing/registry fetch_dividends_explained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empty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`if answered:`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`if False:`</t>
    </r>
    <r>
      <rPr>
        <sz val="10"/>
        <rFont val="Noto Sans CJK SC"/>
        <family val="2"/>
      </rPr>
      <t xml:space="preserve">（空回應歸失敗）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assert (['TSLA'] == []</t>
    </r>
    <r>
      <rPr>
        <sz val="10"/>
        <rFont val="Noto Sans CJK SC"/>
        <family val="2"/>
      </rPr>
      <t xml:space="preserve">），還原後通過</t>
    </r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</si>
  <si>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</si>
  <si>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</si>
  <si>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裁定實作：草稿依帳本重播到交易日，顯示當時的持股與均價，與寫入後重播到該日的結果一致。</t>
    </r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</si>
  <si>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</si>
  <si>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</si>
  <si>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草稿「原」＝交易日當時（草稿前）、「新」＝同日草稿後的持股與均價（均價讀取時 </t>
    </r>
    <r>
      <rPr>
        <sz val="10"/>
        <rFont val="Arial"/>
        <family val="0"/>
        <charset val="1"/>
      </rPr>
      <t xml:space="preserve">total/shares</t>
    </r>
    <r>
      <rPr>
        <sz val="10"/>
        <rFont val="Noto Sans CJK SC"/>
        <family val="2"/>
      </rPr>
      <t xml:space="preserve">）；交易日部位待釐清時不給數字；賣出閘門改為「今天與交易日都沒有持股」才放棄；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backdated</t>
    </r>
    <r>
      <rPr>
        <sz val="10"/>
        <rFont val="Noto Sans CJK SC"/>
        <family val="2"/>
      </rPr>
      <t xml:space="preserve">，補登時草稿加註「以交易日 … 當時的部位試算」；賣出提示補登時標「今日可賣／今日持有均價」。同類掃描：所有讀今日部位的日期型預覽。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</si>
  <si>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／已同源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／券商／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匯入預覽依日期＋同日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判賣超；股利表單與收件匣用除息日持股；</t>
    </r>
    <r>
      <rPr>
        <sz val="10"/>
        <rFont val="Arial"/>
        <family val="0"/>
        <charset val="1"/>
      </rPr>
      <t xml:space="preserve">validate </t>
    </r>
    <r>
      <rPr>
        <sz val="10"/>
        <rFont val="Noto Sans CJK SC"/>
        <family val="2"/>
      </rPr>
      <t xml:space="preserve">賣超）／白名單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（草稿的現金列與透支＝今日現金池，補登列寫入後正落在今日池；抽屜試算沒有日期輸入＝現在；公司行動表單前後對照＝文件化的整本帳檢視，驗證已依行動日）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</si>
  <si>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tests/api/test_def048_draft_shows_trade_date_position.py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；改寫 </t>
    </r>
    <r>
      <rPr>
        <sz val="10"/>
        <rFont val="Arial"/>
        <family val="0"/>
        <charset val="1"/>
      </rPr>
      <t xml:space="preserve">mirror </t>
    </r>
    <r>
      <rPr>
        <sz val="10"/>
        <rFont val="Noto Sans CJK SC"/>
        <family val="2"/>
      </rPr>
      <t xml:space="preserve">測試。變異：「原」改回今日持股 → 「</t>
    </r>
    <r>
      <rPr>
        <sz val="10"/>
        <rFont val="Arial"/>
        <family val="0"/>
        <charset val="1"/>
      </rPr>
      <t xml:space="preserve">the card showed '100'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'1500' == '2000'</t>
    </r>
    <r>
      <rPr>
        <sz val="10"/>
        <rFont val="Noto Sans CJK SC"/>
        <family val="2"/>
      </rPr>
      <t xml:space="preserve">」；「新」改回整本帳終點 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preview '1600' != booked 2100</t>
    </r>
    <r>
      <rPr>
        <sz val="10"/>
        <rFont val="Noto Sans CJK SC"/>
        <family val="2"/>
      </rPr>
      <t xml:space="preserve">」等）；閘門改回 → 「</t>
    </r>
    <r>
      <rPr>
        <sz val="10"/>
        <rFont val="Arial"/>
        <family val="0"/>
        <charset val="1"/>
      </rPr>
      <t xml:space="preserve">assert None is not None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</si>
  <si>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手動交易三個草稿——台灣券商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100@30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2025-01-02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100@1700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2026-07-18</t>
    </r>
    <r>
      <rPr>
        <sz val="10"/>
        <rFont val="Noto Sans CJK SC"/>
        <family val="2"/>
      </rPr>
      <t xml:space="preserve">（不寫入）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</si>
  <si>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的草稿寫「持股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 → 61.70</t>
    </r>
    <r>
      <rPr>
        <sz val="10"/>
        <rFont val="Noto Sans CJK SC"/>
        <family val="2"/>
      </rPr>
      <t xml:space="preserve">」（今天的部位）
假設：①草稿改依帳本重播到交易日；②只加註解、數字仍是今天
排除：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草稿「持股 — →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、原始均價 — → </t>
    </r>
    <r>
      <rPr>
        <sz val="10"/>
        <rFont val="Arial"/>
        <family val="0"/>
        <charset val="1"/>
      </rPr>
      <t xml:space="preserve">30.20</t>
    </r>
    <r>
      <rPr>
        <sz val="10"/>
        <rFont val="Noto Sans CJK SC"/>
        <family val="2"/>
      </rPr>
      <t xml:space="preserve">」並加註「以交易日 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當時的部位試算（寫入後帳本依日期重播；該日之後的紀錄不在這幾列）」，</t>
    </r>
    <r>
      <rPr>
        <sz val="10"/>
        <rFont val="Arial"/>
        <family val="0"/>
        <charset val="1"/>
      </rPr>
      <t xml:space="preserve">preview position_preview.old_shares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2025-01-02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backdated 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07-18 </t>
    </r>
    <r>
      <rPr>
        <sz val="10"/>
        <rFont val="Noto Sans CJK SC"/>
        <family val="2"/>
      </rPr>
      <t xml:space="preserve">賣出草稿「持股 </t>
    </r>
    <r>
      <rPr>
        <sz val="10"/>
        <rFont val="Arial"/>
        <family val="0"/>
        <charset val="1"/>
      </rPr>
      <t xml:space="preserve">800 → 700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1,690.55</t>
    </r>
    <r>
      <rPr>
        <sz val="10"/>
        <rFont val="Noto Sans CJK SC"/>
        <family val="2"/>
      </rPr>
      <t xml:space="preserve">」＝</t>
    </r>
    <r>
      <rPr>
        <sz val="10"/>
        <rFont val="Arial"/>
        <family val="0"/>
        <charset val="1"/>
      </rPr>
      <t xml:space="preserve">07-17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800 </t>
    </r>
    <r>
      <rPr>
        <sz val="10"/>
        <rFont val="Noto Sans CJK SC"/>
        <family val="2"/>
      </rPr>
      <t xml:space="preserve">股的 </t>
    </r>
    <r>
      <rPr>
        <sz val="10"/>
        <rFont val="Arial"/>
        <family val="0"/>
        <charset val="1"/>
      </rPr>
      <t xml:space="preserve">1,352,443÷800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1,690.55</t>
    </r>
    <r>
      <rPr>
        <sz val="10"/>
        <rFont val="Noto Sans CJK SC"/>
        <family val="2"/>
      </rPr>
      <t xml:space="preserve">（今天是 </t>
    </r>
    <r>
      <rPr>
        <sz val="10"/>
        <rFont val="Arial"/>
        <family val="0"/>
        <charset val="1"/>
      </rPr>
      <t xml:space="preserve">1,911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1,721.33</t>
    </r>
    <r>
      <rPr>
        <sz val="10"/>
        <rFont val="Noto Sans CJK SC"/>
        <family val="2"/>
      </rPr>
      <t xml:space="preserve">），已實現 </t>
    </r>
    <r>
      <rPr>
        <sz val="10"/>
        <rFont val="Arial"/>
        <family val="0"/>
        <charset val="1"/>
      </rPr>
      <t xml:space="preserve">+193</t>
    </r>
    <r>
      <rPr>
        <sz val="10"/>
        <rFont val="Noto Sans CJK SC"/>
        <family val="2"/>
      </rPr>
      <t xml:space="preserve">，另有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警示；無更晚紀錄的 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草稿仍為「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93.20 → 69.70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backdated false</t>
    </r>
    <r>
      <rPr>
        <sz val="10"/>
        <rFont val="Noto Sans CJK SC"/>
        <family val="2"/>
      </rPr>
      <t xml:space="preserve">，排除②
定位：</t>
    </r>
    <r>
      <rPr>
        <sz val="10"/>
        <rFont val="Arial"/>
        <family val="0"/>
        <charset val="1"/>
      </rPr>
      <t xml:space="preserve">input_center.py </t>
    </r>
    <r>
      <rPr>
        <sz val="10"/>
        <rFont val="Noto Sans CJK SC"/>
        <family val="2"/>
      </rPr>
      <t xml:space="preserve">草稿改以交易日部位試算；變異（原改回今日）→ 開發者列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組失敗，我方重做見 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註記
判定：通過
變異（驗證者於本機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重做）：「原」持股改讀今天的 </t>
    </r>
    <r>
      <rPr>
        <sz val="10"/>
        <rFont val="Arial"/>
        <family val="0"/>
        <charset val="1"/>
      </rPr>
      <t xml:space="preserve">book.holdings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nothing was held on 2025-01-02, the card showed '100'</t>
    </r>
    <r>
      <rPr>
        <sz val="10"/>
        <rFont val="Noto Sans CJK SC"/>
        <family val="2"/>
      </rPr>
      <t xml:space="preserve">），還原後通過</t>
    </r>
  </si>
  <si>
    <t xml:space="preserve">三個草稿的持股／均價皆為交易日當時；補登加註；不寫入</t>
  </si>
  <si>
    <r>
      <rPr>
        <sz val="10"/>
        <rFont val="Noto Sans CJK SC"/>
        <family val="2"/>
      </rPr>
      <t xml:space="preserve">真實瀏覽器：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→ 手動賣出 → 復原；對照帳本逐筆刪除；測畢刪賣出並復原批次，</t>
    </r>
    <r>
      <rPr>
        <sz val="10"/>
        <rFont val="Arial"/>
        <family val="0"/>
        <charset val="1"/>
      </rPr>
      <t xml:space="preserve">cmp D049 same:true</t>
    </r>
  </si>
  <si>
    <r>
      <rPr>
        <sz val="10"/>
        <rFont val="Noto Sans CJK SC"/>
        <family val="2"/>
      </rPr>
      <t xml:space="preserve">觀察：復原後 </t>
    </r>
    <r>
      <rPr>
        <sz val="10"/>
        <rFont val="Arial"/>
        <family val="0"/>
        <charset val="1"/>
      </rPr>
      <t xml:space="preserve">2884 −50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，框內無警示
假設：①批次刪除與逐筆刪除共用重播防護；②批次刪除自行 </t>
    </r>
    <r>
      <rPr>
        <sz val="10"/>
        <rFont val="Arial"/>
        <family val="0"/>
        <charset val="1"/>
      </rPr>
      <t xml:space="preserve">DELETE
</t>
    </r>
    <r>
      <rPr>
        <sz val="10"/>
        <rFont val="Noto Sans CJK SC"/>
        <family val="2"/>
      </rPr>
      <t xml:space="preserve">排除：同一筆買進經帳本刪除回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，經批次復原回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，排除①
定位：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plain DELETE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成本基礎在無提示下被捨棄</t>
    </r>
  </si>
  <si>
    <r>
      <rPr>
        <sz val="10"/>
        <rFont val="Noto Sans CJK SC"/>
        <family val="2"/>
      </rPr>
      <t xml:space="preserve">批次復原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並造成賣超；逐筆刪除 </t>
    </r>
    <r>
      <rPr>
        <sz val="10"/>
        <rFont val="Arial"/>
        <family val="0"/>
        <charset val="1"/>
      </rPr>
      <t xml:space="preserve">422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</si>
  <si>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指示本輪附規格）</t>
    </r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</si>
  <si>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</si>
  <si>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r>
      <rPr>
        <sz val="10"/>
        <rFont val="Noto Sans CJK SC"/>
        <family val="2"/>
      </rPr>
      <t xml:space="preserve">觀察：副標題被截
定位：</t>
    </r>
    <r>
      <rPr>
        <sz val="10"/>
        <rFont val="Arial"/>
        <family val="0"/>
        <charset val="1"/>
      </rPr>
      <t xml:space="preserve">styles.css:1942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</si>
  <si>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</si>
  <si>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DEF-050</t>
    </r>
  </si>
  <si>
    <t xml:space="preserve">真實瀏覽器兩次立即執行</t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</si>
  <si>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job id
</t>
    </r>
    <r>
      <rPr>
        <sz val="10"/>
        <rFont val="Noto Sans CJK SC"/>
        <family val="2"/>
      </rPr>
      <t xml:space="preserve">定位：</t>
    </r>
    <r>
      <rPr>
        <sz val="10"/>
        <rFont val="Arial"/>
        <family val="0"/>
        <charset val="1"/>
      </rPr>
      <t xml:space="preserve">settings-scheduler.js:548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</si>
  <si>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</si>
  <si>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DEF-051</t>
    </r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</si>
  <si>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</si>
  <si>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r>
      <rPr>
        <sz val="10"/>
        <rFont val="Noto Sans CJK SC"/>
        <family val="2"/>
      </rPr>
      <t xml:space="preserve">觀察：列無費用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</si>
  <si>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</si>
  <si>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DEF-052</t>
    </r>
  </si>
  <si>
    <r>
      <rPr>
        <sz val="10"/>
        <rFont val="Noto Sans CJK SC"/>
        <family val="2"/>
      </rPr>
      <t xml:space="preserve">讀碼 </t>
    </r>
    <r>
      <rPr>
        <sz val="10"/>
        <rFont val="Arial"/>
        <family val="0"/>
        <charset val="1"/>
      </rPr>
      <t xml:space="preserve">web/pipeline-wizard.js:372-374</t>
    </r>
  </si>
  <si>
    <r>
      <rPr>
        <sz val="10"/>
        <rFont val="Noto Sans CJK SC"/>
        <family val="2"/>
      </rPr>
      <t xml:space="preserve">觀察：字串含 </t>
    </r>
    <r>
      <rPr>
        <sz val="10"/>
        <rFont val="Arial"/>
        <family val="0"/>
        <charset val="1"/>
      </rPr>
      <t xml:space="preserve">on_alert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</si>
  <si>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t xml:space="preserve">使用者可見字串含識別字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</si>
  <si>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DEF-053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</si>
  <si>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</si>
  <si>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仍在。分類：資料殘留（程式已正確）</t>
    </r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</si>
  <si>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</si>
  <si>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</si>
  <si>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</si>
  <si>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</si>
  <si>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</si>
  <si>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已裁定清理</t>
    </r>
  </si>
  <si>
    <r>
      <rPr>
        <sz val="10"/>
        <rFont val="Noto Sans CJK SC"/>
        <family val="2"/>
      </rPr>
      <t xml:space="preserve">讀開發者交接決策項＋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黑箱</t>
    </r>
  </si>
  <si>
    <r>
      <rPr>
        <sz val="10"/>
        <rFont val="Noto Sans CJK SC"/>
        <family val="2"/>
      </rPr>
      <t xml:space="preserve">規格未定→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</si>
  <si>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</si>
  <si>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t xml:space="preserve">讀開發者交接決策項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</si>
  <si>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</si>
  <si>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真實瀏覽器觸發預警派發後讀洞察管線頁首與 </t>
    </r>
    <r>
      <rPr>
        <sz val="10"/>
        <rFont val="Arial"/>
        <family val="0"/>
        <charset val="1"/>
      </rPr>
      <t xml:space="preserve">API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</si>
  <si>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$0.001 vs 7 run </t>
    </r>
    <r>
      <rPr>
        <sz val="10"/>
        <rFont val="Noto Sans CJK SC"/>
        <family val="2"/>
      </rPr>
      <t xml:space="preserve">合計 </t>
    </r>
    <r>
      <rPr>
        <sz val="10"/>
        <rFont val="Arial"/>
        <family val="0"/>
        <charset val="1"/>
      </rPr>
      <t xml:space="preserve">0.0050487
</t>
    </r>
    <r>
      <rPr>
        <sz val="10"/>
        <rFont val="Noto Sans CJK SC"/>
        <family val="2"/>
      </rPr>
      <t xml:space="preserve">假設：①批次成本為各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加總；②只取最後一 </t>
    </r>
    <r>
      <rPr>
        <sz val="10"/>
        <rFont val="Arial"/>
        <family val="0"/>
        <charset val="1"/>
      </rPr>
      <t xml:space="preserve">run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last_batch.cost_usd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0.0005979</t>
    </r>
    <r>
      <rPr>
        <sz val="10"/>
        <rFont val="Noto Sans CJK SC"/>
        <family val="2"/>
      </rPr>
      <t xml:space="preserve">，排除①
定位：</t>
    </r>
    <r>
      <rPr>
        <sz val="10"/>
        <rFont val="Arial"/>
        <family val="0"/>
        <charset val="1"/>
      </rPr>
      <t xml:space="preserve">insight_service.py:1171-1186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金額與卡數不同口徑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</si>
  <si>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</si>
  <si>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DEF-058</t>
    </r>
  </si>
  <si>
    <t xml:space="preserve">讀開發者交接決策項＋讀碼</t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</si>
  <si>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</si>
  <si>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</si>
  <si>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r>
      <rPr>
        <sz val="10"/>
        <rFont val="Noto Sans CJK SC"/>
        <family val="2"/>
      </rPr>
      <t xml:space="preserve">觀察：更正門與新增門規則不同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</si>
  <si>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</t>
    </r>
  </si>
  <si>
    <t xml:space="preserve">2026-09-25</t>
  </si>
  <si>
    <r>
      <rPr>
        <sz val="10"/>
        <rFont val="Noto Sans CJK SC"/>
        <family val="2"/>
      </rPr>
      <t xml:space="preserve">同意。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只修了正常路徑（子公司當天沒有價格）；當天已有正式報價時仍會覆蓋，列表承諾 </t>
    </r>
    <r>
      <rPr>
        <sz val="10"/>
        <rFont val="Arial"/>
        <family val="0"/>
        <charset val="1"/>
      </rPr>
      <t xml:space="preserve">restorable: true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restored: true</t>
    </r>
    <r>
      <rPr>
        <sz val="10"/>
        <rFont val="Noto Sans CJK SC"/>
        <family val="2"/>
      </rPr>
      <t xml:space="preserve">，原報價永久消失。已用驗證者附錄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的探測改寫成正式測試，在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上重現（存檔後 </t>
    </r>
    <r>
      <rPr>
        <sz val="10"/>
        <rFont val="Arial"/>
        <family val="0"/>
        <charset val="1"/>
      </rPr>
      <t xml:space="preserve">close 50.00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，原為 </t>
    </r>
    <r>
      <rPr>
        <sz val="10"/>
        <rFont val="Arial"/>
        <family val="0"/>
        <charset val="1"/>
      </rPr>
      <t xml:space="preserve">48.70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</si>
  <si>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</si>
  <si>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</si>
  <si>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</si>
  <si>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</si>
  <si>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tests/contract/test_def040_r4_seed_never_overwrites.py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；首寫的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則在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則失敗，附錄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探測失敗訊息「</t>
    </r>
    <r>
      <rPr>
        <sz val="10"/>
        <rFont val="Arial"/>
        <family val="0"/>
        <charset val="1"/>
      </rPr>
      <t xml:space="preserve">the save overwrote the provider's quote … {'close': '50.00'} != {'close': '48.70'}, {'source': 'manual'} != {'source': 'yfinance'}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e2e test_def040_def052_def060_flow.py::test_def040_a_quoted_child_day_is_announced_before_saving_and_never_overwritten</t>
    </r>
    <r>
      <rPr>
        <sz val="10"/>
        <rFont val="Noto Sans CJK SC"/>
        <family val="2"/>
      </rPr>
      <t xml:space="preserve">；改寫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則既有測試。變異：兩層都拿掉（＝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行為）→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the save overwrote the provider's quote</t>
    </r>
    <r>
      <rPr>
        <sz val="10"/>
        <rFont val="Noto Sans CJK SC"/>
        <family val="2"/>
      </rPr>
      <t xml:space="preserve">」、孤兒被刪「</t>
    </r>
    <r>
      <rPr>
        <sz val="10"/>
        <rFont val="Arial"/>
        <family val="0"/>
        <charset val="1"/>
      </rPr>
      <t xml:space="preserve">assert None == {… close '30' …}</t>
    </r>
    <r>
      <rPr>
        <sz val="10"/>
        <rFont val="Noto Sans CJK SC"/>
        <family val="2"/>
      </rPr>
      <t xml:space="preserve">」）；只拿掉寫入紀錄、一律看簽章 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則失敗；只拿掉存檔前判定 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則失敗；拿掉預覽提示 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Locator expected to be visible</t>
    </r>
    <r>
      <rPr>
        <sz val="10"/>
        <rFont val="Noto Sans CJK SC"/>
        <family val="2"/>
      </rPr>
      <t xml:space="preserve">」；只拿掉 </t>
    </r>
    <r>
      <rPr>
        <sz val="10"/>
        <rFont val="Arial"/>
        <family val="0"/>
        <charset val="1"/>
      </rPr>
      <t xml:space="preserve">toast → 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expected to contain text '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120'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</si>
  <si>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</si>
  <si>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本輪整體閘門（開發機、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ruff check portfolio_dash tests scripts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問題（全新快取；首跑抓到代理改過的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檔變數重名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處，已修）・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6,227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（前景分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段；首跑有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則既有的原始碼字串守門因 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把復原拆成 </t>
    </r>
    <r>
      <rPr>
        <sz val="10"/>
        <rFont val="Arial"/>
        <family val="0"/>
        <charset val="1"/>
      </rPr>
      <t xml:space="preserve">undoBatch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runUndo </t>
    </r>
    <r>
      <rPr>
        <sz val="10"/>
        <rFont val="Noto Sans CJK SC"/>
        <family val="2"/>
      </rPr>
      <t xml:space="preserve">而失敗，守門改讀兩個函式後該段整段重跑全過）・</t>
    </r>
    <r>
      <rPr>
        <sz val="10"/>
        <rFont val="Arial"/>
        <family val="0"/>
        <charset val="1"/>
      </rPr>
      <t xml:space="preserve">e2e 80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288 </t>
    </r>
    <r>
      <rPr>
        <sz val="10"/>
        <rFont val="Noto Sans CJK SC"/>
        <family val="2"/>
      </rPr>
      <t xml:space="preserve">則全過（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批前景）・</t>
    </r>
    <r>
      <rPr>
        <sz val="10"/>
        <rFont val="Arial"/>
        <family val="0"/>
        <charset val="1"/>
      </rPr>
      <t xml:space="preserve">stress-audit phase 1 ops=128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pass=6,025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fail=0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相同）。各缺陷的定向測試與變異見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欄。部署：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備份 </t>
    </r>
    <r>
      <rPr>
        <sz val="10"/>
        <rFont val="Arial"/>
        <family val="0"/>
        <charset val="1"/>
      </rPr>
      <t xml:space="preserve">portfolio-pre-1ee7771-20260924T200238Z.db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news-pre-1ee7771-20260924T200238Z.db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integrity ok</t>
    </r>
    <r>
      <rPr>
        <sz val="10"/>
        <rFont val="Noto Sans CJK SC"/>
        <family val="2"/>
      </rPr>
      <t xml:space="preserve">；交易／股利／資金／公司行動／洞察卡／評分／稽核／匯入批次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）→ 部署 </t>
    </r>
    <r>
      <rPr>
        <sz val="10"/>
        <rFont val="Arial"/>
        <family val="0"/>
        <charset val="1"/>
      </rPr>
      <t xml:space="preserve">1ee7771 → /api/health commit=1ee7771 → </t>
    </r>
    <r>
      <rPr>
        <sz val="10"/>
        <rFont val="Noto Sans CJK SC"/>
        <family val="2"/>
      </rPr>
      <t xml:space="preserve">新欄位 </t>
    </r>
    <r>
      <rPr>
        <sz val="10"/>
        <rFont val="Arial"/>
        <family val="0"/>
        <charset val="1"/>
      </rPr>
      <t xml:space="preserve">ledger_audit.source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corporate_actions.child_seed_json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insights.system_prompt_ref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organized_news.prompt_version </t>
    </r>
    <r>
      <rPr>
        <sz val="10"/>
        <rFont val="Noto Sans CJK SC"/>
        <family val="2"/>
      </rPr>
      <t xml:space="preserve">與新表 </t>
    </r>
    <r>
      <rPr>
        <sz val="10"/>
        <rFont val="Arial"/>
        <family val="0"/>
        <charset val="1"/>
      </rPr>
      <t xml:space="preserve">prompt_versions</t>
    </r>
    <r>
      <rPr>
        <sz val="10"/>
        <rFont val="Noto Sans CJK SC"/>
        <family val="2"/>
      </rPr>
      <t xml:space="preserve">（系統、新聞提示詞各補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）皆就位 → 資料清理（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刪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＋評分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action_log #1358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清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action_log #1359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各留原始內容；重跑為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verify_live ALL PASS → </t>
    </r>
    <r>
      <rPr>
        <sz val="10"/>
        <rFont val="Noto Sans CJK SC"/>
        <family val="2"/>
      </rPr>
      <t xml:space="preserve">外部探測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錯誤、無識別字外露、兩個版本記錄按鈕可見、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收件匣副標題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截斷、最近批次＝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runs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</si>
  <si>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真實瀏覽器：重放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未解情境——公司行動 › 分拆 台灣券商 </t>
    </r>
    <r>
      <rPr>
        <sz val="10"/>
        <rFont val="Arial"/>
        <family val="0"/>
        <charset val="1"/>
      </rPr>
      <t xml:space="preserve">2884 → 2882</t>
    </r>
    <r>
      <rPr>
        <sz val="10"/>
        <rFont val="Noto Sans CJK SC"/>
        <family val="2"/>
      </rPr>
      <t xml:space="preserve">，日期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當日已有 </t>
    </r>
    <r>
      <rPr>
        <sz val="10"/>
        <rFont val="Arial"/>
        <family val="0"/>
        <charset val="1"/>
      </rPr>
      <t xml:space="preserve">yfinance 112.0</t>
    </r>
    <r>
      <rPr>
        <sz val="10"/>
        <rFont val="Noto Sans CJK SC"/>
        <family val="2"/>
      </rPr>
      <t xml:space="preserve">），子公司起始價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看存檔前試算 → 登錄 → 讀 </t>
    </r>
    <r>
      <rPr>
        <sz val="10"/>
        <rFont val="Arial"/>
        <family val="0"/>
        <charset val="1"/>
      </rPr>
      <t xml:space="preserve">/api/symbol/2882/detail </t>
    </r>
    <r>
      <rPr>
        <sz val="10"/>
        <rFont val="Noto Sans CJK SC"/>
        <family val="2"/>
      </rPr>
      <t xml:space="preserve">價格序列 → 刪除；另以 </t>
    </r>
    <r>
      <rPr>
        <sz val="10"/>
        <rFont val="Arial"/>
        <family val="0"/>
        <charset val="1"/>
      </rPr>
      <t xml:space="preserve">2026-09-20</t>
    </r>
    <r>
      <rPr>
        <sz val="10"/>
        <rFont val="Noto Sans CJK SC"/>
        <family val="2"/>
      </rPr>
      <t xml:space="preserve">（空白日）重做正常路徑（見 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</si>
  <si>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時存檔覆蓋當日正式報價、刪除後原報價遺失
假設：①只寫入空白日期，已有報價就不寫並說明；②仍覆蓋、只是刪除時不刪
排除：存檔前試算區即顯示「⚠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），起始價未寫入。存檔後沿用這筆既有價格，刪除此行動時也不會動到它」；</t>
    </r>
    <r>
      <rPr>
        <sz val="10"/>
        <rFont val="Arial"/>
        <family val="0"/>
        <charset val="1"/>
      </rPr>
      <t xml:space="preserve">POST 201 child_priced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child_price_skipped {2882, 2026-09-22, existing_close 112.0, source yfinance}</t>
    </r>
    <r>
      <rPr>
        <sz val="10"/>
        <rFont val="Noto Sans CJK SC"/>
        <family val="2"/>
      </rPr>
      <t xml:space="preserve">，另跳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子公司起始價未寫入…」；存檔後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價格序列（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點）與登錄前逐字相同（</t>
    </r>
    <r>
      <rPr>
        <sz val="10"/>
        <rFont val="Arial"/>
        <family val="0"/>
        <charset val="1"/>
      </rPr>
      <t xml:space="preserve">09-22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），排除②；列表 </t>
    </r>
    <r>
      <rPr>
        <sz val="10"/>
        <rFont val="Arial"/>
        <family val="0"/>
        <charset val="1"/>
      </rPr>
      <t xml:space="preserve">child_price_restore null</t>
    </r>
    <r>
      <rPr>
        <sz val="10"/>
        <rFont val="Noto Sans CJK SC"/>
        <family val="2"/>
      </rPr>
      <t xml:space="preserve">（不做承諾），刪除框不提起始價，</t>
    </r>
    <r>
      <rPr>
        <sz val="10"/>
        <rFont val="Arial"/>
        <family val="0"/>
        <charset val="1"/>
      </rPr>
      <t xml:space="preserve">DELETE child_price_removed null</t>
    </r>
    <r>
      <rPr>
        <sz val="10"/>
        <rFont val="Noto Sans CJK SC"/>
        <family val="2"/>
      </rPr>
      <t xml:space="preserve">，刪除後序列仍逐字相同
定位：</t>
    </r>
    <r>
      <rPr>
        <sz val="10"/>
        <rFont val="Arial"/>
        <family val="0"/>
        <charset val="1"/>
      </rPr>
      <t xml:space="preserve">pricing/seed.py occupied_slot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corporate_actions.child_seed_json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occupied_slot </t>
    </r>
    <r>
      <rPr>
        <sz val="10"/>
        <rFont val="Noto Sans CJK SC"/>
        <family val="2"/>
      </rPr>
      <t xml:space="preserve">的「該日無價格」判斷改成恆真（任何日期都視為空白）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'CHLD' is None</t>
    </r>
    <r>
      <rPr>
        <sz val="10"/>
        <rFont val="Noto Sans CJK SC"/>
        <family val="2"/>
      </rPr>
      <t xml:space="preserve">（已有報價的日期被寫入起始價）），還原後通過</t>
    </r>
  </si>
  <si>
    <r>
      <rPr>
        <sz val="10"/>
        <rFont val="Noto Sans CJK SC"/>
        <family val="2"/>
      </rPr>
      <t xml:space="preserve">有報價的日期不寫入、存前即說明；存檔與刪除後價格列逐字不變；</t>
    </r>
    <r>
      <rPr>
        <sz val="10"/>
        <rFont val="Arial"/>
        <family val="0"/>
        <charset val="1"/>
      </rPr>
      <t xml:space="preserve">cmp D040R4 same:true</t>
    </r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</si>
  <si>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</si>
  <si>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2026-09-25</t>
    </r>
  </si>
  <si>
    <r>
      <rPr>
        <sz val="10"/>
        <rFont val="Noto Sans CJK SC"/>
        <family val="2"/>
      </rPr>
      <t xml:space="preserve">同意。已用契約測試在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重現：批次買進＋之後的賣出，復原回 </t>
    </r>
    <r>
      <rPr>
        <sz val="10"/>
        <rFont val="Arial"/>
        <family val="0"/>
        <charset val="1"/>
      </rPr>
      <t xml:space="preserve">200 {"deleted":1}</t>
    </r>
    <r>
      <rPr>
        <sz val="10"/>
        <rFont val="Noto Sans CJK SC"/>
        <family val="2"/>
      </rPr>
      <t xml:space="preserve">，該部位變成賣超、成本基礎被捨棄。類別掃描另找到同類的公司行動三道門（單筆刪除、整組刪除、更正）：分割 </t>
    </r>
    <r>
      <rPr>
        <sz val="10"/>
        <rFont val="Arial"/>
        <family val="0"/>
        <charset val="1"/>
      </rPr>
      <t xml:space="preserve">10:1 </t>
    </r>
    <r>
      <rPr>
        <sz val="10"/>
        <rFont val="Noto Sans CJK SC"/>
        <family val="2"/>
      </rPr>
      <t xml:space="preserve">後賣 </t>
    </r>
    <r>
      <rPr>
        <sz val="10"/>
        <rFont val="Arial"/>
        <family val="0"/>
        <charset val="1"/>
      </rPr>
      <t xml:space="preserve">5000</t>
    </r>
    <r>
      <rPr>
        <sz val="10"/>
        <rFont val="Noto Sans CJK SC"/>
        <family val="2"/>
      </rPr>
      <t xml:space="preserve">，刪除這筆分割或把比例改成 </t>
    </r>
    <r>
      <rPr>
        <sz val="10"/>
        <rFont val="Arial"/>
        <family val="0"/>
        <charset val="1"/>
      </rPr>
      <t xml:space="preserve">2:1 </t>
    </r>
    <r>
      <rPr>
        <sz val="10"/>
        <rFont val="Noto Sans CJK SC"/>
        <family val="2"/>
      </rPr>
      <t xml:space="preserve">都回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、變成賣超且不確認，本輪一併修。</t>
    </r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</si>
  <si>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</si>
  <si>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既有復原測試（</t>
    </r>
    <r>
      <rPr>
        <sz val="10"/>
        <rFont val="Arial"/>
        <family val="0"/>
        <charset val="1"/>
      </rPr>
      <t xml:space="preserve">test_def017_batches_follow_the_ledger.py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test_cash_import_api.py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test_provenance.py</t>
    </r>
    <r>
      <rPr>
        <sz val="10"/>
        <rFont val="Noto Sans CJK SC"/>
        <family val="2"/>
      </rPr>
      <t xml:space="preserve">）只驗「刪得剛好是本批次的列」，每則批次都沒有別的列依賴它。重播防護是 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的私有函式，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的註解寫「</t>
    </r>
    <r>
      <rPr>
        <sz val="10"/>
        <rFont val="Arial"/>
        <family val="0"/>
        <charset val="1"/>
      </rPr>
      <t xml:space="preserve">Every ledger DELETE door (six of them)</t>
    </r>
    <r>
      <rPr>
        <sz val="10"/>
        <rFont val="Noto Sans CJK SC"/>
        <family val="2"/>
      </rPr>
      <t xml:space="preserve">」——批次復原是第七道門，沒被算進去；公司行動帳本則自帶 </t>
    </r>
    <r>
      <rPr>
        <sz val="10"/>
        <rFont val="Arial"/>
        <family val="0"/>
        <charset val="1"/>
      </rPr>
      <t xml:space="preserve">F-40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F-32</t>
    </r>
    <r>
      <rPr>
        <sz val="10"/>
        <rFont val="Noto Sans CJK SC"/>
        <family val="2"/>
      </rPr>
      <t xml:space="preserve">／價格重算三道防線，從未接上重播防護。第一版掃描只看「裸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沒走 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」，所以漏掉有走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的公司行動門——該掃的是「門」不是 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句子。新守門兩層：</t>
    </r>
    <r>
      <rPr>
        <sz val="10"/>
        <rFont val="Arial"/>
        <family val="0"/>
        <charset val="1"/>
      </rPr>
      <t xml:space="preserve">(1) tests/architecture/test_ledger_delete_doors.py </t>
    </r>
    <r>
      <rPr>
        <sz val="10"/>
        <rFont val="Noto Sans CJK SC"/>
        <family val="2"/>
      </rPr>
      <t xml:space="preserve">從 </t>
    </r>
    <r>
      <rPr>
        <sz val="10"/>
        <rFont val="Arial"/>
        <family val="0"/>
        <charset val="1"/>
      </rPr>
      <t xml:space="preserve">FastAPI </t>
    </r>
    <r>
      <rPr>
        <sz val="10"/>
        <rFont val="Noto Sans CJK SC"/>
        <family val="2"/>
      </rPr>
      <t xml:space="preserve">路由表列出每一道會刪或改帳本列的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，逐一檢查處理函式有呼叫防護（附自我測試，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上點名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道門）；另以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禁止帳本表在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之外被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(2) </t>
    </r>
    <r>
      <rPr>
        <sz val="10"/>
        <rFont val="Noto Sans CJK SC"/>
        <family val="2"/>
      </rPr>
      <t xml:space="preserve">行為面由契約測試（回應碼、訊息、列數、稽核列、操作記錄）與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把關。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</si>
  <si>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</si>
  <si>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r>
      <rPr>
        <sz val="10"/>
        <rFont val="Noto Sans CJK SC"/>
        <family val="2"/>
      </rPr>
      <t xml:space="preserve">會刪或改帳本列的門 共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DELETE 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PUT 6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（批次復原、公司行動單筆刪除、整組刪除、更正）／白名單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，修後 </t>
    </r>
    <r>
      <rPr>
        <sz val="10"/>
        <rFont val="Arial"/>
        <family val="0"/>
        <charset val="1"/>
      </rPr>
      <t xml:space="preserve">14/14 </t>
    </r>
    <r>
      <rPr>
        <sz val="10"/>
        <rFont val="Noto Sans CJK SC"/>
        <family val="2"/>
      </rPr>
      <t xml:space="preserve">都有防護；帳本表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句子 共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provenance.py:296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 6 </t>
    </r>
    <r>
      <rPr>
        <sz val="10"/>
        <rFont val="Noto Sans CJK SC"/>
        <family val="2"/>
      </rPr>
      <t xml:space="preserve">個逐筆刪除函式共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句，本身即先寫稽核的正規路徑；</t>
    </r>
    <r>
      <rPr>
        <sz val="10"/>
        <rFont val="Arial"/>
        <family val="0"/>
        <charset val="1"/>
      </rPr>
      <t xml:space="preserve">store.delete_instrument </t>
    </r>
    <r>
      <rPr>
        <sz val="10"/>
        <rFont val="Noto Sans CJK SC"/>
        <family val="2"/>
      </rPr>
      <t xml:space="preserve">只刪行情與衍生表；</t>
    </r>
    <r>
      <rPr>
        <sz val="10"/>
        <rFont val="Arial"/>
        <family val="0"/>
        <charset val="1"/>
      </rPr>
      <t xml:space="preserve">scripts/delete_insight_cards.py </t>
    </r>
    <r>
      <rPr>
        <sz val="10"/>
        <rFont val="Noto Sans CJK SC"/>
        <family val="2"/>
      </rPr>
      <t xml:space="preserve">只刪洞察卡表且有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）。另發現第三軸「新增門」：新增公司行動（</t>
    </r>
    <r>
      <rPr>
        <sz val="10"/>
        <rFont val="Arial"/>
        <family val="0"/>
        <charset val="1"/>
      </rPr>
      <t xml:space="preserve">POST</t>
    </r>
    <r>
      <rPr>
        <sz val="10"/>
        <rFont val="Noto Sans CJK SC"/>
        <family val="2"/>
      </rPr>
      <t xml:space="preserve">）實測會讓之後的賣出變賣超（反向分割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2330 −400</t>
    </r>
    <r>
      <rPr>
        <sz val="10"/>
        <rFont val="Noto Sans CJK SC"/>
        <family val="2"/>
      </rPr>
      <t xml:space="preserve">），公司行動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匯入推定相同——不在本缺陷的刪除／更正範圍，列為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</si>
  <si>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tests/contract/test_def049_batch_undo_replay_guard.py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則失敗，如「</t>
    </r>
    <r>
      <rPr>
        <sz val="10"/>
        <rFont val="Arial"/>
        <family val="0"/>
        <charset val="1"/>
      </rPr>
      <t xml:space="preserve">assert 200 == 422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no such column: source</t>
    </r>
    <r>
      <rPr>
        <sz val="10"/>
        <rFont val="Noto Sans CJK SC"/>
        <family val="2"/>
      </rPr>
      <t xml:space="preserve">」，另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則為「無關的既有負現金不擋」反證）、</t>
    </r>
    <r>
      <rPr>
        <sz val="10"/>
        <rFont val="Arial"/>
        <family val="0"/>
        <charset val="1"/>
      </rPr>
      <t xml:space="preserve">tests/contract/test_def049_corporate_action_doors_replay.py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{"ok":true,"id":1,…} / assert 200 == 422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則反證）、</t>
    </r>
    <r>
      <rPr>
        <sz val="10"/>
        <rFont val="Arial"/>
        <family val="0"/>
        <charset val="1"/>
      </rPr>
      <t xml:space="preserve">tests/architecture/test_ledger_delete_doors.py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，含逐門檢查與自我測試）、</t>
    </r>
    <r>
      <rPr>
        <sz val="10"/>
        <rFont val="Arial"/>
        <family val="0"/>
        <charset val="1"/>
      </rPr>
      <t xml:space="preserve">e2e test_def049_batch_undo_oversell_flow.py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test_def049_corporate_action_ack_flow.py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：刪除與編輯各自出現賣超確認框→取消不動→確認後生效；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上「</t>
    </r>
    <r>
      <rPr>
        <sz val="10"/>
        <rFont val="Arial"/>
        <family val="0"/>
        <charset val="1"/>
      </rPr>
      <t xml:space="preserve">Locator expected to be visible</t>
    </r>
    <r>
      <rPr>
        <sz val="10"/>
        <rFont val="Noto Sans CJK SC"/>
        <family val="2"/>
      </rPr>
      <t xml:space="preserve">」）。變異：批次路由忽略防護 →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則失敗；逐列刪除改回裸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（拿掉稽核）→ 契約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則失敗＋類別守門點名 </t>
    </r>
    <r>
      <rPr>
        <sz val="10"/>
        <rFont val="Arial"/>
        <family val="0"/>
        <charset val="1"/>
      </rPr>
      <t xml:space="preserve">provenance.py</t>
    </r>
    <r>
      <rPr>
        <sz val="10"/>
        <rFont val="Noto Sans CJK SC"/>
        <family val="2"/>
      </rPr>
      <t xml:space="preserve">；公司行動單筆／整組／更正的防護各自拿掉 → 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則失敗；前端三條確認路徑拿掉 → 對應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失敗。還原後全過。</t>
    </r>
  </si>
  <si>
    <r>
      <rPr>
        <sz val="10"/>
        <rFont val="Noto Sans CJK SC"/>
        <family val="2"/>
      </rPr>
      <t xml:space="preserve">真實瀏覽器：重放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證據——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#111</t>
    </r>
    <r>
      <rPr>
        <sz val="10"/>
        <rFont val="Noto Sans CJK SC"/>
        <family val="2"/>
      </rPr>
      <t xml:space="preserve">）→ 按批次「復原」→ 取消；另測公司行動刪除門：補登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#20</t>
    </r>
    <r>
      <rPr>
        <sz val="10"/>
        <rFont val="Noto Sans CJK SC"/>
        <family val="2"/>
      </rPr>
      <t xml:space="preserve">）→ 賣出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#112</t>
    </r>
    <r>
      <rPr>
        <sz val="10"/>
        <rFont val="Noto Sans CJK SC"/>
        <family val="2"/>
      </rPr>
      <t xml:space="preserve">）→ 刪除該分割 → 取消；測畢刪賣出並復原／刪除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</si>
  <si>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時批次復原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直接造成賣超（</t>
    </r>
    <r>
      <rPr>
        <sz val="10"/>
        <rFont val="Arial"/>
        <family val="0"/>
        <charset val="1"/>
      </rPr>
      <t xml:space="preserve">2884 −50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）
假設：①批次復原與公司行動刪除都走與帳本逐筆刪除同一個重播防護；②只修批次復原
排除：批次復原 → </t>
    </r>
    <r>
      <rPr>
        <sz val="10"/>
        <rFont val="Arial"/>
        <family val="0"/>
        <charset val="1"/>
      </rPr>
      <t xml:space="preserve">DELETE /api/import/batches/17 422 oversell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issues [{account tw_broker, 2884, 2026-09-24, sold 150, held 100}]</t>
    </r>
    <r>
      <rPr>
        <sz val="10"/>
        <rFont val="Noto Sans CJK SC"/>
        <family val="2"/>
      </rPr>
      <t xml:space="preserve">，畫面跳「賣超確認：此復原將造成賣超：台灣券商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股，超過當日持股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股。確認後這個部位的成本基礎會被捨棄（待釐清）…」＋「我了解，仍要復原」；取消後沒有任何寫入請求，交易 </t>
    </r>
    <r>
      <rPr>
        <sz val="10"/>
        <rFont val="Arial"/>
        <family val="0"/>
        <charset val="1"/>
      </rPr>
      <t xml:space="preserve">58 </t>
    </r>
    <r>
      <rPr>
        <sz val="10"/>
        <rFont val="Noto Sans CJK SC"/>
        <family val="2"/>
      </rPr>
      <t xml:space="preserve">列、批次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仍在；刪除該筆賣出後再復原 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直接完成（沒有賣超就不問）。公司行動刪除 → </t>
    </r>
    <r>
      <rPr>
        <sz val="10"/>
        <rFont val="Arial"/>
        <family val="0"/>
        <charset val="1"/>
      </rPr>
      <t xml:space="preserve">DELETE /api/ledgers/corporate-actions/20 422 oversell</t>
    </r>
    <r>
      <rPr>
        <sz val="10"/>
        <rFont val="Noto Sans CJK SC"/>
        <family val="2"/>
      </rPr>
      <t xml:space="preserve">「此刪除將造成賣超…」，同款確認框，取消後行動仍在，排除②
定位：</t>
    </r>
    <r>
      <rPr>
        <sz val="10"/>
        <rFont val="Arial"/>
        <family val="0"/>
        <charset val="1"/>
      </rPr>
      <t xml:space="preserve">api/replay_guard.py </t>
    </r>
    <r>
      <rPr>
        <sz val="10"/>
        <rFont val="Noto Sans CJK SC"/>
        <family val="2"/>
      </rPr>
      <t xml:space="preserve">共用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注入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並逐列經 </t>
    </r>
    <r>
      <rPr>
        <sz val="10"/>
        <rFont val="Arial"/>
        <family val="0"/>
        <charset val="1"/>
      </rPr>
      <t xml:space="preserve">store.delete_*</t>
    </r>
    <r>
      <rPr>
        <sz val="10"/>
        <rFont val="Noto Sans CJK SC"/>
        <family val="2"/>
      </rPr>
      <t xml:space="preserve">（寫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，黑箱無讀取介面，依變異證據）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replay_guard._oversold_shares </t>
    </r>
    <r>
      <rPr>
        <sz val="10"/>
        <rFont val="Noto Sans CJK SC"/>
        <family val="2"/>
      </rPr>
      <t xml:space="preserve">恆回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（重播防護看不到賣超） → </t>
    </r>
    <r>
      <rPr>
        <sz val="10"/>
        <rFont val="Arial"/>
        <family val="0"/>
        <charset val="1"/>
      </rPr>
      <t xml:space="preserve">7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200 == 422</t>
    </r>
    <r>
      <rPr>
        <sz val="10"/>
        <rFont val="Noto Sans CJK SC"/>
        <family val="2"/>
      </rPr>
      <t xml:space="preserve">（批次復原／公司行動刪除直接成功）），還原後通過</t>
    </r>
  </si>
  <si>
    <r>
      <rPr>
        <sz val="10"/>
        <rFont val="Noto Sans CJK SC"/>
        <family val="2"/>
      </rPr>
      <t xml:space="preserve">批次復原與公司行動刪除造成賣超時皆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＋同款確認框；取消不寫；測畢 </t>
    </r>
    <r>
      <rPr>
        <sz val="10"/>
        <rFont val="Arial"/>
        <family val="0"/>
        <charset val="1"/>
      </rPr>
      <t xml:space="preserve">cmp D049R4 same:true</t>
    </r>
  </si>
  <si>
    <r>
      <rPr>
        <sz val="10"/>
        <rFont val="Noto Sans CJK SC"/>
        <family val="2"/>
      </rPr>
      <t xml:space="preserve">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</si>
  <si>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裁定只做系統提示詞與新聞整理提示詞（任務自評提示詞不做）。儲存、重置回官方版都直接覆寫；洞察卡與新聞列也都沒記錄用哪一版產生。</t>
    </r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</si>
  <si>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</si>
  <si>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Noto Sans CJK SC"/>
        <family val="2"/>
      </rPr>
      <t xml:space="preserve">原本沒有守門（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的裁定只涵蓋策略提示詞）。新增單元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e2e 1</t>
    </r>
    <r>
      <rPr>
        <sz val="10"/>
        <rFont val="Noto Sans CJK SC"/>
        <family val="2"/>
      </rPr>
      <t xml:space="preserve">。修改過程中既有的 </t>
    </r>
    <r>
      <rPr>
        <sz val="10"/>
        <rFont val="Arial"/>
        <family val="0"/>
        <charset val="1"/>
      </rPr>
      <t xml:space="preserve">test_api_routes_have_frontend_callers.py </t>
    </r>
    <r>
      <rPr>
        <sz val="10"/>
        <rFont val="Noto Sans CJK SC"/>
        <family val="2"/>
      </rPr>
      <t xml:space="preserve">攔下一次自己的回歸（共用對話框時路徑用字串拼接，策略的差異／回復路由在靜態比對中變成沒有前端呼叫者），已改為每個來源寫出完整路徑。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</si>
  <si>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shared/prompt_versions.py</t>
    </r>
    <r>
      <rPr>
        <sz val="10"/>
        <rFont val="Noto Sans CJK SC"/>
        <family val="2"/>
      </rPr>
      <t xml:space="preserve">：一張 </t>
    </r>
    <r>
      <rPr>
        <sz val="10"/>
        <rFont val="Arial"/>
        <family val="0"/>
        <charset val="1"/>
      </rPr>
      <t xml:space="preserve">prompt_versions(kind, version, body, source, restored_from, saved_at)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分 </t>
    </r>
    <r>
      <rPr>
        <sz val="10"/>
        <rFont val="Arial"/>
        <family val="0"/>
        <charset val="1"/>
      </rPr>
      <t xml:space="preserve">system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（放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是因為依架構 </t>
    </r>
    <r>
      <rPr>
        <sz val="10"/>
        <rFont val="Arial"/>
        <family val="0"/>
        <charset val="1"/>
      </rPr>
      <t xml:space="preserve">news/ </t>
    </r>
    <r>
      <rPr>
        <sz val="10"/>
        <rFont val="Noto Sans CJK SC"/>
        <family val="2"/>
      </rPr>
      <t xml:space="preserve">不能 </t>
    </r>
    <r>
      <rPr>
        <sz val="10"/>
        <rFont val="Arial"/>
        <family val="0"/>
        <charset val="1"/>
      </rPr>
      <t xml:space="preserve">import llm_insight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，兩者要寫同一份歷史；再多一個全域提示詞只需加一個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）。每個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只有一個寫入函式，在同一交易裡改內文並新增版本；內文沒變不加版；重置回官方版記為「還原官方」；回復＝另存新版並記錄來源版號；首次開機把現有內文補成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，之後若內文被繞過程式改掉（直接 </t>
    </r>
    <r>
      <rPr>
        <sz val="10"/>
        <rFont val="Arial"/>
        <family val="0"/>
        <charset val="1"/>
      </rPr>
      <t xml:space="preserve">SQL</t>
    </r>
    <r>
      <rPr>
        <sz val="10"/>
        <rFont val="Noto Sans CJK SC"/>
        <family val="2"/>
      </rPr>
      <t xml:space="preserve">、還原備份）會補記一版。兩個提示詞各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條路由（清單、單版、差異、回復），設定頁兩個「版本記錄」與策略卡共用同一個對話框，差異計算與來源標籤也共用。洞察卡新增 </t>
    </r>
    <r>
      <rPr>
        <sz val="10"/>
        <rFont val="Arial"/>
        <family val="0"/>
        <charset val="1"/>
      </rPr>
      <t xml:space="preserve">insights.system_prompt_ref</t>
    </r>
    <r>
      <rPr>
        <sz val="10"/>
        <rFont val="Noto Sans CJK SC"/>
        <family val="2"/>
      </rPr>
      <t xml:space="preserve">（卡片晶片「提示詞 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」），新聞列新增 </t>
    </r>
    <r>
      <rPr>
        <sz val="10"/>
        <rFont val="Arial"/>
        <family val="0"/>
        <charset val="1"/>
      </rPr>
      <t xml:space="preserve">organized_news.prompt_version</t>
    </r>
    <r>
      <rPr>
        <sz val="10"/>
        <rFont val="Noto Sans CJK SC"/>
        <family val="2"/>
      </rPr>
      <t xml:space="preserve">（新聞彈窗「整理提示詞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」）；快取指紋不動（組好的提示詞已含內文）。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完全不動（卡片以其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引用，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已有真實歷史，搬移只會讓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重編號），由測試釘住。重置確認框改為「目前內容會保留在「版本記錄」中，可隨時回復」。</t>
    </r>
  </si>
  <si>
    <r>
      <rPr>
        <sz val="10"/>
        <rFont val="Noto Sans CJK SC"/>
        <family val="2"/>
      </rPr>
      <t xml:space="preserve">兩張設定表的 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個初始種子、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個寫入函式）；寫入門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（儲存、重置、回復各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道經寫入函式＋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個種子由回填轉成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config_store.restore_defaults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from-template</t>
    </r>
    <r>
      <rPr>
        <sz val="10"/>
        <rFont val="Noto Sans CJK SC"/>
        <family val="2"/>
      </rPr>
      <t xml:space="preserve">／官方包、</t>
    </r>
    <r>
      <rPr>
        <sz val="10"/>
        <rFont val="Arial"/>
        <family val="0"/>
        <charset val="1"/>
      </rPr>
      <t xml:space="preserve">scripts </t>
    </r>
    <r>
      <rPr>
        <sz val="10"/>
        <rFont val="Noto Sans CJK SC"/>
        <family val="2"/>
      </rPr>
      <t xml:space="preserve">對這兩張表皆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</si>
  <si>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tests/llm_insight/test_def057_global_prompt_versions.py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：已自訂的舊庫、繞過程式的寫入、內文沒變、已是官方版時重置、跨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回復、策略表不受影響、關閉系統層、舊卡、只有標題的新聞列、真實新聞整理接縫）、</t>
    </r>
    <r>
      <rPr>
        <sz val="10"/>
        <rFont val="Arial"/>
        <family val="0"/>
        <charset val="1"/>
      </rPr>
      <t xml:space="preserve">tests/contract/test_def057_global_prompt_versions_api.py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例）、</t>
    </r>
    <r>
      <rPr>
        <sz val="10"/>
        <rFont val="Arial"/>
        <family val="0"/>
        <charset val="1"/>
      </rPr>
      <t xml:space="preserve">e2e test_def057_global_prompt_versions_flow.py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：兩個面板的清單／差異／回復、卡片晶片、深連結）。變異：拿掉系統的版本寫入 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assert 2 == 3</t>
    </r>
    <r>
      <rPr>
        <sz val="10"/>
        <rFont val="Noto Sans CJK SC"/>
        <family val="2"/>
      </rPr>
      <t xml:space="preserve">）；拿掉回填 →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則；產卡不傳系統版號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assert None is not None</t>
    </r>
    <r>
      <rPr>
        <sz val="10"/>
        <rFont val="Noto Sans CJK SC"/>
        <family val="2"/>
      </rPr>
      <t xml:space="preserve">）；新聞整理版號傳 </t>
    </r>
    <r>
      <rPr>
        <sz val="10"/>
        <rFont val="Arial"/>
        <family val="0"/>
        <charset val="1"/>
      </rPr>
      <t xml:space="preserve">None → 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assert (None == 2)</t>
    </r>
    <r>
      <rPr>
        <sz val="10"/>
        <rFont val="Noto Sans CJK SC"/>
        <family val="2"/>
      </rPr>
      <t xml:space="preserve">）；拿掉按鈕綁定 →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逾時失敗。還原後全過。</t>
    </r>
  </si>
  <si>
    <r>
      <rPr>
        <sz val="10"/>
        <rFont val="Noto Sans CJK SC"/>
        <family val="2"/>
      </rPr>
      <t xml:space="preserve">真實瀏覽器：系統設定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提示詞。系統提示詞末尾加一行「【</t>
    </r>
    <r>
      <rPr>
        <sz val="10"/>
        <rFont val="Arial"/>
        <family val="0"/>
        <charset val="1"/>
      </rPr>
      <t xml:space="preserve">QA R4 DEF-057 </t>
    </r>
    <r>
      <rPr>
        <sz val="10"/>
        <rFont val="Noto Sans CJK SC"/>
        <family val="2"/>
      </rPr>
      <t xml:space="preserve">標記】」→ 儲存設定 → 版本記錄 → 對照前一版 →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「回復此版」→ 確認；新聞整理提示詞加標記 → 儲存 → 重置回官方版（確認框）→ 版本記錄 →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回復此版 → 確認；再以排程中心立即執行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產生新卡，到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洞察看卡片晶片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</si>
  <si>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時兩則全域提示詞儲存／重置直接覆寫，無歷史；卡片不記錄用哪一版
假設：①兩則都有版本記錄、差異、回復，卡片記錄系統提示詞版號；②只有清單、回復或晶片其中之一未接上
排除：系統提示詞儲存後 </t>
    </r>
    <r>
      <rPr>
        <sz val="10"/>
        <rFont val="Arial"/>
        <family val="0"/>
        <charset val="1"/>
      </rPr>
      <t xml:space="preserve">GET …/versions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版變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版（</t>
    </r>
    <r>
      <rPr>
        <sz val="10"/>
        <rFont val="Arial"/>
        <family val="0"/>
        <charset val="1"/>
      </rPr>
      <t xml:space="preserve">v2 source user_save</t>
    </r>
    <r>
      <rPr>
        <sz val="10"/>
        <rFont val="Noto Sans CJK SC"/>
        <family val="2"/>
      </rPr>
      <t xml:space="preserve">「儲存」</t>
    </r>
    <r>
      <rPr>
        <sz val="10"/>
        <rFont val="Arial"/>
        <family val="0"/>
        <charset val="1"/>
      </rPr>
      <t xml:space="preserve">524 </t>
    </r>
    <r>
      <rPr>
        <sz val="10"/>
        <rFont val="Noto Sans CJK SC"/>
        <family val="2"/>
      </rPr>
      <t xml:space="preserve">字），對話框「差異 </t>
    </r>
    <r>
      <rPr>
        <sz val="10"/>
        <rFont val="Arial"/>
        <family val="0"/>
        <charset val="1"/>
      </rPr>
      <t xml:space="preserve">v1 → v2</t>
    </r>
    <r>
      <rPr>
        <sz val="10"/>
        <rFont val="Noto Sans CJK SC"/>
        <family val="2"/>
      </rPr>
      <t xml:space="preserve">：＋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行・－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行」且只有「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【</t>
    </r>
    <r>
      <rPr>
        <sz val="10"/>
        <rFont val="Arial"/>
        <family val="0"/>
        <charset val="1"/>
      </rPr>
      <t xml:space="preserve">QA R4 DEF-057 </t>
    </r>
    <r>
      <rPr>
        <sz val="10"/>
        <rFont val="Noto Sans CJK SC"/>
        <family val="2"/>
      </rPr>
      <t xml:space="preserve">標記】」一行；回復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的確認文字「回復至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：將以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的內文另存為新版本；目前內容仍保留在版本記錄中，可再回復。所有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呼叫下次即使用回復後的內文。」→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「已回復至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系統提示詞：另存為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，下次執行生效」，</t>
    </r>
    <r>
      <rPr>
        <sz val="10"/>
        <rFont val="Arial"/>
        <family val="0"/>
        <charset val="1"/>
      </rPr>
      <t xml:space="preserve">v3 source restore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restored_from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505 </t>
    </r>
    <r>
      <rPr>
        <sz val="10"/>
        <rFont val="Noto Sans CJK SC"/>
        <family val="2"/>
      </rPr>
      <t xml:space="preserve">字，內文與改前逐字相同。新聞整理提示詞：儲存 →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390 </t>
    </r>
    <r>
      <rPr>
        <sz val="10"/>
        <rFont val="Noto Sans CJK SC"/>
        <family val="2"/>
      </rPr>
      <t xml:space="preserve">字）；重置確認框「…目前內容會保留在「版本記錄」中，可隨時回復。」→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「已重置 新聞整理提示詞已回到官方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v3 source reset_official</t>
    </r>
    <r>
      <rPr>
        <sz val="10"/>
        <rFont val="Noto Sans CJK SC"/>
        <family val="2"/>
      </rPr>
      <t xml:space="preserve">「還原官方」</t>
    </r>
    <r>
      <rPr>
        <sz val="10"/>
        <rFont val="Arial"/>
        <family val="0"/>
        <charset val="1"/>
      </rPr>
      <t xml:space="preserve">434 </t>
    </r>
    <r>
      <rPr>
        <sz val="10"/>
        <rFont val="Noto Sans CJK SC"/>
        <family val="2"/>
      </rPr>
      <t xml:space="preserve">字；對照 </t>
    </r>
    <r>
      <rPr>
        <sz val="10"/>
        <rFont val="Arial"/>
        <family val="0"/>
        <charset val="1"/>
      </rPr>
      <t xml:space="preserve">v1→v3 </t>
    </r>
    <r>
      <rPr>
        <sz val="10"/>
        <rFont val="Noto Sans CJK SC"/>
        <family val="2"/>
      </rPr>
      <t xml:space="preserve">顯示「＋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行・－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行」，自行比對兩版內文，差異正是官方多出的第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條一行，相符；回復 </t>
    </r>
    <r>
      <rPr>
        <sz val="10"/>
        <rFont val="Arial"/>
        <family val="0"/>
        <charset val="1"/>
      </rPr>
      <t xml:space="preserve">v1 → v4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restore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restored_from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369 </t>
    </r>
    <r>
      <rPr>
        <sz val="10"/>
        <rFont val="Noto Sans CJK SC"/>
        <family val="2"/>
      </rPr>
      <t xml:space="preserve">字），內文與改前逐字相同。晶片：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#194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）產生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API system_prompt_version {used:true, version:3}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「系統提示詞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／策略「市場週報策略」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」；舊卡顯示「提示詞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」＋「系統提示詞 生成時版本未記錄」。排除②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system_prompt._write </t>
    </r>
    <r>
      <rPr>
        <sz val="10"/>
        <rFont val="Noto Sans CJK SC"/>
        <family val="2"/>
      </rPr>
      <t xml:space="preserve">不呼叫 </t>
    </r>
    <r>
      <rPr>
        <sz val="10"/>
        <rFont val="Arial"/>
        <family val="0"/>
        <charset val="1"/>
      </rPr>
      <t xml:space="preserve">pv.record_write</t>
    </r>
    <r>
      <rPr>
        <sz val="10"/>
        <rFont val="Noto Sans CJK SC"/>
        <family val="2"/>
      </rPr>
      <t xml:space="preserve">（儲存不留版本）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(200 == 200 and 1 == 2)</t>
    </r>
    <r>
      <rPr>
        <sz val="10"/>
        <rFont val="Noto Sans CJK SC"/>
        <family val="2"/>
      </rPr>
      <t xml:space="preserve">（版本數沒增加）），還原後通過</t>
    </r>
  </si>
  <si>
    <r>
      <rPr>
        <sz val="10"/>
        <rFont val="Noto Sans CJK SC"/>
        <family val="2"/>
      </rPr>
      <t xml:space="preserve">系統 </t>
    </r>
    <r>
      <rPr>
        <sz val="10"/>
        <rFont val="Arial"/>
        <family val="0"/>
        <charset val="1"/>
      </rPr>
      <t xml:space="preserve">v1→v2(</t>
    </r>
    <r>
      <rPr>
        <sz val="10"/>
        <rFont val="Noto Sans CJK SC"/>
        <family val="2"/>
      </rPr>
      <t xml:space="preserve">儲存</t>
    </r>
    <r>
      <rPr>
        <sz val="10"/>
        <rFont val="Arial"/>
        <family val="0"/>
        <charset val="1"/>
      </rPr>
      <t xml:space="preserve">)→v3(</t>
    </r>
    <r>
      <rPr>
        <sz val="10"/>
        <rFont val="Noto Sans CJK SC"/>
        <family val="2"/>
      </rPr>
      <t xml:space="preserve">回復自 </t>
    </r>
    <r>
      <rPr>
        <sz val="10"/>
        <rFont val="Arial"/>
        <family val="0"/>
        <charset val="1"/>
      </rPr>
      <t xml:space="preserve">v1)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v1→v2(</t>
    </r>
    <r>
      <rPr>
        <sz val="10"/>
        <rFont val="Noto Sans CJK SC"/>
        <family val="2"/>
      </rPr>
      <t xml:space="preserve">儲存</t>
    </r>
    <r>
      <rPr>
        <sz val="10"/>
        <rFont val="Arial"/>
        <family val="0"/>
        <charset val="1"/>
      </rPr>
      <t xml:space="preserve">)→v3(</t>
    </r>
    <r>
      <rPr>
        <sz val="10"/>
        <rFont val="Noto Sans CJK SC"/>
        <family val="2"/>
      </rPr>
      <t xml:space="preserve">還原官方</t>
    </r>
    <r>
      <rPr>
        <sz val="10"/>
        <rFont val="Arial"/>
        <family val="0"/>
        <charset val="1"/>
      </rPr>
      <t xml:space="preserve">)→v4(</t>
    </r>
    <r>
      <rPr>
        <sz val="10"/>
        <rFont val="Noto Sans CJK SC"/>
        <family val="2"/>
      </rPr>
      <t xml:space="preserve">回復自 </t>
    </r>
    <r>
      <rPr>
        <sz val="10"/>
        <rFont val="Arial"/>
        <family val="0"/>
        <charset val="1"/>
      </rPr>
      <t xml:space="preserve">v1)</t>
    </r>
    <r>
      <rPr>
        <sz val="10"/>
        <rFont val="Noto Sans CJK SC"/>
        <family val="2"/>
      </rPr>
      <t xml:space="preserve">；兩則內文與測前逐字相同；新卡晶片「提示詞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cmp D057R4 same:true</t>
    </r>
  </si>
  <si>
    <r>
      <rPr>
        <sz val="10"/>
        <rFont val="Noto Sans CJK SC"/>
        <family val="2"/>
      </rPr>
      <t xml:space="preserve">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：驗證者跑全套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次——第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（本張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在最後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失敗，</t>
    </r>
    <r>
      <rPr>
        <sz val="10"/>
        <rFont val="Arial"/>
        <family val="0"/>
        <charset val="1"/>
      </rPr>
      <t xml:space="preserve">console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status of 500</t>
    </r>
    <r>
      <rPr>
        <sz val="10"/>
        <rFont val="Noto Sans CJK SC"/>
        <family val="2"/>
      </rPr>
      <t xml:space="preserve">」）、第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 </t>
    </r>
    <r>
      <rPr>
        <sz val="10"/>
        <rFont val="Noto Sans CJK SC"/>
        <family val="2"/>
      </rPr>
      <t xml:space="preserve">與驗證者加了回應記錄的副本同樣失敗，副本記到「</t>
    </r>
    <r>
      <rPr>
        <sz val="10"/>
        <rFont val="Arial"/>
        <family val="0"/>
        <charset val="1"/>
      </rPr>
      <t xml:space="preserve">500 GET /api/ui-prefs {code internal_error}</t>
    </r>
    <r>
      <rPr>
        <sz val="10"/>
        <rFont val="Noto Sans CJK SC"/>
        <family val="2"/>
      </rPr>
      <t xml:space="preserve">」）、第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289 </t>
    </r>
    <r>
      <rPr>
        <sz val="10"/>
        <rFont val="Noto Sans CJK SC"/>
        <family val="2"/>
      </rPr>
      <t xml:space="preserve">全過；單獨重跑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次全過。功能斷言每次都通過，失敗來自間歇性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DEF-065</t>
    </r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</si>
  <si>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</si>
  <si>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r>
      <rPr>
        <sz val="10"/>
        <rFont val="Noto Sans CJK SC"/>
        <family val="2"/>
      </rPr>
      <t xml:space="preserve">同意。真實 </t>
    </r>
    <r>
      <rPr>
        <sz val="10"/>
        <rFont val="Arial"/>
        <family val="0"/>
        <charset val="1"/>
      </rPr>
      <t xml:space="preserve">Chromium 390×844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clientWidth 333</t>
    </r>
    <r>
      <rPr>
        <sz val="10"/>
        <rFont val="Noto Sans CJK SC"/>
        <family val="2"/>
      </rPr>
      <t xml:space="preserve">（驗證者量到 </t>
    </r>
    <r>
      <rPr>
        <sz val="10"/>
        <rFont val="Arial"/>
        <family val="0"/>
        <charset val="1"/>
      </rPr>
      <t xml:space="preserve">349</t>
    </r>
    <r>
      <rPr>
        <sz val="10"/>
        <rFont val="Noto Sans CJK SC"/>
        <family val="2"/>
      </rPr>
      <t xml:space="preserve">，差在捲軸寬度）。</t>
    </r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</si>
  <si>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</si>
  <si>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</si>
  <si>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在 ≤</t>
    </r>
    <r>
      <rPr>
        <sz val="10"/>
        <rFont val="Arial"/>
        <family val="0"/>
        <charset val="1"/>
      </rPr>
      <t xml:space="preserve">600px </t>
    </r>
    <r>
      <rPr>
        <sz val="10"/>
        <rFont val="Noto Sans CJK SC"/>
        <family val="2"/>
      </rPr>
      <t xml:space="preserve">時三種標題列副標題改為獨立一行並換行（</t>
    </r>
    <r>
      <rPr>
        <sz val="10"/>
        <rFont val="Arial"/>
        <family val="0"/>
        <charset val="1"/>
      </rPr>
      <t xml:space="preserve">white-space: normal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overflow-wrap: anywhere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flex: 1 1 100%</t>
    </r>
    <r>
      <rPr>
        <sz val="10"/>
        <rFont val="Noto Sans CJK SC"/>
        <family val="2"/>
      </rPr>
      <t xml:space="preserve">），交易輸入的收合列另加 </t>
    </r>
    <r>
      <rPr>
        <sz val="10"/>
        <rFont val="Arial"/>
        <family val="0"/>
        <charset val="1"/>
      </rPr>
      <t xml:space="preserve">flex-wrap</t>
    </r>
    <r>
      <rPr>
        <sz val="10"/>
        <rFont val="Noto Sans CJK SC"/>
        <family val="2"/>
      </rPr>
      <t xml:space="preserve">；桌機（</t>
    </r>
    <r>
      <rPr>
        <sz val="10"/>
        <rFont val="Arial"/>
        <family val="0"/>
        <charset val="1"/>
      </rPr>
      <t xml:space="preserve">1440px</t>
    </r>
    <r>
      <rPr>
        <sz val="10"/>
        <rFont val="Noto Sans CJK SC"/>
        <family val="2"/>
      </rPr>
      <t xml:space="preserve">）維持一行。規則緊接在 </t>
    </r>
    <r>
      <rPr>
        <sz val="10"/>
        <rFont val="Arial"/>
        <family val="0"/>
        <charset val="1"/>
      </rPr>
      <t xml:space="preserve">nowrap </t>
    </r>
    <r>
      <rPr>
        <sz val="10"/>
        <rFont val="Noto Sans CJK SC"/>
        <family val="2"/>
      </rPr>
      <t xml:space="preserve">基礎規則之下：兩者權重相同，靠順序生效（註解記下 </t>
    </r>
    <r>
      <rPr>
        <sz val="10"/>
        <rFont val="Arial"/>
        <family val="0"/>
        <charset val="1"/>
      </rPr>
      <t xml:space="preserve">KPI band </t>
    </r>
    <r>
      <rPr>
        <sz val="10"/>
        <rFont val="Noto Sans CJK SC"/>
        <family val="2"/>
      </rPr>
      <t xml:space="preserve">曾被較高權重壓過而失效的前例）。另加 </t>
    </r>
    <r>
      <rPr>
        <sz val="10"/>
        <rFont val="Arial"/>
        <family val="0"/>
        <charset val="1"/>
      </rPr>
      <t xml:space="preserve">text-spacing-trim: space-all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Chrome </t>
    </r>
    <r>
      <rPr>
        <sz val="10"/>
        <rFont val="Noto Sans CJK SC"/>
        <family val="2"/>
      </rPr>
      <t xml:space="preserve">預設會讓行尾全形「）」半格懸出盒外，造成量測誤判。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</si>
  <si>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</si>
  <si>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e2e tests/e2e/test_def050_panel_sub_wraps_on_phones.py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：驗證者指定的副標題全文可見、不超出視窗、關鍵句在畫面上、頁面無橫捲；</t>
    </r>
    <r>
      <rPr>
        <sz val="10"/>
        <rFont val="Arial"/>
        <family val="0"/>
        <charset val="1"/>
      </rPr>
      <t xml:space="preserve">1440px </t>
    </r>
    <r>
      <rPr>
        <sz val="10"/>
        <rFont val="Noto Sans CJK SC"/>
        <family val="2"/>
      </rPr>
      <t xml:space="preserve">仍一行；全站類別守門，至少量到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個副標題以確保掃描不是空的）；另跑 </t>
    </r>
    <r>
      <rPr>
        <sz val="10"/>
        <rFont val="Arial"/>
        <family val="0"/>
        <charset val="1"/>
      </rPr>
      <t xml:space="preserve">test_no_horizontal_scroll 390px </t>
    </r>
    <r>
      <rPr>
        <sz val="10"/>
        <rFont val="Noto Sans CJK SC"/>
        <family val="2"/>
      </rPr>
      <t xml:space="preserve">通過。變異：放回 </t>
    </r>
    <r>
      <rPr>
        <sz val="10"/>
        <rFont val="Arial"/>
        <family val="0"/>
        <charset val="1"/>
      </rPr>
      <t xml:space="preserve">nowrap → 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849 &lt;= 334</t>
    </r>
    <r>
      <rPr>
        <sz val="10"/>
        <rFont val="Noto Sans CJK SC"/>
        <family val="2"/>
      </rPr>
      <t xml:space="preserve">，全站清單列出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處）；把規則移到基礎規則之前 → 失敗，證明順序就是防線。還原後全過。</t>
    </r>
  </si>
  <si>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390×844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resize_window </t>
    </r>
    <r>
      <rPr>
        <sz val="10"/>
        <rFont val="Noto Sans CJK SC"/>
        <family val="2"/>
      </rPr>
      <t xml:space="preserve">模擬手機）：收件匣 › 待確認退款 量副標題；再以同源 </t>
    </r>
    <r>
      <rPr>
        <sz val="10"/>
        <rFont val="Arial"/>
        <family val="0"/>
        <charset val="1"/>
      </rPr>
      <t xml:space="preserve">iframe 390×844 </t>
    </r>
    <r>
      <rPr>
        <sz val="10"/>
        <rFont val="Noto Sans CJK SC"/>
        <family val="2"/>
      </rPr>
      <t xml:space="preserve">逐頁量測三種標題列副標題（</t>
    </r>
    <r>
      <rPr>
        <sz val="10"/>
        <rFont val="Arial"/>
        <family val="0"/>
        <charset val="1"/>
      </rPr>
      <t xml:space="preserve">.panel-head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.input-toggle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.set-head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.panel-sub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個頁面／分頁（設定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個子分頁以實際 </t>
    </r>
    <r>
      <rPr>
        <sz val="10"/>
        <rFont val="Arial"/>
        <family val="0"/>
        <charset val="1"/>
      </rPr>
      <t xml:space="preserve">hash #accounts…#datasources…#exports </t>
    </r>
    <r>
      <rPr>
        <sz val="10"/>
        <rFont val="Noto Sans CJK SC"/>
        <family val="2"/>
      </rPr>
      <t xml:space="preserve">開啟，並讀取作用中分頁名稱確認不是預設頁）；最後回到桌機寬 </t>
    </r>
    <r>
      <rPr>
        <sz val="10"/>
        <rFont val="Arial"/>
        <family val="0"/>
        <charset val="1"/>
      </rPr>
      <t xml:space="preserve">1307 </t>
    </r>
    <r>
      <rPr>
        <sz val="10"/>
        <rFont val="Noto Sans CJK SC"/>
        <family val="2"/>
      </rPr>
      <t xml:space="preserve">檢查仍為一行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</si>
  <si>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時副標題 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的關鍵句被省略號截掉
假設：①手機寬改為換行、全文可見，桌機維持一行；②只修了收件匣這一處
排除：收件匣該副標題 </t>
    </r>
    <r>
      <rPr>
        <sz val="10"/>
        <rFont val="Arial"/>
        <family val="0"/>
        <charset val="1"/>
      </rPr>
      <t xml:space="preserve">white-space normal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scrollWidth 349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scrollHeight 50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clientHeight 50</t>
    </r>
    <r>
      <rPr>
        <sz val="10"/>
        <rFont val="Noto Sans CJK SC"/>
        <family val="2"/>
      </rPr>
      <t xml:space="preserve">，文字最右緣 </t>
    </r>
    <r>
      <rPr>
        <sz val="10"/>
        <rFont val="Arial"/>
        <family val="0"/>
        <charset val="1"/>
      </rPr>
      <t xml:space="preserve">366.6px</t>
    </r>
    <r>
      <rPr>
        <sz val="10"/>
        <rFont val="Noto Sans CJK SC"/>
        <family val="2"/>
      </rPr>
      <t xml:space="preserve">＜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，截圖可見完整句「…不改變持倉成本與資產損益，但會計入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與含匯兌總損益」；全站掃描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個頁面／分頁（首頁、交易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、收件匣、資金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、標的、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洞察、管線、新聞、資料中心、設定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個可見副標題，被截斷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，每頁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；桌機 </t>
    </r>
    <r>
      <rPr>
        <sz val="10"/>
        <rFont val="Arial"/>
        <family val="0"/>
        <charset val="1"/>
      </rPr>
      <t xml:space="preserve">1307px </t>
    </r>
    <r>
      <rPr>
        <sz val="10"/>
        <rFont val="Noto Sans CJK SC"/>
        <family val="2"/>
      </rPr>
      <t xml:space="preserve">收件匣兩個副標題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、高 </t>
    </r>
    <r>
      <rPr>
        <sz val="10"/>
        <rFont val="Arial"/>
        <family val="0"/>
        <charset val="1"/>
      </rPr>
      <t xml:space="preserve">17px</t>
    </r>
    <r>
      <rPr>
        <sz val="10"/>
        <rFont val="Noto Sans CJK SC"/>
        <family val="2"/>
      </rPr>
      <t xml:space="preserve">（一行）、無截斷。排除②
判定：通過（註：第一次掃描誤用 </t>
    </r>
    <r>
      <rPr>
        <sz val="10"/>
        <rFont val="Arial"/>
        <family val="0"/>
        <charset val="1"/>
      </rPr>
      <t xml:space="preserve">#sources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#export </t>
    </r>
    <r>
      <rPr>
        <sz val="10"/>
        <rFont val="Noto Sans CJK SC"/>
        <family val="2"/>
      </rPr>
      <t xml:space="preserve">兩個不存在的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而落到預設分頁，已以正確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重掃，結果相同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截斷）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styles.css ≤600px </t>
    </r>
    <r>
      <rPr>
        <sz val="10"/>
        <rFont val="Noto Sans CJK SC"/>
        <family val="2"/>
      </rPr>
      <t xml:space="preserve">規則的 </t>
    </r>
    <r>
      <rPr>
        <sz val="10"/>
        <rFont val="Arial"/>
        <family val="0"/>
        <charset val="1"/>
      </rPr>
      <t xml:space="preserve">white-space: normal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nowrap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the refund subtitle is clipped at 390px: {'sw': 853, 'cw': 333, 'ws': 'nowrap'}</t>
    </r>
    <r>
      <rPr>
        <sz val="10"/>
        <rFont val="Noto Sans CJK SC"/>
        <family val="2"/>
      </rPr>
      <t xml:space="preserve">），還原後通過</t>
    </r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</si>
  <si>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</si>
  <si>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r>
      <rPr>
        <sz val="10"/>
        <rFont val="Noto Sans CJK SC"/>
        <family val="2"/>
      </rPr>
      <t xml:space="preserve">同意。同頁的啟用與排程時間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、每日摘要卡的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也是同一種寫法，一併修。</t>
    </r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</si>
  <si>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</si>
  <si>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沒有任何守門檢查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文字。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只會把「整個副行就是錯誤碼」的情況收進提示框，「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」本來就不符合；反過來單獨的 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會被它吞掉，只剩沒有主詞的「已啟用」。新增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守門。</t>
    </r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</si>
  <si>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</si>
  <si>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</si>
  <si>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e2e tests/e2e/test_def051_scheduler_toasts_name_the_job_flow.py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：攔下寫入請求、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編號固定為驗證者的 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；依序驗證市場週報與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立即執行、啟用開關、排程時間編輯、摘要立即產生與啟用；斷言畫面上的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文字）。變異：放回 </t>
    </r>
    <r>
      <rPr>
        <sz val="10"/>
        <rFont val="Arial"/>
        <family val="0"/>
        <charset val="1"/>
      </rPr>
      <t xml:space="preserve">:548 → </t>
    </r>
    <r>
      <rPr>
        <sz val="10"/>
        <rFont val="Noto Sans CJK SC"/>
        <family val="2"/>
      </rPr>
      <t xml:space="preserve">失敗，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逐字為「已排入執行 </t>
    </r>
    <r>
      <rPr>
        <sz val="10"/>
        <rFont val="Arial"/>
        <family val="0"/>
        <charset val="1"/>
      </rPr>
      <t xml:space="preserve">/ insight:1 #180</t>
    </r>
    <r>
      <rPr>
        <sz val="10"/>
        <rFont val="Noto Sans CJK SC"/>
        <family val="2"/>
      </rPr>
      <t xml:space="preserve">」；放回摘要卡 → 「</t>
    </r>
    <r>
      <rPr>
        <sz val="10"/>
        <rFont val="Arial"/>
        <family val="0"/>
        <charset val="1"/>
      </rPr>
      <t xml:space="preserve">digest_daily #12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</si>
  <si>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真實瀏覽器：系統設定 › 排程中心，以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收集所有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列「立即執行」、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列「立即執行」；摘要與通知「每日收盤摘要」開關 關→開；</t>
    </r>
    <r>
      <rPr>
        <sz val="10"/>
        <rFont val="Arial"/>
        <family val="0"/>
        <charset val="1"/>
      </rPr>
      <t xml:space="preserve">backup_daily </t>
    </r>
    <r>
      <rPr>
        <sz val="10"/>
        <rFont val="Noto Sans CJK SC"/>
        <family val="2"/>
      </rPr>
      <t xml:space="preserve">列開關 關→開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</si>
  <si>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為「已排入執行 </t>
    </r>
    <r>
      <rPr>
        <sz val="10"/>
        <rFont val="Arial"/>
        <family val="0"/>
        <charset val="1"/>
      </rPr>
      <t xml:space="preserve">/ insight:7 #180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alert_scan #185</t>
    </r>
    <r>
      <rPr>
        <sz val="10"/>
        <rFont val="Noto Sans CJK SC"/>
        <family val="2"/>
      </rPr>
      <t xml:space="preserve">」
假設：①各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都以畫面名稱為主詞；②只修了立即執行
排除：</t>
    </r>
    <r>
      <rPr>
        <sz val="10"/>
        <rFont val="Arial"/>
        <family val="0"/>
        <charset val="1"/>
      </rPr>
      <t xml:space="preserve">alert_scan →</t>
    </r>
    <r>
      <rPr>
        <sz val="10"/>
        <rFont val="Noto Sans CJK SC"/>
        <family val="2"/>
      </rPr>
      <t xml:space="preserve">「已排入執行　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#193</t>
    </r>
    <r>
      <rPr>
        <sz val="10"/>
        <rFont val="Noto Sans CJK SC"/>
        <family val="2"/>
      </rPr>
      <t xml:space="preserve">）」（</t>
    </r>
    <r>
      <rPr>
        <sz val="10"/>
        <rFont val="Arial"/>
        <family val="0"/>
        <charset val="1"/>
      </rPr>
      <t xml:space="preserve">run #193 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0 dispatched</t>
    </r>
    <r>
      <rPr>
        <sz val="10"/>
        <rFont val="Noto Sans CJK SC"/>
        <family val="2"/>
      </rPr>
      <t xml:space="preserve">，零花費）；</t>
    </r>
    <r>
      <rPr>
        <sz val="10"/>
        <rFont val="Arial"/>
        <family val="0"/>
        <charset val="1"/>
      </rPr>
      <t xml:space="preserve">insight:7 →</t>
    </r>
    <r>
      <rPr>
        <sz val="10"/>
        <rFont val="Noto Sans CJK SC"/>
        <family val="2"/>
      </rPr>
      <t xml:space="preserve">「已排入執行　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#194</t>
    </r>
    <r>
      <rPr>
        <sz val="10"/>
        <rFont val="Noto Sans CJK SC"/>
        <family val="2"/>
      </rPr>
      <t xml:space="preserve">）」；每日收盤摘要開關 →「已停用　每日收盤摘要」「已啟用　每日收盤摘要」（不再只剩「已啟用」）；</t>
    </r>
    <r>
      <rPr>
        <sz val="10"/>
        <rFont val="Arial"/>
        <family val="0"/>
        <charset val="1"/>
      </rPr>
      <t xml:space="preserve">backup_daily </t>
    </r>
    <r>
      <rPr>
        <sz val="10"/>
        <rFont val="Noto Sans CJK SC"/>
        <family val="2"/>
      </rPr>
      <t xml:space="preserve">開關 →「已更新　資料庫備份＋完整性檢查 已停用／已啟用」。全部沒有 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字樣，排除②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settings-scheduler.js:555 toast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j.id + runNo(resp)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文字比對「已排入執行」主詞不符），還原後通過</t>
    </r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</si>
  <si>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</si>
  <si>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r>
      <rPr>
        <sz val="10"/>
        <rFont val="Noto Sans CJK SC"/>
        <family val="2"/>
      </rPr>
      <t xml:space="preserve">未測：摘要「立即產生」與發送時間編輯（前者會寫入摘要紀錄，後者改排程時間；開發者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已涵蓋）</t>
    </r>
  </si>
  <si>
    <r>
      <rPr>
        <sz val="10"/>
        <rFont val="Noto Sans CJK SC"/>
        <family val="2"/>
      </rPr>
      <t xml:space="preserve">同意。列印的帳本報告也沒有費用欄，註腳還寫「公司行動不移動現金」，但這筆行動實際上連帶了 </t>
    </r>
    <r>
      <rPr>
        <sz val="10"/>
        <rFont val="Arial"/>
        <family val="0"/>
        <charset val="1"/>
      </rPr>
      <t xml:space="preserve">50 TWD </t>
    </r>
    <r>
      <rPr>
        <sz val="10"/>
        <rFont val="Noto Sans CJK SC"/>
        <family val="2"/>
      </rPr>
      <t xml:space="preserve">出金，一併修。</t>
    </r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</si>
  <si>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</si>
  <si>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r>
      <rPr>
        <sz val="10"/>
        <rFont val="Noto Sans CJK SC"/>
        <family val="2"/>
      </rPr>
      <t xml:space="preserve">列本身沒有守門。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test_corporate_action_band_restore.py </t>
    </r>
    <r>
      <rPr>
        <sz val="10"/>
        <rFont val="Noto Sans CJK SC"/>
        <family val="2"/>
      </rPr>
      <t xml:space="preserve">只斷言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原始碼裡有 </t>
    </r>
    <r>
      <rPr>
        <sz val="10"/>
        <rFont val="Arial"/>
        <family val="0"/>
        <charset val="1"/>
      </rPr>
      <t xml:space="preserve">"reorg_fee" </t>
    </r>
    <r>
      <rPr>
        <sz val="10"/>
        <rFont val="Noto Sans CJK SC"/>
        <family val="2"/>
      </rPr>
      <t xml:space="preserve">字串，刪除框有讀就滿足，正是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被打回的字串守門盲點。新守門改為斷言渲染結果：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檢查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的徽章文字，契約測試檢查報表 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的儲存格。</t>
    </r>
  </si>
  <si>
    <r>
      <rPr>
        <sz val="10"/>
        <rFont val="Noto Sans CJK SC"/>
        <family val="2"/>
      </rPr>
      <t xml:space="preserve">帳本列在備註前加徽章 </t>
    </r>
    <r>
      <rPr>
        <sz val="10"/>
        <rFont val="Arial"/>
        <family val="0"/>
        <charset val="1"/>
      </rPr>
      <t xml:space="preserve">.ledger-reorg-fee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」（金額是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字串，只經 </t>
    </r>
    <r>
      <rPr>
        <sz val="10"/>
        <rFont val="Arial"/>
        <family val="0"/>
        <charset val="1"/>
      </rPr>
      <t xml:space="preserve">f.money </t>
    </r>
    <r>
      <rPr>
        <sz val="10"/>
        <rFont val="Noto Sans CJK SC"/>
        <family val="2"/>
      </rPr>
      <t xml:space="preserve">格式化，前端不計算）；列印報表公司行動表新增「重組費用」欄（無費用印「—」），註腳改為「費用已記在資金收支，此欄只標示連結、不另計合計」，避免同一筆錢算兩次。</t>
    </r>
  </si>
  <si>
    <r>
      <rPr>
        <sz val="10"/>
        <rFont val="Noto Sans CJK SC"/>
        <family val="2"/>
      </rPr>
      <t xml:space="preserve">公司行動列表 </t>
    </r>
    <r>
      <rPr>
        <sz val="10"/>
        <rFont val="Arial"/>
        <family val="0"/>
        <charset val="1"/>
      </rPr>
      <t xml:space="preserve">wire 23 </t>
    </r>
    <r>
      <rPr>
        <sz val="10"/>
        <rFont val="Noto Sans CJK SC"/>
        <family val="2"/>
      </rPr>
      <t xml:space="preserve">個欄位中「只在對話框、不在列上」共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，唯一的金額欄）／白名單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band_move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band_restore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weight_move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weight_restore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為刪除後果預告；</t>
    </r>
    <r>
      <rPr>
        <sz val="10"/>
        <rFont val="Arial"/>
        <family val="0"/>
        <charset val="1"/>
      </rPr>
      <t xml:space="preserve">ccy </t>
    </r>
    <r>
      <rPr>
        <sz val="10"/>
        <rFont val="Noto Sans CJK SC"/>
        <family val="2"/>
      </rPr>
      <t xml:space="preserve">已含在徽章；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為機器代碼，列上顯示 </t>
    </r>
    <r>
      <rPr>
        <sz val="10"/>
        <rFont val="Arial"/>
        <family val="0"/>
        <charset val="1"/>
      </rPr>
      <t xml:space="preserve">kind_label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ratio_from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ratio_to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ratio_label </t>
    </r>
    <r>
      <rPr>
        <sz val="10"/>
        <rFont val="Noto Sans CJK SC"/>
        <family val="2"/>
      </rPr>
      <t xml:space="preserve">顯示）。列印報表未印欄位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band_move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weight_move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child_seed</t>
    </r>
    <r>
      <rPr>
        <sz val="10"/>
        <rFont val="Noto Sans CJK SC"/>
        <family val="2"/>
      </rPr>
      <t xml:space="preserve">，存檔副作用紀錄，非帳本內容）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</si>
  <si>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tests/contract/test_def052_reorg_fee_on_the_action_row.py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test_def052_the_action_row_shows_its_reorganisation_fee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上皆失敗。變異（報表費用設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、徽章條件設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）→ 兩則都失敗：「</t>
    </r>
    <r>
      <rPr>
        <sz val="10"/>
        <rFont val="Arial"/>
        <family val="0"/>
        <charset val="1"/>
      </rPr>
      <t xml:space="preserve">AssertionError: [… '1 → 2', '—', …]</t>
    </r>
    <r>
      <rPr>
        <sz val="10"/>
        <rFont val="Noto Sans CJK SC"/>
        <family val="2"/>
      </rPr>
      <t xml:space="preserve">」、「</t>
    </r>
    <r>
      <rPr>
        <sz val="10"/>
        <rFont val="Arial"/>
        <family val="0"/>
        <charset val="1"/>
      </rPr>
      <t xml:space="preserve">expected to have text '</t>
    </r>
    <r>
      <rPr>
        <sz val="10"/>
        <rFont val="Noto Sans CJK SC"/>
        <family val="2"/>
      </rPr>
      <t xml:space="preserve">重組費用 </t>
    </r>
    <r>
      <rPr>
        <sz val="10"/>
        <rFont val="Arial"/>
        <family val="0"/>
        <charset val="1"/>
      </rPr>
      <t xml:space="preserve">50 TWD' / element(s) not found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</si>
  <si>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公司行動 ›「＋補登公司行動」台灣券商 </t>
    </r>
    <r>
      <rPr>
        <sz val="10"/>
        <rFont val="Arial"/>
        <family val="0"/>
        <charset val="1"/>
      </rPr>
      <t xml:space="preserve">2884 2026-09-24 </t>
    </r>
    <r>
      <rPr>
        <sz val="10"/>
        <rFont val="Noto Sans CJK SC"/>
        <family val="2"/>
      </rPr>
      <t xml:space="preserve">分割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、備註「</t>
    </r>
    <r>
      <rPr>
        <sz val="10"/>
        <rFont val="Arial"/>
        <family val="0"/>
        <charset val="1"/>
      </rPr>
      <t xml:space="preserve">QA R4 DEF-052</t>
    </r>
    <r>
      <rPr>
        <sz val="10"/>
        <rFont val="Noto Sans CJK SC"/>
        <family val="2"/>
      </rPr>
      <t xml:space="preserve">」、重組費用 </t>
    </r>
    <r>
      <rPr>
        <sz val="10"/>
        <rFont val="Arial"/>
        <family val="0"/>
        <charset val="1"/>
      </rPr>
      <t xml:space="preserve">50 → </t>
    </r>
    <r>
      <rPr>
        <sz val="10"/>
        <rFont val="Noto Sans CJK SC"/>
        <family val="2"/>
      </rPr>
      <t xml:space="preserve">登錄（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）→ 看帳本列 → 「下載帳本報告」（攔截 </t>
    </r>
    <r>
      <rPr>
        <sz val="10"/>
        <rFont val="Arial"/>
        <family val="0"/>
        <charset val="1"/>
      </rPr>
      <t xml:space="preserve">blob </t>
    </r>
    <r>
      <rPr>
        <sz val="10"/>
        <rFont val="Noto Sans CJK SC"/>
        <family val="2"/>
      </rPr>
      <t xml:space="preserve">不落地）解析 </t>
    </r>
    <r>
      <rPr>
        <sz val="10"/>
        <rFont val="Arial"/>
        <family val="0"/>
        <charset val="1"/>
      </rPr>
      <t xml:space="preserve">HTML → </t>
    </r>
    <r>
      <rPr>
        <sz val="10"/>
        <rFont val="Noto Sans CJK SC"/>
        <family val="2"/>
      </rPr>
      <t xml:space="preserve">刪除 </t>
    </r>
    <r>
      <rPr>
        <sz val="10"/>
        <rFont val="Arial"/>
        <family val="0"/>
        <charset val="1"/>
      </rPr>
      <t xml:space="preserve">#22</t>
    </r>
    <r>
      <rPr>
        <sz val="10"/>
        <rFont val="Noto Sans CJK SC"/>
        <family val="2"/>
      </rPr>
      <t xml:space="preserve">（確認框）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</si>
  <si>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時帳本列不顯示連帶的重組費用，列印報告沒有費用欄且註腳寫「公司行動不移動現金」
假設：①列上有徽章、報告有欄位且註腳改寫；②只改了其中一處
排除：試算「✓ 成本不變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API reorg_fee {movement_id 53,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50 TWD,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2026-09-24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</t>
    </r>
    <r>
      <rPr>
        <sz val="10"/>
        <rFont val="Noto Sans CJK SC"/>
        <family val="2"/>
      </rPr>
      <t xml:space="preserve">；帳本列「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台灣券商 分割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—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 — 重組費用 </t>
    </r>
    <r>
      <rPr>
        <sz val="10"/>
        <rFont val="Arial"/>
        <family val="0"/>
        <charset val="1"/>
      </rPr>
      <t xml:space="preserve">50 TWD QA R4 DEF-052</t>
    </r>
    <r>
      <rPr>
        <sz val="10"/>
        <rFont val="Noto Sans CJK SC"/>
        <family val="2"/>
      </rPr>
      <t xml:space="preserve">」，徽章元素 </t>
    </r>
    <r>
      <rPr>
        <sz val="10"/>
        <rFont val="Arial"/>
        <family val="0"/>
        <charset val="1"/>
      </rPr>
      <t xml:space="preserve">.ledger-reorg-fee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」；報告 </t>
    </r>
    <r>
      <rPr>
        <sz val="10"/>
        <rFont val="Arial"/>
        <family val="0"/>
        <charset val="1"/>
      </rPr>
      <t xml:space="preserve">ledger-report-20260925-0744.html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41,993 bytes</t>
    </r>
    <r>
      <rPr>
        <sz val="10"/>
        <rFont val="Noto Sans CJK SC"/>
        <family val="2"/>
      </rPr>
      <t xml:space="preserve">）公司行動表頭「日期／帳戶／類型／代號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名稱／比例（原 → 新）／成本分攤／重組費用／備註」，列「…</t>
    </r>
    <r>
      <rPr>
        <sz val="10"/>
        <rFont val="Arial"/>
        <family val="0"/>
        <charset val="1"/>
      </rPr>
      <t xml:space="preserve">1 → 2 — 50 TWD QA R4 DEF-052</t>
    </r>
    <r>
      <rPr>
        <sz val="10"/>
        <rFont val="Noto Sans CJK SC"/>
        <family val="2"/>
      </rPr>
      <t xml:space="preserve">」，註腳「公司行動本身不移動現金，故本節無金額合計；連帶的重組費用已記在「資金收支」（出金），此欄僅標示連結、不另計合計」，舊句「公司行動不移動現金」已不存在；資金收支節含「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台灣券商 出金 </t>
    </r>
    <r>
      <rPr>
        <sz val="10"/>
        <rFont val="Arial"/>
        <family val="0"/>
        <charset val="1"/>
      </rPr>
      <t xml:space="preserve">-50 TWD </t>
    </r>
    <r>
      <rPr>
        <sz val="10"/>
        <rFont val="Noto Sans CJK SC"/>
        <family val="2"/>
      </rPr>
      <t xml:space="preserve">重組費用 </t>
    </r>
    <r>
      <rPr>
        <sz val="10"/>
        <rFont val="Arial"/>
        <family val="0"/>
        <charset val="1"/>
      </rPr>
      <t xml:space="preserve">2884 2026-09-24</t>
    </r>
    <r>
      <rPr>
        <sz val="10"/>
        <rFont val="Noto Sans CJK SC"/>
        <family val="2"/>
      </rPr>
      <t xml:space="preserve">」。刪除確認框「…會一併刪除這筆行動的重組費用出金：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（台灣券商）」。排除②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公司行動表拿掉重組費用儲存格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'' == '50 TWD'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</si>
  <si>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帳本列徽章、報告欄位與註腳皆在；刪除後 </t>
    </r>
    <r>
      <rPr>
        <sz val="10"/>
        <rFont val="Arial"/>
        <family val="0"/>
        <charset val="1"/>
      </rPr>
      <t xml:space="preserve">cmp R4_FX same:true</t>
    </r>
    <r>
      <rPr>
        <sz val="10"/>
        <rFont val="Noto Sans CJK SC"/>
        <family val="2"/>
      </rPr>
      <t xml:space="preserve">（公司行動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、資金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</si>
  <si>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同意。類別掃描另找到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處同類，其中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閘門訊息把範圍識別字原樣插入（「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變數 … 不可用於 </t>
    </r>
    <r>
      <rPr>
        <sz val="10"/>
        <rFont val="Arial"/>
        <family val="0"/>
        <charset val="1"/>
      </rPr>
      <t xml:space="preserve">portfolio </t>
    </r>
    <r>
      <rPr>
        <sz val="10"/>
        <rFont val="Noto Sans CJK SC"/>
        <family val="2"/>
      </rPr>
      <t xml:space="preserve">範圍組合」），一併修。</t>
    </r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</si>
  <si>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</si>
  <si>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沒有守門。既有的 </t>
    </r>
    <r>
      <rPr>
        <sz val="10"/>
        <rFont val="Arial"/>
        <family val="0"/>
        <charset val="1"/>
      </rPr>
      <t xml:space="preserve">test_user_messages_are_zh_tw.py </t>
    </r>
    <r>
      <rPr>
        <sz val="10"/>
        <rFont val="Noto Sans CJK SC"/>
        <family val="2"/>
      </rPr>
      <t xml:space="preserve">只檢查訊息是否含中文，中文句子夾英文識別字照樣過關。新增行為測試，加上只看「使用者看得到的字串」的類別禁令（不會誤判程式碼裡的識別字）。</t>
    </r>
  </si>
  <si>
    <r>
      <rPr>
        <sz val="10"/>
        <rFont val="Noto Sans CJK SC"/>
        <family val="2"/>
      </rPr>
      <t xml:space="preserve">精靈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改為「預警觸發任務預設停用，確認監聽規則後再啟用」；同類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處全部改成精靈按鈕上的中文用語（「單一標的」「全組合」「預警觸發」等），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閘門新增範圍的中文對照表，不再插入原始識別字。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</si>
  <si>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</si>
  <si>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tests/contract/test_def053_no_scope_identifiers_in_user_text.py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：掃描器會咬修前原句；不誤判程式識別字；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與後端類別禁令；行為測試——真實草稿乾跑的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訊息、已存任務的節點文字、預警觸發任務排程的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訊息、變數說明）、</t>
    </r>
    <r>
      <rPr>
        <sz val="10"/>
        <rFont val="Arial"/>
        <family val="0"/>
        <charset val="1"/>
      </rPr>
      <t xml:space="preserve">e2e test_def053_wizard_toast_flow.py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：照驗證者路徑建立預警觸發任務，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與整頁文字不得出現識別字）。變異：放回精靈原句 →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失敗（「風險解讀：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任務預設停用…」）＋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禁令點名 </t>
    </r>
    <r>
      <rPr>
        <sz val="10"/>
        <rFont val="Arial"/>
        <family val="0"/>
        <charset val="1"/>
      </rPr>
      <t xml:space="preserve">pipeline-wizard.js</t>
    </r>
    <r>
      <rPr>
        <sz val="10"/>
        <rFont val="Noto Sans CJK SC"/>
        <family val="2"/>
      </rPr>
      <t xml:space="preserve">；放回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原句 → 後端禁令與行為測試失敗。還原後全過。</t>
    </r>
  </si>
  <si>
    <r>
      <rPr>
        <sz val="10"/>
        <rFont val="Noto Sans CJK SC"/>
        <family val="2"/>
      </rPr>
      <t xml:space="preserve">真實瀏覽器：洞察管線 › ＋新增洞察任務 → 觸發「預警觸發」→ 範圍 → 組裝勾「持倉週報策略」→ 確認：命名「</t>
    </r>
    <r>
      <rPr>
        <sz val="10"/>
        <rFont val="Arial"/>
        <family val="0"/>
        <charset val="1"/>
      </rPr>
      <t xml:space="preserve">QA R4 DEF-053 </t>
    </r>
    <r>
      <rPr>
        <sz val="10"/>
        <rFont val="Noto Sans CJK SC"/>
        <family val="2"/>
      </rPr>
      <t xml:space="preserve">暫存任務」、取消自我校正 → 乾跑預檢並建立（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，預設停用）→ 讀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與預檢框 → 抽屜「刪除任務」→ 確認刪除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</si>
  <si>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為「…：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任務預設停用，確認監聽規則後再啟用」
假設：①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與同類訊息都用畫面上的中文用語；②只改了 </t>
    </r>
    <r>
      <rPr>
        <sz val="10"/>
        <rFont val="Arial"/>
        <family val="0"/>
        <charset val="1"/>
      </rPr>
      <t xml:space="preserve">toast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「已建立洞察任務　</t>
    </r>
    <r>
      <rPr>
        <sz val="10"/>
        <rFont val="Arial"/>
        <family val="0"/>
        <charset val="1"/>
      </rPr>
      <t xml:space="preserve">QA R4 DEF-053 </t>
    </r>
    <r>
      <rPr>
        <sz val="10"/>
        <rFont val="Noto Sans CJK SC"/>
        <family val="2"/>
      </rPr>
      <t xml:space="preserve">暫存任務：預警觸發任務預設停用，確認監聽規則後再啟用」；組裝步驟的範圍標示為「全組合」「單一標的」「含單一標的變數，需任務範圍為「單一標的」」；乾跑預檢框（</t>
    </r>
    <r>
      <rPr>
        <sz val="10"/>
        <rFont val="Arial"/>
        <family val="0"/>
        <charset val="1"/>
      </rPr>
      <t xml:space="preserve">G0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）與整頁文字以 </t>
    </r>
    <r>
      <rPr>
        <sz val="10"/>
        <rFont val="Arial"/>
        <family val="0"/>
        <charset val="1"/>
      </rPr>
      <t xml:space="preserve">/[a-z]+_[a-z_]+/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個識別字；刪除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「已刪除　</t>
    </r>
    <r>
      <rPr>
        <sz val="10"/>
        <rFont val="Arial"/>
        <family val="0"/>
        <charset val="1"/>
      </rPr>
      <t xml:space="preserve">QA R4 DEF-053 </t>
    </r>
    <r>
      <rPr>
        <sz val="10"/>
        <rFont val="Noto Sans CJK SC"/>
        <family val="2"/>
      </rPr>
      <t xml:space="preserve">暫存任務：排程已同步移除、校正鏈封存」。排除②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閘門訊息改回插入原始範圍 </t>
    </r>
    <r>
      <rPr>
        <sz val="10"/>
        <rFont val="Arial"/>
        <family val="0"/>
        <charset val="1"/>
      </rPr>
      <t xml:space="preserve">id → 1 failed</t>
    </r>
    <r>
      <rPr>
        <sz val="10"/>
        <rFont val="Noto Sans CJK SC"/>
        <family val="2"/>
      </rPr>
      <t xml:space="preserve">（「…不可用於範圍為「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」的任務」被攔（應為「全組合」）），還原後通過</t>
    </r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</si>
  <si>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</si>
  <si>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r>
      <rPr>
        <sz val="10"/>
        <rFont val="Noto Sans CJK SC"/>
        <family val="2"/>
      </rPr>
      <t xml:space="preserve">新增：同一精靈「觸發」步驟的監聽規則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個勾選框中有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個直接顯示規則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vol_spike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consensus_change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web/pipeline-wizard.js:23-29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ruleLabel() </t>
    </r>
    <r>
      <rPr>
        <sz val="10"/>
        <rFont val="Noto Sans CJK SC"/>
        <family val="2"/>
      </rPr>
      <t xml:space="preserve">查不到就回傳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；設定 › 預警規則（</t>
    </r>
    <r>
      <rPr>
        <sz val="10"/>
        <rFont val="Arial"/>
        <family val="0"/>
        <charset val="1"/>
      </rPr>
      <t xml:space="preserve">settings-alerts.js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條都有中文名。開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（低）。本輪 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的同類掃描只涵蓋「範圍」識別字。不可回復的痕跡：任務 </t>
    </r>
    <r>
      <rPr>
        <sz val="10"/>
        <rFont val="Arial"/>
        <family val="0"/>
        <charset val="1"/>
      </rPr>
      <t xml:space="preserve">#12 </t>
    </r>
    <r>
      <rPr>
        <sz val="10"/>
        <rFont val="Noto Sans CJK SC"/>
        <family val="2"/>
      </rPr>
      <t xml:space="preserve">以封存列保留（與 </t>
    </r>
    <r>
      <rPr>
        <sz val="10"/>
        <rFont val="Arial"/>
        <family val="0"/>
        <charset val="1"/>
      </rPr>
      <t xml:space="preserve">R1 H-04 </t>
    </r>
    <r>
      <rPr>
        <sz val="10"/>
        <rFont val="Noto Sans CJK SC"/>
        <family val="2"/>
      </rPr>
      <t xml:space="preserve">相同）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</si>
  <si>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裁定刪除。刪除前先以內容（代號、標題、日期）從資料庫重新確認對象，不以編號為準。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</si>
  <si>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</si>
  <si>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資料殘留，無守門可攔；產生它的程式路徑已於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修正並有守門（</t>
    </r>
    <r>
      <rPr>
        <sz val="10"/>
        <rFont val="Arial"/>
        <family val="0"/>
        <charset val="1"/>
      </rPr>
      <t xml:space="preserve">DEF-041 </t>
    </r>
    <r>
      <rPr>
        <sz val="10"/>
        <rFont val="Noto Sans CJK SC"/>
        <family val="2"/>
      </rPr>
      <t xml:space="preserve">只對持倉標的產卡；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的刪除腳本拒絕刪除代號為已註冊標的的卡）。</t>
    </r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</si>
  <si>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scripts/delete_insight_cards.py </t>
    </r>
    <r>
      <rPr>
        <sz val="10"/>
        <rFont val="Noto Sans CJK SC"/>
        <family val="2"/>
      </rPr>
      <t xml:space="preserve">刪除（先備份）：試跑確認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symbol moomoo_my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交易暫停」、依附評分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--apply --reason "DEF-054 owner ruling 2026-09-24" → </t>
    </r>
    <r>
      <rPr>
        <sz val="10"/>
        <rFont val="Noto Sans CJK SC"/>
        <family val="2"/>
      </rPr>
      <t xml:space="preserve">卡與評分共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列刪除，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留存原始內容，</t>
    </r>
    <r>
      <rPr>
        <sz val="10"/>
        <rFont val="Arial"/>
        <family val="0"/>
        <charset val="1"/>
      </rPr>
      <t xml:space="preserve">action_log #1358 </t>
    </r>
    <r>
      <rPr>
        <sz val="10"/>
        <rFont val="Noto Sans CJK SC"/>
        <family val="2"/>
      </rPr>
      <t xml:space="preserve">記錄；重跑為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</si>
  <si>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</si>
  <si>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r>
      <rPr>
        <sz val="10"/>
        <rFont val="Noto Sans CJK SC"/>
        <family val="2"/>
      </rPr>
      <t xml:space="preserve">腳本本身的單元測試沿用 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tests/scripts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驗證：刪除後 </t>
    </r>
    <r>
      <rPr>
        <sz val="10"/>
        <rFont val="Arial"/>
        <family val="0"/>
        <charset val="1"/>
      </rPr>
      <t xml:space="preserve">insights WHERE id=97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insight_evaluations WHERE id=65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代號卡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</si>
  <si>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真實瀏覽器讀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全量（</t>
    </r>
    <r>
      <rPr>
        <sz val="10"/>
        <rFont val="Arial"/>
        <family val="0"/>
        <charset val="1"/>
      </rPr>
      <t xml:space="preserve">limit 300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洞察頁以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搜尋卡片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</si>
  <si>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 moomoo_my</t>
    </r>
    <r>
      <rPr>
        <sz val="10"/>
        <rFont val="Noto Sans CJK SC"/>
        <family val="2"/>
      </rPr>
      <t xml:space="preserve">）仍在持倉健診
假設：①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與其評分 </t>
    </r>
    <r>
      <rPr>
        <sz val="10"/>
        <rFont val="Arial"/>
        <family val="0"/>
        <charset val="1"/>
      </rPr>
      <t xml:space="preserve">#65 </t>
    </r>
    <r>
      <rPr>
        <sz val="10"/>
        <rFont val="Noto Sans CJK SC"/>
        <family val="2"/>
      </rPr>
      <t xml:space="preserve">已刪、其他卡不受影響；②刪錯對象或連帶刪到其他卡
排除：全量 </t>
    </r>
    <r>
      <rPr>
        <sz val="10"/>
        <rFont val="Arial"/>
        <family val="0"/>
        <charset val="1"/>
      </rPr>
      <t xml:space="preserve">204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開始 </t>
    </r>
    <r>
      <rPr>
        <sz val="10"/>
        <rFont val="Arial"/>
        <family val="0"/>
        <charset val="1"/>
      </rPr>
      <t xml:space="preserve">201 </t>
    </r>
    <r>
      <rPr>
        <sz val="10"/>
        <rFont val="Noto Sans CJK SC"/>
        <family val="2"/>
      </rPr>
      <t xml:space="preserve">張＋本輪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產生的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），無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#96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#98 </t>
    </r>
    <r>
      <rPr>
        <sz val="10"/>
        <rFont val="Noto Sans CJK SC"/>
        <family val="2"/>
      </rPr>
      <t xml:space="preserve">仍在；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或標題含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不再含 </t>
    </r>
    <r>
      <rPr>
        <sz val="10"/>
        <rFont val="Arial"/>
        <family val="0"/>
        <charset val="1"/>
      </rPr>
      <t xml:space="preserve">insight_id 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totals n 94</t>
    </r>
    <r>
      <rPr>
        <sz val="10"/>
        <rFont val="Noto Sans CJK SC"/>
        <family val="2"/>
      </rPr>
      <t xml:space="preserve">、量化命中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、失誤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、平均敘事 </t>
    </r>
    <r>
      <rPr>
        <sz val="10"/>
        <rFont val="Arial"/>
        <family val="0"/>
        <charset val="1"/>
      </rPr>
      <t xml:space="preserve">77.63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R1 G-07 </t>
    </r>
    <r>
      <rPr>
        <sz val="10"/>
        <rFont val="Noto Sans CJK SC"/>
        <family val="2"/>
      </rPr>
      <t xml:space="preserve">後相同（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當時為 </t>
    </r>
    <r>
      <rPr>
        <sz val="10"/>
        <rFont val="Arial"/>
        <family val="0"/>
        <charset val="1"/>
      </rPr>
      <t xml:space="preserve">pending_data</t>
    </r>
    <r>
      <rPr>
        <sz val="10"/>
        <rFont val="Noto Sans CJK SC"/>
        <family val="2"/>
      </rPr>
      <t xml:space="preserve">，不計入 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），排除②
判定：通過
變異：不適用（純資料清理，無程式變更）；以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全量讀取確認</t>
    </r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</si>
  <si>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</si>
  <si>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同意。編輯 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（快照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、費用 </t>
    </r>
    <r>
      <rPr>
        <sz val="10"/>
        <rFont val="Arial"/>
        <family val="0"/>
        <charset val="1"/>
      </rPr>
      <t xml:space="preserve">285</t>
    </r>
    <r>
      <rPr>
        <sz val="10"/>
        <rFont val="Noto Sans CJK SC"/>
        <family val="2"/>
      </rPr>
      <t xml:space="preserve">）時預覽依目前規則（先收後退、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）預估 </t>
    </r>
    <r>
      <rPr>
        <sz val="10"/>
        <rFont val="Arial"/>
        <family val="0"/>
        <charset val="1"/>
      </rPr>
      <t xml:space="preserve">285×0.77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，違反 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「已打折不預估」；畫面雖未顯示，但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預覽與儲存後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的答案不一致。資料面依裁定以 </t>
    </r>
    <r>
      <rPr>
        <sz val="10"/>
        <rFont val="Arial"/>
        <family val="0"/>
        <charset val="1"/>
      </rPr>
      <t xml:space="preserve">--scope all </t>
    </r>
    <r>
      <rPr>
        <sz val="10"/>
        <rFont val="Noto Sans CJK SC"/>
        <family val="2"/>
      </rPr>
      <t xml:space="preserve">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</si>
  <si>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</si>
  <si>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</si>
  <si>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input_center.py::_charged_discount(rule, replacing, body)</t>
    </r>
    <r>
      <rPr>
        <sz val="10"/>
        <rFont val="Noto Sans CJK SC"/>
        <family val="2"/>
      </rPr>
      <t xml:space="preserve">，原則「折扣屬於這筆費用，不屬於帳戶或今天的規則」：新草稿用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；更正且沿用原費用用 </t>
    </r>
    <r>
      <rPr>
        <sz val="10"/>
        <rFont val="Arial"/>
        <family val="0"/>
        <charset val="1"/>
      </rPr>
      <t xml:space="preserve">booked_discount(</t>
    </r>
    <r>
      <rPr>
        <sz val="10"/>
        <rFont val="Noto Sans CJK SC"/>
        <family val="2"/>
      </rPr>
      <t xml:space="preserve">被取代列快照</t>
    </r>
    <r>
      <rPr>
        <sz val="10"/>
        <rFont val="Arial"/>
        <family val="0"/>
        <charset val="1"/>
      </rPr>
      <t xml:space="preserve">, fallback=rule.discount)</t>
    </r>
    <r>
      <rPr>
        <sz val="10"/>
        <rFont val="Noto Sans CJK SC"/>
        <family val="2"/>
      </rPr>
      <t xml:space="preserve">（正是儲存後會讀到的值）；更正但由引擎重算費用用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會寫今天的快照）。換帳戶但沿用原費用時仍看原快照（那筆錢當初已打折，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也保留原快照）。資料：</t>
    </r>
    <r>
      <rPr>
        <sz val="10"/>
        <rFont val="Arial"/>
        <family val="0"/>
        <charset val="1"/>
      </rPr>
      <t xml:space="preserve">scripts/clean_rebate_snapshots.py --scope all </t>
    </r>
    <r>
      <rPr>
        <sz val="10"/>
        <rFont val="Noto Sans CJK SC"/>
        <family val="2"/>
      </rPr>
      <t xml:space="preserve">已在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（先備份，見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</si>
  <si>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Noto Sans CJK SC"/>
        <family val="2"/>
      </rPr>
      <t xml:space="preserve">退款預估呼叫點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（預覽：拆成新草稿、更正沿用原費用、更正重算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種輸入）／白名單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api/rebates.py:277-280 </t>
    </r>
    <r>
      <rPr>
        <sz val="10"/>
        <rFont val="Noto Sans CJK SC"/>
        <family val="2"/>
      </rPr>
      <t xml:space="preserve">逐筆已存交易本就讀自身快照；</t>
    </r>
    <r>
      <rPr>
        <sz val="10"/>
        <rFont val="Arial"/>
        <family val="0"/>
        <charset val="1"/>
      </rPr>
      <t xml:space="preserve">strategy/rebalance.py:404 </t>
    </r>
    <r>
      <rPr>
        <sz val="10"/>
        <rFont val="Noto Sans CJK SC"/>
        <family val="2"/>
      </rPr>
      <t xml:space="preserve">再平衡為假想交易腿、無已存費用）；只渲染伺服器值、不計算：</t>
    </r>
    <r>
      <rPr>
        <sz val="10"/>
        <rFont val="Arial"/>
        <family val="0"/>
        <charset val="1"/>
      </rPr>
      <t xml:space="preserve">web/input.js:629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web/rebalance.js:426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export/rebalance_report.py:283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</si>
  <si>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tests/api/test_def055_edit_preview_reads_the_replaced_snapshot.py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種快照形態參數化驗「預覽＝儲存後 </t>
    </r>
    <r>
      <rPr>
        <sz val="10"/>
        <rFont val="Arial"/>
        <family val="0"/>
        <charset val="1"/>
      </rPr>
      <t xml:space="preserve">/api/rebates</t>
    </r>
    <r>
      <rPr>
        <sz val="10"/>
        <rFont val="Noto Sans CJK SC"/>
        <family val="2"/>
      </rPr>
      <t xml:space="preserve">」、更正重算 </t>
    </r>
    <r>
      <rPr>
        <sz val="10"/>
        <rFont val="Arial"/>
        <family val="0"/>
        <charset val="1"/>
      </rPr>
      <t xml:space="preserve">1097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1097</t>
    </r>
    <r>
      <rPr>
        <sz val="10"/>
        <rFont val="Noto Sans CJK SC"/>
        <family val="2"/>
      </rPr>
      <t xml:space="preserve">、新草稿維持 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tests/scripts/test_clean_rebate_snapshots.py 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不選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形態、</t>
    </r>
    <r>
      <rPr>
        <sz val="10"/>
        <rFont val="Arial"/>
        <family val="0"/>
        <charset val="1"/>
      </rPr>
      <t xml:space="preserve">--scope all </t>
    </r>
    <r>
      <rPr>
        <sz val="10"/>
        <rFont val="Noto Sans CJK SC"/>
        <family val="2"/>
      </rPr>
      <t xml:space="preserve">只清這兩列）。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則失敗：</t>
    </r>
    <r>
      <rPr>
        <sz val="10"/>
        <rFont val="Arial"/>
        <family val="0"/>
        <charset val="1"/>
      </rPr>
      <t xml:space="preserve">[discounted-cleaned(#29)]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[discounted-uncleaned(#33,#44)]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'219' == None</t>
    </r>
    <r>
      <rPr>
        <sz val="10"/>
        <rFont val="Noto Sans CJK SC"/>
        <family val="2"/>
      </rPr>
      <t xml:space="preserve">」。變異（</t>
    </r>
    <r>
      <rPr>
        <sz val="10"/>
        <rFont val="Arial"/>
        <family val="0"/>
        <charset val="1"/>
      </rPr>
      <t xml:space="preserve">_charged_discount </t>
    </r>
    <r>
      <rPr>
        <sz val="10"/>
        <rFont val="Noto Sans CJK SC"/>
        <family val="2"/>
      </rPr>
      <t xml:space="preserve">一律回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）→ 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則失敗。還原後全過。</t>
    </r>
  </si>
  <si>
    <r>
      <rPr>
        <sz val="10"/>
        <rFont val="Noto Sans CJK SC"/>
        <family val="2"/>
      </rPr>
      <t xml:space="preserve">真實瀏覽器：讀交易帳本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fee_snapshot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與全部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列）與 </t>
    </r>
    <r>
      <rPr>
        <sz val="10"/>
        <rFont val="Arial"/>
        <family val="0"/>
        <charset val="1"/>
      </rPr>
      <t xml:space="preserve">/api/rebates</t>
    </r>
    <r>
      <rPr>
        <sz val="10"/>
        <rFont val="Noto Sans CJK SC"/>
        <family val="2"/>
      </rPr>
      <t xml:space="preserve">；交易帳本 › 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2026-07-21 8299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）按「編輯」開框，讀 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回應後按取消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</si>
  <si>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快照仍為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，編輯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預覽回 </t>
    </r>
    <r>
      <rPr>
        <sz val="10"/>
        <rFont val="Arial"/>
        <family val="0"/>
        <charset val="1"/>
      </rPr>
      <t xml:space="preserve">rebate_estimate "219"
</t>
    </r>
    <r>
      <rPr>
        <sz val="10"/>
        <rFont val="Noto Sans CJK SC"/>
        <family val="2"/>
      </rPr>
      <t xml:space="preserve">假設：①資料已清且預覽改讀原列快照；②只清資料、預覽未改
排除：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rebate_rate "0"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rebate_rate_was "0.77"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cleaned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）…（</t>
    </r>
    <r>
      <rPr>
        <sz val="10"/>
        <rFont val="Arial"/>
        <family val="0"/>
        <charset val="1"/>
      </rPr>
      <t xml:space="preserve">2026-09-25T04:04:10</t>
    </r>
    <r>
      <rPr>
        <sz val="10"/>
        <rFont val="Noto Sans CJK SC"/>
        <family val="2"/>
      </rPr>
      <t xml:space="preserve">）」；全部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列中「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＜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rebate_rate</t>
    </r>
    <r>
      <rPr>
        <sz val="10"/>
        <rFont val="Noto Sans CJK SC"/>
        <family val="2"/>
      </rPr>
      <t xml:space="preserve">＞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」的列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三個月（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</t>
    </r>
    <r>
      <rPr>
        <sz val="10"/>
        <rFont val="Noto Sans CJK SC"/>
        <family val="2"/>
      </rPr>
      <t xml:space="preserve">）不含 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8299 07-21 285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；編輯 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開框的預覽回應 </t>
    </r>
    <r>
      <rPr>
        <sz val="10"/>
        <rFont val="Arial"/>
        <family val="0"/>
        <charset val="1"/>
      </rPr>
      <t xml:space="preserve">{fee "285", fee_overridden true, rebate_estimate null, issues []}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"219"</t>
    </r>
    <r>
      <rPr>
        <sz val="10"/>
        <rFont val="Noto Sans CJK SC"/>
        <family val="2"/>
      </rPr>
      <t xml:space="preserve">），排除②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_charged_discount </t>
    </r>
    <r>
      <rPr>
        <sz val="10"/>
        <rFont val="Noto Sans CJK SC"/>
        <family val="2"/>
      </rPr>
      <t xml:space="preserve">的「更正沿用原費用 → 讀原列快照」分支停用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'219' == None</t>
    </r>
    <r>
      <rPr>
        <sz val="10"/>
        <rFont val="Noto Sans CJK SC"/>
        <family val="2"/>
      </rPr>
      <t xml:space="preserve">（正是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量到的 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）），還原後通過</t>
    </r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</si>
  <si>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</si>
  <si>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）實作；影響範圍比登記的大。在 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、估值日 </t>
    </r>
    <r>
      <rPr>
        <sz val="10"/>
        <rFont val="Arial"/>
        <family val="0"/>
        <charset val="1"/>
      </rPr>
      <t xml:space="preserve">2026-06-11 </t>
    </r>
    <r>
      <rPr>
        <sz val="10"/>
        <rFont val="Noto Sans CJK SC"/>
        <family val="2"/>
      </rPr>
      <t xml:space="preserve">實測：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股讓今天持股變 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股（市值 </t>
    </r>
    <r>
      <rPr>
        <sz val="10"/>
        <rFont val="Arial"/>
        <family val="0"/>
        <charset val="1"/>
      </rPr>
      <t xml:space="preserve">639,600 → 1,239,600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0.5677 → 0.6577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拆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讓持股加倍但價格仍是拆分前（</t>
    </r>
    <r>
      <rPr>
        <sz val="10"/>
        <rFont val="Arial"/>
        <family val="0"/>
        <charset val="1"/>
      </rPr>
      <t xml:space="preserve">XIRR → 0.8024</t>
    </r>
    <r>
      <rPr>
        <sz val="10"/>
        <rFont val="Noto Sans CJK SC"/>
        <family val="2"/>
      </rPr>
      <t xml:space="preserve">、總報酬 → </t>
    </r>
    <r>
      <rPr>
        <sz val="10"/>
        <rFont val="Arial"/>
        <family val="0"/>
        <charset val="1"/>
      </rPr>
      <t xml:space="preserve">151,200</t>
    </r>
    <r>
      <rPr>
        <sz val="10"/>
        <rFont val="Noto Sans CJK SC"/>
        <family val="2"/>
      </rPr>
      <t xml:space="preserve">）；未來回換提前進稅務包已實現匯兌表；未來券商費用提前進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；未來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讓賣出提示可賣股數 </t>
    </r>
    <r>
      <rPr>
        <sz val="10"/>
        <rFont val="Arial"/>
        <family val="0"/>
        <charset val="1"/>
      </rPr>
      <t xml:space="preserve">10.05</t>
    </r>
    <r>
      <rPr>
        <sz val="10"/>
        <rFont val="Noto Sans CJK SC"/>
        <family val="2"/>
      </rPr>
      <t xml:space="preserve">（儀表板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的殘留一併修。</t>
    </r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</si>
  <si>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</si>
  <si>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r>
      <rPr>
        <sz val="10"/>
        <rFont val="Noto Sans CJK SC"/>
        <family val="2"/>
      </rPr>
      <t xml:space="preserve">交易部分原本沒有守門（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依裁定只切股利）。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自己的守門有盲點：</t>
    </r>
    <r>
      <rPr>
        <sz val="10"/>
        <rFont val="Arial"/>
        <family val="0"/>
        <charset val="1"/>
      </rPr>
      <t xml:space="preserve">_surfaces </t>
    </r>
    <r>
      <rPr>
        <sz val="10"/>
        <rFont val="Noto Sans CJK SC"/>
        <family val="2"/>
      </rPr>
      <t xml:space="preserve">是手挑的欄位清單，查了 </t>
    </r>
    <r>
      <rPr>
        <sz val="10"/>
        <rFont val="Arial"/>
        <family val="0"/>
        <charset val="1"/>
      </rPr>
      <t xml:space="preserve">sell_hint_adjusted_avg </t>
    </r>
    <r>
      <rPr>
        <sz val="10"/>
        <rFont val="Noto Sans CJK SC"/>
        <family val="2"/>
      </rPr>
      <t xml:space="preserve">卻沒查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，而賣出提示的股數來自第二條持股路徑（所有日期），同一行出現兩個估值日；抽屜的公司行動差額也是整本帳。新守門不再挑欄位，改比對整包：整份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balances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reporting_total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negative_pools</t>
    </r>
    <r>
      <rPr>
        <sz val="10"/>
        <rFont val="Noto Sans CJK SC"/>
        <family val="2"/>
      </rPr>
      <t xml:space="preserve">、兩檔股票抽屜的 </t>
    </r>
    <r>
      <rPr>
        <sz val="10"/>
        <rFont val="Arial"/>
        <family val="0"/>
        <charset val="1"/>
      </rPr>
      <t xml:space="preserve">position</t>
    </r>
    <r>
      <rPr>
        <sz val="10"/>
        <rFont val="Noto Sans CJK SC"/>
        <family val="2"/>
      </rPr>
      <t xml:space="preserve">／交易明細／對帳、兩個帳戶的賣出提示、試算、整個稅務包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</si>
  <si>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</si>
  <si>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估值／列表呼叫點 共 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（直接改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、加列表旗標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、經 </t>
    </r>
    <r>
      <rPr>
        <sz val="10"/>
        <rFont val="Arial"/>
        <family val="0"/>
        <charset val="1"/>
      </rPr>
      <t xml:space="preserve">build_dashboard </t>
    </r>
    <r>
      <rPr>
        <sz val="10"/>
        <rFont val="Noto Sans CJK SC"/>
        <family val="2"/>
      </rPr>
      <t xml:space="preserve">自動套用 </t>
    </r>
    <r>
      <rPr>
        <sz val="10"/>
        <rFont val="Arial"/>
        <family val="0"/>
        <charset val="1"/>
      </rPr>
      <t xml:space="preserve">21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62</t>
    </r>
    <r>
      <rPr>
        <sz val="10"/>
        <rFont val="Noto Sans CJK SC"/>
        <family val="2"/>
      </rPr>
      <t xml:space="preserve">（已依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或逐日切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；驗證用重播依裁定看整本帳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；列表非估值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；「是否持有」只用於抓價、封存、訊號範圍 </t>
    </r>
    <r>
      <rPr>
        <sz val="10"/>
        <rFont val="Arial"/>
        <family val="0"/>
        <charset val="1"/>
      </rPr>
      <t xml:space="preserve">6——</t>
    </r>
    <r>
      <rPr>
        <sz val="10"/>
        <rFont val="Noto Sans CJK SC"/>
        <family val="2"/>
      </rPr>
      <t xml:space="preserve">納入即將持有的標的無害且確保生效當天已有報價；未來月份折讓款預估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）。掃描指令：</t>
    </r>
    <r>
      <rPr>
        <sz val="10"/>
        <rFont val="Arial"/>
        <family val="0"/>
        <charset val="1"/>
      </rPr>
      <t xml:space="preserve">grep build_book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load_ledger_bundle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_to_models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build_dashboard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current_shares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shares_through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shares_on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list_(transactions|dividends|opening|fx_conversions|cash_movements)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cash_balances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received_by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.through(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146 </t>
    </r>
    <r>
      <rPr>
        <sz val="10"/>
        <rFont val="Noto Sans CJK SC"/>
        <family val="2"/>
      </rPr>
      <t xml:space="preserve">行依呼叫點歸類。第二軸「未來日期標示」共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個帳本列表 </t>
    </r>
    <r>
      <rPr>
        <sz val="10"/>
        <rFont val="Arial"/>
        <family val="0"/>
        <charset val="1"/>
      </rPr>
      <t xml:space="preserve">wire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個列渲染、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個列印帳本區段）／修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；另現金收支列印報告（</t>
    </r>
    <r>
      <rPr>
        <sz val="10"/>
        <rFont val="Arial"/>
        <family val="0"/>
        <charset val="1"/>
      </rPr>
      <t xml:space="preserve">export/cash_statement.py:199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238</t>
    </r>
    <r>
      <rPr>
        <sz val="10"/>
        <rFont val="Noto Sans CJK SC"/>
        <family val="2"/>
      </rPr>
      <t xml:space="preserve">）原以內聯 </t>
    </r>
    <r>
      <rPr>
        <sz val="10"/>
        <rFont val="Arial"/>
        <family val="0"/>
        <charset val="1"/>
      </rPr>
      <t xml:space="preserve">`ln.date &gt; as_of` </t>
    </r>
    <r>
      <rPr>
        <sz val="10"/>
        <rFont val="Noto Sans CJK SC"/>
        <family val="2"/>
      </rPr>
      <t xml:space="preserve">自行判定，語意相同但為第二份寫法，改呼叫同一個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；四種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匯出為可重新匯入格式，加標示欄會破壞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往返，白名單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</si>
  <si>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tests/contract/test_def056_future_rows_count_from_their_date.py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種未來列 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buy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opening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fx_back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cash_fee </t>
    </r>
    <r>
      <rPr>
        <sz val="10"/>
        <rFont val="Noto Sans CJK SC"/>
        <family val="2"/>
      </rPr>
      <t xml:space="preserve">到期前所有估值面逐位元相同；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則生效當天起才計入；以當天 </t>
    </r>
    <r>
      <rPr>
        <sz val="10"/>
        <rFont val="Arial"/>
        <family val="0"/>
        <charset val="1"/>
      </rPr>
      <t xml:space="preserve">9:00 </t>
    </r>
    <r>
      <rPr>
        <sz val="10"/>
        <rFont val="Noto Sans CJK SC"/>
        <family val="2"/>
      </rPr>
      <t xml:space="preserve">驗證當天即計入；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則列表旗標）、</t>
    </r>
    <r>
      <rPr>
        <sz val="10"/>
        <rFont val="Arial"/>
        <family val="0"/>
        <charset val="1"/>
      </rPr>
      <t xml:space="preserve">e2e tests/e2e/test_def056_future_row_badge_flow.py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個帳本分頁＋資金頁只有未來列有標示）；</t>
    </r>
    <r>
      <rPr>
        <sz val="10"/>
        <rFont val="Arial"/>
        <family val="0"/>
        <charset val="1"/>
      </rPr>
      <t xml:space="preserve">test_ledger_bundle.py +3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對齊測試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則失敗（例：「</t>
    </r>
    <r>
      <rPr>
        <sz val="10"/>
        <rFont val="Arial"/>
        <family val="0"/>
        <charset val="1"/>
      </rPr>
      <t xml:space="preserve">a buy dated 2026-07-01 (after the valuation day 2026-06-11) already moved these surfaces: ['dashboard', 'drawer.2330', 'drawer.AAPL', 'sell_hints.tw_broker', 'whatif']</t>
    </r>
    <r>
      <rPr>
        <sz val="10"/>
        <rFont val="Noto Sans CJK SC"/>
        <family val="2"/>
      </rPr>
      <t xml:space="preserve">」；旗標 </t>
    </r>
    <r>
      <rPr>
        <sz val="10"/>
        <rFont val="Arial"/>
        <family val="0"/>
        <charset val="1"/>
      </rPr>
      <t xml:space="preserve">KeyError: 'counts_from'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刀全被抓：規則退回只切股利 →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則；儀表板收支不切 → </t>
    </r>
    <r>
      <rPr>
        <sz val="10"/>
        <rFont val="Arial"/>
        <family val="0"/>
        <charset val="1"/>
      </rPr>
      <t xml:space="preserve">[cash_fee]</t>
    </r>
    <r>
      <rPr>
        <sz val="10"/>
        <rFont val="Noto Sans CJK SC"/>
        <family val="2"/>
      </rPr>
      <t xml:space="preserve">；稅務包換匯不切 → </t>
    </r>
    <r>
      <rPr>
        <sz val="10"/>
        <rFont val="Arial"/>
        <family val="0"/>
        <charset val="1"/>
      </rPr>
      <t xml:space="preserve">[fx_back]</t>
    </r>
    <r>
      <rPr>
        <sz val="10"/>
        <rFont val="Noto Sans CJK SC"/>
        <family val="2"/>
      </rPr>
      <t xml:space="preserve">；賣出提示改回所有日期股數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則；抽屜交易明細用全部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則；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恆 </t>
    </r>
    <r>
      <rPr>
        <sz val="10"/>
        <rFont val="Arial"/>
        <family val="0"/>
        <charset val="1"/>
      </rPr>
      <t xml:space="preserve">None → </t>
    </r>
    <r>
      <rPr>
        <sz val="10"/>
        <rFont val="Noto Sans CJK SC"/>
        <family val="2"/>
      </rPr>
      <t xml:space="preserve">旗標測試；抽屜公司行動差額整本帳 → </t>
    </r>
    <r>
      <rPr>
        <sz val="10"/>
        <rFont val="Arial"/>
        <family val="0"/>
        <charset val="1"/>
      </rPr>
      <t xml:space="preserve">[split]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只切股利 →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對齊測試；</t>
    </r>
    <r>
      <rPr>
        <sz val="10"/>
        <rFont val="Arial"/>
        <family val="0"/>
        <charset val="1"/>
      </rPr>
      <t xml:space="preserve">ledger.js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不渲染 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Locator expected to have text '</t>
    </r>
    <r>
      <rPr>
        <sz val="10"/>
        <rFont val="Noto Sans CJK SC"/>
        <family val="2"/>
      </rPr>
      <t xml:space="preserve">未來日期：</t>
    </r>
    <r>
      <rPr>
        <sz val="10"/>
        <rFont val="Arial"/>
        <family val="0"/>
        <charset val="1"/>
      </rPr>
      <t xml:space="preserve">2099-01-02 </t>
    </r>
    <r>
      <rPr>
        <sz val="10"/>
        <rFont val="Noto Sans CJK SC"/>
        <family val="2"/>
      </rPr>
      <t xml:space="preserve">起計入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」。補充：</t>
    </r>
    <r>
      <rPr>
        <sz val="10"/>
        <rFont val="Arial"/>
        <family val="0"/>
        <charset val="1"/>
      </rPr>
      <t xml:space="preserve">tests/contract/test_def056_actions_and_printed_ledger_future_marker.py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：公司行動列表旗標；列印帳本六區段只有未來列有標記；配股依除權日列印與列表一致，防第二套日期規則）、</t>
    </r>
    <r>
      <rPr>
        <sz val="10"/>
        <rFont val="Arial"/>
        <family val="0"/>
        <charset val="1"/>
      </rPr>
      <t xml:space="preserve">e2e test_def040_def052_def060_flow.py::test_def056_the_action_tab_flags_its_future_row_and_only_it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KeyError: 'counts_from'</t>
    </r>
    <r>
      <rPr>
        <sz val="10"/>
        <rFont val="Noto Sans CJK SC"/>
        <family val="2"/>
      </rPr>
      <t xml:space="preserve">、報告未來列無標記、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找不到 </t>
    </r>
    <r>
      <rPr>
        <sz val="10"/>
        <rFont val="Arial"/>
        <family val="0"/>
        <charset val="1"/>
      </rPr>
      <t xml:space="preserve">.ledger-future</t>
    </r>
    <r>
      <rPr>
        <sz val="10"/>
        <rFont val="Noto Sans CJK SC"/>
        <family val="2"/>
      </rPr>
      <t xml:space="preserve">。變異：</t>
    </r>
    <r>
      <rPr>
        <sz val="10"/>
        <rFont val="Arial"/>
        <family val="0"/>
        <charset val="1"/>
      </rPr>
      <t xml:space="preserve">wire</t>
    </r>
    <r>
      <rPr>
        <sz val="10"/>
        <rFont val="Noto Sans CJK SC"/>
        <family val="2"/>
      </rPr>
      <t xml:space="preserve">／報告設 </t>
    </r>
    <r>
      <rPr>
        <sz val="10"/>
        <rFont val="Arial"/>
        <family val="0"/>
        <charset val="1"/>
      </rPr>
      <t xml:space="preserve">None → 3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assert None == '2026-07-01'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renderActions </t>
    </r>
    <r>
      <rPr>
        <sz val="10"/>
        <rFont val="Noto Sans CJK SC"/>
        <family val="2"/>
      </rPr>
      <t xml:space="preserve">忽略 </t>
    </r>
    <r>
      <rPr>
        <sz val="10"/>
        <rFont val="Arial"/>
        <family val="0"/>
        <charset val="1"/>
      </rPr>
      <t xml:space="preserve">counts_from → e2e </t>
    </r>
    <r>
      <rPr>
        <sz val="10"/>
        <rFont val="Noto Sans CJK SC"/>
        <family val="2"/>
      </rPr>
      <t xml:space="preserve">失敗；報告改用付款日（第二套規則）→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則失敗（除權日已過的配股被標記）。還原後全過。</t>
    </r>
  </si>
  <si>
    <r>
      <rPr>
        <sz val="10"/>
        <rFont val="Noto Sans CJK SC"/>
        <family val="2"/>
      </rPr>
      <t xml:space="preserve">真實瀏覽器：手動交易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（勾「我了解」）→ 寫入 </t>
    </r>
    <r>
      <rPr>
        <sz val="10"/>
        <rFont val="Arial"/>
        <family val="0"/>
        <charset val="1"/>
      </rPr>
      <t xml:space="preserve">#113 → </t>
    </r>
    <r>
      <rPr>
        <sz val="10"/>
        <rFont val="Noto Sans CJK SC"/>
        <family val="2"/>
      </rPr>
      <t xml:space="preserve">比對六段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、交易帳本列 → 刪除；資金管理 › 券商費用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#52</t>
    </r>
    <r>
      <rPr>
        <sz val="10"/>
        <rFont val="Noto Sans CJK SC"/>
        <family val="2"/>
      </rPr>
      <t xml:space="preserve">）→ 比對、出金入金列表、帳戶現金 › 台灣券商 現金收支明細、⎙匯出報告 → 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</si>
  <si>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時未來日期交易立即計入
假設：①所有估值面依估值日切、各列有標示；②只切估值、畫面未全面標示
排除：未來買進寫入後 </t>
    </r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cash </t>
    </r>
    <r>
      <rPr>
        <sz val="10"/>
        <rFont val="Noto Sans CJK SC"/>
        <family val="2"/>
      </rPr>
      <t xml:space="preserve">兩段共六段與寫入前逐字相同（只多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列交易），交易帳本列「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起計入」，</t>
    </r>
    <r>
      <rPr>
        <sz val="10"/>
        <rFont val="Arial"/>
        <family val="0"/>
        <charset val="1"/>
      </rPr>
      <t xml:space="preserve">API counts_from 2026-10-15</t>
    </r>
    <r>
      <rPr>
        <sz val="10"/>
        <rFont val="Noto Sans CJK SC"/>
        <family val="2"/>
      </rPr>
      <t xml:space="preserve">；未來券商費用寫入後六段同樣不變，出金入金列表「</t>
    </r>
    <r>
      <rPr>
        <sz val="10"/>
        <rFont val="Arial"/>
        <family val="0"/>
        <charset val="1"/>
      </rPr>
      <t xml:space="preserve">2026-10-20 </t>
    </r>
    <r>
      <rPr>
        <sz val="10"/>
        <rFont val="Noto Sans CJK SC"/>
        <family val="2"/>
      </rPr>
      <t xml:space="preserve">未來日期：</t>
    </r>
    <r>
      <rPr>
        <sz val="10"/>
        <rFont val="Arial"/>
        <family val="0"/>
        <charset val="1"/>
      </rPr>
      <t xml:space="preserve">2026-10-20 </t>
    </r>
    <r>
      <rPr>
        <sz val="10"/>
        <rFont val="Noto Sans CJK SC"/>
        <family val="2"/>
      </rPr>
      <t xml:space="preserve">起計入」，列印對帳單有「以下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之後），不計入目前餘額；其餘額欄為投影」與「券商費用（未來）」。✗ 但畫面上的「現金收支明細」（帳戶現金 › 台灣券商）表頭寫「目前餘額 </t>
    </r>
    <r>
      <rPr>
        <sz val="10"/>
        <rFont val="Arial"/>
        <family val="0"/>
        <charset val="1"/>
      </rPr>
      <t xml:space="preserve">TWD 6,067,595</t>
    </r>
    <r>
      <rPr>
        <sz val="10"/>
        <rFont val="Noto Sans CJK SC"/>
        <family val="2"/>
      </rPr>
      <t xml:space="preserve">」，第一列卻是「</t>
    </r>
    <r>
      <rPr>
        <sz val="10"/>
        <rFont val="Arial"/>
        <family val="0"/>
        <charset val="1"/>
      </rPr>
      <t xml:space="preserve">2026-10-20 </t>
    </r>
    <r>
      <rPr>
        <sz val="10"/>
        <rFont val="Noto Sans CJK SC"/>
        <family val="2"/>
      </rPr>
      <t xml:space="preserve">券商費用 −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餘額 </t>
    </r>
    <r>
      <rPr>
        <sz val="10"/>
        <rFont val="Arial"/>
        <family val="0"/>
        <charset val="1"/>
      </rPr>
      <t xml:space="preserve">6,067,495</t>
    </r>
    <r>
      <rPr>
        <sz val="10"/>
        <rFont val="Noto Sans CJK SC"/>
        <family val="2"/>
      </rPr>
      <t xml:space="preserve">」，沒有任何未來標示、也沒有投影說明；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該列已帶 </t>
    </r>
    <r>
      <rPr>
        <sz val="10"/>
        <rFont val="Arial"/>
        <family val="0"/>
        <charset val="1"/>
      </rPr>
      <t xml:space="preserve">future:true</t>
    </r>
    <r>
      <rPr>
        <sz val="10"/>
        <rFont val="Noto Sans CJK SC"/>
        <family val="2"/>
      </rPr>
      <t xml:space="preserve">，是前端沒用。排除①
定位：</t>
    </r>
    <r>
      <rPr>
        <sz val="10"/>
        <rFont val="Arial"/>
        <family val="0"/>
        <charset val="1"/>
      </rPr>
      <t xml:space="preserve">web/cash.js:407 </t>
    </r>
    <r>
      <rPr>
        <sz val="10"/>
        <rFont val="Noto Sans CJK SC"/>
        <family val="2"/>
      </rPr>
      <t xml:space="preserve">附近的明細列渲染未讀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（同檔 </t>
    </r>
    <r>
      <rPr>
        <sz val="10"/>
        <rFont val="Arial"/>
        <family val="0"/>
        <charset val="1"/>
      </rPr>
      <t xml:space="preserve">dateCell(…counts_from) </t>
    </r>
    <r>
      <rPr>
        <sz val="10"/>
        <rFont val="Noto Sans CJK SC"/>
        <family val="2"/>
      </rPr>
      <t xml:space="preserve">只用在出金入金與換匯列表）；</t>
    </r>
    <r>
      <rPr>
        <sz val="10"/>
        <rFont val="Arial"/>
        <family val="0"/>
        <charset val="1"/>
      </rPr>
      <t xml:space="preserve">export/cash_statement.py </t>
    </r>
    <r>
      <rPr>
        <sz val="10"/>
        <rFont val="Noto Sans CJK SC"/>
        <family val="2"/>
      </rPr>
      <t xml:space="preserve">已處理
判定：部分通過——估值切割正確，但現金收支明細同頁出現「目前餘額」與未標示的較低投影餘額，屬互相矛盾的資訊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bundle.valued_as_of(as_of) </t>
    </r>
    <r>
      <rPr>
        <sz val="10"/>
        <rFont val="Noto Sans CJK SC"/>
        <family val="2"/>
      </rPr>
      <t xml:space="preserve">拿掉（不依估值日切）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opening dated 2026-07-01 … already moved these surfaces: ['dashboard', 'drawer.2330', …]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</si>
  <si>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估值六段不變、兩個列表與列印報告有標示；畫面上的現金收支明細未標示未來列；測畢 </t>
    </r>
    <r>
      <rPr>
        <sz val="10"/>
        <rFont val="Arial"/>
        <family val="0"/>
        <charset val="1"/>
      </rPr>
      <t xml:space="preserve">cmp D056R4 same:true</t>
    </r>
  </si>
  <si>
    <r>
      <rPr>
        <sz val="10"/>
        <rFont val="Noto Sans CJK SC"/>
        <family val="2"/>
      </rPr>
      <t xml:space="preserve">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</t>
    </r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</si>
  <si>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</si>
  <si>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</si>
  <si>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test_pipeline_hub_api.py::test_status_last_run_and_last_batch </t>
    </r>
    <r>
      <rPr>
        <sz val="10"/>
        <rFont val="Noto Sans CJK SC"/>
        <family val="2"/>
      </rPr>
      <t xml:space="preserve">只種一個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，那時「最後一個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」和「整批」是同一集合，兩種口徑不可能不一致。新測試改種多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的批次。</t>
    </r>
  </si>
  <si>
    <r>
      <rPr>
        <sz val="10"/>
        <rFont val="Noto Sans CJK SC"/>
        <family val="2"/>
      </rPr>
      <t xml:space="preserve">「批次」只定義一次：以最新一個已完成的非影子 </t>
    </r>
    <r>
      <rPr>
        <sz val="10"/>
        <rFont val="Arial"/>
        <family val="0"/>
        <charset val="1"/>
      </rPr>
      <t xml:space="preserve">insight run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為錨點，集合＝該時間點下所有已完成的非影子 </t>
    </r>
    <r>
      <rPr>
        <sz val="10"/>
        <rFont val="Arial"/>
        <family val="0"/>
        <charset val="1"/>
      </rPr>
      <t xml:space="preserve">insight run</t>
    </r>
    <r>
      <rPr>
        <sz val="10"/>
        <rFont val="Noto Sans CJK SC"/>
        <family val="2"/>
      </rPr>
      <t xml:space="preserve">；卡數與成本都對這個集合計算（成本為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加總的字串），另加 </t>
    </r>
    <r>
      <rPr>
        <sz val="10"/>
        <rFont val="Arial"/>
        <family val="0"/>
        <charset val="1"/>
      </rPr>
      <t xml:space="preserve">runs</t>
    </r>
    <r>
      <rPr>
        <sz val="10"/>
        <rFont val="Noto Sans CJK SC"/>
        <family val="2"/>
      </rPr>
      <t xml:space="preserve">（集合大小）。執行中的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不計入，成本空值算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部署後實測：</t>
    </r>
    <r>
      <rPr>
        <sz val="10"/>
        <rFont val="Arial"/>
        <family val="0"/>
        <charset val="1"/>
      </rPr>
      <t xml:space="preserve">last_batch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{cards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cost_usd "0.0050487"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runs 7}</t>
    </r>
    <r>
      <rPr>
        <sz val="10"/>
        <rFont val="Noto Sans CJK SC"/>
        <family val="2"/>
      </rPr>
      <t xml:space="preserve">，與驗證者的合計相符。</t>
    </r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</si>
  <si>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</si>
  <si>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tests/contract/test_def058_last_batch_is_one_set.py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：兩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0.001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0.002 → "0.003"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cards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runs 2</t>
    </r>
    <r>
      <rPr>
        <sz val="10"/>
        <rFont val="Noto Sans CJK SC"/>
        <family val="2"/>
      </rPr>
      <t xml:space="preserve">，舊批次與影子不混入；執行中與成本空值；</t>
    </r>
    <r>
      <rPr>
        <sz val="10"/>
        <rFont val="Arial"/>
        <family val="0"/>
        <charset val="1"/>
      </rPr>
      <t xml:space="preserve">7-run </t>
    </r>
    <r>
      <rPr>
        <sz val="10"/>
        <rFont val="Noto Sans CJK SC"/>
        <family val="2"/>
      </rPr>
      <t xml:space="preserve">形狀合計 </t>
    </r>
    <r>
      <rPr>
        <sz val="10"/>
        <rFont val="Arial"/>
        <family val="0"/>
        <charset val="1"/>
      </rPr>
      <t xml:space="preserve">"0.0050487"</t>
    </r>
    <r>
      <rPr>
        <sz val="10"/>
        <rFont val="Noto Sans CJK SC"/>
        <family val="2"/>
      </rPr>
      <t xml:space="preserve">）。變異：放回原函式 → </t>
    </r>
    <r>
      <rPr>
        <sz val="10"/>
        <rFont val="Arial"/>
        <family val="0"/>
        <charset val="1"/>
      </rPr>
      <t xml:space="preserve">3/3 </t>
    </r>
    <r>
      <rPr>
        <sz val="10"/>
        <rFont val="Noto Sans CJK SC"/>
        <family val="2"/>
      </rPr>
      <t xml:space="preserve">失敗；只把成本改回取單一 </t>
    </r>
    <r>
      <rPr>
        <sz val="10"/>
        <rFont val="Arial"/>
        <family val="0"/>
        <charset val="1"/>
      </rPr>
      <t xml:space="preserve">run →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'0.002' == '0.003'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</si>
  <si>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真實瀏覽器：排程中心立即執行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 #194</t>
    </r>
    <r>
      <rPr>
        <sz val="10"/>
        <rFont val="Noto Sans CJK SC"/>
        <family val="2"/>
      </rPr>
      <t xml:space="preserve">）後，讀洞察管線頁首「最近批次」與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health.last_batch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成本、卡片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、額度扣減比對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</si>
  <si>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的批次顯示「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$0.001</t>
    </r>
    <r>
      <rPr>
        <sz val="10"/>
        <rFont val="Noto Sans CJK SC"/>
        <family val="2"/>
      </rPr>
      <t xml:space="preserve">」（只取最後一個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）
假設：①卡數、成本、</t>
    </r>
    <r>
      <rPr>
        <sz val="10"/>
        <rFont val="Arial"/>
        <family val="0"/>
        <charset val="1"/>
      </rPr>
      <t xml:space="preserve">runs </t>
    </r>
    <r>
      <rPr>
        <sz val="10"/>
        <rFont val="Noto Sans CJK SC"/>
        <family val="2"/>
      </rPr>
      <t xml:space="preserve">對同一集合計算；②仍只取最後一個 </t>
    </r>
    <r>
      <rPr>
        <sz val="10"/>
        <rFont val="Arial"/>
        <family val="0"/>
        <charset val="1"/>
      </rPr>
      <t xml:space="preserve">run
</t>
    </r>
    <r>
      <rPr>
        <sz val="10"/>
        <rFont val="Noto Sans CJK SC"/>
        <family val="2"/>
      </rPr>
      <t xml:space="preserve">排除：本輪產生的新批次 </t>
    </r>
    <r>
      <rPr>
        <sz val="10"/>
        <rFont val="Arial"/>
        <family val="0"/>
        <charset val="1"/>
      </rPr>
      <t xml:space="preserve">last_batch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{at 07:20:56, cards 3, cost_usd "0.0022367", runs 1}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 cost 0.0007559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0.0009026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0.0005782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0.0022367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#194 cost</t>
    </r>
    <r>
      <rPr>
        <sz val="10"/>
        <rFont val="Noto Sans CJK SC"/>
        <family val="2"/>
      </rPr>
      <t xml:space="preserve">＝額度 </t>
    </r>
    <r>
      <rPr>
        <sz val="10"/>
        <rFont val="Arial"/>
        <family val="0"/>
        <charset val="1"/>
      </rPr>
      <t xml:space="preserve">3.2628385→3.2606018 </t>
    </r>
    <r>
      <rPr>
        <sz val="10"/>
        <rFont val="Noto Sans CJK SC"/>
        <family val="2"/>
      </rPr>
      <t xml:space="preserve">的扣減；頁首「最近批次 </t>
    </r>
    <r>
      <rPr>
        <sz val="10"/>
        <rFont val="Arial"/>
        <family val="0"/>
        <charset val="1"/>
      </rPr>
      <t xml:space="preserve">2026-09-25 07:20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卡 本批成本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」。多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批次（原 </t>
    </r>
    <r>
      <rPr>
        <sz val="10"/>
        <rFont val="Arial"/>
        <family val="0"/>
        <charset val="1"/>
      </rPr>
      <t xml:space="preserve">7 run </t>
    </r>
    <r>
      <rPr>
        <sz val="10"/>
        <rFont val="Noto Sans CJK SC"/>
        <family val="2"/>
      </rPr>
      <t xml:space="preserve">情境）已被新批次取代，無法在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重現而不再花一次派發費用，改以我在 </t>
    </r>
    <r>
      <rPr>
        <sz val="10"/>
        <rFont val="Arial"/>
        <family val="0"/>
        <charset val="1"/>
      </rPr>
      <t xml:space="preserve">repo-r4m </t>
    </r>
    <r>
      <rPr>
        <sz val="10"/>
        <rFont val="Noto Sans CJK SC"/>
        <family val="2"/>
      </rPr>
      <t xml:space="preserve">的變異測試確認（見變異列）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_last_batch </t>
    </r>
    <r>
      <rPr>
        <sz val="10"/>
        <rFont val="Noto Sans CJK SC"/>
        <family val="2"/>
      </rPr>
      <t xml:space="preserve">成本改回只取最後一個 </t>
    </r>
    <r>
      <rPr>
        <sz val="10"/>
        <rFont val="Arial"/>
        <family val="0"/>
        <charset val="1"/>
      </rPr>
      <t xml:space="preserve">run → 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'0' == '0.0005979'</t>
    </r>
    <r>
      <rPr>
        <sz val="10"/>
        <rFont val="Noto Sans CJK SC"/>
        <family val="2"/>
      </rPr>
      <t xml:space="preserve">（批次成本對不上集合加總）），還原後通過</t>
    </r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</si>
  <si>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</si>
  <si>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/api/insight-tasks/status </t>
    </r>
    <r>
      <rPr>
        <sz val="10"/>
        <rFont val="Noto Sans CJK SC"/>
        <family val="2"/>
      </rPr>
      <t xml:space="preserve">單次約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秒，頁首要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秒才出現（多個請求排隊時更久）；不影響正確性，列為觀察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</si>
  <si>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裁定排除已封存標的。後端與前端各有一份宇宙規則，兩份都含封存。</t>
    </r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</si>
  <si>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</si>
  <si>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</si>
  <si>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r>
      <rPr>
        <sz val="10"/>
        <rFont val="Noto Sans CJK SC"/>
        <family val="2"/>
      </rPr>
      <t xml:space="preserve">只留一個宇宙函式（</t>
    </r>
    <r>
      <rPr>
        <sz val="10"/>
        <rFont val="Arial"/>
        <family val="0"/>
        <charset val="1"/>
      </rPr>
      <t xml:space="preserve">_resolve_universe </t>
    </r>
    <r>
      <rPr>
        <sz val="10"/>
        <rFont val="Noto Sans CJK SC"/>
        <family val="2"/>
      </rPr>
      <t xml:space="preserve">改為呼叫 </t>
    </r>
    <r>
      <rPr>
        <sz val="10"/>
        <rFont val="Arial"/>
        <family val="0"/>
        <charset val="1"/>
      </rPr>
      <t xml:space="preserve">_resolve_universe_raw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＝持倉 ∪ 未封存的已註冊標的（持倉標的永不剔除，所以不會比 </t>
    </r>
    <r>
      <rPr>
        <sz val="10"/>
        <rFont val="Arial"/>
        <family val="0"/>
        <charset val="1"/>
      </rPr>
      <t xml:space="preserve">all </t>
    </r>
    <r>
      <rPr>
        <sz val="10"/>
        <rFont val="Noto Sans CJK SC"/>
        <family val="2"/>
      </rPr>
      <t xml:space="preserve">窄）；前端鏡像同步改為「持倉或（已註冊且未封存）」。狀態卡的標的數、乾跑預檢（已存任務與草稿）、實際產卡、頁面預估成本全部走同一條規則。</t>
    </r>
  </si>
  <si>
    <r>
      <rPr>
        <sz val="10"/>
        <rFont val="Noto Sans CJK SC"/>
        <family val="2"/>
      </rPr>
      <t xml:space="preserve">「全部已註冊」性質的宇宙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後端、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前端鏡像）／原本就排除封存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news_service</t>
    </r>
    <r>
      <rPr>
        <sz val="10"/>
        <rFont val="Noto Sans CJK SC"/>
        <family val="2"/>
      </rPr>
      <t xml:space="preserve">、報價刷新 </t>
    </r>
    <r>
      <rPr>
        <sz val="10"/>
        <rFont val="Arial"/>
        <family val="0"/>
        <charset val="1"/>
      </rPr>
      <t xml:space="preserve">scheduler/jobs.py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signals_service</t>
    </r>
    <r>
      <rPr>
        <sz val="10"/>
        <rFont val="Noto Sans CJK SC"/>
        <family val="2"/>
      </rPr>
      <t xml:space="preserve">）／列出未修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pricing/ingest.py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籌碼／估值／月營收與共識、基本面共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個排程——不在本單裁定範圍，列為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</si>
  <si>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tests/contract/test_def059_all_registered_excludes_archived.py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：同一本帳上四個介面——狀態節點、已存與草稿兩個解析器、實際產卡數、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在真實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上執行——封存前後一致，封存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檔後宇宙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、卡 −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、還原後恢復；持倉標的即使封存仍留、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保留、</t>
    </r>
    <r>
      <rPr>
        <sz val="10"/>
        <rFont val="Arial"/>
        <family val="0"/>
        <charset val="1"/>
      </rPr>
      <t xml:space="preserve">mode:all </t>
    </r>
    <r>
      <rPr>
        <sz val="10"/>
        <rFont val="Noto Sans CJK SC"/>
        <family val="2"/>
      </rPr>
      <t xml:space="preserve">不受影響）。變異：後端放回 → 「</t>
    </r>
    <r>
      <rPr>
        <sz val="10"/>
        <rFont val="Arial"/>
        <family val="0"/>
        <charset val="1"/>
      </rPr>
      <t xml:space="preserve">'4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 == '3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」；前端放回 → 「</t>
    </r>
    <r>
      <rPr>
        <sz val="10"/>
        <rFont val="Arial"/>
        <family val="0"/>
        <charset val="1"/>
      </rPr>
      <t xml:space="preserve">['2330','AAPL','NFLX','TSLA'] == ['2330','AAPL','TSLA']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</si>
  <si>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真實瀏覽器：洞察管線 › 新增洞察任務 → 先不排程 → 單一標的，讀「含觀察標的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檔」與側欄預估；觀察清單把 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京元電子「移除（隱藏）」→ 重看精靈 → 走到步驟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（不按建立，關閉精靈）→ 觀察清單「顯示已移除」→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「還原」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</si>
  <si>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會含已封存標的
假設：①前後端同一規則，封存後數量、預估同步減少；②只改了一邊
排除：封存前精靈「含觀察標的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檔」；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隱藏後 </t>
    </r>
    <r>
      <rPr>
        <sz val="10"/>
        <rFont val="Arial"/>
        <family val="0"/>
        <charset val="1"/>
      </rPr>
      <t xml:space="preserve">/api/instruments archived ["2449"]</t>
    </r>
    <r>
      <rPr>
        <sz val="10"/>
        <rFont val="Noto Sans CJK SC"/>
        <family val="2"/>
      </rPr>
      <t xml:space="preserve">，精靈「含觀察標的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檔」，側欄「持倉＋觀察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檔」「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張洞察卡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次」「估算成本 </t>
    </r>
    <r>
      <rPr>
        <sz val="10"/>
        <rFont val="Arial"/>
        <family val="0"/>
        <charset val="1"/>
      </rPr>
      <t xml:space="preserve">~$0.25/</t>
    </r>
    <r>
      <rPr>
        <sz val="10"/>
        <rFont val="Noto Sans CJK SC"/>
        <family val="2"/>
      </rPr>
      <t xml:space="preserve">次」；還原後 </t>
    </r>
    <r>
      <rPr>
        <sz val="10"/>
        <rFont val="Arial"/>
        <family val="0"/>
        <charset val="1"/>
      </rPr>
      <t xml:space="preserve">archived []</t>
    </r>
    <r>
      <rPr>
        <sz val="10"/>
        <rFont val="Noto Sans CJK SC"/>
        <family val="2"/>
      </rPr>
      <t xml:space="preserve">、清單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。後端解析器在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上沒有已存的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任務可讀狀態卡（建立新任務會留下封存列），改以 </t>
    </r>
    <r>
      <rPr>
        <sz val="10"/>
        <rFont val="Arial"/>
        <family val="0"/>
        <charset val="1"/>
      </rPr>
      <t xml:space="preserve">repo-r4m </t>
    </r>
    <r>
      <rPr>
        <sz val="10"/>
        <rFont val="Noto Sans CJK SC"/>
        <family val="2"/>
      </rPr>
      <t xml:space="preserve">變異測試確認後端（見變異列）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_all_registered_symbols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not i.archived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'4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 == '3 </t>
    </r>
    <r>
      <rPr>
        <sz val="10"/>
        <rFont val="Noto Sans CJK SC"/>
        <family val="2"/>
      </rPr>
      <t xml:space="preserve">檔標的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），還原後通過</t>
    </r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</si>
  <si>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</si>
  <si>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r>
      <rPr>
        <sz val="10"/>
        <rFont val="Noto Sans CJK SC"/>
        <family val="2"/>
      </rPr>
      <t xml:space="preserve">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</si>
  <si>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裁定實作（改日期時起始價一併搬移）。同一條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另查到三個同家族問題，一併修：帶 </t>
    </r>
    <r>
      <rPr>
        <sz val="10"/>
        <rFont val="Arial"/>
        <family val="0"/>
        <charset val="1"/>
      </rPr>
      <t xml:space="preserve">to_symbol_price </t>
    </r>
    <r>
      <rPr>
        <sz val="10"/>
        <rFont val="Noto Sans CJK SC"/>
        <family val="2"/>
      </rPr>
      <t xml:space="preserve">會被靜默丟掉；類型從分拆改成其他類型時起始價留下；改子公司代號時起始價留在舊代號。</t>
    </r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</si>
  <si>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</si>
  <si>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r>
      <rPr>
        <sz val="10"/>
        <rFont val="Noto Sans CJK SC"/>
        <family val="2"/>
      </rPr>
      <t xml:space="preserve">沒有守門：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測試只涵蓋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，沒有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。新增契約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則＋</t>
    </r>
    <r>
      <rPr>
        <sz val="10"/>
        <rFont val="Arial"/>
        <family val="0"/>
        <charset val="1"/>
      </rPr>
      <t xml:space="preserve">e2e 1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</si>
  <si>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_move_child_seed</t>
    </r>
    <r>
      <rPr>
        <sz val="10"/>
        <rFont val="Noto Sans CJK SC"/>
        <family val="2"/>
      </rPr>
      <t xml:space="preserve">，在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之後執行：舊槽位用與刪除相同的 </t>
    </r>
    <r>
      <rPr>
        <sz val="10"/>
        <rFont val="Arial"/>
        <family val="0"/>
        <charset val="1"/>
      </rPr>
      <t xml:space="preserve">remove_seed_price </t>
    </r>
    <r>
      <rPr>
        <sz val="10"/>
        <rFont val="Noto Sans CJK SC"/>
        <family val="2"/>
      </rPr>
      <t xml:space="preserve">有條件移除（已被正式報價取代、或仍由其他列擁有的不動並附原因）；新槽位（新日期或新子公司代號）把搬過來的價格或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帶的 </t>
    </r>
    <r>
      <rPr>
        <sz val="10"/>
        <rFont val="Arial"/>
        <family val="0"/>
        <charset val="1"/>
      </rPr>
      <t xml:space="preserve">to_symbol_price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規則只寫入空槽，已有正式報價就不寫並回同一句說明；最後更新寫入紀錄。日期、代號、類型、起始價都沒變時完全不動。非分拆卻填起始價回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（不再靜默丟掉）。回應新增 </t>
    </r>
    <r>
      <rPr>
        <sz val="10"/>
        <rFont val="Arial"/>
        <family val="0"/>
        <charset val="1"/>
      </rPr>
      <t xml:space="preserve">child_priced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child_price_skipped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child_price_move{from, to, moved, removed, message}</t>
    </r>
    <r>
      <rPr>
        <sz val="10"/>
        <rFont val="Noto Sans CJK SC"/>
        <family val="2"/>
      </rPr>
      <t xml:space="preserve">；編輯框新增「子公司起始價（分拆用，選填；留空＝不變更）」，存檔後以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說明結果，例如「子公司起始價 </t>
    </r>
    <r>
      <rPr>
        <sz val="10"/>
        <rFont val="Arial"/>
        <family val="0"/>
        <charset val="1"/>
      </rPr>
      <t xml:space="preserve">123.5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SPINCO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2026-03-16 </t>
    </r>
    <r>
      <rPr>
        <sz val="10"/>
        <rFont val="Noto Sans CJK SC"/>
        <family val="2"/>
      </rPr>
      <t xml:space="preserve">搬到 </t>
    </r>
    <r>
      <rPr>
        <sz val="10"/>
        <rFont val="Arial"/>
        <family val="0"/>
        <charset val="1"/>
      </rPr>
      <t xml:space="preserve">SPINCO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2026-03-20</t>
    </r>
    <r>
      <rPr>
        <sz val="10"/>
        <rFont val="Noto Sans CJK SC"/>
        <family val="2"/>
      </rPr>
      <t xml:space="preserve">」。</t>
    </r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</si>
  <si>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</si>
  <si>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tests/contract/test_def060_spinoff_edit_moves_its_seed.py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上全部失敗：「</t>
    </r>
    <r>
      <rPr>
        <sz val="10"/>
        <rFont val="Arial"/>
        <family val="0"/>
        <charset val="1"/>
      </rPr>
      <t xml:space="preserve">the seed stayed on the old day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KeyError 'child_price_move'</t>
    </r>
    <r>
      <rPr>
        <sz val="10"/>
        <rFont val="Noto Sans CJK SC"/>
        <family val="2"/>
      </rPr>
      <t xml:space="preserve">、分割帶起始價的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而非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test_def060_editing_the_date_moves_the_seed_and_the_toast_says_where</t>
    </r>
    <r>
      <rPr>
        <sz val="10"/>
        <rFont val="Noto Sans CJK SC"/>
        <family val="2"/>
      </rPr>
      <t xml:space="preserve">。變異：拿掉 </t>
    </r>
    <r>
      <rPr>
        <sz val="10"/>
        <rFont val="Arial"/>
        <family val="0"/>
        <charset val="1"/>
      </rPr>
      <t xml:space="preserve">_move_child_seed </t>
    </r>
    <r>
      <rPr>
        <sz val="10"/>
        <rFont val="Noto Sans CJK SC"/>
        <family val="2"/>
      </rPr>
      <t xml:space="preserve">呼叫 → </t>
    </r>
    <r>
      <rPr>
        <sz val="10"/>
        <rFont val="Arial"/>
        <family val="0"/>
        <charset val="1"/>
      </rPr>
      <t xml:space="preserve">10/11 </t>
    </r>
    <r>
      <rPr>
        <sz val="10"/>
        <rFont val="Noto Sans CJK SC"/>
        <family val="2"/>
      </rPr>
      <t xml:space="preserve">失敗（剩下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則是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拒絕，由另一道檢查負責）；拿掉寫入層的空槽判定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the move overwrote the new day's quote</t>
    </r>
    <r>
      <rPr>
        <sz val="10"/>
        <rFont val="Noto Sans CJK SC"/>
        <family val="2"/>
      </rPr>
      <t xml:space="preserve">」；拿掉編輯 </t>
    </r>
    <r>
      <rPr>
        <sz val="10"/>
        <rFont val="Arial"/>
        <family val="0"/>
        <charset val="1"/>
      </rPr>
      <t xml:space="preserve">toast → 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expected to contain text '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SPINCO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2026-03-16 </t>
    </r>
    <r>
      <rPr>
        <sz val="10"/>
        <rFont val="Noto Sans CJK SC"/>
        <family val="2"/>
      </rPr>
      <t xml:space="preserve">搬到 </t>
    </r>
    <r>
      <rPr>
        <sz val="10"/>
        <rFont val="Arial"/>
        <family val="0"/>
        <charset val="1"/>
      </rPr>
      <t xml:space="preserve">SPINCO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2026-03-20'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</si>
  <si>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真實瀏覽器：分拆 </t>
    </r>
    <r>
      <rPr>
        <sz val="10"/>
        <rFont val="Arial"/>
        <family val="0"/>
        <charset val="1"/>
      </rPr>
      <t xml:space="preserve">2884 → 2882</t>
    </r>
    <r>
      <rPr>
        <sz val="10"/>
        <rFont val="Noto Sans CJK SC"/>
        <family val="2"/>
      </rPr>
      <t xml:space="preserve">，日期 </t>
    </r>
    <r>
      <rPr>
        <sz val="10"/>
        <rFont val="Arial"/>
        <family val="0"/>
        <charset val="1"/>
      </rPr>
      <t xml:space="preserve">2026-09-20</t>
    </r>
    <r>
      <rPr>
        <sz val="10"/>
        <rFont val="Noto Sans CJK SC"/>
        <family val="2"/>
      </rPr>
      <t xml:space="preserve">（空白日）起始價 </t>
    </r>
    <r>
      <rPr>
        <sz val="10"/>
        <rFont val="Arial"/>
        <family val="0"/>
        <charset val="1"/>
      </rPr>
      <t xml:space="preserve">30 → </t>
    </r>
    <r>
      <rPr>
        <sz val="10"/>
        <rFont val="Noto Sans CJK SC"/>
        <family val="2"/>
      </rPr>
      <t xml:space="preserve">登錄（</t>
    </r>
    <r>
      <rPr>
        <sz val="10"/>
        <rFont val="Arial"/>
        <family val="0"/>
        <charset val="1"/>
      </rPr>
      <t xml:space="preserve">#19</t>
    </r>
    <r>
      <rPr>
        <sz val="10"/>
        <rFont val="Noto Sans CJK SC"/>
        <family val="2"/>
      </rPr>
      <t xml:space="preserve">）→ 編輯改日期 </t>
    </r>
    <r>
      <rPr>
        <sz val="10"/>
        <rFont val="Arial"/>
        <family val="0"/>
        <charset val="1"/>
      </rPr>
      <t xml:space="preserve">2026-09-21 → </t>
    </r>
    <r>
      <rPr>
        <sz val="10"/>
        <rFont val="Noto Sans CJK SC"/>
        <family val="2"/>
      </rPr>
      <t xml:space="preserve">再改 </t>
    </r>
    <r>
      <rPr>
        <sz val="10"/>
        <rFont val="Arial"/>
        <family val="0"/>
        <charset val="1"/>
      </rPr>
      <t xml:space="preserve">2026-09-22</t>
    </r>
    <r>
      <rPr>
        <sz val="10"/>
        <rFont val="Noto Sans CJK SC"/>
        <family val="2"/>
      </rPr>
      <t xml:space="preserve">（已有正式報價）→ 刪除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</si>
  <si>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前改日期時起始價留在舊日期
假設：①改日期時搬移、新日期有報價就不寫；②只改列不動價格
排除：登錄後 </t>
    </r>
    <r>
      <rPr>
        <sz val="10"/>
        <rFont val="Arial"/>
        <family val="0"/>
        <charset val="1"/>
      </rPr>
      <t xml:space="preserve">09-20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close 30</t>
    </r>
    <r>
      <rPr>
        <sz val="10"/>
        <rFont val="Noto Sans CJK SC"/>
        <family val="2"/>
      </rPr>
      <t xml:space="preserve">；編輯框有「子公司起始價（分拆用，選填；留空＝不變更）」與說明「分拆登錄時寫入的子公司起始價也會隨日期／子公司代號搬移（新日期已有正式報價時不寫入）」；改 </t>
    </r>
    <r>
      <rPr>
        <sz val="10"/>
        <rFont val="Arial"/>
        <family val="0"/>
        <charset val="1"/>
      </rPr>
      <t xml:space="preserve">09-21 → PUT 200 child_price_move {from 09-20, to 09-21, moved true, removed true}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「子公司起始價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搬到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2026-09-21</t>
    </r>
    <r>
      <rPr>
        <sz val="10"/>
        <rFont val="Noto Sans CJK SC"/>
        <family val="2"/>
      </rPr>
      <t xml:space="preserve">」，序列 </t>
    </r>
    <r>
      <rPr>
        <sz val="10"/>
        <rFont val="Arial"/>
        <family val="0"/>
        <charset val="1"/>
      </rPr>
      <t xml:space="preserve">09-20 </t>
    </r>
    <r>
      <rPr>
        <sz val="10"/>
        <rFont val="Noto Sans CJK SC"/>
        <family val="2"/>
      </rPr>
      <t xml:space="preserve">消失、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，排除②；改 </t>
    </r>
    <r>
      <rPr>
        <sz val="10"/>
        <rFont val="Arial"/>
        <family val="0"/>
        <charset val="1"/>
      </rPr>
      <t xml:space="preserve">09-22 → child_price_skipped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move {moved false, removed true}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子公司起始價未搬移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112.0…</t>
    </r>
    <r>
      <rPr>
        <sz val="10"/>
        <rFont val="Noto Sans CJK SC"/>
        <family val="2"/>
      </rPr>
      <t xml:space="preserve">原本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2026-09-21 </t>
    </r>
    <r>
      <rPr>
        <sz val="10"/>
        <rFont val="Noto Sans CJK SC"/>
        <family val="2"/>
      </rPr>
      <t xml:space="preserve">的起始價已移除」，序列只剩 </t>
    </r>
    <r>
      <rPr>
        <sz val="10"/>
        <rFont val="Arial"/>
        <family val="0"/>
        <charset val="1"/>
      </rPr>
      <t xml:space="preserve">09-22 112.0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點逐字相同
定位：</t>
    </r>
    <r>
      <rPr>
        <sz val="10"/>
        <rFont val="Arial"/>
        <family val="0"/>
        <charset val="1"/>
      </rPr>
      <t xml:space="preserve">ledgers.py _move_child_seed
</t>
    </r>
    <r>
      <rPr>
        <sz val="10"/>
        <rFont val="Noto Sans CJK SC"/>
        <family val="2"/>
      </rPr>
      <t xml:space="preserve">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_move_child_seed </t>
    </r>
    <r>
      <rPr>
        <sz val="10"/>
        <rFont val="Noto Sans CJK SC"/>
        <family val="2"/>
      </rPr>
      <t xml:space="preserve">開頭無條件 </t>
    </r>
    <r>
      <rPr>
        <sz val="10"/>
        <rFont val="Arial"/>
        <family val="0"/>
        <charset val="1"/>
      </rPr>
      <t xml:space="preserve">return</t>
    </r>
    <r>
      <rPr>
        <sz val="10"/>
        <rFont val="Noto Sans CJK SC"/>
        <family val="2"/>
      </rPr>
      <t xml:space="preserve">（改日期不搬起始價） → </t>
    </r>
    <r>
      <rPr>
        <sz val="10"/>
        <rFont val="Arial"/>
        <family val="0"/>
        <charset val="1"/>
      </rPr>
      <t xml:space="preserve">8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a SPLIT kept the seed of the SPINOFF it replaced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</si>
  <si>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搬移、跳過與移除皆依規則並有說明；刪除後 </t>
    </r>
    <r>
      <rPr>
        <sz val="10"/>
        <rFont val="Arial"/>
        <family val="0"/>
        <charset val="1"/>
      </rPr>
      <t xml:space="preserve">cmp D040R4 same:true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</si>
  <si>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</si>
  <si>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裁定抽出共用驗證器。缺的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項如上。另發現更正門把輸入原樣存入、不經股利模型推導：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只給再投資價不給股數時，新增門會推導股數，更正門存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，之後每次重算都失敗——一併修。</t>
    </r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</si>
  <si>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</si>
  <si>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沒有任何守門比對兩個門的結果；既有 </t>
    </r>
    <r>
      <rPr>
        <sz val="10"/>
        <rFont val="Arial"/>
        <family val="0"/>
        <charset val="1"/>
      </rPr>
      <t xml:space="preserve">test_ledgers_mutations_api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test_x1_m5_05_amount_cap </t>
    </r>
    <r>
      <rPr>
        <sz val="10"/>
        <rFont val="Noto Sans CJK SC"/>
        <family val="2"/>
      </rPr>
      <t xml:space="preserve">只測更正門自己那兩項。新增參數化等價測試：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每項檢查，共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例，全部走真實的兩個門。</t>
    </r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</si>
  <si>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</si>
  <si>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r>
      <rPr>
        <sz val="10"/>
        <rFont val="Noto Sans CJK SC"/>
        <family val="2"/>
      </rPr>
      <t xml:space="preserve">股利寫入門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（新增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門改共用＋更正門）／白名單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（收件匣確認：每列由帳戶模型建構，新測試以行為證明它寫入的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種股利經驗證器檢查皆 </t>
    </r>
    <r>
      <rPr>
        <sz val="10"/>
        <rFont val="Arial"/>
        <family val="0"/>
        <charset val="1"/>
      </rPr>
      <t xml:space="preserve">0 findings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scripts/seed_demo.py 2 </t>
    </r>
    <r>
      <rPr>
        <sz val="10"/>
        <rFont val="Noto Sans CJK SC"/>
        <family val="2"/>
      </rPr>
      <t xml:space="preserve">處合成資料另列白名單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</si>
  <si>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tests/contract/test_def061_dividend_doors_share_one_validator.py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則參數化＋兩門存值一致、舊列自身問題可更正、收件匣各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；前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4655845 </t>
    </r>
    <r>
      <rPr>
        <sz val="10"/>
        <rFont val="Noto Sans CJK SC"/>
        <family val="2"/>
      </rPr>
      <t xml:space="preserve">上全部失敗，如 </t>
    </r>
    <r>
      <rPr>
        <sz val="10"/>
        <rFont val="Arial"/>
        <family val="0"/>
        <charset val="1"/>
      </rPr>
      <t xml:space="preserve">KeyError 'issues'</t>
    </r>
    <r>
      <rPr>
        <sz val="10"/>
        <rFont val="Noto Sans CJK SC"/>
        <family val="2"/>
      </rPr>
      <t xml:space="preserve">、「欄位 </t>
    </r>
    <r>
      <rPr>
        <sz val="10"/>
        <rFont val="Arial"/>
        <family val="0"/>
        <charset val="1"/>
      </rPr>
      <t xml:space="preserve">withhold</t>
    </r>
    <r>
      <rPr>
        <sz val="10"/>
        <rFont val="Noto Sans CJK SC"/>
        <family val="2"/>
      </rPr>
      <t xml:space="preserve">必須是數字」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e2e test_def061_the_dividend_edit_dialog_shows_the_entry_doors_findings_and_gates_save</t>
    </r>
    <r>
      <rPr>
        <sz val="10"/>
        <rFont val="Noto Sans CJK SC"/>
        <family val="2"/>
      </rPr>
      <t xml:space="preserve">。變異：更正門只保留原本兩項 →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則失敗；存原始值不經模型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TypeError: conversion from NoneType to Decimal is not supported</t>
    </r>
    <r>
      <rPr>
        <sz val="10"/>
        <rFont val="Noto Sans CJK SC"/>
        <family val="2"/>
      </rPr>
      <t xml:space="preserve">」；編輯框預覽停用 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Timeout 60000ms exceeded while waiting for event 'response'</t>
    </r>
    <r>
      <rPr>
        <sz val="10"/>
        <rFont val="Noto Sans CJK SC"/>
        <family val="2"/>
      </rPr>
      <t xml:space="preserve">」。還原後全過。</t>
    </r>
  </si>
  <si>
    <r>
      <rPr>
        <sz val="10"/>
        <rFont val="Noto Sans CJK SC"/>
        <family val="2"/>
      </rPr>
      <t xml:space="preserve">真實瀏覽器：交易帳本 › 股利 › </t>
    </r>
    <r>
      <rPr>
        <sz val="10"/>
        <rFont val="Arial"/>
        <family val="0"/>
        <charset val="1"/>
      </rPr>
      <t xml:space="preserve">#15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2026-07-15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現金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）「編輯」→ 類型改「淨額」看畫面 → 類型改「配股」（不填股數）→ 按「儲存」→ 取消；同值以新增門 </t>
    </r>
    <r>
      <rPr>
        <sz val="10"/>
        <rFont val="Arial"/>
        <family val="0"/>
        <charset val="1"/>
      </rPr>
      <t xml:space="preserve">POST /api/import/preview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kind dividends</t>
    </r>
    <r>
      <rPr>
        <sz val="10"/>
        <rFont val="Noto Sans CJK SC"/>
        <family val="2"/>
      </rPr>
      <t xml:space="preserve">，純試算不寫入）比對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</si>
  <si>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/api/ledgers/dividends/preview 200</t>
    </r>
    <r>
      <rPr>
        <sz val="10"/>
        <rFont val="Noto Sans CJK SC"/>
        <family val="2"/>
      </rPr>
      <t xml:space="preserve">）；改「配股」不填股數 → 框內「✕ </t>
    </r>
    <r>
      <rPr>
        <sz val="10"/>
        <rFont val="Arial"/>
        <family val="0"/>
        <charset val="1"/>
      </rPr>
      <t xml:space="preserve">STOCK </t>
    </r>
    <r>
      <rPr>
        <sz val="10"/>
        <rFont val="Noto Sans CJK SC"/>
        <family val="2"/>
      </rPr>
      <t xml:space="preserve">股利必須有股數（</t>
    </r>
    <r>
      <rPr>
        <sz val="10"/>
        <rFont val="Arial"/>
        <family val="0"/>
        <charset val="1"/>
      </rPr>
      <t xml:space="preserve">reinvest_shares</t>
    </r>
    <r>
      <rPr>
        <sz val="10"/>
        <rFont val="Noto Sans CJK SC"/>
        <family val="2"/>
      </rPr>
      <t xml:space="preserve">）——配股／再投資是以股數入帳，缺這個欄位重算會失敗」，按儲存 → </t>
    </r>
    <r>
      <rPr>
        <sz val="10"/>
        <rFont val="Arial"/>
        <family val="0"/>
        <charset val="1"/>
      </rPr>
      <t xml:space="preserve">PUT /api/ledgers/dividends/15 400 {code validation_error, issues [reinvest_shares_required]}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「編輯失敗 …」，股利帳本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列逐字不變；新增門同值：</t>
    </r>
    <r>
      <rPr>
        <sz val="10"/>
        <rFont val="Arial"/>
        <family val="0"/>
        <charset val="1"/>
      </rPr>
      <t xml:space="preserve">STOCK → status error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kinds [reinvest_shares_required]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NET → status warn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kinds [dividend_type_mismatch]</t>
    </r>
    <r>
      <rPr>
        <sz val="10"/>
        <rFont val="Noto Sans CJK SC"/>
        <family val="2"/>
      </rPr>
      <t xml:space="preserve">，與更正門同判定。排除②
判定：通過
變異（驗證者於本機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edit_dividend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validate_dividend </t>
    </r>
    <r>
      <rPr>
        <sz val="10"/>
        <rFont val="Noto Sans CJK SC"/>
        <family val="2"/>
      </rPr>
      <t xml:space="preserve">結果清空（</t>
    </r>
    <r>
      <rPr>
        <sz val="10"/>
        <rFont val="Arial"/>
        <family val="0"/>
        <charset val="1"/>
      </rPr>
      <t xml:space="preserve">findings = []</t>
    </r>
    <r>
      <rPr>
        <sz val="10"/>
        <rFont val="Noto Sans CJK SC"/>
        <family val="2"/>
      </rPr>
      <t xml:space="preserve">） → </t>
    </r>
    <r>
      <rPr>
        <sz val="10"/>
        <rFont val="Arial"/>
        <family val="0"/>
        <charset val="1"/>
      </rPr>
      <t xml:space="preserve">13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422 == 400</t>
    </r>
    <r>
      <rPr>
        <sz val="10"/>
        <rFont val="Noto Sans CJK SC"/>
        <family val="2"/>
      </rPr>
      <t xml:space="preserve">（硬性問題未在驗證器擋下）），還原後通過</t>
    </r>
  </si>
  <si>
    <r>
      <rPr>
        <sz val="10"/>
        <rFont val="Noto Sans CJK SC"/>
        <family val="2"/>
      </rPr>
      <t xml:space="preserve">軟性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項需勾選才可存；硬性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 </t>
    </r>
    <r>
      <rPr>
        <sz val="10"/>
        <rFont val="Arial"/>
        <family val="0"/>
        <charset val="1"/>
      </rPr>
      <t xml:space="preserve">PUT 400</t>
    </r>
    <r>
      <rPr>
        <sz val="10"/>
        <rFont val="Noto Sans CJK SC"/>
        <family val="2"/>
      </rPr>
      <t xml:space="preserve">；兩道門判定相同；帳本未變</t>
    </r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</si>
  <si>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</si>
  <si>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r>
      <rPr>
        <sz val="10"/>
        <rFont val="Noto Sans CJK SC"/>
        <family val="2"/>
      </rPr>
      <t xml:space="preserve">真實瀏覽器走精靈至監聽規則，讀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label </t>
    </r>
    <r>
      <rPr>
        <sz val="10"/>
        <rFont val="Noto Sans CJK SC"/>
        <family val="2"/>
      </rPr>
      <t xml:space="preserve">的文字與 </t>
    </r>
    <r>
      <rPr>
        <sz val="10"/>
        <rFont val="Arial"/>
        <family val="0"/>
        <charset val="1"/>
      </rPr>
      <t xml:space="preserve">value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</si>
  <si>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個勾選框文字＝</t>
    </r>
    <r>
      <rPr>
        <sz val="10"/>
        <rFont val="Arial"/>
        <family val="0"/>
        <charset val="1"/>
      </rPr>
      <t xml:space="preserve">value
</t>
    </r>
    <r>
      <rPr>
        <sz val="10"/>
        <rFont val="Noto Sans CJK SC"/>
        <family val="2"/>
      </rPr>
      <t xml:space="preserve">假設：①前端有完整對照表；②對照表缺項
排除：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條、</t>
    </r>
    <r>
      <rPr>
        <sz val="10"/>
        <rFont val="Arial"/>
        <family val="0"/>
        <charset val="1"/>
      </rPr>
      <t xml:space="preserve">pipeline-wizard.js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條，排除①
定位：</t>
    </r>
    <r>
      <rPr>
        <sz val="10"/>
        <rFont val="Arial"/>
        <family val="0"/>
        <charset val="1"/>
      </rPr>
      <t xml:space="preserve">pipeline-wizard.js:23-29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使用者可見識別字</t>
    </r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</si>
  <si>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</si>
  <si>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DEF-062</t>
    </r>
  </si>
  <si>
    <r>
      <rPr>
        <sz val="10"/>
        <rFont val="Noto Sans CJK SC"/>
        <family val="2"/>
      </rPr>
      <t xml:space="preserve">讀開發者交接決策項＋讀碼 </t>
    </r>
    <r>
      <rPr>
        <sz val="10"/>
        <rFont val="Arial"/>
        <family val="0"/>
        <charset val="1"/>
      </rPr>
      <t xml:space="preserve">pricing/seed.py</t>
    </r>
  </si>
  <si>
    <r>
      <rPr>
        <sz val="10"/>
        <rFont val="Noto Sans CJK SC"/>
        <family val="2"/>
      </rPr>
      <t xml:space="preserve">規格未定→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已裁定（資料殘留）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</si>
  <si>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已裁定寫清理腳本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</si>
  <si>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已裁定全部排除</t>
    </r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</si>
  <si>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</si>
  <si>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次出現 </t>
    </r>
    <r>
      <rPr>
        <sz val="10"/>
        <rFont val="Arial"/>
        <family val="0"/>
        <charset val="1"/>
      </rPr>
      <t xml:space="preserve">console 500</t>
    </r>
    <r>
      <rPr>
        <sz val="10"/>
        <rFont val="Noto Sans CJK SC"/>
        <family val="2"/>
      </rPr>
      <t xml:space="preserve">，副本記到 </t>
    </r>
    <r>
      <rPr>
        <sz val="10"/>
        <rFont val="Arial"/>
        <family val="0"/>
        <charset val="1"/>
      </rPr>
      <t xml:space="preserve">GET /api/ui-prefs 500 internal_error
</t>
    </r>
    <r>
      <rPr>
        <sz val="10"/>
        <rFont val="Noto Sans CJK SC"/>
        <family val="2"/>
      </rPr>
      <t xml:space="preserve">假設：①測試本身不穩；②伺服器在特定時序回 </t>
    </r>
    <r>
      <rPr>
        <sz val="10"/>
        <rFont val="Arial"/>
        <family val="0"/>
        <charset val="1"/>
      </rPr>
      <t xml:space="preserve">500
</t>
    </r>
    <r>
      <rPr>
        <sz val="10"/>
        <rFont val="Noto Sans CJK SC"/>
        <family val="2"/>
      </rPr>
      <t xml:space="preserve">排除：失敗的斷言只有 </t>
    </r>
    <r>
      <rPr>
        <sz val="10"/>
        <rFont val="Arial"/>
        <family val="0"/>
        <charset val="1"/>
      </rPr>
      <t xml:space="preserve">console errors</t>
    </r>
    <r>
      <rPr>
        <sz val="10"/>
        <rFont val="Noto Sans CJK SC"/>
        <family val="2"/>
      </rPr>
      <t xml:space="preserve">，功能斷言全過，且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由應用程式錯誤處理器回應（</t>
    </r>
    <r>
      <rPr>
        <sz val="10"/>
        <rFont val="Arial"/>
        <family val="0"/>
        <charset val="1"/>
      </rPr>
      <t xml:space="preserve">JSON internal_error</t>
    </r>
    <r>
      <rPr>
        <sz val="10"/>
        <rFont val="Noto Sans CJK SC"/>
        <family val="2"/>
      </rPr>
      <t xml:space="preserve">），排除①
定位：未取得 </t>
    </r>
    <r>
      <rPr>
        <sz val="10"/>
        <rFont val="Arial"/>
        <family val="0"/>
        <charset val="1"/>
      </rPr>
      <t xml:space="preserve">traceback</t>
    </r>
    <r>
      <rPr>
        <sz val="10"/>
        <rFont val="Noto Sans CJK SC"/>
        <family val="2"/>
      </rPr>
      <t xml:space="preserve">；疑點為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路徑內的 </t>
    </r>
    <r>
      <rPr>
        <sz val="10"/>
        <rFont val="Arial"/>
        <family val="0"/>
        <charset val="1"/>
      </rPr>
      <t xml:space="preserve">ensure_seeded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shared/ui_prefs.py:55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shared/config_store.py:22</t>
    </r>
    <r>
      <rPr>
        <sz val="10"/>
        <rFont val="Noto Sans CJK SC"/>
        <family val="2"/>
      </rPr>
      <t xml:space="preserve">）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閘門不穩定，且使用者可能偶遇 </t>
    </r>
    <r>
      <rPr>
        <sz val="10"/>
        <rFont val="Arial"/>
        <family val="0"/>
        <charset val="1"/>
      </rPr>
      <t xml:space="preserve">500</t>
    </r>
  </si>
  <si>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287/1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287/2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289/0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5xx 1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</si>
  <si>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DEF-065</t>
    </r>
  </si>
  <si>
    <r>
      <rPr>
        <sz val="11"/>
        <color theme="1"/>
        <rFont val="Noto Sans CJK SC"/>
        <family val="2"/>
      </rPr>
      <t xml:space="preserve">同意。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future</t>
    </r>
    <r>
      <rPr>
        <sz val="11"/>
        <color theme="1"/>
        <rFont val="Noto Sans CJK SC"/>
        <family val="2"/>
      </rPr>
      <t xml:space="preserve">）與列印報告都對，畫面沒讀。同類掃描另找到個股抽屜「配息史」同樣列出未來股利而沒有標示（</t>
    </r>
    <r>
      <rPr>
        <sz val="11"/>
        <color theme="1"/>
        <rFont val="Calibri"/>
        <family val="2"/>
        <charset val="1"/>
      </rPr>
      <t xml:space="preserve">owner ③ </t>
    </r>
    <r>
      <rPr>
        <sz val="11"/>
        <color theme="1"/>
        <rFont val="Noto Sans CJK SC"/>
        <family val="2"/>
      </rPr>
      <t xml:space="preserve">裁定的是抽屜「交易明細」不列未來列，配息史不在裁定內），以及兩個對帳 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（現金收支明細、配息史）沒有旗標欄，一併修。</t>
    </r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</si>
  <si>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</si>
  <si>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</si>
  <si>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</si>
  <si>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第一軸（列出帳本列的面）共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：畫面 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個帳本分頁、資金頁出金入金與換匯列表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已有；現金收支明細 ✗→修；抽屜配息史 ✗→修；抽屜交易明細＝白名單：</t>
    </r>
    <r>
      <rPr>
        <sz val="11"/>
        <color theme="1"/>
        <rFont val="Calibri"/>
        <family val="2"/>
        <charset val="1"/>
      </rPr>
      <t xml:space="preserve">owner ③ </t>
    </r>
    <r>
      <rPr>
        <sz val="11"/>
        <color theme="1"/>
        <rFont val="Noto Sans CJK SC"/>
        <family val="2"/>
      </rPr>
      <t xml:space="preserve">不列未來列）＋價格圖標記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（白名單：類別軸只有已有收盤的日期，未來日期的標記畫不出來）＋列印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（帳本報告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區段、現金收支報告，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已有）＋</t>
    </r>
    <r>
      <rPr>
        <sz val="11"/>
        <color theme="1"/>
        <rFont val="Calibri"/>
        <family val="2"/>
        <charset val="1"/>
      </rPr>
      <t xml:space="preserve">CSV 6</t>
    </r>
    <r>
      <rPr>
        <sz val="11"/>
        <color theme="1"/>
        <rFont val="Noto Sans CJK SC"/>
        <family val="2"/>
      </rPr>
      <t xml:space="preserve">（現金收支明細 </t>
    </r>
    <r>
      <rPr>
        <sz val="11"/>
        <color theme="1"/>
        <rFont val="Calibri"/>
        <family val="2"/>
        <charset val="1"/>
      </rPr>
      <t xml:space="preserve">CSV ✗→</t>
    </r>
    <r>
      <rPr>
        <sz val="11"/>
        <color theme="1"/>
        <rFont val="Noto Sans CJK SC"/>
        <family val="2"/>
      </rPr>
      <t xml:space="preserve">修、配息史 </t>
    </r>
    <r>
      <rPr>
        <sz val="11"/>
        <color theme="1"/>
        <rFont val="Calibri"/>
        <family val="2"/>
        <charset val="1"/>
      </rPr>
      <t xml:space="preserve">CSV ✗→</t>
    </r>
    <r>
      <rPr>
        <sz val="11"/>
        <color theme="1"/>
        <rFont val="Noto Sans CJK SC"/>
        <family val="2"/>
      </rPr>
      <t xml:space="preserve">修；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種帳本 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＝白名單：可重新匯入，</t>
    </r>
    <r>
      <rPr>
        <sz val="11"/>
        <color theme="1"/>
        <rFont val="Calibri"/>
        <family val="2"/>
        <charset val="1"/>
      </rPr>
      <t xml:space="preserve">DEF-026</t>
    </r>
    <r>
      <rPr>
        <sz val="11"/>
        <color theme="1"/>
        <rFont val="Noto Sans CJK SC"/>
        <family val="2"/>
      </rPr>
      <t xml:space="preserve">）。不列帳本列的面：最近匯入（批次）、股利收件匣（公告）、折讓款預估（本來就是未來）、持股與已實現匯出（估值，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已依日期切）。第二軸（手寫的日期切點）共 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／統一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input_center.py:613-621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DEF-048 </t>
    </r>
    <r>
      <rPr>
        <sz val="11"/>
        <color theme="1"/>
        <rFont val="Noto Sans CJK SC"/>
        <family val="2"/>
      </rPr>
      <t xml:space="preserve">草稿重播，股利用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是刻意的）、</t>
    </r>
    <r>
      <rPr>
        <sz val="11"/>
        <color theme="1"/>
        <rFont val="Calibri"/>
        <family val="2"/>
        <charset val="1"/>
      </rPr>
      <t xml:space="preserve">validate.py:1058</t>
    </r>
    <r>
      <rPr>
        <sz val="11"/>
        <color theme="1"/>
        <rFont val="Noto Sans CJK SC"/>
        <family val="2"/>
      </rPr>
      <t xml:space="preserve">（公司行動同順位切點）、</t>
    </r>
    <r>
      <rPr>
        <sz val="11"/>
        <color theme="1"/>
        <rFont val="Calibri"/>
        <family val="2"/>
        <charset val="1"/>
      </rPr>
      <t xml:space="preserve">dashboard.py:751</t>
    </r>
    <r>
      <rPr>
        <sz val="11"/>
        <color theme="1"/>
        <rFont val="Noto Sans CJK SC"/>
        <family val="2"/>
      </rPr>
      <t xml:space="preserve">（除息行事曆）、</t>
    </r>
    <r>
      <rPr>
        <sz val="11"/>
        <color theme="1"/>
        <rFont val="Calibri"/>
        <family val="2"/>
        <charset val="1"/>
      </rPr>
      <t xml:space="preserve">dividend_inbox.py:294</t>
    </r>
    <r>
      <rPr>
        <sz val="11"/>
        <color theme="1"/>
        <rFont val="Noto Sans CJK SC"/>
        <family val="2"/>
      </rPr>
      <t xml:space="preserve">（收件匣視窗）、</t>
    </r>
    <r>
      <rPr>
        <sz val="11"/>
        <color theme="1"/>
        <rFont val="Calibri"/>
        <family val="2"/>
        <charset val="1"/>
      </rPr>
      <t xml:space="preserve">shared/corporate_actions.py:502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pricing/store.py</t>
    </r>
    <r>
      <rPr>
        <sz val="11"/>
        <color theme="1"/>
        <rFont val="Noto Sans CJK SC"/>
        <family val="2"/>
      </rPr>
      <t xml:space="preserve">（分割視窗 </t>
    </r>
    <r>
      <rPr>
        <sz val="11"/>
        <color theme="1"/>
        <rFont val="Calibri"/>
        <family val="2"/>
        <charset val="1"/>
      </rPr>
      <t xml:space="preserve">after &lt; d &lt;= through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"date [&lt;&gt;]=\? *as_of\|[&lt;&gt;]=\? *day\b\|[&lt;&gt;]=\? *today\b" portfolio_dash</t>
    </r>
    <r>
      <rPr>
        <sz val="11"/>
        <color theme="1"/>
        <rFont val="Noto Sans CJK SC"/>
        <family val="2"/>
      </rPr>
      <t xml:space="preserve">；畫面面用上述 </t>
    </r>
    <r>
      <rPr>
        <sz val="11"/>
        <color theme="1"/>
        <rFont val="Calibri"/>
        <family val="2"/>
        <charset val="1"/>
      </rPr>
      <t xml:space="preserve">sweep e2e </t>
    </r>
    <r>
      <rPr>
        <sz val="11"/>
        <color theme="1"/>
        <rFont val="Noto Sans CJK SC"/>
        <family val="2"/>
      </rPr>
      <t xml:space="preserve">實測。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</si>
  <si>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e2e tests/e2e/test_def056_r5_cash_statement_future_flow.py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：單一幣別明細——分隔列文字、每筆未來列的 </t>
    </r>
    <r>
      <rPr>
        <sz val="11"/>
        <color theme="1"/>
        <rFont val="Calibri"/>
        <family val="2"/>
        <charset val="1"/>
      </rPr>
      <t xml:space="preserve">counts_from </t>
    </r>
    <r>
      <rPr>
        <sz val="11"/>
        <color theme="1"/>
        <rFont val="Noto Sans CJK SC"/>
        <family val="2"/>
      </rPr>
      <t xml:space="preserve">徽章、投影標示、表頭目前餘額＝資金池卡片數字且不是第一列的投影、第一筆已發生列的餘額＝目前餘額；全部幣別明細同上且分隔列跨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欄；抽屜配息史只有未來那筆有徽章）、</t>
    </r>
    <r>
      <rPr>
        <sz val="11"/>
        <color theme="1"/>
        <rFont val="Calibri"/>
        <family val="2"/>
        <charset val="1"/>
      </rPr>
      <t xml:space="preserve">tests/e2e/test_def056_r5_future_row_sweep_flow.py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：上述全頁掃描）；契約 </t>
    </r>
    <r>
      <rPr>
        <sz val="11"/>
        <color theme="1"/>
        <rFont val="Calibri"/>
        <family val="2"/>
        <charset val="1"/>
      </rPr>
      <t xml:space="preserve">tests/contract/test_def056_future_rows_count_from_their_date.py +1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個範圍的明細列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current_balance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/api/cash</t>
    </r>
    <r>
      <rPr>
        <sz val="11"/>
        <color theme="1"/>
        <rFont val="Noto Sans CJK SC"/>
        <family val="2"/>
      </rPr>
      <t xml:space="preserve">、明細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counts_from </t>
    </r>
    <r>
      <rPr>
        <sz val="11"/>
        <color theme="1"/>
        <rFont val="Noto Sans CJK SC"/>
        <family val="2"/>
      </rPr>
      <t xml:space="preserve">欄；生效當天全部消失）；</t>
    </r>
    <r>
      <rPr>
        <sz val="11"/>
        <color theme="1"/>
        <rFont val="Calibri"/>
        <family val="2"/>
        <charset val="1"/>
      </rPr>
      <t xml:space="preserve">tests/export/test_symbol_detail_csv.py +1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：現金股利依入帳日、配股依除權日）；既有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表頭斷言更新。</t>
    </r>
    <r>
      <rPr>
        <sz val="11"/>
        <color theme="1"/>
        <rFont val="Calibri"/>
        <family val="2"/>
        <charset val="1"/>
      </rPr>
      <t xml:space="preserve">1ee7771 </t>
    </r>
    <r>
      <rPr>
        <sz val="11"/>
        <color theme="1"/>
        <rFont val="Noto Sans CJK SC"/>
        <family val="2"/>
      </rPr>
      <t xml:space="preserve">上：新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全部失敗、契約 </t>
    </r>
    <r>
      <rPr>
        <sz val="11"/>
        <color theme="1"/>
        <rFont val="Calibri"/>
        <family val="2"/>
        <charset val="1"/>
      </rPr>
      <t xml:space="preserve">KeyError 'counts_from'</t>
    </r>
    <r>
      <rPr>
        <sz val="11"/>
        <color theme="1"/>
        <rFont val="Noto Sans CJK SC"/>
        <family val="2"/>
      </rPr>
      <t xml:space="preserve">。變異：①</t>
    </r>
    <r>
      <rPr>
        <sz val="11"/>
        <color theme="1"/>
        <rFont val="Calibri"/>
        <family val="2"/>
        <charset val="1"/>
      </rPr>
      <t xml:space="preserve">cash.js </t>
    </r>
    <r>
      <rPr>
        <sz val="11"/>
        <color theme="1"/>
        <rFont val="Noto Sans CJK SC"/>
        <family val="2"/>
      </rPr>
      <t xml:space="preserve">不讀 </t>
    </r>
    <r>
      <rPr>
        <sz val="11"/>
        <color theme="1"/>
        <rFont val="Calibri"/>
        <family val="2"/>
        <charset val="1"/>
      </rPr>
      <t xml:space="preserve">r.future → </t>
    </r>
    <r>
      <rPr>
        <sz val="11"/>
        <color theme="1"/>
        <rFont val="Noto Sans CJK SC"/>
        <family val="2"/>
      </rPr>
      <t xml:space="preserve">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則失敗「</t>
    </r>
    <r>
      <rPr>
        <sz val="11"/>
        <color theme="1"/>
        <rFont val="Calibri"/>
        <family val="2"/>
        <charset val="1"/>
      </rPr>
      <t xml:space="preserve">Locator expected to have class 'stmt-cut'</t>
    </r>
    <r>
      <rPr>
        <sz val="11"/>
        <color theme="1"/>
        <rFont val="Noto Sans CJK SC"/>
        <family val="2"/>
      </rPr>
      <t xml:space="preserve">」；②把 </t>
    </r>
    <r>
      <rPr>
        <sz val="11"/>
        <color theme="1"/>
        <rFont val="Calibri"/>
        <family val="2"/>
        <charset val="1"/>
      </rPr>
      <t xml:space="preserve">1ee7771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cash.js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放回 → 掃描失敗並列出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列明細（例「</t>
    </r>
    <r>
      <rPr>
        <sz val="11"/>
        <color theme="1"/>
        <rFont val="Calibri"/>
        <family val="2"/>
        <charset val="1"/>
      </rPr>
      <t xml:space="preserve">cash:statement[</t>
    </r>
    <r>
      <rPr>
        <sz val="11"/>
        <color theme="1"/>
        <rFont val="Noto Sans CJK SC"/>
        <family val="2"/>
      </rPr>
      <t xml:space="preserve">台灣券商・</t>
    </r>
    <r>
      <rPr>
        <sz val="11"/>
        <color theme="1"/>
        <rFont val="Calibri"/>
        <family val="2"/>
        <charset val="1"/>
      </rPr>
      <t xml:space="preserve">TWD]: #cash-stmt-body :: 2099-01-02</t>
    </r>
    <r>
      <rPr>
        <sz val="11"/>
        <color theme="1"/>
        <rFont val="Noto Sans CJK SC"/>
        <family val="2"/>
      </rPr>
      <t xml:space="preserve">券商費用（無備註）−</t>
    </r>
    <r>
      <rPr>
        <sz val="11"/>
        <color theme="1"/>
        <rFont val="Calibri"/>
        <family val="2"/>
        <charset val="1"/>
      </rPr>
      <t xml:space="preserve">100109,900</t>
    </r>
    <r>
      <rPr>
        <sz val="11"/>
        <color theme="1"/>
        <rFont val="Noto Sans CJK SC"/>
        <family val="2"/>
      </rPr>
      <t xml:space="preserve">」）與抽屜「</t>
    </r>
    <r>
      <rPr>
        <sz val="11"/>
        <color theme="1"/>
        <rFont val="Calibri"/>
        <family val="2"/>
        <charset val="1"/>
      </rPr>
      <t xml:space="preserve">drawer:2330: 2099-01-02</t>
    </r>
    <r>
      <rPr>
        <sz val="11"/>
        <color theme="1"/>
        <rFont val="Noto Sans CJK SC"/>
        <family val="2"/>
      </rPr>
      <t xml:space="preserve">現金</t>
    </r>
    <r>
      <rPr>
        <sz val="11"/>
        <color theme="1"/>
        <rFont val="Calibri"/>
        <family val="2"/>
        <charset val="1"/>
      </rPr>
      <t xml:space="preserve">5,0005,000—</t>
    </r>
    <r>
      <rPr>
        <sz val="11"/>
        <color theme="1"/>
        <rFont val="Noto Sans CJK SC"/>
        <family val="2"/>
      </rPr>
      <t xml:space="preserve">」；③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不讀 </t>
    </r>
    <r>
      <rPr>
        <sz val="11"/>
        <color theme="1"/>
        <rFont val="Calibri"/>
        <family val="2"/>
        <charset val="1"/>
      </rPr>
      <t xml:space="preserve">counts_from → </t>
    </r>
    <r>
      <rPr>
        <sz val="11"/>
        <color theme="1"/>
        <rFont val="Noto Sans CJK SC"/>
        <family val="2"/>
      </rPr>
      <t xml:space="preserve">配息史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則失敗；④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明細列 </t>
    </r>
    <r>
      <rPr>
        <sz val="11"/>
        <color theme="1"/>
        <rFont val="Calibri"/>
        <family val="2"/>
        <charset val="1"/>
      </rPr>
      <t xml:space="preserve">counts_from </t>
    </r>
    <r>
      <rPr>
        <sz val="11"/>
        <color theme="1"/>
        <rFont val="Noto Sans CJK SC"/>
        <family val="2"/>
      </rPr>
      <t xml:space="preserve">改回 </t>
    </r>
    <r>
      <rPr>
        <sz val="11"/>
        <color theme="1"/>
        <rFont val="Calibri"/>
        <family val="2"/>
        <charset val="1"/>
      </rPr>
      <t xml:space="preserve">None → </t>
    </r>
    <r>
      <rPr>
        <sz val="11"/>
        <color theme="1"/>
        <rFont val="Noto Sans CJK SC"/>
        <family val="2"/>
      </rPr>
      <t xml:space="preserve">契約失敗「</t>
    </r>
    <r>
      <rPr>
        <sz val="11"/>
        <color theme="1"/>
        <rFont val="Calibri"/>
        <family val="2"/>
        <charset val="1"/>
      </rPr>
      <t xml:space="preserve">assert (None, True) == ('2026-07-01', True)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</si>
  <si>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</si>
  <si>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本輪整體閘門（開發機、</t>
    </r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指示一次只跑一項、不並行）：</t>
    </r>
    <r>
      <rPr>
        <sz val="11"/>
        <color theme="1"/>
        <rFont val="Calibri"/>
        <family val="2"/>
        <charset val="1"/>
      </rPr>
      <t xml:space="preserve">ruff check portfolio_dash tests scripts </t>
    </r>
    <r>
      <rPr>
        <sz val="11"/>
        <color theme="1"/>
        <rFont val="Noto Sans CJK SC"/>
        <family val="2"/>
      </rPr>
      <t xml:space="preserve">全過・</t>
    </r>
    <r>
      <rPr>
        <sz val="11"/>
        <color theme="1"/>
        <rFont val="Calibri"/>
        <family val="2"/>
        <charset val="1"/>
      </rPr>
      <t xml:space="preserve">mypy --strict 925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問題（全新快取；首跑抓到新測試檔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處型別註記，已修）・</t>
    </r>
    <r>
      <rPr>
        <sz val="11"/>
        <color theme="1"/>
        <rFont val="Calibri"/>
        <family val="2"/>
        <charset val="1"/>
      </rPr>
      <t xml:space="preserve">pytest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分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段前景 </t>
    </r>
    <r>
      <rPr>
        <sz val="11"/>
        <color theme="1"/>
        <rFont val="Calibri"/>
        <family val="2"/>
        <charset val="1"/>
      </rPr>
      <t xml:space="preserve">6,310 </t>
    </r>
    <r>
      <rPr>
        <sz val="11"/>
        <color theme="1"/>
        <rFont val="Noto Sans CJK SC"/>
        <family val="2"/>
      </rPr>
      <t xml:space="preserve">則：</t>
    </r>
    <r>
      <rPr>
        <sz val="11"/>
        <color theme="1"/>
        <rFont val="Calibri"/>
        <family val="2"/>
        <charset val="1"/>
      </rPr>
      <t xml:space="preserve">6,308 passed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skipped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contract </t>
    </r>
    <r>
      <rPr>
        <sz val="11"/>
        <color theme="1"/>
        <rFont val="Noto Sans CJK SC"/>
        <family val="2"/>
      </rPr>
      <t xml:space="preserve">前半 </t>
    </r>
    <r>
      <rPr>
        <sz val="11"/>
        <color theme="1"/>
        <rFont val="Calibri"/>
        <family val="2"/>
        <charset val="1"/>
      </rPr>
      <t xml:space="preserve">934</t>
    </r>
    <r>
      <rPr>
        <sz val="11"/>
        <color theme="1"/>
        <rFont val="Noto Sans CJK SC"/>
        <family val="2"/>
      </rPr>
      <t xml:space="preserve">、後半 </t>
    </r>
    <r>
      <rPr>
        <sz val="11"/>
        <color theme="1"/>
        <rFont val="Calibri"/>
        <family val="2"/>
        <charset val="1"/>
      </rPr>
      <t xml:space="preserve">1,355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golden 1,743</t>
    </r>
    <r>
      <rPr>
        <sz val="11"/>
        <color theme="1"/>
        <rFont val="Noto Sans CJK SC"/>
        <family val="2"/>
      </rPr>
      <t xml:space="preserve">、其餘 </t>
    </r>
    <r>
      <rPr>
        <sz val="11"/>
        <color theme="1"/>
        <rFont val="Calibri"/>
        <family val="2"/>
        <charset val="1"/>
      </rPr>
      <t xml:space="preserve">2,278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全套連跑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次（最終版程式、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檔、每批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檔前景）：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PD_E2E_NETLOG </t>
    </r>
    <r>
      <rPr>
        <sz val="11"/>
        <color theme="1"/>
        <rFont val="Noto Sans CJK SC"/>
        <family val="2"/>
      </rPr>
      <t xml:space="preserve">保留的 </t>
    </r>
    <r>
      <rPr>
        <sz val="11"/>
        <color theme="1"/>
        <rFont val="Calibri"/>
        <family val="2"/>
        <charset val="1"/>
      </rPr>
      <t xml:space="preserve">uvicorn </t>
    </r>
    <r>
      <rPr>
        <sz val="11"/>
        <color theme="1"/>
        <rFont val="Noto Sans CJK SC"/>
        <family val="2"/>
      </rPr>
      <t xml:space="preserve">記錄三次皆為伺服器端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（每次約 </t>
    </r>
    <r>
      <rPr>
        <sz val="11"/>
        <color theme="1"/>
        <rFont val="Calibri"/>
        <family val="2"/>
        <charset val="1"/>
      </rPr>
      <t xml:space="preserve">640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GET /api/ui-prefs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）；另有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次在 </t>
    </r>
    <r>
      <rPr>
        <sz val="11"/>
        <color theme="1"/>
        <rFont val="Calibri"/>
        <family val="2"/>
        <charset val="1"/>
      </rPr>
      <t xml:space="preserve">input.js </t>
    </r>
    <r>
      <rPr>
        <sz val="11"/>
        <color theme="1"/>
        <rFont val="Noto Sans CJK SC"/>
        <family val="2"/>
      </rPr>
      <t xml:space="preserve">修正前的預跑：</t>
    </r>
    <r>
      <rPr>
        <sz val="11"/>
        <color theme="1"/>
        <rFont val="Calibri"/>
        <family val="2"/>
        <charset val="1"/>
      </rPr>
      <t xml:space="preserve">293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293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則失敗（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test_def049_batch_undo_oversell_flow</t>
    </r>
    <r>
      <rPr>
        <sz val="11"/>
        <color theme="1"/>
        <rFont val="Noto Sans CJK SC"/>
        <family val="2"/>
      </rPr>
      <t xml:space="preserve">，原因是交易頁分頁競態，已修並補測試，見 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phase 1 ops=128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pass=6,025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fail=0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相同）。註：本輪第一次跑全套時，我留在背景的舊版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重現迴圈與測試同時執行，把記憶體吃光，</t>
    </r>
    <r>
      <rPr>
        <sz val="11"/>
        <color theme="1"/>
        <rFont val="Calibri"/>
        <family val="2"/>
        <charset val="1"/>
      </rPr>
      <t xml:space="preserve">Claude Code </t>
    </r>
    <r>
      <rPr>
        <sz val="11"/>
        <color theme="1"/>
        <rFont val="Noto Sans CJK SC"/>
        <family val="2"/>
      </rPr>
      <t xml:space="preserve">因此中止該次執行（非測試失敗）；清掉殘留行程後，依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指示改為逐項前景執行，上列數字皆為重跑結果。部署：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備份 </t>
    </r>
    <r>
      <rPr>
        <sz val="11"/>
        <color theme="1"/>
        <rFont val="Calibri"/>
        <family val="2"/>
        <charset val="1"/>
      </rPr>
      <t xml:space="preserve">portfolio-pre-3be67db-20260925T123452Z.db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news-pre-3be67db-20260925T123452Z.db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integrity ok</t>
    </r>
    <r>
      <rPr>
        <sz val="11"/>
        <color theme="1"/>
        <rFont val="Noto Sans CJK SC"/>
        <family val="2"/>
      </rPr>
      <t xml:space="preserve">；交易／股利／資金／公司行動／洞察卡／評分／稽核／匯入批次／價格／</t>
    </r>
    <r>
      <rPr>
        <sz val="11"/>
        <color theme="1"/>
        <rFont val="Calibri"/>
        <family val="2"/>
        <charset val="1"/>
      </rPr>
      <t xml:space="preserve">manual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35,201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部署 </t>
    </r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（無相依、無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變更）→ </t>
    </r>
    <r>
      <rPr>
        <sz val="11"/>
        <color theme="1"/>
        <rFont val="Calibri"/>
        <family val="2"/>
        <charset val="1"/>
      </rPr>
      <t xml:space="preserve">/api/health commit=3be67db → settings_meta </t>
    </r>
    <r>
      <rPr>
        <sz val="11"/>
        <color theme="1"/>
        <rFont val="Noto Sans CJK SC"/>
        <family val="2"/>
      </rPr>
      <t xml:space="preserve">已有 </t>
    </r>
    <r>
      <rPr>
        <sz val="11"/>
        <color theme="1"/>
        <rFont val="Calibri"/>
        <family val="2"/>
        <charset val="1"/>
      </rPr>
      <t xml:space="preserve">ui_prefs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whatsnew</t>
    </r>
    <r>
      <rPr>
        <sz val="11"/>
        <color theme="1"/>
        <rFont val="Noto Sans CJK SC"/>
        <family val="2"/>
      </rPr>
      <t xml:space="preserve">（開機建立）→ </t>
    </r>
    <r>
      <rPr>
        <sz val="11"/>
        <color theme="1"/>
        <rFont val="Calibri"/>
        <family val="2"/>
        <charset val="1"/>
      </rPr>
      <t xml:space="preserve">verify_live ALL PASS → </t>
    </r>
    <r>
      <rPr>
        <sz val="11"/>
        <color theme="1"/>
        <rFont val="Noto Sans CJK SC"/>
        <family val="2"/>
      </rPr>
      <t xml:space="preserve">真實瀏覽器探測：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0 </t>
    </r>
    <r>
      <rPr>
        <sz val="11"/>
        <color theme="1"/>
        <rFont val="Noto Sans CJK SC"/>
        <family val="2"/>
      </rPr>
      <t xml:space="preserve">錯誤、頁面載入時伺服器端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；精靈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個監聽規則全為中文且與 預警規則 逐字相同；</t>
    </r>
    <r>
      <rPr>
        <sz val="11"/>
        <color theme="1"/>
        <rFont val="Calibri"/>
        <family val="2"/>
        <charset val="1"/>
      </rPr>
      <t xml:space="preserve">/api/alert-rules 15 </t>
    </r>
    <r>
      <rPr>
        <sz val="11"/>
        <color theme="1"/>
        <rFont val="Noto Sans CJK SC"/>
        <family val="2"/>
      </rPr>
      <t xml:space="preserve">條皆帶 </t>
    </r>
    <r>
      <rPr>
        <sz val="11"/>
        <color theme="1"/>
        <rFont val="Calibri"/>
        <family val="2"/>
        <charset val="1"/>
      </rPr>
      <t xml:space="preserve">name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每列帶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、信封有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；明細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表頭最後一欄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GET /api/ui-prefs </t>
    </r>
    <r>
      <rPr>
        <sz val="11"/>
        <color theme="1"/>
        <rFont val="Noto Sans CJK SC"/>
        <family val="2"/>
      </rPr>
      <t xml:space="preserve">連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</si>
  <si>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真實瀏覽器：資金管理 › 出金入金 › 台灣券商 券商費用 </t>
    </r>
    <r>
      <rPr>
        <sz val="11"/>
        <color theme="1"/>
        <rFont val="Calibri"/>
        <family val="2"/>
        <charset val="1"/>
      </rPr>
      <t xml:space="preserve">100 TWD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、備註「</t>
    </r>
    <r>
      <rPr>
        <sz val="11"/>
        <color theme="1"/>
        <rFont val="Calibri"/>
        <family val="2"/>
        <charset val="1"/>
      </rPr>
      <t xml:space="preserve">QA R5 DEF-056</t>
    </r>
    <r>
      <rPr>
        <sz val="11"/>
        <color theme="1"/>
        <rFont val="Noto Sans CJK SC"/>
        <family val="2"/>
      </rPr>
      <t xml:space="preserve">」→ 確認寫入（</t>
    </r>
    <r>
      <rPr>
        <sz val="11"/>
        <color theme="1"/>
        <rFont val="Calibri"/>
        <family val="2"/>
        <charset val="1"/>
      </rPr>
      <t xml:space="preserve">#54</t>
    </r>
    <r>
      <rPr>
        <sz val="11"/>
        <color theme="1"/>
        <rFont val="Noto Sans CJK SC"/>
        <family val="2"/>
      </rPr>
      <t xml:space="preserve">）→ 帳戶現金 › 點台灣券商卡片看「現金收支明細」→ 匯出 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／匯出報告（攔截不落地）→ 刪除 </t>
    </r>
    <r>
      <rPr>
        <sz val="11"/>
        <color theme="1"/>
        <rFont val="Calibri"/>
        <family val="2"/>
        <charset val="1"/>
      </rPr>
      <t xml:space="preserve">#54</t>
    </r>
    <r>
      <rPr>
        <sz val="11"/>
        <color theme="1"/>
        <rFont val="Noto Sans CJK SC"/>
        <family val="2"/>
      </rPr>
      <t xml:space="preserve">；另於 交易輸入 › 股利 寫一筆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現金股利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、日期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）→ 儀表板點 </t>
    </r>
    <r>
      <rPr>
        <sz val="11"/>
        <color theme="1"/>
        <rFont val="Calibri"/>
        <family val="2"/>
        <charset val="1"/>
      </rPr>
      <t xml:space="preserve">2330 </t>
    </r>
    <r>
      <rPr>
        <sz val="11"/>
        <color theme="1"/>
        <rFont val="Noto Sans CJK SC"/>
        <family val="2"/>
      </rPr>
      <t xml:space="preserve">開抽屜看「配息史」→ 交易帳本 › 股利 刪除 </t>
    </r>
    <r>
      <rPr>
        <sz val="11"/>
        <color theme="1"/>
        <rFont val="Calibri"/>
        <family val="2"/>
        <charset val="1"/>
      </rPr>
      <t xml:space="preserve">#48</t>
    </r>
  </si>
  <si>
    <r>
      <rPr>
        <sz val="11"/>
        <color theme="1"/>
        <rFont val="Noto Sans CJK SC"/>
        <family val="2"/>
      </rPr>
      <t xml:space="preserve">觀察：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時畫面明細第一列是未標示的投影餘額 </t>
    </r>
    <r>
      <rPr>
        <sz val="11"/>
        <color theme="1"/>
        <rFont val="Calibri"/>
        <family val="2"/>
        <charset val="1"/>
      </rPr>
      <t xml:space="preserve">6,067,495</t>
    </r>
    <r>
      <rPr>
        <sz val="11"/>
        <color theme="1"/>
        <rFont val="Noto Sans CJK SC"/>
        <family val="2"/>
      </rPr>
      <t xml:space="preserve">，表頭卻寫目前餘額 </t>
    </r>
    <r>
      <rPr>
        <sz val="11"/>
        <color theme="1"/>
        <rFont val="Calibri"/>
        <family val="2"/>
        <charset val="1"/>
      </rPr>
      <t xml:space="preserve">6,067,595
</t>
    </r>
    <r>
      <rPr>
        <sz val="11"/>
        <color theme="1"/>
        <rFont val="Noto Sans CJK SC"/>
        <family val="2"/>
      </rPr>
      <t xml:space="preserve">假設：①畫面比照列印報告標示未來列；②只改了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或列印</t>
    </r>
    <r>
      <rPr>
        <sz val="11"/>
        <color theme="1"/>
        <rFont val="Calibri"/>
        <family val="2"/>
        <charset val="1"/>
      </rPr>
      <t xml:space="preserve">
</t>
    </r>
    <r>
      <rPr>
        <sz val="11"/>
        <color theme="1"/>
        <rFont val="Noto Sans CJK SC"/>
        <family val="2"/>
      </rPr>
      <t xml:space="preserve">排除：寫入後六段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起點逐字相同（只有資金列數 </t>
    </r>
    <r>
      <rPr>
        <sz val="11"/>
        <color theme="1"/>
        <rFont val="Calibri"/>
        <family val="2"/>
        <charset val="1"/>
      </rPr>
      <t xml:space="preserve">34→35</t>
    </r>
    <r>
      <rPr>
        <sz val="11"/>
        <color theme="1"/>
        <rFont val="Noto Sans CJK SC"/>
        <family val="2"/>
      </rPr>
      <t xml:space="preserve">）；明細第一列為分隔列（</t>
    </r>
    <r>
      <rPr>
        <sz val="11"/>
        <color theme="1"/>
        <rFont val="Calibri"/>
        <family val="2"/>
        <charset val="1"/>
      </rPr>
      <t xml:space="preserve">class stmt-cut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colspan 5</t>
    </r>
    <r>
      <rPr>
        <sz val="11"/>
        <color theme="1"/>
        <rFont val="Noto Sans CJK SC"/>
        <family val="2"/>
      </rPr>
      <t xml:space="preserve">）「以下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2026-09-25 </t>
    </r>
    <r>
      <rPr>
        <sz val="11"/>
        <color theme="1"/>
        <rFont val="Noto Sans CJK SC"/>
        <family val="2"/>
      </rPr>
      <t xml:space="preserve">之後），不計入目前餘額；其餘額欄為投影」；第二列「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　未來日期：</t>
    </r>
    <r>
      <rPr>
        <sz val="11"/>
        <color theme="1"/>
        <rFont val="Calibri"/>
        <family val="2"/>
        <charset val="1"/>
      </rPr>
      <t xml:space="preserve">2026-10-20 </t>
    </r>
    <r>
      <rPr>
        <sz val="11"/>
        <color theme="1"/>
        <rFont val="Noto Sans CJK SC"/>
        <family val="2"/>
      </rPr>
      <t xml:space="preserve">起計入　券商費用　</t>
    </r>
    <r>
      <rPr>
        <sz val="11"/>
        <color theme="1"/>
        <rFont val="Calibri"/>
        <family val="2"/>
        <charset val="1"/>
      </rPr>
      <t xml:space="preserve">QA R5 DEF-056</t>
    </r>
    <r>
      <rPr>
        <sz val="11"/>
        <color theme="1"/>
        <rFont val="Noto Sans CJK SC"/>
        <family val="2"/>
      </rPr>
      <t xml:space="preserve">　−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6,067,495</t>
    </r>
    <r>
      <rPr>
        <sz val="11"/>
        <color theme="1"/>
        <rFont val="Noto Sans CJK SC"/>
        <family val="2"/>
      </rPr>
      <t xml:space="preserve">投影」，餘額欄 </t>
    </r>
    <r>
      <rPr>
        <sz val="11"/>
        <color theme="1"/>
        <rFont val="Calibri"/>
        <family val="2"/>
        <charset val="1"/>
      </rPr>
      <t xml:space="preserve">font-style italic</t>
    </r>
    <r>
      <rPr>
        <sz val="11"/>
        <color theme="1"/>
        <rFont val="Noto Sans CJK SC"/>
        <family val="2"/>
      </rPr>
      <t xml:space="preserve">；第三列起為已發生列，</t>
    </r>
    <r>
      <rPr>
        <sz val="11"/>
        <color theme="1"/>
        <rFont val="Calibri"/>
        <family val="2"/>
        <charset val="1"/>
      </rPr>
      <t xml:space="preserve">2026-08-07 </t>
    </r>
    <r>
      <rPr>
        <sz val="11"/>
        <color theme="1"/>
        <rFont val="Noto Sans CJK SC"/>
        <family val="2"/>
      </rPr>
      <t xml:space="preserve">股利列餘額 </t>
    </r>
    <r>
      <rPr>
        <sz val="11"/>
        <color theme="1"/>
        <rFont val="Calibri"/>
        <family val="2"/>
        <charset val="1"/>
      </rPr>
      <t xml:space="preserve">6,067,595</t>
    </r>
    <r>
      <rPr>
        <sz val="11"/>
        <color theme="1"/>
        <rFont val="Noto Sans CJK SC"/>
        <family val="2"/>
      </rPr>
      <t xml:space="preserve">＝目前餘額；表頭「台灣券商・</t>
    </r>
    <r>
      <rPr>
        <sz val="11"/>
        <color theme="1"/>
        <rFont val="Calibri"/>
        <family val="2"/>
        <charset val="1"/>
      </rPr>
      <t xml:space="preserve">TWD</t>
    </r>
    <r>
      <rPr>
        <sz val="11"/>
        <color theme="1"/>
        <rFont val="Noto Sans CJK SC"/>
        <family val="2"/>
      </rPr>
      <t xml:space="preserve">　目前餘額 </t>
    </r>
    <r>
      <rPr>
        <sz val="11"/>
        <color theme="1"/>
        <rFont val="Calibri"/>
        <family val="2"/>
        <charset val="1"/>
      </rPr>
      <t xml:space="preserve">6,067,595 TWD</t>
    </r>
    <r>
      <rPr>
        <sz val="11"/>
        <color theme="1"/>
        <rFont val="Noto Sans CJK SC"/>
        <family val="2"/>
      </rPr>
      <t xml:space="preserve">（截至 </t>
    </r>
    <r>
      <rPr>
        <sz val="11"/>
        <color theme="1"/>
        <rFont val="Calibri"/>
        <family val="2"/>
        <charset val="1"/>
      </rPr>
      <t xml:space="preserve">2026-09-25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筆未來日期）」；</t>
    </r>
    <r>
      <rPr>
        <sz val="11"/>
        <color theme="1"/>
        <rFont val="Calibri"/>
        <family val="2"/>
        <charset val="1"/>
      </rPr>
      <t xml:space="preserve">/api/cash/statement future_count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current_balance 6067595.0000</t>
    </r>
    <r>
      <rPr>
        <sz val="11"/>
        <color theme="1"/>
        <rFont val="Noto Sans CJK SC"/>
        <family val="2"/>
      </rPr>
      <t xml:space="preserve">、該列 </t>
    </r>
    <r>
      <rPr>
        <sz val="11"/>
        <color theme="1"/>
        <rFont val="Calibri"/>
        <family val="2"/>
        <charset val="1"/>
      </rPr>
      <t xml:space="preserve">future:true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counts_from 2026-10-20</t>
    </r>
    <r>
      <rPr>
        <sz val="11"/>
        <color theme="1"/>
        <rFont val="Noto Sans CJK SC"/>
        <family val="2"/>
      </rPr>
      <t xml:space="preserve">；匯出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表頭新增 </t>
    </r>
    <r>
      <rPr>
        <sz val="11"/>
        <color theme="1"/>
        <rFont val="Calibri"/>
        <family val="2"/>
        <charset val="1"/>
      </rPr>
      <t xml:space="preserve">counts_from </t>
    </r>
    <r>
      <rPr>
        <sz val="11"/>
        <color theme="1"/>
        <rFont val="Noto Sans CJK SC"/>
        <family val="2"/>
      </rPr>
      <t xml:space="preserve">欄、該列值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；匯出報告分隔句逐字相同且列標「券商費用（未來）」。同類：未來股利 </t>
    </r>
    <r>
      <rPr>
        <sz val="11"/>
        <color theme="1"/>
        <rFont val="Calibri"/>
        <family val="2"/>
        <charset val="1"/>
      </rPr>
      <t xml:space="preserve">2330 2026-10-15 </t>
    </r>
    <r>
      <rPr>
        <sz val="11"/>
        <color theme="1"/>
        <rFont val="Noto Sans CJK SC"/>
        <family val="2"/>
      </rPr>
      <t xml:space="preserve">寫入後六段不變，交易帳本股利列有徽章，抽屜「配息史」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筆中只有 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那筆帶「未來日期：</t>
    </r>
    <r>
      <rPr>
        <sz val="11"/>
        <color theme="1"/>
        <rFont val="Calibri"/>
        <family val="2"/>
        <charset val="1"/>
      </rPr>
      <t xml:space="preserve">2026-10-15 </t>
    </r>
    <r>
      <rPr>
        <sz val="11"/>
        <color theme="1"/>
        <rFont val="Noto Sans CJK SC"/>
        <family val="2"/>
      </rPr>
      <t xml:space="preserve">起計入」（</t>
    </r>
    <r>
      <rPr>
        <sz val="11"/>
        <color theme="1"/>
        <rFont val="Calibri"/>
        <family val="2"/>
        <charset val="1"/>
      </rPr>
      <t xml:space="preserve">.ledger-future</t>
    </r>
    <r>
      <rPr>
        <sz val="11"/>
        <color theme="1"/>
        <rFont val="Noto Sans CJK SC"/>
        <family val="2"/>
      </rPr>
      <t xml:space="preserve">），其他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筆無。排除②</t>
    </r>
    <r>
      <rPr>
        <sz val="11"/>
        <color theme="1"/>
        <rFont val="Calibri"/>
        <family val="2"/>
        <charset val="1"/>
      </rPr>
      <t xml:space="preserve">
</t>
    </r>
    <r>
      <rPr>
        <sz val="11"/>
        <color theme="1"/>
        <rFont val="Noto Sans CJK SC"/>
        <family val="2"/>
      </rPr>
      <t xml:space="preserve">判定：通過</t>
    </r>
    <r>
      <rPr>
        <sz val="11"/>
        <color theme="1"/>
        <rFont val="Calibri"/>
        <family val="2"/>
        <charset val="1"/>
      </rPr>
      <t xml:space="preserve">
</t>
    </r>
    <r>
      <rPr>
        <sz val="11"/>
        <color theme="1"/>
        <rFont val="Noto Sans CJK SC"/>
        <family val="2"/>
      </rPr>
      <t xml:space="preserve">變異（驗證者於本機 </t>
    </r>
    <r>
      <rPr>
        <sz val="11"/>
        <color theme="1"/>
        <rFont val="Calibri"/>
        <family val="2"/>
        <charset val="1"/>
      </rPr>
      <t xml:space="preserve">3be67db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cash.py </t>
    </r>
    <r>
      <rPr>
        <sz val="11"/>
        <color theme="1"/>
        <rFont val="Noto Sans CJK SC"/>
        <family val="2"/>
      </rPr>
      <t xml:space="preserve">明細列 </t>
    </r>
    <r>
      <rPr>
        <sz val="11"/>
        <color theme="1"/>
        <rFont val="Calibri"/>
        <family val="2"/>
        <charset val="1"/>
      </rPr>
      <t xml:space="preserve">"future" </t>
    </r>
    <r>
      <rPr>
        <sz val="11"/>
        <color theme="1"/>
        <rFont val="Noto Sans CJK SC"/>
        <family val="2"/>
      </rPr>
      <t xml:space="preserve">恆為 </t>
    </r>
    <r>
      <rPr>
        <sz val="11"/>
        <color theme="1"/>
        <rFont val="Calibri"/>
        <family val="2"/>
        <charset val="1"/>
      </rPr>
      <t xml:space="preserve">False → 1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assert ('2026-07-01', False) == ('2026-07-01', True)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cash.js </t>
    </r>
    <r>
      <rPr>
        <sz val="11"/>
        <color theme="1"/>
        <rFont val="Noto Sans CJK SC"/>
        <family val="2"/>
      </rPr>
      <t xml:space="preserve">不插入分隔列 → </t>
    </r>
    <r>
      <rPr>
        <sz val="11"/>
        <color theme="1"/>
        <rFont val="Calibri"/>
        <family val="2"/>
        <charset val="1"/>
      </rPr>
      <t xml:space="preserve">2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to_have_class stmt-cut </t>
    </r>
    <r>
      <rPr>
        <sz val="11"/>
        <color theme="1"/>
        <rFont val="Noto Sans CJK SC"/>
        <family val="2"/>
      </rPr>
      <t xml:space="preserve">逾時），還原後通過。附註：把分隔列設為 </t>
    </r>
    <r>
      <rPr>
        <sz val="11"/>
        <color theme="1"/>
        <rFont val="Calibri"/>
        <family val="2"/>
        <charset val="1"/>
      </rPr>
      <t xml:space="preserve">hidden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3 passed——</t>
    </r>
    <r>
      <rPr>
        <sz val="11"/>
        <color theme="1"/>
        <rFont val="Noto Sans CJK SC"/>
        <family val="2"/>
      </rPr>
      <t xml:space="preserve">測試以 </t>
    </r>
    <r>
      <rPr>
        <sz val="11"/>
        <color theme="1"/>
        <rFont val="Calibri"/>
        <family val="2"/>
        <charset val="1"/>
      </rPr>
      <t xml:space="preserve">to_have_text </t>
    </r>
    <r>
      <rPr>
        <sz val="11"/>
        <color theme="1"/>
        <rFont val="Noto Sans CJK SC"/>
        <family val="2"/>
      </rPr>
      <t xml:space="preserve">驗文字、未驗可見，建議補 </t>
    </r>
    <r>
      <rPr>
        <sz val="11"/>
        <color theme="1"/>
        <rFont val="Calibri"/>
        <family val="2"/>
        <charset val="1"/>
      </rPr>
      <t xml:space="preserve">to_be_visible</t>
    </r>
    <r>
      <rPr>
        <sz val="11"/>
        <color theme="1"/>
        <rFont val="Noto Sans CJK SC"/>
        <family val="2"/>
      </rPr>
      <t xml:space="preserve">（不影響本張結案）</t>
    </r>
  </si>
  <si>
    <r>
      <rPr>
        <sz val="11"/>
        <color theme="1"/>
        <rFont val="Noto Sans CJK SC"/>
        <family val="2"/>
      </rPr>
      <t xml:space="preserve">分隔列、徽章、投影斜體、表頭截至說明、</t>
    </r>
    <r>
      <rPr>
        <sz val="11"/>
        <color theme="1"/>
        <rFont val="Calibri"/>
        <family val="2"/>
        <charset val="1"/>
      </rPr>
      <t xml:space="preserve">CSV counts_from</t>
    </r>
    <r>
      <rPr>
        <sz val="11"/>
        <color theme="1"/>
        <rFont val="Noto Sans CJK SC"/>
        <family val="2"/>
      </rPr>
      <t xml:space="preserve">、抽屜配息史徽章皆在；兩筆刪除後 </t>
    </r>
    <r>
      <rPr>
        <sz val="11"/>
        <color theme="1"/>
        <rFont val="Calibri"/>
        <family val="2"/>
        <charset val="1"/>
      </rPr>
      <t xml:space="preserve">cmp R5_START same:true</t>
    </r>
    <r>
      <rPr>
        <sz val="11"/>
        <color theme="1"/>
        <rFont val="Noto Sans CJK SC"/>
        <family val="2"/>
      </rPr>
      <t xml:space="preserve">（收件匣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、批次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也回到原值）</t>
    </r>
  </si>
  <si>
    <r>
      <rPr>
        <sz val="11"/>
        <color theme="1"/>
        <rFont val="Noto Sans CJK SC"/>
        <family val="2"/>
      </rPr>
      <t xml:space="preserve">觀察：寫入未來股利期間收件匣由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變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（該筆被視為已記入），刪除後回到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，行為一致</t>
    </r>
  </si>
  <si>
    <r>
      <rPr>
        <sz val="11"/>
        <color theme="1"/>
        <rFont val="Noto Sans CJK SC"/>
        <family val="2"/>
      </rPr>
      <t xml:space="preserve">檢驗方 </t>
    </r>
    <r>
      <rPr>
        <sz val="11"/>
        <color theme="1"/>
        <rFont val="Calibri"/>
        <family val="2"/>
        <charset val="1"/>
      </rPr>
      <t xml:space="preserve">2026-09-25</t>
    </r>
  </si>
  <si>
    <r>
      <rPr>
        <sz val="10"/>
        <rFont val="Noto Sans CJK SC"/>
        <family val="2"/>
      </rPr>
      <t xml:space="preserve">同意，根因已取得 </t>
    </r>
    <r>
      <rPr>
        <sz val="10"/>
        <rFont val="Arial"/>
        <family val="0"/>
        <charset val="1"/>
      </rPr>
      <t xml:space="preserve">traceback </t>
    </r>
    <r>
      <rPr>
        <sz val="10"/>
        <rFont val="Noto Sans CJK SC"/>
        <family val="2"/>
      </rPr>
      <t xml:space="preserve">並確認。以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個執行緒在全新資料庫同時呼叫 </t>
    </r>
    <r>
      <rPr>
        <sz val="10"/>
        <rFont val="Arial"/>
        <family val="0"/>
        <charset val="1"/>
      </rPr>
      <t xml:space="preserve">get_ui_prefs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輪中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輪拋出 </t>
    </r>
    <r>
      <rPr>
        <sz val="10"/>
        <rFont val="Arial"/>
        <family val="0"/>
        <charset val="1"/>
      </rPr>
      <t xml:space="preserve">`IntegrityError: UNIQUE constraint failed: settings_meta.category`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traceback </t>
    </r>
    <r>
      <rPr>
        <sz val="10"/>
        <rFont val="Noto Sans CJK SC"/>
        <family val="2"/>
      </rPr>
      <t xml:space="preserve">指向 </t>
    </r>
    <r>
      <rPr>
        <sz val="10"/>
        <rFont val="Arial"/>
        <family val="0"/>
        <charset val="1"/>
      </rPr>
      <t xml:space="preserve">config_store.py:33-34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</t>
    </r>
    <r>
      <rPr>
        <sz val="10"/>
        <rFont val="Noto Sans CJK SC"/>
        <family val="2"/>
      </rPr>
      <t xml:space="preserve">）。不是鎖逾時：是「先查再寫」的競態，只發生在第一次讀取。以「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路由」為單位掃描後，同類遠比 </t>
    </r>
    <r>
      <rPr>
        <sz val="10"/>
        <rFont val="Arial"/>
        <family val="0"/>
        <charset val="1"/>
      </rPr>
      <t xml:space="preserve">ui-prefs </t>
    </r>
    <r>
      <rPr>
        <sz val="10"/>
        <rFont val="Noto Sans CJK SC"/>
        <family val="2"/>
      </rPr>
      <t xml:space="preserve">大：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個在開機後第一次呼叫就建表或寫入，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個每次呼叫都拿寫鎖（含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）。真實環境的重現沒有成功，如實交代：以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起真的 </t>
    </r>
    <r>
      <rPr>
        <sz val="10"/>
        <rFont val="Arial"/>
        <family val="0"/>
        <charset val="1"/>
      </rPr>
      <t xml:space="preserve">uvicorn</t>
    </r>
    <r>
      <rPr>
        <sz val="10"/>
        <rFont val="Noto Sans CJK SC"/>
        <family val="2"/>
      </rPr>
      <t xml:space="preserve">、全新資料庫、每輪同時送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個第一次 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，連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輪全部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；驗證者失敗的兩支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上單獨連跑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輪也沒有出現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（真實請求的時間差很少落在「查」與「寫」之間的幾微秒內，驗證者自己單獨重跑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次也沒重現）。修法讓這條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完全不寫、不建表，所以競態與鎖逾時兩種可能都已不存在。另外在跑規格要求的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時，預跑的第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次抓到另一個不穩定點：交易頁載入中點的分頁會被收回（見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欄），一併修正。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</si>
  <si>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</si>
  <si>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沒有守門。</t>
    </r>
    <r>
      <rPr>
        <sz val="10"/>
        <rFont val="Arial"/>
        <family val="0"/>
        <charset val="1"/>
      </rPr>
      <t xml:space="preserve">tests/contract/test_first_run_bootstrap.py </t>
    </r>
    <r>
      <rPr>
        <sz val="10"/>
        <rFont val="Noto Sans CJK SC"/>
        <family val="2"/>
      </rPr>
      <t xml:space="preserve">只驗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data_sources </t>
    </r>
    <r>
      <rPr>
        <sz val="10"/>
        <rFont val="Noto Sans CJK SC"/>
        <family val="2"/>
      </rPr>
      <t xml:space="preserve">三張手挑的表，其餘測試走 </t>
    </r>
    <r>
      <rPr>
        <sz val="10"/>
        <rFont val="Arial"/>
        <family val="0"/>
        <charset val="1"/>
      </rPr>
      <t xml:space="preserve">init_golden_base</t>
    </r>
    <r>
      <rPr>
        <sz val="10"/>
        <rFont val="Noto Sans CJK SC"/>
        <family val="2"/>
      </rPr>
      <t xml:space="preserve">（不跑真正的開機），而且 </t>
    </r>
    <r>
      <rPr>
        <sz val="10"/>
        <rFont val="Arial"/>
        <family val="0"/>
        <charset val="1"/>
      </rPr>
      <t xml:space="preserve">TestClient </t>
    </r>
    <r>
      <rPr>
        <sz val="10"/>
        <rFont val="Noto Sans CJK SC"/>
        <family val="2"/>
      </rPr>
      <t xml:space="preserve">一次只送一個請求，永遠看不到兩個第一次讀取同時發生。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每個測試都開全新伺服器，才偶爾撞到。新守門：</t>
    </r>
    <r>
      <rPr>
        <sz val="10"/>
        <rFont val="Arial"/>
        <family val="0"/>
        <charset val="1"/>
      </rPr>
      <t xml:space="preserve">tests/contract/test_def065_get_never_writes.py </t>
    </r>
    <r>
      <rPr>
        <sz val="10"/>
        <rFont val="Noto Sans CJK SC"/>
        <family val="2"/>
      </rPr>
      <t xml:space="preserve">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開機一個全新資料庫，從路由表列舉每一個 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（新路由上線當天就被涵蓋），逐一追蹤所有連線上的每一句 </t>
    </r>
    <r>
      <rPr>
        <sz val="10"/>
        <rFont val="Arial"/>
        <family val="0"/>
        <charset val="1"/>
      </rPr>
      <t xml:space="preserve">SQL</t>
    </r>
    <r>
      <rPr>
        <sz val="10"/>
        <rFont val="Noto Sans CJK SC"/>
        <family val="2"/>
      </rPr>
      <t xml:space="preserve">：不得寫入、不得改變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，而且在另一條連線對兩個資料庫檔都持有寫鎖時仍要回應（</t>
    </r>
    <r>
      <rPr>
        <sz val="10"/>
        <rFont val="Arial"/>
        <family val="0"/>
        <charset val="1"/>
      </rPr>
      <t xml:space="preserve">&lt; 500</t>
    </r>
    <r>
      <rPr>
        <sz val="10"/>
        <rFont val="Noto Sans CJK SC"/>
        <family val="2"/>
      </rPr>
      <t xml:space="preserve">）。另加 </t>
    </r>
    <r>
      <rPr>
        <sz val="10"/>
        <rFont val="Arial"/>
        <family val="0"/>
        <charset val="1"/>
      </rPr>
      <t xml:space="preserve">ui-prefs </t>
    </r>
    <r>
      <rPr>
        <sz val="10"/>
        <rFont val="Noto Sans CJK SC"/>
        <family val="2"/>
      </rPr>
      <t xml:space="preserve">專屬測試（規格要求）與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的確定性競態測試。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</si>
  <si>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</si>
  <si>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</si>
  <si>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tests/contract/test_def065_get_never_writes.py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）：①</t>
    </r>
    <r>
      <rPr>
        <sz val="10"/>
        <rFont val="Arial"/>
        <family val="0"/>
        <charset val="1"/>
      </rPr>
      <t xml:space="preserve">ui-prefs </t>
    </r>
    <r>
      <rPr>
        <sz val="10"/>
        <rFont val="Noto Sans CJK SC"/>
        <family val="2"/>
      </rPr>
      <t xml:space="preserve">在沒有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表的資料庫、另一條連線持有寫鎖時回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預設值且不建表，存值後同樣在鎖下讀回；②兩個連線同時第一次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停在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內部、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跑完整流程），兩者都成功、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只跑一次；③開機後每個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不寫、不改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、在兩個資料庫檔都被鎖時仍 </t>
    </r>
    <r>
      <rPr>
        <sz val="10"/>
        <rFont val="Arial"/>
        <family val="0"/>
        <charset val="1"/>
      </rPr>
      <t xml:space="preserve">&lt; 500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上：①②③全部失敗。變異：</t>
    </r>
    <r>
      <rPr>
        <sz val="10"/>
        <rFont val="Arial"/>
        <family val="0"/>
        <charset val="1"/>
      </rPr>
      <t xml:space="preserve">M1 config_store </t>
    </r>
    <r>
      <rPr>
        <sz val="10"/>
        <rFont val="Noto Sans CJK SC"/>
        <family val="2"/>
      </rPr>
      <t xml:space="preserve">換回 </t>
    </r>
    <r>
      <rPr>
        <sz val="10"/>
        <rFont val="Arial"/>
        <family val="0"/>
        <charset val="1"/>
      </rPr>
      <t xml:space="preserve">1ee7771 → ②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{'A': "IntegrityError('UNIQUE constraint failed: settings_meta.category')"}</t>
    </r>
    <r>
      <rPr>
        <sz val="10"/>
        <rFont val="Noto Sans CJK SC"/>
        <family val="2"/>
      </rPr>
      <t xml:space="preserve">」（正是驗證者看到的錯誤）；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ensure_ui_prefs_seeded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get_ui_prefs</t>
    </r>
    <r>
      <rPr>
        <sz val="10"/>
        <rFont val="Noto Sans CJK SC"/>
        <family val="2"/>
      </rPr>
      <t xml:space="preserve">（規格指定的變異）→ ①失敗「</t>
    </r>
    <r>
      <rPr>
        <sz val="10"/>
        <rFont val="Arial"/>
        <family val="0"/>
        <charset val="1"/>
      </rPr>
      <t xml:space="preserve">sqlite3.OperationalError: database is locked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M3 </t>
    </r>
    <r>
      <rPr>
        <sz val="10"/>
        <rFont val="Noto Sans CJK SC"/>
        <family val="2"/>
      </rPr>
      <t xml:space="preserve">拿掉開機時新增的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 → ③失敗；</t>
    </r>
    <r>
      <rPr>
        <sz val="10"/>
        <rFont val="Arial"/>
        <family val="0"/>
        <charset val="1"/>
      </rPr>
      <t xml:space="preserve">M4 </t>
    </r>
    <r>
      <rPr>
        <sz val="10"/>
        <rFont val="Noto Sans CJK SC"/>
        <family val="2"/>
      </rPr>
      <t xml:space="preserve">策略版本回填不先讀 → ③失敗並列出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GET routes that write: /api/dashboard: ['INSERT INTO strategy_prompt_versions …']</t>
    </r>
    <r>
      <rPr>
        <sz val="10"/>
        <rFont val="Noto Sans CJK SC"/>
        <family val="2"/>
      </rPr>
      <t xml:space="preserve">」。既有相關測試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758 </t>
    </r>
    <r>
      <rPr>
        <sz val="10"/>
        <rFont val="Noto Sans CJK SC"/>
        <family val="2"/>
      </rPr>
      <t xml:space="preserve">則全過。分頁競態：新增 </t>
    </r>
    <r>
      <rPr>
        <sz val="10"/>
        <rFont val="Arial"/>
        <family val="0"/>
        <charset val="1"/>
      </rPr>
      <t xml:space="preserve">tests/e2e/test_r5_tab_pick_survives_boot_flow.py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：攔住 </t>
    </r>
    <r>
      <rPr>
        <sz val="10"/>
        <rFont val="Arial"/>
        <family val="0"/>
        <charset val="1"/>
      </rPr>
      <t xml:space="preserve">/api/input/context</t>
    </r>
    <r>
      <rPr>
        <sz val="10"/>
        <rFont val="Noto Sans CJK SC"/>
        <family val="2"/>
      </rPr>
      <t xml:space="preserve">、點「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匯入」後放行，分頁仍在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；沒點時照舊預設手動交易），變異（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無條件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）→ 失敗「</t>
    </r>
    <r>
      <rPr>
        <sz val="10"/>
        <rFont val="Arial"/>
        <family val="0"/>
        <charset val="1"/>
      </rPr>
      <t xml:space="preserve">Locator expected to have class 'mode-pane active' / Actual value: mode-pane</t>
    </r>
    <r>
      <rPr>
        <sz val="10"/>
        <rFont val="Noto Sans CJK SC"/>
        <family val="2"/>
      </rPr>
      <t xml:space="preserve">」——正是預跑失敗的症狀。</t>
    </r>
    <r>
      <rPr>
        <sz val="10"/>
        <rFont val="Arial"/>
        <family val="0"/>
        <charset val="1"/>
      </rPr>
      <t xml:space="preserve">**e2e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次（最終版程式、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檔）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保留的 </t>
    </r>
    <r>
      <rPr>
        <sz val="10"/>
        <rFont val="Arial"/>
        <family val="0"/>
        <charset val="1"/>
      </rPr>
      <t xml:space="preserve">uvicorn </t>
    </r>
    <r>
      <rPr>
        <sz val="10"/>
        <rFont val="Noto Sans CJK SC"/>
        <family val="2"/>
      </rPr>
      <t xml:space="preserve">記錄三次都是伺服器端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（每次約 </t>
    </r>
    <r>
      <rPr>
        <sz val="10"/>
        <rFont val="Arial"/>
        <family val="0"/>
        <charset val="1"/>
      </rPr>
      <t xml:space="preserve">640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）。部署後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錯誤。</t>
    </r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</si>
  <si>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</si>
  <si>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本輪整體閘門（開發機、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指示一次只跑一項、不並行）：</t>
    </r>
    <r>
      <rPr>
        <sz val="10"/>
        <rFont val="Arial"/>
        <family val="0"/>
        <charset val="1"/>
      </rPr>
      <t xml:space="preserve">ruff check portfolio_dash tests scripts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問題（全新快取；首跑抓到新測試檔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處型別註記，已修）・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分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段前景 </t>
    </r>
    <r>
      <rPr>
        <sz val="10"/>
        <rFont val="Arial"/>
        <family val="0"/>
        <charset val="1"/>
      </rPr>
      <t xml:space="preserve">6,310 </t>
    </r>
    <r>
      <rPr>
        <sz val="10"/>
        <rFont val="Noto Sans CJK SC"/>
        <family val="2"/>
      </rPr>
      <t xml:space="preserve">則：</t>
    </r>
    <r>
      <rPr>
        <sz val="10"/>
        <rFont val="Arial"/>
        <family val="0"/>
        <charset val="1"/>
      </rPr>
      <t xml:space="preserve">6,308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前半 </t>
    </r>
    <r>
      <rPr>
        <sz val="10"/>
        <rFont val="Arial"/>
        <family val="0"/>
        <charset val="1"/>
      </rPr>
      <t xml:space="preserve">934</t>
    </r>
    <r>
      <rPr>
        <sz val="10"/>
        <rFont val="Noto Sans CJK SC"/>
        <family val="2"/>
      </rPr>
      <t xml:space="preserve">、後半 </t>
    </r>
    <r>
      <rPr>
        <sz val="10"/>
        <rFont val="Arial"/>
        <family val="0"/>
        <charset val="1"/>
      </rPr>
      <t xml:space="preserve">1,355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golden 1,743</t>
    </r>
    <r>
      <rPr>
        <sz val="10"/>
        <rFont val="Noto Sans CJK SC"/>
        <family val="2"/>
      </rPr>
      <t xml:space="preserve">、其餘 </t>
    </r>
    <r>
      <rPr>
        <sz val="10"/>
        <rFont val="Arial"/>
        <family val="0"/>
        <charset val="1"/>
      </rPr>
      <t xml:space="preserve">2,278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次（最終版程式、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檔、每批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檔前景）：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保留的 </t>
    </r>
    <r>
      <rPr>
        <sz val="10"/>
        <rFont val="Arial"/>
        <family val="0"/>
        <charset val="1"/>
      </rPr>
      <t xml:space="preserve">uvicorn </t>
    </r>
    <r>
      <rPr>
        <sz val="10"/>
        <rFont val="Noto Sans CJK SC"/>
        <family val="2"/>
      </rPr>
      <t xml:space="preserve">記錄三次皆為伺服器端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（每次約 </t>
    </r>
    <r>
      <rPr>
        <sz val="10"/>
        <rFont val="Arial"/>
        <family val="0"/>
        <charset val="1"/>
      </rPr>
      <t xml:space="preserve">640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）；另有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次在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修正前的預跑：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</t>
    </r>
    <r>
      <rPr>
        <sz val="10"/>
        <rFont val="Noto Sans CJK SC"/>
        <family val="2"/>
      </rPr>
      <t xml:space="preserve">，原因是交易頁分頁競態，已修並補測試，見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phase 1 ops=128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pass=6,025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fail=0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相同）。註：本輪第一次跑全套時，我留在背景的舊版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重現迴圈與測試同時執行，把記憶體吃光，</t>
    </r>
    <r>
      <rPr>
        <sz val="10"/>
        <rFont val="Arial"/>
        <family val="0"/>
        <charset val="1"/>
      </rPr>
      <t xml:space="preserve">Claude Code </t>
    </r>
    <r>
      <rPr>
        <sz val="10"/>
        <rFont val="Noto Sans CJK SC"/>
        <family val="2"/>
      </rPr>
      <t xml:space="preserve">因此中止該次執行（非測試失敗）；清掉殘留行程後，依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指示改為逐項前景執行，上列數字皆為重跑結果。部署：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備份 </t>
    </r>
    <r>
      <rPr>
        <sz val="10"/>
        <rFont val="Arial"/>
        <family val="0"/>
        <charset val="1"/>
      </rPr>
      <t xml:space="preserve">portfolio-pre-3be67db-20260925T123452Z.db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news-pre-3be67db-20260925T123452Z.db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integrity ok</t>
    </r>
    <r>
      <rPr>
        <sz val="10"/>
        <rFont val="Noto Sans CJK SC"/>
        <family val="2"/>
      </rPr>
      <t xml:space="preserve">；交易／股利／資金／公司行動／洞察卡／評分／稽核／匯入批次／價格／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）→ 部署 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（無相依、無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變更）→ </t>
    </r>
    <r>
      <rPr>
        <sz val="10"/>
        <rFont val="Arial"/>
        <family val="0"/>
        <charset val="1"/>
      </rPr>
      <t xml:space="preserve">/api/health commit=3be67db → settings_meta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（開機建立）→ </t>
    </r>
    <r>
      <rPr>
        <sz val="10"/>
        <rFont val="Arial"/>
        <family val="0"/>
        <charset val="1"/>
      </rPr>
      <t xml:space="preserve">verify_live ALL PASS → </t>
    </r>
    <r>
      <rPr>
        <sz val="10"/>
        <rFont val="Noto Sans CJK SC"/>
        <family val="2"/>
      </rPr>
      <t xml:space="preserve">真實瀏覽器探測：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錯誤、頁面載入時伺服器端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個監聽規則全為中文且與 預警規則 逐字相同；</t>
    </r>
    <r>
      <rPr>
        <sz val="10"/>
        <rFont val="Arial"/>
        <family val="0"/>
        <charset val="1"/>
      </rPr>
      <t xml:space="preserve">/api/alert-rules 15 </t>
    </r>
    <r>
      <rPr>
        <sz val="10"/>
        <rFont val="Noto Sans CJK SC"/>
        <family val="2"/>
      </rPr>
      <t xml:space="preserve">條皆帶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每列帶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、信封有 </t>
    </r>
    <r>
      <rPr>
        <sz val="10"/>
        <rFont val="Arial"/>
        <family val="0"/>
        <charset val="1"/>
      </rPr>
      <t xml:space="preserve">future_count</t>
    </r>
    <r>
      <rPr>
        <sz val="10"/>
        <rFont val="Noto Sans CJK SC"/>
        <family val="2"/>
      </rPr>
      <t xml:space="preserve">；明細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表頭最後一欄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</si>
  <si>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</si>
  <si>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R4 e2e 3 </t>
    </r>
    <r>
      <rPr>
        <sz val="10"/>
        <rFont val="Noto Sans CJK SC"/>
        <family val="2"/>
      </rPr>
      <t xml:space="preserve">次中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次出現 </t>
    </r>
    <r>
      <rPr>
        <sz val="10"/>
        <rFont val="Arial"/>
        <family val="0"/>
        <charset val="1"/>
      </rPr>
      <t xml:space="preserve">GET /api/ui-prefs 500
</t>
    </r>
    <r>
      <rPr>
        <sz val="10"/>
        <rFont val="Noto Sans CJK SC"/>
        <family val="2"/>
      </rPr>
      <t xml:space="preserve">假設：①首讀時 </t>
    </r>
    <r>
      <rPr>
        <sz val="10"/>
        <rFont val="Arial"/>
        <family val="0"/>
        <charset val="1"/>
      </rPr>
      <t xml:space="preserve">ensure_seeded</t>
    </r>
    <r>
      <rPr>
        <sz val="10"/>
        <rFont val="Noto Sans CJK SC"/>
        <family val="2"/>
      </rPr>
      <t xml:space="preserve">「先查再寫」的競態（兩個請求都判定未播種後各自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）；②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寫鎖逾時
排除：</t>
    </r>
    <r>
      <rPr>
        <sz val="10"/>
        <rFont val="Arial"/>
        <family val="0"/>
        <charset val="1"/>
      </rPr>
      <t xml:space="preserve">race_probe </t>
    </r>
    <r>
      <rPr>
        <sz val="10"/>
        <rFont val="Noto Sans CJK SC"/>
        <family val="2"/>
      </rPr>
      <t xml:space="preserve">舊版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次首讀中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IntegrityError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UNIQUE constraint failed: settings_meta.category</t>
    </r>
    <r>
      <rPr>
        <sz val="10"/>
        <rFont val="Noto Sans CJK SC"/>
        <family val="2"/>
      </rPr>
      <t xml:space="preserve">）、新版 </t>
    </r>
    <r>
      <rPr>
        <sz val="10"/>
        <rFont val="Arial"/>
        <family val="0"/>
        <charset val="1"/>
      </rPr>
      <t xml:space="preserve">0/300</t>
    </r>
    <r>
      <rPr>
        <sz val="10"/>
        <rFont val="Noto Sans CJK SC"/>
        <family val="2"/>
      </rPr>
      <t xml:space="preserve">，排除②；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三次皆 </t>
    </r>
    <r>
      <rPr>
        <sz val="10"/>
        <rFont val="Arial"/>
        <family val="0"/>
        <charset val="1"/>
      </rPr>
      <t xml:space="preserve">295/295</t>
    </r>
    <r>
      <rPr>
        <sz val="10"/>
        <rFont val="Noto Sans CJK SC"/>
        <family val="2"/>
      </rPr>
      <t xml:space="preserve">，三份 </t>
    </r>
    <r>
      <rPr>
        <sz val="10"/>
        <rFont val="Arial"/>
        <family val="0"/>
        <charset val="1"/>
      </rPr>
      <t xml:space="preserve">netlog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則瀏覽器端 </t>
    </r>
    <r>
      <rPr>
        <sz val="10"/>
        <rFont val="Arial"/>
        <family val="0"/>
        <charset val="1"/>
      </rPr>
      <t xml:space="preserve">5xx </t>
    </r>
    <r>
      <rPr>
        <sz val="10"/>
        <rFont val="Noto Sans CJK SC"/>
        <family val="2"/>
      </rPr>
      <t xml:space="preserve">且三次完全相同，逐一核對皆為測試刻意注入故障的案例（</t>
    </r>
    <r>
      <rPr>
        <sz val="10"/>
        <rFont val="Arial"/>
        <family val="0"/>
        <charset val="1"/>
      </rPr>
      <t xml:space="preserve">a_failed_kind…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ack_retry…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a_failed_fetch…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an_unknown_list…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whatif…on_500</t>
    </r>
    <r>
      <rPr>
        <sz val="10"/>
        <rFont val="Noto Sans CJK SC"/>
        <family val="2"/>
      </rPr>
      <t xml:space="preserve">），伺服器記錄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traceback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IntegrityError</t>
    </r>
    <r>
      <rPr>
        <sz val="10"/>
        <rFont val="Noto Sans CJK SC"/>
        <family val="2"/>
      </rPr>
      <t xml:space="preserve">，第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638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40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insight-tasks/status 10 </t>
    </r>
    <r>
      <rPr>
        <sz val="10"/>
        <rFont val="Noto Sans CJK SC"/>
        <family val="2"/>
      </rPr>
      <t xml:space="preserve">個全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（單次 </t>
    </r>
    <r>
      <rPr>
        <sz val="10"/>
        <rFont val="Arial"/>
        <family val="0"/>
        <charset val="1"/>
      </rPr>
      <t xml:space="preserve">812 ms</t>
    </r>
    <r>
      <rPr>
        <sz val="10"/>
        <rFont val="Noto Sans CJK SC"/>
        <family val="2"/>
      </rPr>
      <t xml:space="preserve">）
定位：</t>
    </r>
    <r>
      <rPr>
        <sz val="10"/>
        <rFont val="Arial"/>
        <family val="0"/>
        <charset val="1"/>
      </rPr>
      <t xml:space="preserve">shared/ui_prefs.py:55 get_ui_prefs </t>
    </r>
    <r>
      <rPr>
        <sz val="10"/>
        <rFont val="Noto Sans CJK SC"/>
        <family val="2"/>
      </rPr>
      <t xml:space="preserve">改為唯讀（無 </t>
    </r>
    <r>
      <rPr>
        <sz val="10"/>
        <rFont val="Arial"/>
        <family val="0"/>
        <charset val="1"/>
      </rPr>
      <t xml:space="preserve">DDL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），播種移到開機（</t>
    </r>
    <r>
      <rPr>
        <sz val="10"/>
        <rFont val="Arial"/>
        <family val="0"/>
        <charset val="1"/>
      </rPr>
      <t xml:space="preserve">api/app.py lifespan</t>
    </r>
    <r>
      <rPr>
        <sz val="10"/>
        <rFont val="Noto Sans CJK SC"/>
        <family val="2"/>
      </rPr>
      <t xml:space="preserve">）
判定：通過</t>
    </r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</si>
  <si>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</si>
  <si>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r>
      <rPr>
        <sz val="10"/>
        <rFont val="Noto Sans CJK SC"/>
        <family val="2"/>
      </rPr>
      <t xml:space="preserve">同類：開發者稱 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個原本會寫入；驗證者抽驗 </t>
    </r>
    <r>
      <rPr>
        <sz val="10"/>
        <rFont val="Arial"/>
        <family val="0"/>
        <charset val="1"/>
      </rPr>
      <t xml:space="preserve">/api/insight-tasks/status </t>
    </r>
    <r>
      <rPr>
        <sz val="10"/>
        <rFont val="Noto Sans CJK SC"/>
        <family val="2"/>
      </rPr>
      <t xml:space="preserve">並發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秒，本輪 </t>
    </r>
    <r>
      <rPr>
        <sz val="10"/>
        <rFont val="Arial"/>
        <family val="0"/>
        <charset val="1"/>
      </rPr>
      <t xml:space="preserve">812 ms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</si>
  <si>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同意。同類掃描另找到：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事件在整個系統都沒有名稱（推播會寫「</t>
    </r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洞察任務 </t>
    </r>
    <r>
      <rPr>
        <sz val="10"/>
        <rFont val="Arial"/>
        <family val="0"/>
        <charset val="1"/>
      </rPr>
      <t xml:space="preserve">5 calibration_regression</t>
    </r>
    <r>
      <rPr>
        <sz val="10"/>
        <rFont val="Noto Sans CJK SC"/>
        <family val="2"/>
      </rPr>
      <t xml:space="preserve">」），排程中心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的執行明細也直接列規則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；推播、摘要、洞察卡晶片、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閘門訊息與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錯誤訊息都有同樣的「查不到就印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」寫法。</t>
    </r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</si>
  <si>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</si>
  <si>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</si>
  <si>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</si>
  <si>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。修：精靈勾選框、設定頁規則名、通知中心後備、洞察卡晶片後備、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缺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notify </t>
    </r>
    <r>
      <rPr>
        <sz val="10"/>
        <rFont val="Noto Sans CJK SC"/>
        <family val="2"/>
      </rPr>
      <t xml:space="preserve">第三份名稱表、推播退回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、洞察卡 </t>
    </r>
    <r>
      <rPr>
        <sz val="10"/>
        <rFont val="Arial"/>
        <family val="0"/>
        <charset val="1"/>
      </rPr>
      <t xml:space="preserve">rule_label </t>
    </r>
    <r>
      <rPr>
        <sz val="10"/>
        <rFont val="Noto Sans CJK SC"/>
        <family val="2"/>
      </rPr>
      <t xml:space="preserve">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insights.py:1162</t>
    </r>
    <r>
      <rPr>
        <sz val="10"/>
        <rFont val="Noto Sans CJK SC"/>
        <family val="2"/>
      </rPr>
      <t xml:space="preserve">）、摘要今日警示（</t>
    </r>
    <r>
      <rPr>
        <sz val="10"/>
        <rFont val="Arial"/>
        <family val="0"/>
        <charset val="1"/>
      </rPr>
      <t xml:space="preserve">digest_service.py:248</t>
    </r>
    <r>
      <rPr>
        <sz val="10"/>
        <rFont val="Noto Sans CJK SC"/>
        <family val="2"/>
      </rPr>
      <t xml:space="preserve">）、摘要本週警示回顧（</t>
    </r>
    <r>
      <rPr>
        <sz val="10"/>
        <rFont val="Arial"/>
        <family val="0"/>
        <charset val="1"/>
      </rPr>
      <t xml:space="preserve">:537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閘門訊息（</t>
    </r>
    <r>
      <rPr>
        <sz val="10"/>
        <rFont val="Arial"/>
        <family val="0"/>
        <charset val="1"/>
      </rPr>
      <t xml:space="preserve">gating.py:178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明細規則清單（</t>
    </r>
    <r>
      <rPr>
        <sz val="10"/>
        <rFont val="Arial"/>
        <family val="0"/>
        <charset val="1"/>
      </rPr>
      <t xml:space="preserve">jobs.py:1035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_skipped_note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:955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_not_held_note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:963</t>
    </r>
    <r>
      <rPr>
        <sz val="10"/>
        <rFont val="Noto Sans CJK SC"/>
        <family val="2"/>
      </rPr>
      <t xml:space="preserve">）。白名單：</t>
    </r>
    <r>
      <rPr>
        <sz val="10"/>
        <rFont val="Arial"/>
        <family val="0"/>
        <charset val="1"/>
      </rPr>
      <t xml:space="preserve">strategy.py:85</t>
    </r>
    <r>
      <rPr>
        <sz val="10"/>
        <rFont val="Noto Sans CJK SC"/>
        <family val="2"/>
      </rPr>
      <t xml:space="preserve">「未知規則 </t>
    </r>
    <r>
      <rPr>
        <sz val="10"/>
        <rFont val="Arial"/>
        <family val="0"/>
        <charset val="1"/>
      </rPr>
      <t xml:space="preserve">{id}</t>
    </r>
    <r>
      <rPr>
        <sz val="10"/>
        <rFont val="Noto Sans CJK SC"/>
        <family val="2"/>
      </rPr>
      <t xml:space="preserve">」（未註冊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本來就沒有名稱，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是辨識送了什麼的唯一線索，</t>
    </r>
    <r>
      <rPr>
        <sz val="10"/>
        <rFont val="Arial"/>
        <family val="0"/>
        <charset val="1"/>
      </rPr>
      <t xml:space="preserve">UI </t>
    </r>
    <r>
      <rPr>
        <sz val="10"/>
        <rFont val="Noto Sans CJK SC"/>
        <family val="2"/>
      </rPr>
      <t xml:space="preserve">不會送）；</t>
    </r>
    <r>
      <rPr>
        <sz val="10"/>
        <rFont val="Arial"/>
        <family val="0"/>
        <charset val="1"/>
      </rPr>
      <t xml:space="preserve">official_templates.py:370</t>
    </r>
    <r>
      <rPr>
        <sz val="10"/>
        <rFont val="Noto Sans CJK SC"/>
        <family val="2"/>
      </rPr>
      <t xml:space="preserve">「規則代碼：</t>
    </r>
    <r>
      <rPr>
        <sz val="10"/>
        <rFont val="Arial"/>
        <family val="0"/>
        <charset val="1"/>
      </rPr>
      <t xml:space="preserve">{rule}</t>
    </r>
    <r>
      <rPr>
        <sz val="10"/>
        <rFont val="Noto Sans CJK SC"/>
        <family val="2"/>
      </rPr>
      <t xml:space="preserve">」（給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的輸入、明示為代碼、不顯示給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，改它會改提示詞與快取指紋）；</t>
    </r>
    <r>
      <rPr>
        <sz val="10"/>
        <rFont val="Arial"/>
        <family val="0"/>
        <charset val="1"/>
      </rPr>
      <t xml:space="preserve">web/detail.js:54-58 RULE_LABEL</t>
    </r>
    <r>
      <rPr>
        <sz val="10"/>
        <rFont val="Noto Sans CJK SC"/>
        <family val="2"/>
      </rPr>
      <t xml:space="preserve">（技術訊號規則鍵，另一組詞、單一份且齊全）；週行動清單「再平衡漂移」（命名的是動作不是規則）。掃過但不顯示規則識別：鈴鐺面板、任務抽屜「① 觸發」、</t>
    </r>
    <r>
      <rPr>
        <sz val="10"/>
        <rFont val="Arial"/>
        <family val="0"/>
        <charset val="1"/>
      </rPr>
      <t xml:space="preserve">digest.js</t>
    </r>
    <r>
      <rPr>
        <sz val="10"/>
        <rFont val="Noto Sans CJK SC"/>
        <family val="2"/>
      </rPr>
      <t xml:space="preserve">、事件標題、操作記錄、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原因碼。掃描指令：後端 </t>
    </r>
    <r>
      <rPr>
        <sz val="10"/>
        <rFont val="Arial"/>
        <family val="0"/>
        <charset val="1"/>
      </rPr>
      <t xml:space="preserve">grep -rnE "\{[a-z_.]*(rule_id|\.rule|fired_rule|rule|rid|rules_seen)[^}]*\}" --include=*.py portfolio_dash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grep -rn "rule_id|\.rule\b|fired_rule|alert_rules|ruleLabel|RULE_|\.rules\b|r\.label|rule_label" web</t>
    </r>
    <r>
      <rPr>
        <sz val="10"/>
        <rFont val="Noto Sans CJK SC"/>
        <family val="2"/>
      </rPr>
      <t xml:space="preserve">；事件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找所有 </t>
    </r>
    <r>
      <rPr>
        <sz val="10"/>
        <rFont val="Arial"/>
        <family val="0"/>
        <charset val="1"/>
      </rPr>
      <t xml:space="preserve">record_event(rule_id="…")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</si>
  <si>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tests/contract/test_def062_alert_rule_names.py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每條規則都有中文 </t>
    </r>
    <r>
      <rPr>
        <sz val="10"/>
        <rFont val="Arial"/>
        <family val="0"/>
        <charset val="1"/>
      </rPr>
      <t xml:space="preserve">name </t>
    </r>
    <r>
      <rPr>
        <sz val="10"/>
        <rFont val="Noto Sans CJK SC"/>
        <family val="2"/>
      </rPr>
      <t xml:space="preserve">且以註冊表為母集合、名稱與設定頁用詞一致、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回應與錯誤訊息用名稱、通知中心目錄與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同名、每個寫入 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的事件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都有名稱、名稱表無多餘條目、未知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顯示「未命名規則」）、</t>
    </r>
    <r>
      <rPr>
        <sz val="10"/>
        <rFont val="Arial"/>
        <family val="0"/>
        <charset val="1"/>
      </rPr>
      <t xml:space="preserve">tests/unit/test_def062_rule_names_everywhere.py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：推播、摘要、洞察卡晶片、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明細）、</t>
    </r>
    <r>
      <rPr>
        <sz val="10"/>
        <rFont val="Arial"/>
        <family val="0"/>
        <charset val="1"/>
      </rPr>
      <t xml:space="preserve">tests/e2e/test_def062_rule_names_flow.py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個勾選框都有文字且沒有任何一個符合 </t>
    </r>
    <r>
      <rPr>
        <sz val="10"/>
        <rFont val="Arial"/>
        <family val="0"/>
        <charset val="1"/>
      </rPr>
      <t xml:space="preserve">/[a-z]+_[a-z_]+/</t>
    </r>
    <r>
      <rPr>
        <sz val="10"/>
        <rFont val="Noto Sans CJK SC"/>
        <family val="2"/>
      </rPr>
      <t xml:space="preserve">；同一規則在預警規則與通知中心與精靈同名；無 </t>
    </r>
    <r>
      <rPr>
        <sz val="10"/>
        <rFont val="Arial"/>
        <family val="0"/>
        <charset val="1"/>
      </rPr>
      <t xml:space="preserve">DEF-062 console </t>
    </r>
    <r>
      <rPr>
        <sz val="10"/>
        <rFont val="Noto Sans CJK SC"/>
        <family val="2"/>
      </rPr>
      <t xml:space="preserve">警告）；修改 </t>
    </r>
    <r>
      <rPr>
        <sz val="10"/>
        <rFont val="Arial"/>
        <family val="0"/>
        <charset val="1"/>
      </rPr>
      <t xml:space="preserve">test_notify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test_def041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test_alert_scan </t>
    </r>
    <r>
      <rPr>
        <sz val="10"/>
        <rFont val="Noto Sans CJK SC"/>
        <family val="2"/>
      </rPr>
      <t xml:space="preserve">三個既有斷言。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上：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則失敗，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失敗訊息列出的正是驗證者看到的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組全攔：刪 </t>
    </r>
    <r>
      <rPr>
        <sz val="10"/>
        <rFont val="Arial"/>
        <family val="0"/>
        <charset val="1"/>
      </rPr>
      <t xml:space="preserve">vol_spike </t>
    </r>
    <r>
      <rPr>
        <sz val="10"/>
        <rFont val="Noto Sans CJK SC"/>
        <family val="2"/>
      </rPr>
      <t xml:space="preserve">名稱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vol_spike: </t>
    </r>
    <r>
      <rPr>
        <sz val="10"/>
        <rFont val="Noto Sans CJK SC"/>
        <family val="2"/>
      </rPr>
      <t xml:space="preserve">「未命名規則」 — </t>
    </r>
    <r>
      <rPr>
        <sz val="10"/>
        <rFont val="Arial"/>
        <family val="0"/>
        <charset val="1"/>
      </rPr>
      <t xml:space="preserve">the name table has no entry for a registered rule</t>
    </r>
    <r>
      <rPr>
        <sz val="10"/>
        <rFont val="Noto Sans CJK SC"/>
        <family val="2"/>
      </rPr>
      <t xml:space="preserve">」）；精靈改回本地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條表 →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）；精靈用完整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條本地表但舊用詞 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wizard vs </t>
    </r>
    <r>
      <rPr>
        <sz val="10"/>
        <rFont val="Noto Sans CJK SC"/>
        <family val="2"/>
      </rPr>
      <t xml:space="preserve">預警規則 </t>
    </r>
    <r>
      <rPr>
        <sz val="10"/>
        <rFont val="Arial"/>
        <family val="0"/>
        <charset val="1"/>
      </rPr>
      <t xml:space="preserve">name the same rule differently: {'stale_price': ('</t>
    </r>
    <r>
      <rPr>
        <sz val="10"/>
        <rFont val="Noto Sans CJK SC"/>
        <family val="2"/>
      </rPr>
      <t xml:space="preserve">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</t>
    </r>
    <r>
      <rPr>
        <sz val="10"/>
        <rFont val="Arial"/>
        <family val="0"/>
        <charset val="1"/>
      </rPr>
      <t xml:space="preserve">', '</t>
    </r>
    <r>
      <rPr>
        <sz val="10"/>
        <rFont val="Noto Sans CJK SC"/>
        <family val="2"/>
      </rPr>
      <t xml:space="preserve">價格過期</t>
    </r>
    <r>
      <rPr>
        <sz val="10"/>
        <rFont val="Arial"/>
        <family val="0"/>
        <charset val="1"/>
      </rPr>
      <t xml:space="preserve">'), …}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name → </t>
    </r>
    <r>
      <rPr>
        <sz val="10"/>
        <rFont val="Noto Sans CJK SC"/>
        <family val="2"/>
      </rPr>
      <t xml:space="preserve">契約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失敗；推播改回退回 </t>
    </r>
    <r>
      <rPr>
        <sz val="10"/>
        <rFont val="Arial"/>
        <family val="0"/>
        <charset val="1"/>
      </rPr>
      <t xml:space="preserve">id → 3 </t>
    </r>
    <r>
      <rPr>
        <sz val="10"/>
        <rFont val="Noto Sans CJK SC"/>
        <family val="2"/>
      </rPr>
      <t xml:space="preserve">則失敗；排程明細改回 </t>
    </r>
    <r>
      <rPr>
        <sz val="10"/>
        <rFont val="Arial"/>
        <family val="0"/>
        <charset val="1"/>
      </rPr>
      <t xml:space="preserve">id → 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3 alert(s) [vol_spike, drawdown_from_peak, fx_drift]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</si>
  <si>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真實瀏覽器：洞察管線 › ＋新增洞察任務 → 觸發「預警觸發」讀監聽規則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個勾選框（不建立，關閉）；</t>
    </r>
    <r>
      <rPr>
        <sz val="10"/>
        <rFont val="Arial"/>
        <family val="0"/>
        <charset val="1"/>
      </rPr>
      <t xml:space="preserve">GET /api/alert-rules</t>
    </r>
    <r>
      <rPr>
        <sz val="10"/>
        <rFont val="Noto Sans CJK SC"/>
        <family val="2"/>
      </rPr>
      <t xml:space="preserve">；系統設定 › 預警規則 比對名稱；系統設定 ›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「立即執行」（依開發者指示）後讀新一列執行明細；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洞察頁讀卡片觸發晶片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</si>
  <si>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時精靈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個顯示規則 </t>
    </r>
    <r>
      <rPr>
        <sz val="10"/>
        <rFont val="Arial"/>
        <family val="0"/>
        <charset val="1"/>
      </rPr>
      <t xml:space="preserve">id
</t>
    </r>
    <r>
      <rPr>
        <sz val="10"/>
        <rFont val="Noto Sans CJK SC"/>
        <family val="2"/>
      </rPr>
      <t xml:space="preserve">假設：①名稱單一來源、各處同名；②只補了精靈的本地表
排除：精靈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個勾選框全為中文，以 </t>
    </r>
    <r>
      <rPr>
        <sz val="10"/>
        <rFont val="Arial"/>
        <family val="0"/>
        <charset val="1"/>
      </rPr>
      <t xml:space="preserve">/[a-z]+_[a-z_]+/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個；逐一與 </t>
    </r>
    <r>
      <rPr>
        <sz val="10"/>
        <rFont val="Arial"/>
        <family val="0"/>
        <charset val="1"/>
      </rPr>
      <t xml:space="preserve">/api/alert-rules </t>
    </r>
    <r>
      <rPr>
        <sz val="10"/>
        <rFont val="Noto Sans CJK SC"/>
        <family val="2"/>
      </rPr>
      <t xml:space="preserve">每條的 </t>
    </r>
    <r>
      <rPr>
        <sz val="10"/>
        <rFont val="Arial"/>
        <family val="0"/>
        <charset val="1"/>
      </rPr>
      <t xml:space="preserve">name </t>
    </r>
    <r>
      <rPr>
        <sz val="10"/>
        <rFont val="Noto Sans CJK SC"/>
        <family val="2"/>
      </rPr>
      <t xml:space="preserve">比對 </t>
    </r>
    <r>
      <rPr>
        <sz val="10"/>
        <rFont val="Arial"/>
        <family val="0"/>
        <charset val="1"/>
      </rPr>
      <t xml:space="preserve">15/15 </t>
    </r>
    <r>
      <rPr>
        <sz val="10"/>
        <rFont val="Noto Sans CJK SC"/>
        <family val="2"/>
      </rPr>
      <t xml:space="preserve">相同（例 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＝價格過期、</t>
    </r>
    <r>
      <rPr>
        <sz val="10"/>
        <rFont val="Arial"/>
        <family val="0"/>
        <charset val="1"/>
      </rPr>
      <t xml:space="preserve">exdiv_upcoming</t>
    </r>
    <r>
      <rPr>
        <sz val="10"/>
        <rFont val="Noto Sans CJK SC"/>
        <family val="2"/>
      </rPr>
      <t xml:space="preserve">＝即將除息提醒、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＝高點回撤、</t>
    </r>
    <r>
      <rPr>
        <sz val="10"/>
        <rFont val="Arial"/>
        <family val="0"/>
        <charset val="1"/>
      </rPr>
      <t xml:space="preserve">target_cross</t>
    </r>
    <r>
      <rPr>
        <sz val="10"/>
        <rFont val="Noto Sans CJK SC"/>
        <family val="2"/>
      </rPr>
      <t xml:space="preserve">＝目標價穿越）；預警規則頁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個名稱全部出現、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alert_scan run #195 </t>
    </r>
    <r>
      <rPr>
        <sz val="10"/>
        <rFont val="Noto Sans CJK SC"/>
        <family val="2"/>
      </rPr>
      <t xml:space="preserve">明細「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單一標的集中度、產業集中度、價格過期、匯率漂移、高點回撤、幣別集中度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條非個股預警（不產個股卡）：匯率漂移 帳戶…；略過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條觀察標的預警（未持有，不產卡）：高點回撤 </t>
    </r>
    <r>
      <rPr>
        <sz val="10"/>
        <rFont val="Arial"/>
        <family val="0"/>
        <charset val="1"/>
      </rPr>
      <t xml:space="preserve">1234</t>
    </r>
    <r>
      <rPr>
        <sz val="10"/>
        <rFont val="Noto Sans CJK SC"/>
        <family val="2"/>
      </rPr>
      <t xml:space="preserve">、…」（修正前 </t>
    </r>
    <r>
      <rPr>
        <sz val="10"/>
        <rFont val="Arial"/>
        <family val="0"/>
        <charset val="1"/>
      </rPr>
      <t xml:space="preserve">#193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）；新卡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 </t>
    </r>
    <r>
      <rPr>
        <sz val="10"/>
        <rFont val="Noto Sans CJK SC"/>
        <family val="2"/>
      </rPr>
      <t xml:space="preserve">晶片「由預警「高點回撤」觸發」。名稱來自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，排除②
判定：通過
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rule_name </t>
    </r>
    <r>
      <rPr>
        <sz val="10"/>
        <rFont val="Noto Sans CJK SC"/>
        <family val="2"/>
      </rPr>
      <t xml:space="preserve">直接回傳規則 </t>
    </r>
    <r>
      <rPr>
        <sz val="10"/>
        <rFont val="Arial"/>
        <family val="0"/>
        <charset val="1"/>
      </rPr>
      <t xml:space="preserve">id → 48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'[</t>
    </r>
    <r>
      <rPr>
        <sz val="10"/>
        <rFont val="Noto Sans CJK SC"/>
        <family val="2"/>
      </rPr>
      <t xml:space="preserve">波動突升、高點回撤、匯率漂移</t>
    </r>
    <r>
      <rPr>
        <sz val="10"/>
        <rFont val="Arial"/>
        <family val="0"/>
        <charset val="1"/>
      </rPr>
      <t xml:space="preserve">]' in '3 alert(s) [vol_spike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drawdown_from_peak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fx_drift]…'</t>
    </r>
    <r>
      <rPr>
        <sz val="10"/>
        <rFont val="Noto Sans CJK SC"/>
        <family val="2"/>
      </rPr>
      <t xml:space="preserve">），還原後通過</t>
    </r>
  </si>
  <si>
    <r>
      <rPr>
        <sz val="10"/>
        <rFont val="Noto Sans CJK SC"/>
        <family val="2"/>
      </rPr>
      <t xml:space="preserve">精靈 </t>
    </r>
    <r>
      <rPr>
        <sz val="10"/>
        <rFont val="Arial"/>
        <family val="0"/>
        <charset val="1"/>
      </rPr>
      <t xml:space="preserve">15/15 </t>
    </r>
    <r>
      <rPr>
        <sz val="10"/>
        <rFont val="Noto Sans CJK SC"/>
        <family val="2"/>
      </rPr>
      <t xml:space="preserve">中文且與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／預警規則頁逐字相同；排程明細與卡片晶片皆為中文</t>
    </r>
  </si>
  <si>
    <r>
      <rPr>
        <sz val="10"/>
        <rFont val="Noto Sans CJK SC"/>
        <family val="2"/>
      </rPr>
      <t xml:space="preserve">附帶：依開發者指示立即執行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，這次派發未被去重（距上次派發已逾一日），產生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＝額度 </t>
    </r>
    <r>
      <rPr>
        <sz val="10"/>
        <rFont val="Arial"/>
        <family val="0"/>
        <charset val="1"/>
      </rPr>
      <t xml:space="preserve">3.2606018→3.2577460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partial——</t>
    </r>
    <r>
      <rPr>
        <sz val="10"/>
        <rFont val="Noto Sans CJK SC"/>
        <family val="2"/>
      </rPr>
      <t xml:space="preserve">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兩次回傳截斷的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invalid_json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失敗原因為「</t>
    </r>
    <r>
      <rPr>
        <sz val="10"/>
        <rFont val="Arial"/>
        <family val="0"/>
        <charset val="1"/>
      </rPr>
      <t xml:space="preserve">tenacity import failed please run `pip install tenacity`. ErrorNo module named 'tenacity'</t>
    </r>
    <r>
      <rPr>
        <sz val="10"/>
        <rFont val="Noto Sans CJK SC"/>
        <family val="2"/>
      </rPr>
      <t xml:space="preserve">」。開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（中）</t>
    </r>
  </si>
  <si>
    <r>
      <rPr>
        <sz val="10"/>
        <rFont val="Noto Sans CJK SC"/>
        <family val="2"/>
      </rPr>
      <t xml:space="preserve">同意。只在宇宙加條件不夠：實測 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「全部賣出 → 封存 → 刪除賣出」後持股 </t>
    </r>
    <r>
      <rPr>
        <sz val="10"/>
        <rFont val="Arial"/>
        <family val="0"/>
        <charset val="1"/>
      </rPr>
      <t xml:space="preserve">1,000 </t>
    </r>
    <r>
      <rPr>
        <sz val="10"/>
        <rFont val="Noto Sans CJK SC"/>
        <family val="2"/>
      </rPr>
      <t xml:space="preserve">股但標的仍是封存、不在報價宇宙；放空可以封存；以未來日期賣出清倉也可以封存。已封存但仍持有的標的會被新的過濾排除，違反「持倉永不排除」，所以封存守門與寫入端一起修。</t>
    </r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</si>
  <si>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</si>
  <si>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r>
      <rPr>
        <sz val="10"/>
        <rFont val="Noto Sans CJK SC"/>
        <family val="2"/>
      </rPr>
      <t xml:space="preserve">封存的守門測試是逐一範圍、在某個範圍被修時才補的（</t>
    </r>
    <r>
      <rPr>
        <sz val="10"/>
        <rFont val="Arial"/>
        <family val="0"/>
        <charset val="1"/>
      </rPr>
      <t xml:space="preserve">tests/contract/test_instruments_delete_archive.py:292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管報價、訊號、新聞，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管洞察）；</t>
    </r>
    <r>
      <rPr>
        <sz val="10"/>
        <rFont val="Arial"/>
        <family val="0"/>
        <charset val="1"/>
      </rPr>
      <t xml:space="preserve">tests/pricing/test_ingest.py:41 </t>
    </r>
    <r>
      <rPr>
        <sz val="10"/>
        <rFont val="Noto Sans CJK SC"/>
        <family val="2"/>
      </rPr>
      <t xml:space="preserve">的夾具沒有已封存列，只驗「全表都在」——從沒加過過濾的範圍就從沒有測試。不變式只釘了兩個新增入口（</t>
    </r>
    <r>
      <rPr>
        <sz val="10"/>
        <rFont val="Arial"/>
        <family val="0"/>
        <charset val="1"/>
      </rPr>
      <t xml:space="preserve">tests/data_ingestion/test_instruments_delete.py:199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test_archive_held_422 </t>
    </r>
    <r>
      <rPr>
        <sz val="10"/>
        <rFont val="Noto Sans CJK SC"/>
        <family val="2"/>
      </rPr>
      <t xml:space="preserve">只測多頭。新守門把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個宇宙參數化逐一驗「封存後恰好少了那一檔」，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個排程用排程器自己的 </t>
    </r>
    <r>
      <rPr>
        <sz val="10"/>
        <rFont val="Arial"/>
        <family val="0"/>
        <charset val="1"/>
      </rPr>
      <t xml:space="preserve">run_job </t>
    </r>
    <r>
      <rPr>
        <sz val="10"/>
        <rFont val="Noto Sans CJK SC"/>
        <family val="2"/>
      </rPr>
      <t xml:space="preserve">實跑並在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接縫擷取實際送出的清單，不變式對每一個入口都有行為測試，最後整體驗「已封存者無一持有」。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</si>
  <si>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</si>
  <si>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</si>
  <si>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tests/contract/test_def064_fetch_universes_exclude_archived.py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例）：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個宇宙封存後各少恰好一檔、還原後回來、</t>
    </r>
    <r>
      <rPr>
        <sz val="10"/>
        <rFont val="Arial"/>
        <family val="0"/>
        <charset val="1"/>
      </rPr>
      <t xml:space="preserve">SQL </t>
    </r>
    <r>
      <rPr>
        <sz val="10"/>
        <rFont val="Noto Sans CJK SC"/>
        <family val="2"/>
      </rPr>
      <t xml:space="preserve">範圍與註冊表旗標一致、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例失敗（宇宙與排程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、放空與未來賣出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、重新啟用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例為回歸釘。變異：</t>
    </r>
    <r>
      <rPr>
        <sz val="10"/>
        <rFont val="Arial"/>
        <family val="0"/>
        <charset val="1"/>
      </rPr>
      <t xml:space="preserve">M-A tw_universe </t>
    </r>
    <r>
      <rPr>
        <sz val="10"/>
        <rFont val="Noto Sans CJK SC"/>
        <family val="2"/>
      </rPr>
      <t xml:space="preserve">放回舊 </t>
    </r>
    <r>
      <rPr>
        <sz val="10"/>
        <rFont val="Arial"/>
        <family val="0"/>
        <charset val="1"/>
      </rPr>
      <t xml:space="preserve">SQL → 5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AssertionError: ingest.tw_universe: archiving must remove exactly the archived symbols (before=['2317', '2330', '2454'], after=['2317', '2330', '2454'])</t>
    </r>
    <r>
      <rPr>
        <sz val="10"/>
        <rFont val="Noto Sans CJK SC"/>
        <family val="2"/>
      </rPr>
      <t xml:space="preserve">」（兩個宇宙都放回 →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M-B </t>
    </r>
    <r>
      <rPr>
        <sz val="10"/>
        <rFont val="Noto Sans CJK SC"/>
        <family val="2"/>
      </rPr>
      <t xml:space="preserve">共用判定改成 </t>
    </r>
    <r>
      <rPr>
        <sz val="10"/>
        <rFont val="Arial"/>
        <family val="0"/>
        <charset val="1"/>
      </rPr>
      <t xml:space="preserve">1 = 1 → 15 </t>
    </r>
    <r>
      <rPr>
        <sz val="10"/>
        <rFont val="Noto Sans CJK SC"/>
        <family val="2"/>
      </rPr>
      <t xml:space="preserve">則；</t>
    </r>
    <r>
      <rPr>
        <sz val="10"/>
        <rFont val="Arial"/>
        <family val="0"/>
        <charset val="1"/>
      </rPr>
      <t xml:space="preserve">M-C </t>
    </r>
    <r>
      <rPr>
        <sz val="10"/>
        <rFont val="Noto Sans CJK SC"/>
        <family val="2"/>
      </rPr>
      <t xml:space="preserve">守門改回 </t>
    </r>
    <r>
      <rPr>
        <sz val="10"/>
        <rFont val="Arial"/>
        <family val="0"/>
        <charset val="1"/>
      </rPr>
      <t xml:space="preserve">&gt; 0 → </t>
    </r>
    <r>
      <rPr>
        <sz val="10"/>
        <rFont val="Noto Sans CJK SC"/>
        <family val="2"/>
      </rPr>
      <t xml:space="preserve">放空與未來賣出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{"ok":true,"archived":true}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M-D </t>
    </r>
    <r>
      <rPr>
        <sz val="10"/>
        <rFont val="Noto Sans CJK SC"/>
        <family val="2"/>
      </rPr>
      <t xml:space="preserve">重新啟用直接 </t>
    </r>
    <r>
      <rPr>
        <sz val="10"/>
        <rFont val="Arial"/>
        <family val="0"/>
        <charset val="1"/>
      </rPr>
      <t xml:space="preserve">return → 6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</si>
  <si>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3be67db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127.0.0.1:8766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Playwright Chromium </t>
    </r>
    <r>
      <rPr>
        <sz val="10"/>
        <rFont val="Noto Sans CJK SC"/>
        <family val="2"/>
      </rPr>
      <t xml:space="preserve">真實頁面）：觀察清單 › 移除（隱藏）依序對 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（已換股清倉）、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（多頭）、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（另加一筆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股清倉，今日仍持有）、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（另加一筆放空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股）；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移除後到 交易帳本 › 公司行動 刪除 </t>
    </r>
    <r>
      <rPr>
        <sz val="10"/>
        <rFont val="Arial"/>
        <family val="0"/>
        <charset val="1"/>
      </rPr>
      <t xml:space="preserve">VRTB→VRTA </t>
    </r>
    <r>
      <rPr>
        <sz val="10"/>
        <rFont val="Noto Sans CJK SC"/>
        <family val="2"/>
      </rPr>
      <t xml:space="preserve">換股 </t>
    </r>
    <r>
      <rPr>
        <sz val="10"/>
        <rFont val="Arial"/>
        <family val="0"/>
        <charset val="1"/>
      </rPr>
      <t xml:space="preserve">#3</t>
    </r>
    <r>
      <rPr>
        <sz val="10"/>
        <rFont val="Noto Sans CJK SC"/>
        <family val="2"/>
      </rPr>
      <t xml:space="preserve">（讓 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重新持有）；每一步後 排程 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「立即執行」讀明細失敗清單；每個情境後以測前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備份還原並比對帳本雜湊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</si>
  <si>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開單時 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已清倉 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「已移除 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archived=1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quotes_us </t>
    </r>
    <r>
      <rPr>
        <sz val="10"/>
        <rFont val="Noto Sans CJK SC"/>
        <family val="2"/>
      </rPr>
      <t xml:space="preserve">失敗清單由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項（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）變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項（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消失）；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多頭、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（儀表板今日仍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股）、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放空 −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三者皆跳「無法移除：持倉中的標的不可移除或封存」、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封存後在畫面刪除換股 </t>
    </r>
    <r>
      <rPr>
        <sz val="10"/>
        <rFont val="Arial"/>
        <family val="0"/>
        <charset val="1"/>
      </rPr>
      <t xml:space="preserve">#3</t>
    </r>
    <r>
      <rPr>
        <sz val="10"/>
        <rFont val="Noto Sans CJK SC"/>
        <family val="2"/>
      </rPr>
      <t xml:space="preserve">（確認框「確定刪除 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2026-06-16 </t>
    </r>
    <r>
      <rPr>
        <sz val="10"/>
        <rFont val="Noto Sans CJK SC"/>
        <family val="2"/>
      </rPr>
      <t xml:space="preserve">的換股？」）→ 儀表板 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回到 </t>
    </r>
    <r>
      <rPr>
        <sz val="10"/>
        <rFont val="Arial"/>
        <family val="0"/>
        <charset val="1"/>
      </rPr>
      <t xml:space="preserve">schwab 40 </t>
    </r>
    <r>
      <rPr>
        <sz val="10"/>
        <rFont val="Noto Sans CJK SC"/>
        <family val="2"/>
      </rPr>
      <t xml:space="preserve">股、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自動變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quotes_us </t>
    </r>
    <r>
      <rPr>
        <sz val="10"/>
        <rFont val="Noto Sans CJK SC"/>
        <family val="2"/>
      </rPr>
      <t xml:space="preserve">清單重新含 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。排除①。另於 </t>
    </r>
    <r>
      <rPr>
        <sz val="10"/>
        <rFont val="Arial"/>
        <family val="0"/>
        <charset val="1"/>
      </rPr>
      <t xml:space="preserve">repo-r5m </t>
    </r>
    <r>
      <rPr>
        <sz val="10"/>
        <rFont val="Noto Sans CJK SC"/>
        <family val="2"/>
      </rPr>
      <t xml:space="preserve">重做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組變異（見下）
定位：</t>
    </r>
    <r>
      <rPr>
        <sz val="10"/>
        <rFont val="Arial"/>
        <family val="0"/>
        <charset val="1"/>
      </rPr>
      <t xml:space="preserve">data_ingestion/holdings.py:532 holds_position</t>
    </r>
    <r>
      <rPr>
        <sz val="10"/>
        <rFont val="Noto Sans CJK SC"/>
        <family val="2"/>
      </rPr>
      <t xml:space="preserve">（今日或之後任一帳本日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api/routers/instruments.py:65 _archive_blocked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pricing/ingest.py:53 tw_universe → shared/instrument_scope.py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</si>
  <si>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封存守門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情境與設計一致（清倉允許；多頭／未來清倉／放空拒絕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）；重新持有自動解除封存；報價宇宙隨封存進出；還原後帳本雜湊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與測前相同。變異（驗證者於本機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 ≠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&gt;0 → 1 failed</t>
    </r>
    <r>
      <rPr>
        <sz val="10"/>
        <rFont val="Noto Sans CJK SC"/>
        <family val="2"/>
      </rPr>
      <t xml:space="preserve">（放空可封存：</t>
    </r>
    <r>
      <rPr>
        <sz val="10"/>
        <rFont val="Arial"/>
        <family val="0"/>
        <charset val="1"/>
      </rPr>
      <t xml:space="preserve">{"ok":true,"archived":true}</t>
    </r>
    <r>
      <rPr>
        <sz val="10"/>
        <rFont val="Noto Sans CJK SC"/>
        <family val="2"/>
      </rPr>
      <t xml:space="preserve">）；只看今日（</t>
    </r>
    <r>
      <rPr>
        <sz val="10"/>
        <rFont val="Arial"/>
        <family val="0"/>
        <charset val="1"/>
      </rPr>
      <t xml:space="preserve">days=[today]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（未來日期買進可封存）；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改回讀全表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'2454' not in ['2317', '2330', '2454']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26 passed</t>
    </r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</si>
  <si>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</si>
  <si>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裁定寫清理腳本。「誰擁有這列起始價」只保留一份判定，腳本與刪除、批次復原、編輯搬移呼叫同一個 </t>
    </r>
    <r>
      <rPr>
        <sz val="10"/>
        <rFont val="Arial"/>
        <family val="0"/>
        <charset val="1"/>
      </rPr>
      <t xml:space="preserve">method</t>
    </r>
    <r>
      <rPr>
        <sz val="10"/>
        <rFont val="Noto Sans CJK SC"/>
        <family val="2"/>
      </rPr>
      <t xml:space="preserve">，兩邊不可能判得不一樣。</t>
    </r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</si>
  <si>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</si>
  <si>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</si>
  <si>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scripts/clean_orphan_seed_prices.py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clean_rebate_snapshots.py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delete_insight_cards.py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必填，檔案不存在、缺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corporate_actions </t>
    </r>
    <r>
      <rPr>
        <sz val="10"/>
        <rFont val="Noto Sans CJK SC"/>
        <family val="2"/>
      </rPr>
      <t xml:space="preserve">表或缺 </t>
    </r>
    <r>
      <rPr>
        <sz val="10"/>
        <rFont val="Arial"/>
        <family val="0"/>
        <charset val="1"/>
      </rPr>
      <t xml:space="preserve">child_seed_json </t>
    </r>
    <r>
      <rPr>
        <sz val="10"/>
        <rFont val="Noto Sans CJK SC"/>
        <family val="2"/>
      </rPr>
      <t xml:space="preserve">欄都拒絕；預設試跑，逐列印出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、日期、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fetched_at </t>
    </r>
    <r>
      <rPr>
        <sz val="10"/>
        <rFont val="Noto Sans CJK SC"/>
        <family val="2"/>
      </rPr>
      <t xml:space="preserve">與判定理由，保留的列也寫原因（仍被新格式或舊格式擁有、簽章不完整）；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必須搭配 </t>
    </r>
    <r>
      <rPr>
        <sz val="10"/>
        <rFont val="Arial"/>
        <family val="0"/>
        <charset val="1"/>
      </rPr>
      <t xml:space="preserve">--reason</t>
    </r>
    <r>
      <rPr>
        <sz val="10"/>
        <rFont val="Noto Sans CJK SC"/>
        <family val="2"/>
      </rPr>
      <t xml:space="preserve">，先以 </t>
    </r>
    <r>
      <rPr>
        <sz val="10"/>
        <rFont val="Arial"/>
        <family val="0"/>
        <charset val="1"/>
      </rPr>
      <t xml:space="preserve">ops.backup.pre_write_snapshot </t>
    </r>
    <r>
      <rPr>
        <sz val="10"/>
        <rFont val="Noto Sans CJK SC"/>
        <family val="2"/>
      </rPr>
      <t xml:space="preserve">備份（</t>
    </r>
    <r>
      <rPr>
        <sz val="10"/>
        <rFont val="Arial"/>
        <family val="0"/>
        <charset val="1"/>
      </rPr>
      <t xml:space="preserve">&lt;DB </t>
    </r>
    <r>
      <rPr>
        <sz val="10"/>
        <rFont val="Noto Sans CJK SC"/>
        <family val="2"/>
      </rPr>
      <t xml:space="preserve">目錄</t>
    </r>
    <r>
      <rPr>
        <sz val="10"/>
        <rFont val="Arial"/>
        <family val="0"/>
        <charset val="1"/>
      </rPr>
      <t xml:space="preserve">&gt;/snapshots/pre_clean_orphan_seed_&lt;</t>
    </r>
    <r>
      <rPr>
        <sz val="10"/>
        <rFont val="Noto Sans CJK SC"/>
        <family val="2"/>
      </rPr>
      <t xml:space="preserve">時間</t>
    </r>
    <r>
      <rPr>
        <sz val="10"/>
        <rFont val="Arial"/>
        <family val="0"/>
        <charset val="1"/>
      </rPr>
      <t xml:space="preserve">&gt;.db.gz</t>
    </r>
    <r>
      <rPr>
        <sz val="10"/>
        <rFont val="Noto Sans CJK SC"/>
        <family val="2"/>
      </rPr>
      <t xml:space="preserve">，印出路徑），再在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內重新判定、逐列刪除（條件 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且 </t>
    </r>
    <r>
      <rPr>
        <sz val="10"/>
        <rFont val="Arial"/>
        <family val="0"/>
        <charset val="1"/>
      </rPr>
      <t xml:space="preserve">fetched_at </t>
    </r>
    <r>
      <rPr>
        <sz val="10"/>
        <rFont val="Noto Sans CJK SC"/>
        <family val="2"/>
      </rPr>
      <t xml:space="preserve">等於原列），每列寫一筆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table prices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 delete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「腳本 </t>
    </r>
    <r>
      <rPr>
        <sz val="10"/>
        <rFont val="Arial"/>
        <family val="0"/>
        <charset val="1"/>
      </rPr>
      <t xml:space="preserve">clean_orphan_seed_prices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before_json </t>
    </r>
    <r>
      <rPr>
        <sz val="10"/>
        <rFont val="Noto Sans CJK SC"/>
        <family val="2"/>
      </rPr>
      <t xml:space="preserve">為完整原列）並寫一筆 </t>
    </r>
    <r>
      <rPr>
        <sz val="10"/>
        <rFont val="Arial"/>
        <family val="0"/>
        <charset val="1"/>
      </rPr>
      <t xml:space="preserve">action_log </t>
    </r>
    <r>
      <rPr>
        <sz val="10"/>
        <rFont val="Noto Sans CJK SC"/>
        <family val="2"/>
      </rPr>
      <t xml:space="preserve">摘要；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對受影響標的從最早清理日跑一次歷史回補取回正式報價，印出寫入列數，失敗只印訊息、不影響已提交的清理；重跑為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。擁有判定從 </t>
    </r>
    <r>
      <rPr>
        <sz val="10"/>
        <rFont val="Arial"/>
        <family val="0"/>
        <charset val="1"/>
      </rPr>
      <t xml:space="preserve">api/routers/ledgers.py::_owned_slot </t>
    </r>
    <r>
      <rPr>
        <sz val="10"/>
        <rFont val="Noto Sans CJK SC"/>
        <family val="2"/>
      </rPr>
      <t xml:space="preserve">搬到 </t>
    </r>
    <r>
      <rPr>
        <sz val="10"/>
        <rFont val="Arial"/>
        <family val="0"/>
        <charset val="1"/>
      </rPr>
      <t xml:space="preserve">data_ingestion/store.py::StoredCorporateAction.owned_seed_slot()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不能匯入 </t>
    </r>
    <r>
      <rPr>
        <sz val="10"/>
        <rFont val="Arial"/>
        <family val="0"/>
        <charset val="1"/>
      </rPr>
      <t xml:space="preserve">shared.corporate_actions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D17 </t>
    </r>
    <r>
      <rPr>
        <sz val="10"/>
        <rFont val="Noto Sans CJK SC"/>
        <family val="2"/>
      </rPr>
      <t xml:space="preserve">守門），簽章判定改為公開的 </t>
    </r>
    <r>
      <rPr>
        <sz val="10"/>
        <rFont val="Arial"/>
        <family val="0"/>
        <charset val="1"/>
      </rPr>
      <t xml:space="preserve">seed.has_seed_signature </t>
    </r>
    <r>
      <rPr>
        <sz val="10"/>
        <rFont val="Noto Sans CJK SC"/>
        <family val="2"/>
      </rPr>
      <t xml:space="preserve">與刪除共用。</t>
    </r>
  </si>
  <si>
    <r>
      <rPr>
        <sz val="10"/>
        <rFont val="Noto Sans CJK SC"/>
        <family val="2"/>
      </rPr>
      <t xml:space="preserve">「誰擁有起始價」共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份定義、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個讀者（單筆刪除、整組刪除、批次復原、編輯搬移、清理腳本）／修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（抽出共用）／白名單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價格列的地方共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seed.remove_seed_price</t>
    </r>
    <r>
      <rPr>
        <sz val="10"/>
        <rFont val="Noto Sans CJK SC"/>
        <family val="2"/>
      </rPr>
      <t xml:space="preserve">、本腳本），同一份簽章與擁有判定。掃描指令：</t>
    </r>
    <r>
      <rPr>
        <sz val="10"/>
        <rFont val="Arial"/>
        <family val="0"/>
        <charset val="1"/>
      </rPr>
      <t xml:space="preserve">grep -rn "DELETE FROM prices\|SEED_SOURCE\|_owned_slot\|owned_seed_slot" portfolio_dash scripts --include=*.py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執行結果見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</si>
  <si>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tests/scripts/test_clean_orphan_seed_prices.py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例）：孤兒被刪（含記錄說沒寫入任何列的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）；新格式與舊格式擁有的起始價、正式報價、簽章不完整（</t>
    </r>
    <r>
      <rPr>
        <sz val="10"/>
        <rFont val="Arial"/>
        <family val="0"/>
        <charset val="1"/>
      </rPr>
      <t xml:space="preserve">09:15</t>
    </r>
    <r>
      <rPr>
        <sz val="10"/>
        <rFont val="Noto Sans CJK SC"/>
        <family val="2"/>
      </rPr>
      <t xml:space="preserve">）都保留且逐位元組不變；試跑不寫入也不備份；稽核列 </t>
    </r>
    <r>
      <rPr>
        <sz val="10"/>
        <rFont val="Arial"/>
        <family val="0"/>
        <charset val="1"/>
      </rPr>
      <t xml:space="preserve">before_json </t>
    </r>
    <r>
      <rPr>
        <sz val="10"/>
        <rFont val="Noto Sans CJK SC"/>
        <family val="2"/>
      </rPr>
      <t xml:space="preserve">等於被刪的原列；第一次刪除前備份已存在且解壓後仍含孤兒；重跑 </t>
    </r>
    <r>
      <rPr>
        <sz val="10"/>
        <rFont val="Arial"/>
        <family val="0"/>
        <charset val="1"/>
      </rPr>
      <t xml:space="preserve">no-op</t>
    </r>
    <r>
      <rPr>
        <sz val="10"/>
        <rFont val="Noto Sans CJK SC"/>
        <family val="2"/>
      </rPr>
      <t xml:space="preserve">；拒絕路徑不存在、缺 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、空白 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；回補用假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列並取回報價，離線三種情境都 </t>
    </r>
    <r>
      <rPr>
        <sz val="10"/>
        <rFont val="Arial"/>
        <family val="0"/>
        <charset val="1"/>
      </rPr>
      <t xml:space="preserve">exit 0 </t>
    </r>
    <r>
      <rPr>
        <sz val="10"/>
        <rFont val="Noto Sans CJK SC"/>
        <family val="2"/>
      </rPr>
      <t xml:space="preserve">且清理保留（回補測試一律替換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接縫——曾觀察到 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curl </t>
    </r>
    <r>
      <rPr>
        <sz val="10"/>
        <rFont val="Noto Sans CJK SC"/>
        <family val="2"/>
      </rPr>
      <t xml:space="preserve">傳輸會繞過 </t>
    </r>
    <r>
      <rPr>
        <sz val="10"/>
        <rFont val="Arial"/>
        <family val="0"/>
        <charset val="1"/>
      </rPr>
      <t xml:space="preserve">pytest-socket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沒有這支腳本，全部失敗。變異 </t>
    </r>
    <r>
      <rPr>
        <sz val="10"/>
        <rFont val="Arial"/>
        <family val="0"/>
        <charset val="1"/>
      </rPr>
      <t xml:space="preserve">M-E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owned_seed_slot </t>
    </r>
    <r>
      <rPr>
        <sz val="10"/>
        <rFont val="Noto Sans CJK SC"/>
        <family val="2"/>
      </rPr>
      <t xml:space="preserve">拿掉舊格式規則）→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則失敗：腳本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則（「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孤兒起始價：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 in '...</t>
    </r>
    <r>
      <rPr>
        <sz val="10"/>
        <rFont val="Noto Sans CJK SC"/>
        <family val="2"/>
      </rPr>
      <t xml:space="preserve">孤兒起始價：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 → 刪除 </t>
    </r>
    <r>
      <rPr>
        <sz val="10"/>
        <rFont val="Arial"/>
        <family val="0"/>
        <charset val="1"/>
      </rPr>
      <t xml:space="preserve">LEGA 2026-03-04 ...'</t>
    </r>
    <r>
      <rPr>
        <sz val="10"/>
        <rFont val="Noto Sans CJK SC"/>
        <family val="2"/>
      </rPr>
      <t xml:space="preserve">」）＋既有刪除門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test_def040 </t>
    </r>
    <r>
      <rPr>
        <sz val="10"/>
        <rFont val="Noto Sans CJK SC"/>
        <family val="2"/>
      </rPr>
      <t xml:space="preserve">批次復原、</t>
    </r>
    <r>
      <rPr>
        <sz val="10"/>
        <rFont val="Arial"/>
        <family val="0"/>
        <charset val="1"/>
      </rPr>
      <t xml:space="preserve">test_def060 </t>
    </r>
    <r>
      <rPr>
        <sz val="10"/>
        <rFont val="Noto Sans CJK SC"/>
        <family val="2"/>
      </rPr>
      <t xml:space="preserve">舊格式搬移、</t>
    </r>
    <r>
      <rPr>
        <sz val="10"/>
        <rFont val="Arial"/>
        <family val="0"/>
        <charset val="1"/>
      </rPr>
      <t xml:space="preserve">test_def040_r4 </t>
    </r>
    <r>
      <rPr>
        <sz val="10"/>
        <rFont val="Noto Sans CJK SC"/>
        <family val="2"/>
      </rPr>
      <t xml:space="preserve">舊格式簽章規則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則），證明兩邊判定一致。</t>
    </r>
  </si>
  <si>
    <r>
      <rPr>
        <sz val="10"/>
        <rFont val="Noto Sans CJK SC"/>
        <family val="2"/>
      </rPr>
      <t xml:space="preserve">本輪整體閘門（開發機、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指示一次只跑一項、不並行）：</t>
    </r>
    <r>
      <rPr>
        <sz val="10"/>
        <rFont val="Arial"/>
        <family val="0"/>
        <charset val="1"/>
      </rPr>
      <t xml:space="preserve">ruff check portfolio_dash tests scripts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問題（全新快取；首跑抓到新測試檔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處型別註記，已修）・</t>
    </r>
    <r>
      <rPr>
        <sz val="10"/>
        <rFont val="Arial"/>
        <family val="0"/>
        <charset val="1"/>
      </rPr>
      <t xml:space="preserve">pytest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分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段前景 </t>
    </r>
    <r>
      <rPr>
        <sz val="10"/>
        <rFont val="Arial"/>
        <family val="0"/>
        <charset val="1"/>
      </rPr>
      <t xml:space="preserve">6,310 </t>
    </r>
    <r>
      <rPr>
        <sz val="10"/>
        <rFont val="Noto Sans CJK SC"/>
        <family val="2"/>
      </rPr>
      <t xml:space="preserve">則：</t>
    </r>
    <r>
      <rPr>
        <sz val="10"/>
        <rFont val="Arial"/>
        <family val="0"/>
        <charset val="1"/>
      </rPr>
      <t xml:space="preserve">6,308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前半 </t>
    </r>
    <r>
      <rPr>
        <sz val="10"/>
        <rFont val="Arial"/>
        <family val="0"/>
        <charset val="1"/>
      </rPr>
      <t xml:space="preserve">934</t>
    </r>
    <r>
      <rPr>
        <sz val="10"/>
        <rFont val="Noto Sans CJK SC"/>
        <family val="2"/>
      </rPr>
      <t xml:space="preserve">、後半 </t>
    </r>
    <r>
      <rPr>
        <sz val="10"/>
        <rFont val="Arial"/>
        <family val="0"/>
        <charset val="1"/>
      </rPr>
      <t xml:space="preserve">1,355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golden 1,743</t>
    </r>
    <r>
      <rPr>
        <sz val="10"/>
        <rFont val="Noto Sans CJK SC"/>
        <family val="2"/>
      </rPr>
      <t xml:space="preserve">、其餘 </t>
    </r>
    <r>
      <rPr>
        <sz val="10"/>
        <rFont val="Arial"/>
        <family val="0"/>
        <charset val="1"/>
      </rPr>
      <t xml:space="preserve">2,278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次（最終版程式、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檔、每批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檔前景）：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保留的 </t>
    </r>
    <r>
      <rPr>
        <sz val="10"/>
        <rFont val="Arial"/>
        <family val="0"/>
        <charset val="1"/>
      </rPr>
      <t xml:space="preserve">uvicorn </t>
    </r>
    <r>
      <rPr>
        <sz val="10"/>
        <rFont val="Noto Sans CJK SC"/>
        <family val="2"/>
      </rPr>
      <t xml:space="preserve">記錄三次皆為伺服器端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（每次約 </t>
    </r>
    <r>
      <rPr>
        <sz val="10"/>
        <rFont val="Arial"/>
        <family val="0"/>
        <charset val="1"/>
      </rPr>
      <t xml:space="preserve">640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）；另有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次在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修正前的預跑：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</t>
    </r>
    <r>
      <rPr>
        <sz val="10"/>
        <rFont val="Noto Sans CJK SC"/>
        <family val="2"/>
      </rPr>
      <t xml:space="preserve">，原因是交易頁分頁競態，已修並補測試，見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phase 1 ops=128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pass=6,025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fail=0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相同）。註：本輪第一次跑全套時，我留在背景的舊版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重現迴圈與測試同時執行，把記憶體吃光，</t>
    </r>
    <r>
      <rPr>
        <sz val="10"/>
        <rFont val="Arial"/>
        <family val="0"/>
        <charset val="1"/>
      </rPr>
      <t xml:space="preserve">Claude Code </t>
    </r>
    <r>
      <rPr>
        <sz val="10"/>
        <rFont val="Noto Sans CJK SC"/>
        <family val="2"/>
      </rPr>
      <t xml:space="preserve">因此中止該次執行（非測試失敗）；清掉殘留行程後，依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指示改為逐項前景執行，上列數字皆為重跑結果。部署：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備份 </t>
    </r>
    <r>
      <rPr>
        <sz val="10"/>
        <rFont val="Arial"/>
        <family val="0"/>
        <charset val="1"/>
      </rPr>
      <t xml:space="preserve">portfolio-pre-3be67db-20260925T123452Z.db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news-pre-3be67db-20260925T123452Z.db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integrity ok</t>
    </r>
    <r>
      <rPr>
        <sz val="10"/>
        <rFont val="Noto Sans CJK SC"/>
        <family val="2"/>
      </rPr>
      <t xml:space="preserve">；交易／股利／資金／公司行動／洞察卡／評分／稽核／匯入批次／價格／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）→ 部署 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（無相依、無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變更）→ </t>
    </r>
    <r>
      <rPr>
        <sz val="10"/>
        <rFont val="Arial"/>
        <family val="0"/>
        <charset val="1"/>
      </rPr>
      <t xml:space="preserve">/api/health commit=3be67db → settings_meta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（開機建立）→ </t>
    </r>
    <r>
      <rPr>
        <sz val="10"/>
        <rFont val="Arial"/>
        <family val="0"/>
        <charset val="1"/>
      </rPr>
      <t xml:space="preserve">verify_live ALL PASS → </t>
    </r>
    <r>
      <rPr>
        <sz val="10"/>
        <rFont val="Noto Sans CJK SC"/>
        <family val="2"/>
      </rPr>
      <t xml:space="preserve">真實瀏覽器探測：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錯誤、頁面載入時伺服器端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個監聽規則全為中文且與 預警規則 逐字相同；</t>
    </r>
    <r>
      <rPr>
        <sz val="10"/>
        <rFont val="Arial"/>
        <family val="0"/>
        <charset val="1"/>
      </rPr>
      <t xml:space="preserve">/api/alert-rules 15 </t>
    </r>
    <r>
      <rPr>
        <sz val="10"/>
        <rFont val="Noto Sans CJK SC"/>
        <family val="2"/>
      </rPr>
      <t xml:space="preserve">條皆帶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每列帶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、信封有 </t>
    </r>
    <r>
      <rPr>
        <sz val="10"/>
        <rFont val="Arial"/>
        <family val="0"/>
        <charset val="1"/>
      </rPr>
      <t xml:space="preserve">future_count</t>
    </r>
    <r>
      <rPr>
        <sz val="10"/>
        <rFont val="Noto Sans CJK SC"/>
        <family val="2"/>
      </rPr>
      <t xml:space="preserve">；明細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表頭最後一欄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。
</t>
    </r>
    <r>
      <rPr>
        <sz val="10"/>
        <rFont val="Arial"/>
        <family val="0"/>
        <charset val="1"/>
      </rPr>
      <t xml:space="preserve">DEF-063 demo </t>
    </r>
    <r>
      <rPr>
        <sz val="10"/>
        <rFont val="Noto Sans CJK SC"/>
        <family val="2"/>
      </rPr>
      <t xml:space="preserve">執行（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部署後、備份 </t>
    </r>
    <r>
      <rPr>
        <sz val="10"/>
        <rFont val="Arial"/>
        <family val="0"/>
        <charset val="1"/>
      </rPr>
      <t xml:space="preserve">portfolio-pre-3be67db-20260925T123452Z.db </t>
    </r>
    <r>
      <rPr>
        <sz val="10"/>
        <rFont val="Noto Sans CJK SC"/>
        <family val="2"/>
      </rPr>
      <t xml:space="preserve">之後）：試跑「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中來源為 </t>
    </r>
    <r>
      <rPr>
        <sz val="10"/>
        <rFont val="Arial"/>
        <family val="0"/>
        <charset val="1"/>
      </rPr>
      <t xml:space="preserve">'manual' </t>
    </r>
    <r>
      <rPr>
        <sz val="10"/>
        <rFont val="Noto Sans CJK SC"/>
        <family val="2"/>
      </rPr>
      <t xml:space="preserve">的列：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筆；孤兒起始價：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筆」——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prices 35,201 </t>
    </r>
    <r>
      <rPr>
        <sz val="10"/>
        <rFont val="Noto Sans CJK SC"/>
        <family val="2"/>
      </rPr>
      <t xml:space="preserve">列全部來源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corporate_actions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SPINOFF 0 </t>
    </r>
    <r>
      <rPr>
        <sz val="10"/>
        <rFont val="Noto Sans CJK SC"/>
        <family val="2"/>
      </rPr>
      <t xml:space="preserve">筆，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的起始價已在先前各輪還原時一併移除，沒有殘留；</t>
    </r>
    <r>
      <rPr>
        <sz val="10"/>
        <rFont val="Arial"/>
        <family val="0"/>
        <charset val="1"/>
      </rPr>
      <t xml:space="preserve">--apply --reason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DEF-063 owner </t>
    </r>
    <r>
      <rPr>
        <sz val="10"/>
        <rFont val="Noto Sans CJK SC"/>
        <family val="2"/>
      </rPr>
      <t xml:space="preserve">裁定④（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）：清理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遺留的孤兒起始價」→「沒有需要清理的孤兒起始價」，未刪除任何列、未寫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、未產生快照（腳本在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筆時不動資料庫）；重跑試跑仍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筆。無受影響標的，未執行 </t>
    </r>
    <r>
      <rPr>
        <sz val="10"/>
        <rFont val="Arial"/>
        <family val="0"/>
        <charset val="1"/>
      </rPr>
      <t xml:space="preserve">--backfill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</si>
  <si>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本機：複製本機 </t>
    </r>
    <r>
      <rPr>
        <sz val="10"/>
        <rFont val="Arial"/>
        <family val="0"/>
        <charset val="1"/>
      </rPr>
      <t xml:space="preserve">DB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test.db</t>
    </r>
    <r>
      <rPr>
        <sz val="10"/>
        <rFont val="Noto Sans CJK SC"/>
        <family val="2"/>
      </rPr>
      <t xml:space="preserve">），插入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價格——</t>
    </r>
    <r>
      <rPr>
        <sz val="10"/>
        <rFont val="Arial"/>
        <family val="0"/>
        <charset val="1"/>
      </rPr>
      <t xml:space="preserve">VRTA 2026-06-10 </t>
    </r>
    <r>
      <rPr>
        <sz val="10"/>
        <rFont val="Noto Sans CJK SC"/>
        <family val="2"/>
      </rPr>
      <t xml:space="preserve">簽章完整（</t>
    </r>
    <r>
      <rPr>
        <sz val="10"/>
        <rFont val="Arial"/>
        <family val="0"/>
        <charset val="1"/>
      </rPr>
      <t xml:space="preserve">fetched_at </t>
    </r>
    <r>
      <rPr>
        <sz val="10"/>
        <rFont val="Noto Sans CJK SC"/>
        <family val="2"/>
      </rPr>
      <t xml:space="preserve">當日 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）且無任何公司行動擁有＝孤兒；</t>
    </r>
    <r>
      <rPr>
        <sz val="10"/>
        <rFont val="Arial"/>
        <family val="0"/>
        <charset val="1"/>
      </rPr>
      <t xml:space="preserve">KEMG 2026-06-30 </t>
    </r>
    <r>
      <rPr>
        <sz val="10"/>
        <rFont val="Noto Sans CJK SC"/>
        <family val="2"/>
      </rPr>
      <t xml:space="preserve">改為簽章完整、由舊格式 </t>
    </r>
    <r>
      <rPr>
        <sz val="10"/>
        <rFont val="Arial"/>
        <family val="0"/>
        <charset val="1"/>
      </rPr>
      <t xml:space="preserve">SPINOFF #4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child_seed_json NULL</t>
    </r>
    <r>
      <rPr>
        <sz val="10"/>
        <rFont val="Noto Sans CJK SC"/>
        <family val="2"/>
      </rPr>
      <t xml:space="preserve">）擁有；</t>
    </r>
    <r>
      <rPr>
        <sz val="10"/>
        <rFont val="Arial"/>
        <family val="0"/>
        <charset val="1"/>
      </rPr>
      <t xml:space="preserve">KEMB 2026-06-11 fetched_at 09:15 </t>
    </r>
    <r>
      <rPr>
        <sz val="10"/>
        <rFont val="Noto Sans CJK SC"/>
        <family val="2"/>
      </rPr>
      <t xml:space="preserve">簽章不完整——再依序執行 </t>
    </r>
    <r>
      <rPr>
        <sz val="10"/>
        <rFont val="Arial"/>
        <family val="0"/>
        <charset val="1"/>
      </rPr>
      <t xml:space="preserve">scripts/clean_orphan_seed_prices.py</t>
    </r>
    <r>
      <rPr>
        <sz val="10"/>
        <rFont val="Noto Sans CJK SC"/>
        <family val="2"/>
      </rPr>
      <t xml:space="preserve">：不存在的 </t>
    </r>
    <r>
      <rPr>
        <sz val="10"/>
        <rFont val="Arial"/>
        <family val="0"/>
        <charset val="1"/>
      </rPr>
      <t xml:space="preserve">--db</t>
    </r>
    <r>
      <rPr>
        <sz val="10"/>
        <rFont val="Noto Sans CJK SC"/>
        <family val="2"/>
      </rPr>
      <t xml:space="preserve">、試跑、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空白 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--apply --reason</t>
    </r>
    <r>
      <rPr>
        <sz val="10"/>
        <rFont val="Noto Sans CJK SC"/>
        <family val="2"/>
      </rPr>
      <t xml:space="preserve">、重跑試跑、重跑 </t>
    </r>
    <r>
      <rPr>
        <sz val="10"/>
        <rFont val="Arial"/>
        <family val="0"/>
        <charset val="1"/>
      </rPr>
      <t xml:space="preserve">--apply</t>
    </r>
    <r>
      <rPr>
        <sz val="10"/>
        <rFont val="Noto Sans CJK SC"/>
        <family val="2"/>
      </rPr>
      <t xml:space="preserve">；解壓備份核對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</si>
  <si>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決策 ④——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留下的孤兒起始價不會被任何程式移除
假設：①腳本只刪「簽章完整且無擁有者」的列；②判定過寬（刪到被擁有或簽章不完整的列）或過窄
排除：試跑列 </t>
    </r>
    <r>
      <rPr>
        <sz val="10"/>
        <rFont val="Arial"/>
        <family val="0"/>
        <charset val="1"/>
      </rPr>
      <t xml:space="preserve">manual 3 </t>
    </r>
    <r>
      <rPr>
        <sz val="10"/>
        <rFont val="Noto Sans CJK SC"/>
        <family val="2"/>
      </rPr>
      <t xml:space="preserve">筆、孤兒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筆，逐列印理由（保留 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「簽章不完整」、保留 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「仍被擁有 — 公司行動 </t>
    </r>
    <r>
      <rPr>
        <sz val="10"/>
        <rFont val="Arial"/>
        <family val="0"/>
        <charset val="1"/>
      </rPr>
      <t xml:space="preserve">#4</t>
    </r>
    <r>
      <rPr>
        <sz val="10"/>
        <rFont val="Noto Sans CJK SC"/>
        <family val="2"/>
      </rPr>
      <t xml:space="preserve">（舊格式分拆）」、刪除 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「沒有任何公司行動的 </t>
    </r>
    <r>
      <rPr>
        <sz val="10"/>
        <rFont val="Arial"/>
        <family val="0"/>
        <charset val="1"/>
      </rPr>
      <t xml:space="preserve">child_seed_json </t>
    </r>
    <r>
      <rPr>
        <sz val="10"/>
        <rFont val="Noto Sans CJK SC"/>
        <family val="2"/>
      </rPr>
      <t xml:space="preserve">記錄…」）；不存在的路徑 </t>
    </r>
    <r>
      <rPr>
        <sz val="10"/>
        <rFont val="Arial"/>
        <family val="0"/>
        <charset val="1"/>
      </rPr>
      <t xml:space="preserve">rc=2</t>
    </r>
    <r>
      <rPr>
        <sz val="10"/>
        <rFont val="Noto Sans CJK SC"/>
        <family val="2"/>
      </rPr>
      <t xml:space="preserve">「不會建立新檔」且目錄無新檔；無 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／空白 </t>
    </r>
    <r>
      <rPr>
        <sz val="10"/>
        <rFont val="Arial"/>
        <family val="0"/>
        <charset val="1"/>
      </rPr>
      <t xml:space="preserve">reason rc=2 </t>
    </r>
    <r>
      <rPr>
        <sz val="10"/>
        <rFont val="Noto Sans CJK SC"/>
        <family val="2"/>
      </rPr>
      <t xml:space="preserve">未寫入；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先寫備份 </t>
    </r>
    <r>
      <rPr>
        <sz val="10"/>
        <rFont val="Arial"/>
        <family val="0"/>
        <charset val="1"/>
      </rPr>
      <t xml:space="preserve">snapshots/pre_clean_orphan_seed_2026-09-25T232222.db.gz</t>
    </r>
    <r>
      <rPr>
        <sz val="10"/>
        <rFont val="Noto Sans CJK SC"/>
        <family val="2"/>
      </rPr>
      <t xml:space="preserve">（解壓後仍含 </t>
    </r>
    <r>
      <rPr>
        <sz val="10"/>
        <rFont val="Arial"/>
        <family val="0"/>
        <charset val="1"/>
      </rPr>
      <t xml:space="preserve">VRTA </t>
    </r>
    <r>
      <rPr>
        <sz val="10"/>
        <rFont val="Noto Sans CJK SC"/>
        <family val="2"/>
      </rPr>
      <t xml:space="preserve">孤兒），再刪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列：</t>
    </r>
    <r>
      <rPr>
        <sz val="10"/>
        <rFont val="Arial"/>
        <family val="0"/>
        <charset val="1"/>
      </rPr>
      <t xml:space="preserve">ledger_audit 1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「腳本 </t>
    </r>
    <r>
      <rPr>
        <sz val="10"/>
        <rFont val="Arial"/>
        <family val="0"/>
        <charset val="1"/>
      </rPr>
      <t xml:space="preserve">clean_orphan_seed_prices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）」／</t>
    </r>
    <r>
      <rPr>
        <sz val="10"/>
        <rFont val="Arial"/>
        <family val="0"/>
        <charset val="1"/>
      </rPr>
      <t xml:space="preserve">before_json </t>
    </r>
    <r>
      <rPr>
        <sz val="10"/>
        <rFont val="Noto Sans CJK SC"/>
        <family val="2"/>
      </rPr>
      <t xml:space="preserve">為原列全文）、</t>
    </r>
    <r>
      <rPr>
        <sz val="10"/>
        <rFont val="Arial"/>
        <family val="0"/>
        <charset val="1"/>
      </rPr>
      <t xml:space="preserve">action_log #32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SCRIPT</t>
    </r>
    <r>
      <rPr>
        <sz val="10"/>
        <rFont val="Noto Sans CJK SC"/>
        <family val="2"/>
      </rPr>
      <t xml:space="preserve">、「孤兒起始價清理（資料清理）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列：</t>
    </r>
    <r>
      <rPr>
        <sz val="10"/>
        <rFont val="Arial"/>
        <family val="0"/>
        <charset val="1"/>
      </rPr>
      <t xml:space="preserve">VRTA 2026-06-10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QA R5 DEF-063 </t>
    </r>
    <r>
      <rPr>
        <sz val="10"/>
        <rFont val="Noto Sans CJK SC"/>
        <family val="2"/>
      </rPr>
      <t xml:space="preserve">本機複驗」）；其餘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列與備份逐位元相同；重跑試跑與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皆「沒有需要清理的孤兒起始價」。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依開發者說明試跑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列）。排除②
定位：</t>
    </r>
    <r>
      <rPr>
        <sz val="10"/>
        <rFont val="Arial"/>
        <family val="0"/>
        <charset val="1"/>
      </rPr>
      <t xml:space="preserve">scripts/clean_orphan_seed_prices.py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pricing/seed.py:151 has_seed_signature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data_ingestion/store.py owned_seed_slot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</si>
  <si>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</si>
  <si>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</si>
  <si>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，明細皆為 </t>
    </r>
    <r>
      <rPr>
        <sz val="10"/>
        <rFont val="Arial"/>
        <family val="0"/>
        <charset val="1"/>
      </rPr>
      <t xml:space="preserve">tenacity import failed
</t>
    </r>
    <r>
      <rPr>
        <sz val="10"/>
        <rFont val="Noto Sans CJK SC"/>
        <family val="2"/>
      </rPr>
      <t xml:space="preserve">假設：①備援模型本身故障；②重試機制缺相依，原錯誤被蓋掉
排除：同一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內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的錯誤訊息不是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回應而是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import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確認無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pyproject </t>
    </r>
    <r>
      <rPr>
        <sz val="10"/>
        <rFont val="Noto Sans CJK SC"/>
        <family val="2"/>
      </rPr>
      <t xml:space="preserve">無此相依，排除①
定位：</t>
    </r>
    <r>
      <rPr>
        <sz val="10"/>
        <rFont val="Arial"/>
        <family val="0"/>
        <charset val="1"/>
      </rPr>
      <t xml:space="preserve">shared/llm.py:323-329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num_retries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備援與重試在主模型出錯時才會走到，目前等於不存在</t>
    </r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</si>
  <si>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</si>
  <si>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DEF-066</t>
    </r>
  </si>
  <si>
    <r>
      <rPr>
        <sz val="10"/>
        <rFont val="Noto Sans CJK SC"/>
        <family val="2"/>
      </rPr>
      <t xml:space="preserve">本機：排程中心畫面改 </t>
    </r>
    <r>
      <rPr>
        <sz val="10"/>
        <rFont val="Arial"/>
        <family val="0"/>
        <charset val="1"/>
      </rPr>
      <t xml:space="preserve">cron →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22:38 </t>
    </r>
    <r>
      <rPr>
        <sz val="10"/>
        <rFont val="Noto Sans CJK SC"/>
        <family val="2"/>
      </rPr>
      <t xml:space="preserve">自然觸發 → 讀 排程中心 各列與 </t>
    </r>
    <r>
      <rPr>
        <sz val="10"/>
        <rFont val="Arial"/>
        <family val="0"/>
        <charset val="1"/>
      </rPr>
      <t xml:space="preserve">/api/scheduler/runs → </t>
    </r>
    <r>
      <rPr>
        <sz val="10"/>
        <rFont val="Noto Sans CJK SC"/>
        <family val="2"/>
      </rPr>
      <t xml:space="preserve">畫面還原 </t>
    </r>
    <r>
      <rPr>
        <sz val="10"/>
        <rFont val="Arial"/>
        <family val="0"/>
        <charset val="1"/>
      </rPr>
      <t xml:space="preserve">cron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</si>
  <si>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成功卻記「成功」
假設：①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真的回了空結果（不算失敗）；②狀態判定只看回傳型別
排除：明細本身逐檔寫「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回應錯誤」，同一時點報價工作判為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，排除①
定位：</t>
    </r>
    <r>
      <rPr>
        <sz val="10"/>
        <rFont val="Arial"/>
        <family val="0"/>
        <charset val="1"/>
      </rPr>
      <t xml:space="preserve">scheduler/jobs.py:208-210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:620-626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「失敗時狀態為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</t>
    </r>
    <r>
      <rPr>
        <sz val="10"/>
        <rFont val="Noto Sans CJK SC"/>
        <family val="2"/>
      </rPr>
      <t xml:space="preserve">」未達成</t>
    </r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</si>
  <si>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</si>
  <si>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DEF-067</t>
    </r>
  </si>
  <si>
    <r>
      <rPr>
        <sz val="10"/>
        <rFont val="Noto Sans CJK SC"/>
        <family val="2"/>
      </rPr>
      <t xml:space="preserve">本機 </t>
    </r>
    <r>
      <rPr>
        <sz val="10"/>
        <rFont val="Arial"/>
        <family val="0"/>
        <charset val="1"/>
      </rPr>
      <t xml:space="preserve">Playwright</t>
    </r>
    <r>
      <rPr>
        <sz val="10"/>
        <rFont val="Noto Sans CJK SC"/>
        <family val="2"/>
      </rPr>
      <t xml:space="preserve">：儀表板 重新整理 › 更新報價，攔截 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回應與提示文字，前後比對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</si>
  <si>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項更新卻寫「其餘已更新」
假設：①真的有其他標的更新；②提示句型固定
排除：三個工作明細皆「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項已更新」、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表前後雜湊相同，排除①
定位：</t>
    </r>
    <r>
      <rPr>
        <sz val="10"/>
        <rFont val="Arial"/>
        <family val="0"/>
        <charset val="1"/>
      </rPr>
      <t xml:space="preserve">web/shell.js:463-470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</t>
    </r>
    <r>
      <rPr>
        <sz val="10"/>
        <rFont val="Arial"/>
        <family val="0"/>
        <charset val="1"/>
      </rPr>
      <t xml:space="preserve">E-11 ①② </t>
    </r>
    <r>
      <rPr>
        <sz val="10"/>
        <rFont val="Noto Sans CJK SC"/>
        <family val="2"/>
      </rPr>
      <t xml:space="preserve">通過（失敗標的進 </t>
    </r>
    <r>
      <rPr>
        <sz val="10"/>
        <rFont val="Arial"/>
        <family val="0"/>
        <charset val="1"/>
      </rPr>
      <t xml:space="preserve">held_failed </t>
    </r>
    <r>
      <rPr>
        <sz val="10"/>
        <rFont val="Noto Sans CJK SC"/>
        <family val="2"/>
      </rPr>
      <t xml:space="preserve">且被點名），③「不得以舊價假裝成功」在文字上被違反</t>
    </r>
  </si>
  <si>
    <r>
      <rPr>
        <sz val="10"/>
        <rFont val="Noto Sans CJK SC"/>
        <family val="2"/>
      </rPr>
      <t xml:space="preserve">提示宣稱其餘已更新；實際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更新；匯率失敗未提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</si>
  <si>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DEF-068</t>
    </r>
  </si>
  <si>
    <r>
      <rPr>
        <sz val="10"/>
        <rFont val="Noto Sans CJK SC"/>
        <family val="2"/>
      </rPr>
      <t xml:space="preserve">本機 </t>
    </r>
    <r>
      <rPr>
        <sz val="10"/>
        <rFont val="Arial"/>
        <family val="0"/>
        <charset val="1"/>
      </rPr>
      <t xml:space="preserve">Playwright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讀每檔標題卡；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三種形狀計數</t>
    </r>
  </si>
  <si>
    <r>
      <rPr>
        <sz val="10"/>
        <rFont val="Noto Sans CJK SC"/>
        <family val="2"/>
      </rPr>
      <t xml:space="preserve">觀察：影子卡成為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檔的標題卡
假設：①畫面自行挑卡；②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沒排除影子
排除：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三種形狀都回 </t>
    </r>
    <r>
      <rPr>
        <sz val="10"/>
        <rFont val="Arial"/>
        <family val="0"/>
        <charset val="1"/>
      </rPr>
      <t xml:space="preserve">is_shadow:true </t>
    </r>
    <r>
      <rPr>
        <sz val="10"/>
        <rFont val="Noto Sans CJK SC"/>
        <family val="2"/>
      </rPr>
      <t xml:space="preserve">的卡，畫面只是照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排序，排除①
定位：</t>
    </r>
    <r>
      <rPr>
        <sz val="10"/>
        <rFont val="Arial"/>
        <family val="0"/>
        <charset val="1"/>
      </rPr>
      <t xml:space="preserve">insights_store.list_cards </t>
    </r>
    <r>
      <rPr>
        <sz val="10"/>
        <rFont val="Noto Sans CJK SC"/>
        <family val="2"/>
      </rPr>
      <t xml:space="preserve">等無 </t>
    </r>
    <r>
      <rPr>
        <sz val="10"/>
        <rFont val="Arial"/>
        <family val="0"/>
        <charset val="1"/>
      </rPr>
      <t xml:space="preserve">is_shadow </t>
    </r>
    <r>
      <rPr>
        <sz val="10"/>
        <rFont val="Noto Sans CJK SC"/>
        <family val="2"/>
      </rPr>
      <t xml:space="preserve">條件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</t>
    </r>
    <r>
      <rPr>
        <sz val="10"/>
        <rFont val="Arial"/>
        <family val="0"/>
        <charset val="1"/>
      </rPr>
      <t xml:space="preserve">spec 04 §4.6</t>
    </r>
    <r>
      <rPr>
        <sz val="10"/>
        <rFont val="Noto Sans CJK SC"/>
        <family val="2"/>
      </rPr>
      <t xml:space="preserve">「不展示」；影子預測（偏多）與同批生效預測（偏空）互相矛盾</t>
    </r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</si>
  <si>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</si>
  <si>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DEF-069</t>
    </r>
  </si>
  <si>
    <r>
      <rPr>
        <sz val="10"/>
        <rFont val="Noto Sans CJK SC"/>
        <family val="2"/>
      </rPr>
      <t xml:space="preserve">本機時間推進（</t>
    </r>
    <r>
      <rPr>
        <sz val="10"/>
        <rFont val="Arial"/>
        <family val="0"/>
        <charset val="1"/>
      </rPr>
      <t xml:space="preserve">freezegun</t>
    </r>
    <r>
      <rPr>
        <sz val="10"/>
        <rFont val="Noto Sans CJK SC"/>
        <family val="2"/>
      </rPr>
      <t xml:space="preserve">）＋合成價格：逐日執行任務、評分、產生校正、晉升，讀 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表與假模型請求紀錄</t>
    </r>
  </si>
  <si>
    <r>
      <rPr>
        <sz val="10"/>
        <rFont val="Noto Sans CJK SC"/>
        <family val="2"/>
      </rPr>
      <t xml:space="preserve">觀察：上限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卻產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張；之後每批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永無影子
假設：①影子排隊中、稍後會補；②上限計的是永不減少的累計張數
排除：</t>
    </r>
    <r>
      <rPr>
        <sz val="10"/>
        <rFont val="Arial"/>
        <family val="0"/>
        <charset val="1"/>
      </rPr>
      <t xml:space="preserve">09-11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 </t>
    </r>
    <r>
      <rPr>
        <sz val="10"/>
        <rFont val="Noto Sans CJK SC"/>
        <family val="2"/>
      </rPr>
      <t xml:space="preserve">兩次執行皆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張且無任何排隊紀錄；晉升後影子卡仍計入，排除①
定位：</t>
    </r>
    <r>
      <rPr>
        <sz val="10"/>
        <rFont val="Arial"/>
        <family val="0"/>
        <charset val="1"/>
      </rPr>
      <t xml:space="preserve">insight_service.py:402-407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:436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第一次晉升後自我進化迴圈永久停止</t>
    </r>
  </si>
  <si>
    <r>
      <rPr>
        <sz val="10"/>
        <rFont val="Noto Sans CJK SC"/>
        <family val="2"/>
      </rPr>
      <t xml:space="preserve">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張（上限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）；之後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無法評估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</si>
  <si>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DEF-070</t>
    </r>
  </si>
  <si>
    <r>
      <rPr>
        <sz val="10"/>
        <rFont val="Noto Sans CJK SC"/>
        <family val="2"/>
      </rPr>
      <t xml:space="preserve">本機 </t>
    </r>
    <r>
      <rPr>
        <sz val="10"/>
        <rFont val="Arial"/>
        <family val="0"/>
        <charset val="1"/>
      </rPr>
      <t xml:space="preserve">Playwright</t>
    </r>
    <r>
      <rPr>
        <sz val="10"/>
        <rFont val="Noto Sans CJK SC"/>
        <family val="2"/>
      </rPr>
      <t xml:space="preserve">：任務抽屜校正版本鏈、進化設定說明、診斷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；搜尋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呼叫點</t>
    </r>
  </si>
  <si>
    <r>
      <rPr>
        <sz val="10"/>
        <rFont val="Noto Sans CJK SC"/>
        <family val="2"/>
      </rPr>
      <t xml:space="preserve">觀察：沒有任何控制項能設定生效版
假設：①入口在別頁（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戰績、診斷）；②前端未實作
排除：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戰績、診斷修復動作、抽屜皆無按鈕，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active-calibration </t>
    </r>
    <r>
      <rPr>
        <sz val="10"/>
        <rFont val="Noto Sans CJK SC"/>
        <family val="2"/>
      </rPr>
      <t xml:space="preserve">呼叫，排除①
定位：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校正版本鏈只渲染「封存」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需人工繞道（直接打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</si>
  <si>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版本鏈只有封存；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個生效控制項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</si>
  <si>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DEF-071</t>
    </r>
  </si>
  <si>
    <r>
      <rPr>
        <sz val="10"/>
        <rFont val="Noto Sans CJK SC"/>
        <family val="2"/>
      </rPr>
      <t xml:space="preserve">本機 </t>
    </r>
    <r>
      <rPr>
        <sz val="10"/>
        <rFont val="Arial"/>
        <family val="0"/>
        <charset val="1"/>
      </rPr>
      <t xml:space="preserve">Playwright</t>
    </r>
    <r>
      <rPr>
        <sz val="10"/>
        <rFont val="Noto Sans CJK SC"/>
        <family val="2"/>
      </rPr>
      <t xml:space="preserve">：儀表板開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抽屜 → 門 </t>
    </r>
    <r>
      <rPr>
        <sz val="10"/>
        <rFont val="Arial"/>
        <family val="0"/>
        <charset val="1"/>
      </rPr>
      <t xml:space="preserve">2 → </t>
    </r>
    <r>
      <rPr>
        <sz val="10"/>
        <rFont val="Noto Sans CJK SC"/>
        <family val="2"/>
      </rPr>
      <t xml:space="preserve">讀表單欄位；另開門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比對欄位；前置以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備份還原</t>
    </r>
  </si>
  <si>
    <r>
      <rPr>
        <sz val="10"/>
        <rFont val="Noto Sans CJK SC"/>
        <family val="2"/>
      </rPr>
      <t xml:space="preserve">觀察：門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帳戶＝</t>
    </r>
    <r>
      <rPr>
        <sz val="10"/>
        <rFont val="Arial"/>
        <family val="0"/>
        <charset val="1"/>
      </rPr>
      <t xml:space="preserve">Moomoo MY
</t>
    </r>
    <r>
      <rPr>
        <sz val="10"/>
        <rFont val="Noto Sans CJK SC"/>
        <family val="2"/>
      </rPr>
      <t xml:space="preserve">假設：①抽屜已篩選到 </t>
    </r>
    <r>
      <rPr>
        <sz val="10"/>
        <rFont val="Arial"/>
        <family val="0"/>
        <charset val="1"/>
      </rPr>
      <t xml:space="preserve">Moomoo</t>
    </r>
    <r>
      <rPr>
        <sz val="10"/>
        <rFont val="Noto Sans CJK SC"/>
        <family val="2"/>
      </rPr>
      <t xml:space="preserve">；②空白篩選時表單落在第一個帳戶
排除：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只在台灣券商、抽屜篩選鈕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個（全部檢視），排除①
定位：</t>
    </r>
    <r>
      <rPr>
        <sz val="10"/>
        <rFont val="Arial"/>
        <family val="0"/>
        <charset val="1"/>
      </rPr>
      <t xml:space="preserve">web/detail.js:1272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</t>
    </r>
    <r>
      <rPr>
        <sz val="10"/>
        <rFont val="Arial"/>
        <family val="0"/>
        <charset val="1"/>
      </rPr>
      <t xml:space="preserve">D-00 </t>
    </r>
    <r>
      <rPr>
        <sz val="10"/>
        <rFont val="Noto Sans CJK SC"/>
        <family val="2"/>
      </rPr>
      <t xml:space="preserve">期望「門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帶入該標的與帳戶」，只帶入標的</t>
    </r>
  </si>
  <si>
    <r>
      <rPr>
        <sz val="10"/>
        <rFont val="Noto Sans CJK SC"/>
        <family val="2"/>
      </rPr>
      <t xml:space="preserve">代號 </t>
    </r>
    <r>
      <rPr>
        <sz val="10"/>
        <rFont val="Arial"/>
        <family val="0"/>
        <charset val="1"/>
      </rPr>
      <t xml:space="preserve">2330 ✓</t>
    </r>
    <r>
      <rPr>
        <sz val="10"/>
        <rFont val="Noto Sans CJK SC"/>
        <family val="2"/>
      </rPr>
      <t xml:space="preserve">、帳戶 </t>
    </r>
    <r>
      <rPr>
        <sz val="10"/>
        <rFont val="Arial"/>
        <family val="0"/>
        <charset val="1"/>
      </rPr>
      <t xml:space="preserve">Moomoo MY ✗</t>
    </r>
    <r>
      <rPr>
        <sz val="10"/>
        <rFont val="Noto Sans CJK SC"/>
        <family val="2"/>
      </rPr>
      <t xml:space="preserve">（應為台灣券商）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</si>
  <si>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DEF-072</t>
    </r>
  </si>
  <si>
    <r>
      <rPr>
        <sz val="10"/>
        <rFont val="Noto Sans CJK SC"/>
        <family val="2"/>
      </rPr>
      <t xml:space="preserve">讀排程中心各列明細（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＋本機）</t>
    </r>
  </si>
  <si>
    <r>
      <rPr>
        <sz val="10"/>
        <rFont val="Noto Sans CJK SC"/>
        <family val="2"/>
      </rPr>
      <t xml:space="preserve">觀察：多個工作的明細為英文或不含結果
假設：①畫面有翻譯層；②後端寫入英文
排除：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無「</t>
    </r>
    <r>
      <rPr>
        <sz val="10"/>
        <rFont val="Arial"/>
        <family val="0"/>
        <charset val="1"/>
      </rPr>
      <t xml:space="preserve">pass complete</t>
    </r>
    <r>
      <rPr>
        <sz val="10"/>
        <rFont val="Noto Sans CJK SC"/>
        <family val="2"/>
      </rPr>
      <t xml:space="preserve">」對照，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原文即英文，排除①
定位：</t>
    </r>
    <r>
      <rPr>
        <sz val="10"/>
        <rFont val="Arial"/>
        <family val="0"/>
        <charset val="1"/>
      </rPr>
      <t xml:space="preserve">scheduler/jobs.py:1077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:1136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使用者無從得知校正為何沒產生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</si>
  <si>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</si>
  <si>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DEF-073</t>
    </r>
  </si>
  <si>
    <t xml:space="preserve">2026-09-26</t>
  </si>
  <si>
    <r>
      <rPr>
        <sz val="10"/>
        <rFont val="Noto Sans CJK SC"/>
        <family val="2"/>
      </rPr>
      <t xml:space="preserve">—（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</t>
    </r>
  </si>
  <si>
    <r>
      <rPr>
        <sz val="10"/>
        <rFont val="Noto Sans CJK SC"/>
        <family val="2"/>
      </rPr>
      <t xml:space="preserve">規格未定→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</si>
  <si>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①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</si>
  <si>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2026-09-26</t>
    </r>
  </si>
  <si>
    <r>
      <rPr>
        <sz val="10"/>
        <rFont val="Noto Sans CJK SC"/>
        <family val="2"/>
      </rPr>
      <t xml:space="preserve">讀開發者交接決策項＋讀碼＋本機重現（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未來日期賣出清倉）</t>
    </r>
  </si>
  <si>
    <r>
      <rPr>
        <sz val="10"/>
        <rFont val="Noto Sans CJK SC"/>
        <family val="2"/>
      </rPr>
      <t xml:space="preserve">決策項→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），屬程式缺陷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</si>
  <si>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② </t>
    </r>
    <r>
      <rPr>
        <sz val="10"/>
        <rFont val="Arial"/>
        <family val="0"/>
        <charset val="1"/>
      </rPr>
      <t xml:space="preserve">B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</si>
  <si>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</si>
  <si>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⑥ </t>
    </r>
    <r>
      <rPr>
        <sz val="10"/>
        <rFont val="Arial"/>
        <family val="0"/>
        <charset val="1"/>
      </rPr>
      <t xml:space="preserve">A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</si>
  <si>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⑦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字元明文</t>
    </r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</si>
  <si>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</si>
  <si>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r>
      <rPr>
        <sz val="11"/>
        <color theme="1"/>
        <rFont val="Noto Sans CJK SC"/>
        <family val="2"/>
      </rPr>
      <t xml:space="preserve">同意。另外三點：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這條路徑會把全程序的 </t>
    </r>
    <r>
      <rPr>
        <sz val="11"/>
        <color theme="1"/>
        <rFont val="Calibri"/>
        <family val="2"/>
        <charset val="1"/>
      </rPr>
      <t xml:space="preserve">litellm.num_retries </t>
    </r>
    <r>
      <rPr>
        <sz val="11"/>
        <color theme="1"/>
        <rFont val="Noto Sans CJK SC"/>
        <family val="2"/>
      </rPr>
      <t xml:space="preserve">改寫成 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num_retries=0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falsy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讀的是 </t>
    </r>
    <r>
      <rPr>
        <sz val="11"/>
        <color theme="1"/>
        <rFont val="Calibri"/>
        <family val="2"/>
        <charset val="1"/>
      </rPr>
      <t xml:space="preserve">`0 or litellm.num_retries`</t>
    </r>
    <r>
      <rPr>
        <sz val="11"/>
        <color theme="1"/>
        <rFont val="Noto Sans CJK SC"/>
        <family val="2"/>
      </rPr>
      <t xml:space="preserve">，任何地方設了全域值都會重新走進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路徑；容錯切換只保留最後一個例外，明細只說備援為何失敗，主模型的失敗原因（通常才是重點）遺失。</t>
    </r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</si>
  <si>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</si>
  <si>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r>
      <rPr>
        <sz val="11"/>
        <color theme="1"/>
        <rFont val="Noto Sans CJK SC"/>
        <family val="2"/>
      </rPr>
      <t xml:space="preserve">所有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測試都把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整個換掉，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自己的例外分支——缺套件唯一會走到的地方——從未在程序內執行過：相依缺在「只有出錯才會走到」的路徑。攔這一類的防線：新測試用 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支援的 </t>
    </r>
    <r>
      <rPr>
        <sz val="11"/>
        <color theme="1"/>
        <rFont val="Calibri"/>
        <family val="2"/>
        <charset val="1"/>
      </rPr>
      <t xml:space="preserve">mock_response=&lt;</t>
    </r>
    <r>
      <rPr>
        <sz val="11"/>
        <color theme="1"/>
        <rFont val="Noto Sans CJK SC"/>
        <family val="2"/>
      </rPr>
      <t xml:space="preserve">例外物件</t>
    </r>
    <r>
      <rPr>
        <sz val="11"/>
        <color theme="1"/>
        <rFont val="Calibri"/>
        <family val="2"/>
        <charset val="1"/>
      </rPr>
      <t xml:space="preserve">&gt; </t>
    </r>
    <r>
      <rPr>
        <sz val="11"/>
        <color theme="1"/>
        <rFont val="Noto Sans CJK SC"/>
        <family val="2"/>
      </rPr>
      <t xml:space="preserve">驅動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真實的</t>
    </r>
    <r>
      <rPr>
        <sz val="11"/>
        <color theme="1"/>
        <rFont val="Calibri"/>
        <family val="2"/>
        <charset val="1"/>
      </rPr>
      <t xml:space="preserve">** litellm.completion </t>
    </r>
    <r>
      <rPr>
        <sz val="11"/>
        <color theme="1"/>
        <rFont val="Noto Sans CJK SC"/>
        <family val="2"/>
      </rPr>
      <t xml:space="preserve">包裝層（不連網），舊碼上直接失敗於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訊息；再加一支靜態守門，確認每個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呼叫都帶常數 </t>
    </r>
    <r>
      <rPr>
        <sz val="11"/>
        <color theme="1"/>
        <rFont val="Calibri"/>
        <family val="2"/>
        <charset val="1"/>
      </rPr>
      <t xml:space="preserve">num_retries=0</t>
    </r>
    <r>
      <rPr>
        <sz val="11"/>
        <color theme="1"/>
        <rFont val="Noto Sans CJK SC"/>
        <family val="2"/>
      </rPr>
      <t xml:space="preserve">，且沒有任何地方設定 </t>
    </r>
    <r>
      <rPr>
        <sz val="11"/>
        <color theme="1"/>
        <rFont val="Calibri"/>
        <family val="2"/>
        <charset val="1"/>
      </rPr>
      <t xml:space="preserve">litellm.num_retries </t>
    </r>
    <r>
      <rPr>
        <sz val="11"/>
        <color theme="1"/>
        <rFont val="Noto Sans CJK SC"/>
        <family val="2"/>
      </rPr>
      <t xml:space="preserve">或引用 </t>
    </r>
    <r>
      <rPr>
        <sz val="11"/>
        <color theme="1"/>
        <rFont val="Calibri"/>
        <family val="2"/>
        <charset val="1"/>
      </rPr>
      <t xml:space="preserve">completion_with_retries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</si>
  <si>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採「自己持有重試」，不加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相依：</t>
    </r>
    <r>
      <rPr>
        <sz val="11"/>
        <color theme="1"/>
        <rFont val="Calibri"/>
        <family val="2"/>
        <charset val="1"/>
      </rPr>
      <t xml:space="preserve">shared/llm.py </t>
    </r>
    <r>
      <rPr>
        <sz val="11"/>
        <color theme="1"/>
        <rFont val="Noto Sans CJK SC"/>
        <family val="2"/>
      </rPr>
      <t xml:space="preserve">新增唯一的供應商呼叫點 </t>
    </r>
    <r>
      <rPr>
        <sz val="11"/>
        <color theme="1"/>
        <rFont val="Calibri"/>
        <family val="2"/>
        <charset val="1"/>
      </rPr>
      <t xml:space="preserve">_call_provider</t>
    </r>
    <r>
      <rPr>
        <sz val="11"/>
        <color theme="1"/>
        <rFont val="Noto Sans CJK SC"/>
        <family val="2"/>
      </rPr>
      <t xml:space="preserve">，一律傳 </t>
    </r>
    <r>
      <rPr>
        <sz val="11"/>
        <color theme="1"/>
        <rFont val="Calibri"/>
        <family val="2"/>
        <charset val="1"/>
      </rPr>
      <t xml:space="preserve">num_retries=0</t>
    </r>
    <r>
      <rPr>
        <sz val="11"/>
        <color theme="1"/>
        <rFont val="Noto Sans CJK SC"/>
        <family val="2"/>
      </rPr>
      <t xml:space="preserve">；只重試暫時性失敗（逾時、連線錯誤、</t>
    </r>
    <r>
      <rPr>
        <sz val="11"/>
        <color theme="1"/>
        <rFont val="Calibri"/>
        <family val="2"/>
        <charset val="1"/>
      </rPr>
      <t xml:space="preserve">HTTP 408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4xx</t>
    </r>
    <r>
      <rPr>
        <sz val="11"/>
        <color theme="1"/>
        <rFont val="Noto Sans CJK SC"/>
        <family val="2"/>
      </rPr>
      <t xml:space="preserve">（金鑰無效、請求錯誤、找不到模型）與非供應商例外一律不重試；次數上限＝模型的 </t>
    </r>
    <r>
      <rPr>
        <sz val="11"/>
        <color theme="1"/>
        <rFont val="Calibri"/>
        <family val="2"/>
        <charset val="1"/>
      </rPr>
      <t xml:space="preserve">max_retries</t>
    </r>
    <r>
      <rPr>
        <sz val="11"/>
        <color theme="1"/>
        <rFont val="Noto Sans CJK SC"/>
        <family val="2"/>
      </rPr>
      <t xml:space="preserve">，退避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秒</t>
    </r>
    <r>
      <rPr>
        <sz val="11"/>
        <color theme="1"/>
        <rFont val="Calibri"/>
        <family val="2"/>
        <charset val="1"/>
      </rPr>
      <t xml:space="preserve">·2ⁿ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秒。主模型與備援都失敗時，</t>
    </r>
    <r>
      <rPr>
        <sz val="11"/>
        <color theme="1"/>
        <rFont val="Calibri"/>
        <family val="2"/>
        <charset val="1"/>
      </rPr>
      <t xml:space="preserve">LLMUnavailable </t>
    </r>
    <r>
      <rPr>
        <sz val="11"/>
        <color theme="1"/>
        <rFont val="Noto Sans CJK SC"/>
        <family val="2"/>
      </rPr>
      <t xml:space="preserve">的訊息改為中文、逐一列出每個候選的失敗分類，例如「主模型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：回應不是完整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次）；備援 </t>
    </r>
    <r>
      <rPr>
        <sz val="11"/>
        <color theme="1"/>
        <rFont val="Calibri"/>
        <family val="2"/>
        <charset val="1"/>
      </rPr>
      <t xml:space="preserve">Y</t>
    </r>
    <r>
      <rPr>
        <sz val="11"/>
        <color theme="1"/>
        <rFont val="Noto Sans CJK SC"/>
        <family val="2"/>
      </rPr>
      <t xml:space="preserve">：供應商服務異常（</t>
    </r>
    <r>
      <rPr>
        <sz val="11"/>
        <color theme="1"/>
        <rFont val="Calibri"/>
        <family val="2"/>
        <charset val="1"/>
      </rPr>
      <t xml:space="preserve">HTTP 500</t>
    </r>
    <r>
      <rPr>
        <sz val="11"/>
        <color theme="1"/>
        <rFont val="Noto Sans CJK SC"/>
        <family val="2"/>
      </rPr>
      <t xml:space="preserve">，已重試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次）」；類別與 </t>
    </r>
    <r>
      <rPr>
        <sz val="11"/>
        <color theme="1"/>
        <rFont val="Calibri"/>
        <family val="2"/>
        <charset val="1"/>
      </rPr>
      <t xml:space="preserve">kind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llm_unavailable</t>
    </r>
    <r>
      <rPr>
        <sz val="11"/>
        <color theme="1"/>
        <rFont val="Noto Sans CJK SC"/>
        <family val="2"/>
      </rPr>
      <t xml:space="preserve">）不變，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的錯誤對應照舊。供應商英文原文只進會遮蔽金鑰的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失敗記錄（</t>
    </r>
    <r>
      <rPr>
        <sz val="11"/>
        <color theme="1"/>
        <rFont val="Calibri"/>
        <family val="2"/>
        <charset val="1"/>
      </rPr>
      <t xml:space="preserve">fail log</t>
    </r>
    <r>
      <rPr>
        <sz val="11"/>
        <color theme="1"/>
        <rFont val="Noto Sans CJK SC"/>
        <family val="2"/>
      </rPr>
      <t xml:space="preserve">），不進運行紀錄明細與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訊息（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在對話中確認）。設定頁「測試連線」明確 </t>
    </r>
    <r>
      <rPr>
        <sz val="11"/>
        <color theme="1"/>
        <rFont val="Calibri"/>
        <family val="2"/>
        <charset val="1"/>
      </rPr>
      <t xml:space="preserve">num_retries=0</t>
    </r>
    <r>
      <rPr>
        <sz val="11"/>
        <color theme="1"/>
        <rFont val="Noto Sans CJK SC"/>
        <family val="2"/>
      </rPr>
      <t xml:space="preserve">、刻意不重試（連線測試要回報第一次失敗；重試會掩蓋不穩並把等待拉長三倍），錯誤改為同一分類器的中文名＋遮蔽、截斷 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字的供應商原文。不採用：把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加為相依（</t>
    </r>
    <r>
      <rPr>
        <sz val="11"/>
        <color theme="1"/>
        <rFont val="Calibri"/>
        <family val="2"/>
        <charset val="1"/>
      </rPr>
      <t xml:space="preserve">stack.md </t>
    </r>
    <r>
      <rPr>
        <sz val="11"/>
        <color theme="1"/>
        <rFont val="Noto Sans CJK SC"/>
        <family val="2"/>
      </rPr>
      <t xml:space="preserve">預設答案是否；它照樣會重試 </t>
    </r>
    <r>
      <rPr>
        <sz val="11"/>
        <color theme="1"/>
        <rFont val="Calibri"/>
        <family val="2"/>
        <charset val="1"/>
      </rPr>
      <t xml:space="preserve">401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這種不可能成功的請求，也持續依賴 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的全域副作用）。規則寫入 </t>
    </r>
    <r>
      <rPr>
        <sz val="11"/>
        <color theme="1"/>
        <rFont val="Calibri"/>
        <family val="2"/>
        <charset val="1"/>
      </rPr>
      <t xml:space="preserve">.claude/rules/llm-insight.md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</si>
  <si>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</si>
  <si>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tests/shared/test_def066_llm_retry.py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則：暫時性錯誤重試後成功；</t>
    </r>
    <r>
      <rPr>
        <sz val="11"/>
        <color theme="1"/>
        <rFont val="Calibri"/>
        <family val="2"/>
        <charset val="1"/>
      </rPr>
      <t xml:space="preserve">401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／非供應商例外不重試；主模型一直失敗 → 用備援；兩者皆失敗 → 中文明細列出兩者各自原因；真實 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包裝層以 </t>
    </r>
    <r>
      <rPr>
        <sz val="11"/>
        <color theme="1"/>
        <rFont val="Calibri"/>
        <family val="2"/>
        <charset val="1"/>
      </rPr>
      <t xml:space="preserve">mock_response </t>
    </r>
    <r>
      <rPr>
        <sz val="11"/>
        <color theme="1"/>
        <rFont val="Noto Sans CJK SC"/>
        <family val="2"/>
      </rPr>
      <t xml:space="preserve">走例外分支；靜態守門）與 </t>
    </r>
    <r>
      <rPr>
        <sz val="11"/>
        <color theme="1"/>
        <rFont val="Calibri"/>
        <family val="2"/>
        <charset val="1"/>
      </rPr>
      <t xml:space="preserve">tests/llm_insight/test_def073_insight_run_detail.py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則，涵蓋洞察運行明細）。</t>
    </r>
    <r>
      <rPr>
        <sz val="11"/>
        <color theme="1"/>
        <rFont val="Calibri"/>
        <family val="2"/>
        <charset val="1"/>
      </rPr>
      <t xml:space="preserve">3be67db </t>
    </r>
    <r>
      <rPr>
        <sz val="11"/>
        <color theme="1"/>
        <rFont val="Noto Sans CJK SC"/>
        <family val="2"/>
      </rPr>
      <t xml:space="preserve">上 </t>
    </r>
    <r>
      <rPr>
        <sz val="11"/>
        <color theme="1"/>
        <rFont val="Calibri"/>
        <family val="2"/>
        <charset val="1"/>
      </rPr>
      <t xml:space="preserve">10/16 </t>
    </r>
    <r>
      <rPr>
        <sz val="11"/>
        <color theme="1"/>
        <rFont val="Noto Sans CJK SC"/>
        <family val="2"/>
      </rPr>
      <t xml:space="preserve">失敗，真實 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那則：「</t>
    </r>
    <r>
      <rPr>
        <sz val="11"/>
        <color theme="1"/>
        <rFont val="Calibri"/>
        <family val="2"/>
        <charset val="1"/>
      </rPr>
      <t xml:space="preserve">Exception: tenacity import failed please run `pip install tenacity`. ErrorNo module named 'tenacity'</t>
    </r>
    <r>
      <rPr>
        <sz val="11"/>
        <color theme="1"/>
        <rFont val="Noto Sans CJK SC"/>
        <family val="2"/>
      </rPr>
      <t xml:space="preserve">」→「</t>
    </r>
    <r>
      <rPr>
        <sz val="11"/>
        <color theme="1"/>
        <rFont val="Calibri"/>
        <family val="2"/>
        <charset val="1"/>
      </rPr>
      <t xml:space="preserve">LLMUnavailable: provider error (primary-m): tenacity import failed…</t>
    </r>
    <r>
      <rPr>
        <sz val="11"/>
        <color theme="1"/>
        <rFont val="Noto Sans CJK SC"/>
        <family val="2"/>
      </rPr>
      <t xml:space="preserve">」。變異：</t>
    </r>
    <r>
      <rPr>
        <sz val="11"/>
        <color theme="1"/>
        <rFont val="Calibri"/>
        <family val="2"/>
        <charset val="1"/>
      </rPr>
      <t xml:space="preserve">M1 num_retries </t>
    </r>
    <r>
      <rPr>
        <sz val="11"/>
        <color theme="1"/>
        <rFont val="Noto Sans CJK SC"/>
        <family val="2"/>
      </rPr>
      <t xml:space="preserve">改回舊行 →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則失敗（含同一句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訊息與靜態守門）；</t>
    </r>
    <r>
      <rPr>
        <sz val="11"/>
        <color theme="1"/>
        <rFont val="Calibri"/>
        <family val="2"/>
        <charset val="1"/>
      </rPr>
      <t xml:space="preserve">M2 4xx </t>
    </r>
    <r>
      <rPr>
        <sz val="11"/>
        <color theme="1"/>
        <rFont val="Noto Sans CJK SC"/>
        <family val="2"/>
      </rPr>
      <t xml:space="preserve">也重試 →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則失敗（</t>
    </r>
    <r>
      <rPr>
        <sz val="11"/>
        <color theme="1"/>
        <rFont val="Calibri"/>
        <family val="2"/>
        <charset val="1"/>
      </rPr>
      <t xml:space="preserve">test_permanent_errors_are_not_retried[401/400/404/non-provider] </t>
    </r>
    <r>
      <rPr>
        <sz val="11"/>
        <color theme="1"/>
        <rFont val="Noto Sans CJK SC"/>
        <family val="2"/>
      </rPr>
      <t xml:space="preserve">等）；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Noto Sans CJK SC"/>
        <family val="2"/>
      </rPr>
      <t xml:space="preserve">容錯鏈只丟最後一個例外 →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則失敗（兩個模型各自原因的斷言、洞察明細）。</t>
    </r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</si>
  <si>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</si>
  <si>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</si>
  <si>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r>
      <rPr>
        <sz val="11"/>
        <color theme="1"/>
        <rFont val="Noto Sans CJK SC"/>
        <family val="2"/>
      </rPr>
      <t xml:space="preserve">本機專用測試環境（</t>
    </r>
    <r>
      <rPr>
        <sz val="11"/>
        <color theme="1"/>
        <rFont val="Calibri"/>
        <family val="2"/>
        <charset val="1"/>
      </rPr>
      <t xml:space="preserve">repo-env 696934e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§9</t>
    </r>
    <r>
      <rPr>
        <sz val="11"/>
        <color theme="1"/>
        <rFont val="Noto Sans CJK SC"/>
        <family val="2"/>
      </rPr>
      <t xml:space="preserve">）：兩個模型（主 </t>
    </r>
    <r>
      <rPr>
        <sz val="11"/>
        <color theme="1"/>
        <rFont val="Calibri"/>
        <family val="2"/>
        <charset val="1"/>
      </rPr>
      <t xml:space="preserve">local-fake</t>
    </r>
    <r>
      <rPr>
        <sz val="11"/>
        <color theme="1"/>
        <rFont val="Noto Sans CJK SC"/>
        <family val="2"/>
      </rPr>
      <t xml:space="preserve">／備援 </t>
    </r>
    <r>
      <rPr>
        <sz val="11"/>
        <color theme="1"/>
        <rFont val="Calibri"/>
        <family val="2"/>
        <charset val="1"/>
      </rPr>
      <t xml:space="preserve">local-fake-b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max_retries 2</t>
    </r>
    <r>
      <rPr>
        <sz val="11"/>
        <color theme="1"/>
        <rFont val="Noto Sans CJK SC"/>
        <family val="2"/>
      </rPr>
      <t xml:space="preserve">）指向假服務，以模式切換重放：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主模型回傳截斷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Noto Sans CJK SC"/>
        <family val="2"/>
      </rPr>
      <t xml:space="preserve">、備援回 </t>
    </r>
    <r>
      <rPr>
        <sz val="11"/>
        <color theme="1"/>
        <rFont val="Calibri"/>
        <family val="2"/>
        <charset val="1"/>
      </rPr>
      <t xml:space="preserve">HTTP 500 → </t>
    </r>
    <r>
      <rPr>
        <sz val="11"/>
        <color theme="1"/>
        <rFont val="Noto Sans CJK SC"/>
        <family val="2"/>
      </rPr>
      <t xml:space="preserve">執行個股健檢；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主模型第一次 </t>
    </r>
    <r>
      <rPr>
        <sz val="11"/>
        <color theme="1"/>
        <rFont val="Calibri"/>
        <family val="2"/>
        <charset val="1"/>
      </rPr>
      <t xml:space="preserve">503 </t>
    </r>
    <r>
      <rPr>
        <sz val="11"/>
        <color theme="1"/>
        <rFont val="Noto Sans CJK SC"/>
        <family val="2"/>
      </rPr>
      <t xml:space="preserve">之後正常；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主模型 </t>
    </r>
    <r>
      <rPr>
        <sz val="11"/>
        <color theme="1"/>
        <rFont val="Calibri"/>
        <family val="2"/>
        <charset val="1"/>
      </rPr>
      <t xml:space="preserve">401</t>
    </r>
    <r>
      <rPr>
        <sz val="11"/>
        <color theme="1"/>
        <rFont val="Noto Sans CJK SC"/>
        <family val="2"/>
      </rPr>
      <t xml:space="preserve">、備援正常 → 執行持倉建議與提點；另於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與額度按測試連線（假服務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）；讀運行紀錄明細、假服務請求計數、</t>
    </r>
    <r>
      <rPr>
        <sz val="11"/>
        <color theme="1"/>
        <rFont val="Calibri"/>
        <family val="2"/>
        <charset val="1"/>
      </rPr>
      <t xml:space="preserve">GET /api/llm-fail-log</t>
    </r>
  </si>
  <si>
    <r>
      <rPr>
        <sz val="11"/>
        <color theme="1"/>
        <rFont val="Noto Sans CJK SC"/>
        <family val="2"/>
      </rPr>
      <t xml:space="preserve">觀察：</t>
    </r>
    <r>
      <rPr>
        <sz val="11"/>
        <color theme="1"/>
        <rFont val="Calibri"/>
        <family val="2"/>
        <charset val="1"/>
      </rPr>
      <t xml:space="preserve">R5 demo </t>
    </r>
    <r>
      <rPr>
        <sz val="11"/>
        <color theme="1"/>
        <rFont val="Noto Sans CJK SC"/>
        <family val="2"/>
      </rPr>
      <t xml:space="preserve">明細為「</t>
    </r>
    <r>
      <rPr>
        <sz val="11"/>
        <color theme="1"/>
        <rFont val="Calibri"/>
        <family val="2"/>
        <charset val="1"/>
      </rPr>
      <t xml:space="preserve">provider error (haiku-4.5): tenacity import failed…</t>
    </r>
    <r>
      <rPr>
        <sz val="11"/>
        <color theme="1"/>
        <rFont val="Noto Sans CJK SC"/>
        <family val="2"/>
      </rPr>
      <t xml:space="preserve">」，備援失效</t>
    </r>
    <r>
      <rPr>
        <sz val="11"/>
        <color theme="1"/>
        <rFont val="Calibri"/>
        <family val="2"/>
        <charset val="1"/>
      </rPr>
      <t xml:space="preserve">
</t>
    </r>
    <r>
      <rPr>
        <sz val="11"/>
        <color theme="1"/>
        <rFont val="Noto Sans CJK SC"/>
        <family val="2"/>
      </rPr>
      <t xml:space="preserve">假設：①改為自有重試後重試與備援都能動；②只換了訊息、重試仍依賴 </t>
    </r>
    <r>
      <rPr>
        <sz val="11"/>
        <color theme="1"/>
        <rFont val="Calibri"/>
        <family val="2"/>
        <charset val="1"/>
      </rPr>
      <t xml:space="preserve">litellm
</t>
    </r>
    <r>
      <rPr>
        <sz val="11"/>
        <color theme="1"/>
        <rFont val="Noto Sans CJK SC"/>
        <family val="2"/>
      </rPr>
      <t xml:space="preserve">排除：</t>
    </r>
    <r>
      <rPr>
        <sz val="11"/>
        <color theme="1"/>
        <rFont val="Calibri"/>
        <family val="2"/>
        <charset val="1"/>
      </rPr>
      <t xml:space="preserve">S1 run #10 partial</t>
    </r>
    <r>
      <rPr>
        <sz val="11"/>
        <color theme="1"/>
        <rFont val="Noto Sans CJK SC"/>
        <family val="2"/>
      </rPr>
      <t xml:space="preserve">，明細「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呼叫失敗，本次停止（尚未產出卡片）：主模型 </t>
    </r>
    <r>
      <rPr>
        <sz val="11"/>
        <color theme="1"/>
        <rFont val="Calibri"/>
        <family val="2"/>
        <charset val="1"/>
      </rPr>
      <t xml:space="preserve">local-fake</t>
    </r>
    <r>
      <rPr>
        <sz val="11"/>
        <color theme="1"/>
        <rFont val="Noto Sans CJK SC"/>
        <family val="2"/>
      </rPr>
      <t xml:space="preserve">：回應不是完整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次）；備援 </t>
    </r>
    <r>
      <rPr>
        <sz val="11"/>
        <color theme="1"/>
        <rFont val="Calibri"/>
        <family val="2"/>
        <charset val="1"/>
      </rPr>
      <t xml:space="preserve">local-fake-b</t>
    </r>
    <r>
      <rPr>
        <sz val="11"/>
        <color theme="1"/>
        <rFont val="Noto Sans CJK SC"/>
        <family val="2"/>
      </rPr>
      <t xml:space="preserve">：供應商服務異常（</t>
    </r>
    <r>
      <rPr>
        <sz val="11"/>
        <color theme="1"/>
        <rFont val="Calibri"/>
        <family val="2"/>
        <charset val="1"/>
      </rPr>
      <t xml:space="preserve">HTTP 500</t>
    </r>
    <r>
      <rPr>
        <sz val="11"/>
        <color theme="1"/>
        <rFont val="Noto Sans CJK SC"/>
        <family val="2"/>
      </rPr>
      <t xml:space="preserve">，已重試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次）」，假服務計數主模型 </t>
    </r>
    <r>
      <rPr>
        <sz val="11"/>
        <color theme="1"/>
        <rFont val="Calibri"/>
        <family val="2"/>
        <charset val="1"/>
      </rPr>
      <t xml:space="preserve">200×2</t>
    </r>
    <r>
      <rPr>
        <sz val="11"/>
        <color theme="1"/>
        <rFont val="Noto Sans CJK SC"/>
        <family val="2"/>
      </rPr>
      <t xml:space="preserve">、備援 </t>
    </r>
    <r>
      <rPr>
        <sz val="11"/>
        <color theme="1"/>
        <rFont val="Calibri"/>
        <family val="2"/>
        <charset val="1"/>
      </rPr>
      <t xml:space="preserve">500×3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＋重試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），無 </t>
    </r>
    <r>
      <rPr>
        <sz val="11"/>
        <color theme="1"/>
        <rFont val="Calibri"/>
        <family val="2"/>
        <charset val="1"/>
      </rPr>
      <t xml:space="preserve">tenacity </t>
    </r>
    <r>
      <rPr>
        <sz val="11"/>
        <color theme="1"/>
        <rFont val="Noto Sans CJK SC"/>
        <family val="2"/>
      </rPr>
      <t xml:space="preserve">字樣；供應商英文原文只在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失敗記錄（</t>
    </r>
    <r>
      <rPr>
        <sz val="11"/>
        <color theme="1"/>
        <rFont val="Calibri"/>
        <family val="2"/>
        <charset val="1"/>
      </rPr>
      <t xml:space="preserve">error_reason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litellm.InternalServerError…upstream exploded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×3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S2 run #11 ok</t>
    </r>
    <r>
      <rPr>
        <sz val="11"/>
        <color theme="1"/>
        <rFont val="Noto Sans CJK SC"/>
        <family val="2"/>
      </rPr>
      <t xml:space="preserve">「產生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張卡」，主模型 </t>
    </r>
    <r>
      <rPr>
        <sz val="11"/>
        <color theme="1"/>
        <rFont val="Calibri"/>
        <family val="2"/>
        <charset val="1"/>
      </rPr>
      <t xml:space="preserve">503×1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200×9</t>
    </r>
    <r>
      <rPr>
        <sz val="11"/>
        <color theme="1"/>
        <rFont val="Noto Sans CJK SC"/>
        <family val="2"/>
      </rPr>
      <t xml:space="preserve">（重試成功）；</t>
    </r>
    <r>
      <rPr>
        <sz val="11"/>
        <color theme="1"/>
        <rFont val="Calibri"/>
        <family val="2"/>
        <charset val="1"/>
      </rPr>
      <t xml:space="preserve">S3 </t>
    </r>
    <r>
      <rPr>
        <sz val="11"/>
        <color theme="1"/>
        <rFont val="Noto Sans CJK SC"/>
        <family val="2"/>
      </rPr>
      <t xml:space="preserve">主模型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每張卡只呼叫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次（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次、未重試），改走備援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張卡（</t>
    </r>
    <r>
      <rPr>
        <sz val="11"/>
        <color theme="1"/>
        <rFont val="Calibri"/>
        <family val="2"/>
        <charset val="1"/>
      </rPr>
      <t xml:space="preserve">model local-fake-b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run #13 ok</t>
    </r>
    <r>
      <rPr>
        <sz val="11"/>
        <color theme="1"/>
        <rFont val="Noto Sans CJK SC"/>
        <family val="2"/>
      </rPr>
      <t xml:space="preserve">；測試連線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時只送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次，回「供應商服務異常（</t>
    </r>
    <r>
      <rPr>
        <sz val="11"/>
        <color theme="1"/>
        <rFont val="Calibri"/>
        <family val="2"/>
        <charset val="1"/>
      </rPr>
      <t xml:space="preserve">HTTP 500</t>
    </r>
    <r>
      <rPr>
        <sz val="11"/>
        <color theme="1"/>
        <rFont val="Noto Sans CJK SC"/>
        <family val="2"/>
      </rPr>
      <t xml:space="preserve">）；供應商原文：…」。排除②</t>
    </r>
    <r>
      <rPr>
        <sz val="11"/>
        <color theme="1"/>
        <rFont val="Calibri"/>
        <family val="2"/>
        <charset val="1"/>
      </rPr>
      <t xml:space="preserve">
</t>
    </r>
    <r>
      <rPr>
        <sz val="11"/>
        <color theme="1"/>
        <rFont val="Noto Sans CJK SC"/>
        <family val="2"/>
      </rPr>
      <t xml:space="preserve">定位：</t>
    </r>
    <r>
      <rPr>
        <sz val="11"/>
        <color theme="1"/>
        <rFont val="Calibri"/>
        <family val="2"/>
        <charset val="1"/>
      </rPr>
      <t xml:space="preserve">shared/llm.py:345 _call_provider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num_retries=0</t>
    </r>
    <r>
      <rPr>
        <sz val="11"/>
        <color theme="1"/>
        <rFont val="Noto Sans CJK SC"/>
        <family val="2"/>
      </rPr>
      <t xml:space="preserve">、只重試暫時性錯誤）、</t>
    </r>
    <r>
      <rPr>
        <sz val="11"/>
        <color theme="1"/>
        <rFont val="Calibri"/>
        <family val="2"/>
        <charset val="1"/>
      </rPr>
      <t xml:space="preserve">:278 _TRANSIENT_STATUS
</t>
    </r>
    <r>
      <rPr>
        <sz val="11"/>
        <color theme="1"/>
        <rFont val="Noto Sans CJK SC"/>
        <family val="2"/>
      </rPr>
      <t xml:space="preserve">判定：通過</t>
    </r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</si>
  <si>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</si>
  <si>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r>
      <rPr>
        <sz val="11"/>
        <color theme="1"/>
        <rFont val="Noto Sans CJK SC"/>
        <family val="2"/>
      </rPr>
      <t xml:space="preserve">附註：備援模型名稱不在 </t>
    </r>
    <r>
      <rPr>
        <sz val="11"/>
        <color theme="1"/>
        <rFont val="Calibri"/>
        <family val="2"/>
        <charset val="1"/>
      </rPr>
      <t xml:space="preserve">litellm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支援清單時以提示詞要求 </t>
    </r>
    <r>
      <rPr>
        <sz val="11"/>
        <color theme="1"/>
        <rFont val="Calibri"/>
        <family val="2"/>
        <charset val="1"/>
      </rPr>
      <t xml:space="preserve">JSON</t>
    </r>
    <r>
      <rPr>
        <sz val="11"/>
        <color theme="1"/>
        <rFont val="Noto Sans CJK SC"/>
        <family val="2"/>
      </rPr>
      <t xml:space="preserve">（不帶 </t>
    </r>
    <r>
      <rPr>
        <sz val="11"/>
        <color theme="1"/>
        <rFont val="Calibri"/>
        <family val="2"/>
        <charset val="1"/>
      </rPr>
      <t xml:space="preserve">response_format</t>
    </r>
    <r>
      <rPr>
        <sz val="11"/>
        <color theme="1"/>
        <rFont val="Noto Sans CJK SC"/>
        <family val="2"/>
      </rPr>
      <t xml:space="preserve">），驗證者假服務需回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才能模擬成功，屬測試夾具差異，非產品問題</t>
    </r>
  </si>
  <si>
    <r>
      <rPr>
        <sz val="11"/>
        <color theme="1"/>
        <rFont val="Noto Sans CJK SC"/>
        <family val="2"/>
      </rPr>
      <t xml:space="preserve">檢驗方 </t>
    </r>
    <r>
      <rPr>
        <sz val="11"/>
        <color theme="1"/>
        <rFont val="Calibri"/>
        <family val="2"/>
        <charset val="1"/>
      </rPr>
      <t xml:space="preserve">2026-09-26</t>
    </r>
  </si>
  <si>
    <r>
      <rPr>
        <sz val="10"/>
        <rFont val="Noto Sans CJK SC"/>
        <family val="2"/>
      </rPr>
      <t xml:space="preserve">同意。依規格掃描所有回傳字串的排程工作，另有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個工作同樣可能「有失敗卻記成功」。規格寫「與報價工作同一口徑」，但報價工作實際上全部失敗也記「部分」（</t>
    </r>
    <r>
      <rPr>
        <sz val="10"/>
        <rFont val="Arial"/>
        <family val="0"/>
        <charset val="1"/>
      </rPr>
      <t xml:space="preserve">2026-09-06 </t>
    </r>
    <r>
      <rPr>
        <sz val="10"/>
        <rFont val="Noto Sans CJK SC"/>
        <family val="2"/>
      </rPr>
      <t xml:space="preserve">的門檻）；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在對話中裁定：報價工作全部失敗也改為「失敗」，與其他工作一致。另外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同日裁定：歷史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棒回補只把「供應商出錯」算失敗——供應商有回應但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天窗內沒有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棒（長假休市、已下市）不算。</t>
    </r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</si>
  <si>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</si>
  <si>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</si>
  <si>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jobs.sweep_outcome(detail, total, failed)</t>
    </r>
    <r>
      <rPr>
        <sz val="10"/>
        <rFont val="Noto Sans CJK SC"/>
        <family val="2"/>
      </rPr>
      <t xml:space="preserve">：每一項都失敗 →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既有用字，排程中心顯示「失敗」，未新增狀態）、部分失敗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、無失敗 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，明細不變。套用：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、收件匣掃描（排程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與後備路徑共用 </t>
    </r>
    <r>
      <rPr>
        <sz val="10"/>
        <rFont val="Arial"/>
        <family val="0"/>
        <charset val="1"/>
      </rPr>
      <t xml:space="preserve">dividend_sweep_outcome</t>
    </r>
    <r>
      <rPr>
        <sz val="10"/>
        <rFont val="Noto Sans CJK SC"/>
        <family val="2"/>
      </rPr>
      <t xml:space="preserve">；「無配息紀錄」〔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〕不算失敗）、</t>
    </r>
    <r>
      <rPr>
        <sz val="10"/>
        <rFont val="Arial"/>
        <family val="0"/>
        <charset val="1"/>
      </rPr>
      <t xml:space="preserve">history_daily</t>
    </r>
    <r>
      <rPr>
        <sz val="10"/>
        <rFont val="Noto Sans CJK SC"/>
        <family val="2"/>
      </rPr>
      <t xml:space="preserve">（只以標的計數，基準指數失敗仍不影響判定〔</t>
    </r>
    <r>
      <rPr>
        <sz val="10"/>
        <rFont val="Arial"/>
        <family val="0"/>
        <charset val="1"/>
      </rPr>
      <t xml:space="preserve">FU-D27</t>
    </r>
    <r>
      <rPr>
        <sz val="10"/>
        <rFont val="Noto Sans CJK SC"/>
        <family val="2"/>
      </rPr>
      <t xml:space="preserve">〕）、</t>
    </r>
    <r>
      <rPr>
        <sz val="10"/>
        <rFont val="Arial"/>
        <family val="0"/>
        <charset val="1"/>
      </rPr>
      <t xml:space="preserve">sentiment_daily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index_quotes_daily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_run_ingest(expected=)</t>
    </r>
    <r>
      <rPr>
        <sz val="10"/>
        <rFont val="Noto Sans CJK SC"/>
        <family val="2"/>
      </rPr>
      <t xml:space="preserve">：不足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 →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news_daily</t>
    </r>
    <r>
      <rPr>
        <sz val="10"/>
        <rFont val="Noto Sans CJK SC"/>
        <family val="2"/>
      </rPr>
      <t xml:space="preserve">（額度提前結束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（推播路徑崩潰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，預警已記錄）、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weekly</t>
    </r>
    <r>
      <rPr>
        <sz val="10"/>
        <rFont val="Noto Sans CJK SC"/>
        <family val="2"/>
      </rPr>
      <t xml:space="preserve">（區塊以空值代替或推播未送達全部通道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）。報價工作（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裁定）：該市場有標的而一檔都沒更新 →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；有持倉失敗但非全滅 →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（不變）；只有觀察標的或只有匯率失敗 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。歷史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裁定）：</t>
    </r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fetch_quote_history_explained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(rows, sources, failed, empty)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refresh_history </t>
    </r>
    <r>
      <rPr>
        <sz val="10"/>
        <rFont val="Noto Sans CJK SC"/>
        <family val="2"/>
      </rPr>
      <t xml:space="preserve">把空回應放進 </t>
    </r>
    <r>
      <rPr>
        <sz val="10"/>
        <rFont val="Arial"/>
        <family val="0"/>
        <charset val="1"/>
      </rPr>
      <t xml:space="preserve">RefreshSummary.empty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的失敗數＝工作清單 − 成功 − 可信的空回應，明細加「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項區間內無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棒（休市或已下市）：…」。⚠ 超出規格的一點：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（每條歷史鏈的第一順位）遇到網路失敗不拋例外、只回空資料（</t>
    </r>
    <r>
      <rPr>
        <sz val="10"/>
        <rFont val="Arial"/>
        <family val="0"/>
        <charset val="1"/>
      </rPr>
      <t xml:space="preserve">1.4.1 </t>
    </r>
    <r>
      <rPr>
        <sz val="10"/>
        <rFont val="Noto Sans CJK SC"/>
        <family val="2"/>
      </rPr>
      <t xml:space="preserve">原始碼確認），若照字面「沒拋例外＝有回應」，全斷網時 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會重新記成「成功」；所以空回應只在同一輪能證明該市場的來源確實有回應（對任一標的或基準指數回傳了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明令禁止從句子反推）；改 </t>
    </r>
    <r>
      <rPr>
        <sz val="10"/>
        <rFont val="Arial"/>
        <family val="0"/>
        <charset val="1"/>
      </rPr>
      <t xml:space="preserve">yfinance provider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raise_errors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1.4.1 </t>
    </r>
    <r>
      <rPr>
        <sz val="10"/>
        <rFont val="Noto Sans CJK SC"/>
        <family val="2"/>
      </rPr>
      <t xml:space="preserve">已標為 </t>
    </r>
    <r>
      <rPr>
        <sz val="10"/>
        <rFont val="Arial"/>
        <family val="0"/>
        <charset val="1"/>
      </rPr>
      <t xml:space="preserve">deprecated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</si>
  <si>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排程工作（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JOBS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個工作、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個回傳字串）共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dividend_inbox_scan</t>
    </r>
    <r>
      <rPr>
        <sz val="10"/>
        <rFont val="Noto Sans CJK SC"/>
        <family val="2"/>
      </rPr>
      <t xml:space="preserve">〔含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〕、</t>
    </r>
    <r>
      <rPr>
        <sz val="10"/>
        <rFont val="Arial"/>
        <family val="0"/>
        <charset val="1"/>
      </rPr>
      <t xml:space="preserve">sentiment_daily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index_quotes_daily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digest_weekly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finmind_chips_daily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finmind_valuation_daily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finmind_fundamentals_monthly</t>
    </r>
    <r>
      <rPr>
        <sz val="10"/>
        <rFont val="Noto Sans CJK SC"/>
        <family val="2"/>
      </rPr>
      <t xml:space="preserve">：抓取錯誤直接 </t>
    </r>
    <r>
      <rPr>
        <sz val="10"/>
        <rFont val="Arial"/>
        <family val="0"/>
        <charset val="1"/>
      </rPr>
      <t xml:space="preserve">raise → error</t>
    </r>
    <r>
      <rPr>
        <sz val="10"/>
        <rFont val="Noto Sans CJK SC"/>
        <family val="2"/>
      </rPr>
      <t xml:space="preserve">，空資料是無資料；</t>
    </r>
    <r>
      <rPr>
        <sz val="10"/>
        <rFont val="Arial"/>
        <family val="0"/>
        <charset val="1"/>
      </rPr>
      <t xml:space="preserve">consensus_daily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fundamentals_daily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fundamentals_av_weekly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pricing/ingest.py </t>
    </r>
    <r>
      <rPr>
        <sz val="10"/>
        <rFont val="Noto Sans CJK SC"/>
        <family val="2"/>
      </rPr>
      <t xml:space="preserve">在逐標的層吞例外並與「無覆蓋」混成同一計數，不改該檔無法分辨，建議日後由 </t>
    </r>
    <r>
      <rPr>
        <sz val="10"/>
        <rFont val="Arial"/>
        <family val="0"/>
        <charset val="1"/>
      </rPr>
      <t xml:space="preserve">ingest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(written, failed)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snapshot_monthly</t>
    </r>
    <r>
      <rPr>
        <sz val="10"/>
        <rFont val="Noto Sans CJK SC"/>
        <family val="2"/>
      </rPr>
      <t xml:space="preserve">：寫入或 </t>
    </r>
    <r>
      <rPr>
        <sz val="10"/>
        <rFont val="Arial"/>
        <family val="0"/>
        <charset val="1"/>
      </rPr>
      <t xml:space="preserve">raise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signal_scan</t>
    </r>
    <r>
      <rPr>
        <sz val="10"/>
        <rFont val="Noto Sans CJK SC"/>
        <family val="2"/>
      </rPr>
      <t xml:space="preserve">：無逐標的容錯，失敗即 </t>
    </r>
    <r>
      <rPr>
        <sz val="10"/>
        <rFont val="Arial"/>
        <family val="0"/>
        <charset val="1"/>
      </rPr>
      <t xml:space="preserve">raise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backup_daily</t>
    </r>
    <r>
      <rPr>
        <sz val="10"/>
        <rFont val="Noto Sans CJK SC"/>
        <family val="2"/>
      </rPr>
      <t xml:space="preserve">：失敗即 </t>
    </r>
    <r>
      <rPr>
        <sz val="10"/>
        <rFont val="Arial"/>
        <family val="0"/>
        <charset val="1"/>
      </rPr>
      <t xml:space="preserve">raise</t>
    </r>
    <r>
      <rPr>
        <sz val="10"/>
        <rFont val="Noto Sans CJK SC"/>
        <family val="2"/>
      </rPr>
      <t xml:space="preserve">）；另 </t>
    </r>
    <r>
      <rPr>
        <sz val="10"/>
        <rFont val="Arial"/>
        <family val="0"/>
        <charset val="1"/>
      </rPr>
      <t xml:space="preserve">evaluate_insights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見 </t>
    </r>
    <r>
      <rPr>
        <sz val="10"/>
        <rFont val="Arial"/>
        <family val="0"/>
        <charset val="1"/>
      </rPr>
      <t xml:space="preserve">DEF-073</t>
    </r>
    <r>
      <rPr>
        <sz val="10"/>
        <rFont val="Noto Sans CJK SC"/>
        <family val="2"/>
      </rPr>
      <t xml:space="preserve">。報價工作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（共用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refresh_history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fetch_quote_history </t>
    </r>
    <r>
      <rPr>
        <sz val="10"/>
        <rFont val="Noto Sans CJK SC"/>
        <family val="2"/>
      </rPr>
      <t xml:space="preserve">呼叫端 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：採新語意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的標的與基準指數）／維持舊語意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（兩個多年期回補）／不受影響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instrument_service </t>
    </r>
    <r>
      <rPr>
        <sz val="10"/>
        <rFont val="Noto Sans CJK SC"/>
        <family val="2"/>
      </rPr>
      <t xml:space="preserve">兩處只讀 </t>
    </r>
    <r>
      <rPr>
        <sz val="10"/>
        <rFont val="Arial"/>
        <family val="0"/>
        <charset val="1"/>
      </rPr>
      <t xml:space="preserve">.ok </t>
    </r>
    <r>
      <rPr>
        <sz val="10"/>
        <rFont val="Noto Sans CJK SC"/>
        <family val="2"/>
      </rPr>
      <t xml:space="preserve">或不讀結果）／文字差異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scripts/clean_orphan_seed_prices.py </t>
    </r>
    <r>
      <rPr>
        <sz val="10"/>
        <rFont val="Noto Sans CJK SC"/>
        <family val="2"/>
      </rPr>
      <t xml:space="preserve">回補空回應時由「失敗：</t>
    </r>
    <r>
      <rPr>
        <sz val="10"/>
        <rFont val="Arial"/>
        <family val="0"/>
        <charset val="1"/>
      </rPr>
      <t xml:space="preserve">SYM</t>
    </r>
    <r>
      <rPr>
        <sz val="10"/>
        <rFont val="Noto Sans CJK SC"/>
        <family val="2"/>
      </rPr>
      <t xml:space="preserve">」變「失敗：無資料」）。掃描指令：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解析 </t>
    </r>
    <r>
      <rPr>
        <sz val="10"/>
        <rFont val="Arial"/>
        <family val="0"/>
        <charset val="1"/>
      </rPr>
      <t xml:space="preserve">git show 3be67db:portfolio_dash/scheduler/jobs.py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與各函式回傳註記；</t>
    </r>
    <r>
      <rPr>
        <sz val="10"/>
        <rFont val="Arial"/>
        <family val="0"/>
        <charset val="1"/>
      </rPr>
      <t xml:space="preserve">grep -rn "refresh_history\|fetch_quote_history" portfolio_dash scripts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</si>
  <si>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tests/scheduler/test_def067_sweep_verdicts.py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則）：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12/16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AssertionError: assert 'ok' == 'error'</t>
    </r>
    <r>
      <rPr>
        <sz val="10"/>
        <rFont val="Noto Sans CJK SC"/>
        <family val="2"/>
      </rPr>
      <t xml:space="preserve">」（其餘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則為必須維持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的對照組）。新增 </t>
    </r>
    <r>
      <rPr>
        <sz val="10"/>
        <rFont val="Arial"/>
        <family val="0"/>
        <charset val="1"/>
      </rPr>
      <t xml:space="preserve">tests/scheduler/test_def067_quote_and_history_rulings.py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則）：裁定前的程式上 </t>
    </r>
    <r>
      <rPr>
        <sz val="10"/>
        <rFont val="Arial"/>
        <family val="0"/>
        <charset val="1"/>
      </rPr>
      <t xml:space="preserve">6/11 </t>
    </r>
    <r>
      <rPr>
        <sz val="10"/>
        <rFont val="Noto Sans CJK SC"/>
        <family val="2"/>
      </rPr>
      <t xml:space="preserve">失敗，例「</t>
    </r>
    <r>
      <rPr>
        <sz val="10"/>
        <rFont val="Arial"/>
        <family val="0"/>
        <charset val="1"/>
      </rPr>
      <t xml:space="preserve">quotes_tw  assert 'partial' == 'error'</t>
    </r>
    <r>
      <rPr>
        <sz val="10"/>
        <rFont val="Noto Sans CJK SC"/>
        <family val="2"/>
      </rPr>
      <t xml:space="preserve">」、「</t>
    </r>
    <r>
      <rPr>
        <sz val="10"/>
        <rFont val="Arial"/>
        <family val="0"/>
        <charset val="1"/>
      </rPr>
      <t xml:space="preserve">AttributeError: 'Registry' object has no attribute 'fetch_quote_history_explained'</t>
    </r>
    <r>
      <rPr>
        <sz val="10"/>
        <rFont val="Noto Sans CJK SC"/>
        <family val="2"/>
      </rPr>
      <t xml:space="preserve">」、「</t>
    </r>
    <r>
      <rPr>
        <sz val="10"/>
        <rFont val="Arial"/>
        <family val="0"/>
        <charset val="1"/>
      </rPr>
      <t xml:space="preserve">assert (['X', 'Y'], []) == (['X'], ['Y'])</t>
    </r>
    <r>
      <rPr>
        <sz val="10"/>
        <rFont val="Noto Sans CJK SC"/>
        <family val="2"/>
      </rPr>
      <t xml:space="preserve">」、長假案例「</t>
    </r>
    <r>
      <rPr>
        <sz val="10"/>
        <rFont val="Arial"/>
        <family val="0"/>
        <charset val="1"/>
      </rPr>
      <t xml:space="preserve">assert 'partial' == 'ok'</t>
    </r>
    <r>
      <rPr>
        <sz val="10"/>
        <rFont val="Noto Sans CJK SC"/>
        <family val="2"/>
      </rPr>
      <t xml:space="preserve">」。變異：</t>
    </r>
    <r>
      <rPr>
        <sz val="10"/>
        <rFont val="Arial"/>
        <family val="0"/>
        <charset val="1"/>
      </rPr>
      <t xml:space="preserve">M4 dividends_daily </t>
    </r>
    <r>
      <rPr>
        <sz val="10"/>
        <rFont val="Noto Sans CJK SC"/>
        <family val="2"/>
      </rPr>
      <t xml:space="preserve">改回回傳字串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test_dividends_daily_every_symbol_failed_is_error</t>
    </r>
    <r>
      <rPr>
        <sz val="10"/>
        <rFont val="Noto Sans CJK SC"/>
        <family val="2"/>
      </rPr>
      <t xml:space="preserve">、…</t>
    </r>
    <r>
      <rPr>
        <sz val="10"/>
        <rFont val="Arial"/>
        <family val="0"/>
        <charset val="1"/>
      </rPr>
      <t xml:space="preserve">some_failed_is_partial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M5 </t>
    </r>
    <r>
      <rPr>
        <sz val="10"/>
        <rFont val="Noto Sans CJK SC"/>
        <family val="2"/>
      </rPr>
      <t xml:space="preserve">拿掉「全部失敗 →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則失敗；報價判定改回 </t>
    </r>
    <r>
      <rPr>
        <sz val="10"/>
        <rFont val="Arial"/>
        <family val="0"/>
        <charset val="1"/>
      </rPr>
      <t xml:space="preserve">"partial" if held_failed else "ok" → 2 </t>
    </r>
    <r>
      <rPr>
        <sz val="10"/>
        <rFont val="Noto Sans CJK SC"/>
        <family val="2"/>
      </rPr>
      <t xml:space="preserve">則失敗（含 </t>
    </r>
    <r>
      <rPr>
        <sz val="10"/>
        <rFont val="Arial"/>
        <family val="0"/>
        <charset val="1"/>
      </rPr>
      <t xml:space="preserve">m10_02 </t>
    </r>
    <r>
      <rPr>
        <sz val="10"/>
        <rFont val="Noto Sans CJK SC"/>
        <family val="2"/>
      </rPr>
      <t xml:space="preserve">契約）；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把空回應放回 </t>
    </r>
    <r>
      <rPr>
        <sz val="10"/>
        <rFont val="Arial"/>
        <family val="0"/>
        <charset val="1"/>
      </rPr>
      <t xml:space="preserve">failed → 5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_trust_empty </t>
    </r>
    <r>
      <rPr>
        <sz val="10"/>
        <rFont val="Noto Sans CJK SC"/>
        <family val="2"/>
      </rPr>
      <t xml:space="preserve">無條件採信空回應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test_an_outage_that_looks_empty_is_still_lost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'ok' == 'error'</t>
    </r>
    <r>
      <rPr>
        <sz val="10"/>
        <rFont val="Noto Sans CJK SC"/>
        <family val="2"/>
      </rPr>
      <t xml:space="preserve">」（明細為「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項區間內無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棒…」——正是 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陷阱的防線）。</t>
    </r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</si>
  <si>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</si>
  <si>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</si>
  <si>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）：排程中心畫面把 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（紐約時區 </t>
    </r>
    <r>
      <rPr>
        <sz val="10"/>
        <rFont val="Arial"/>
        <family val="0"/>
        <charset val="1"/>
      </rPr>
      <t xml:space="preserve">01:24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quotes_my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改為台北 </t>
    </r>
    <r>
      <rPr>
        <sz val="10"/>
        <rFont val="Arial"/>
        <family val="0"/>
        <charset val="1"/>
      </rPr>
      <t xml:space="preserve">13:24 </t>
    </r>
    <r>
      <rPr>
        <sz val="10"/>
        <rFont val="Noto Sans CJK SC"/>
        <family val="2"/>
      </rPr>
      <t xml:space="preserve">自然觸發（外網封鎖使供應商全失敗），事後以畫面還原；另以「立即執行」跑 </t>
    </r>
    <r>
      <rPr>
        <sz val="10"/>
        <rFont val="Arial"/>
        <family val="0"/>
        <charset val="1"/>
      </rPr>
      <t xml:space="preserve">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sentiment_daily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index_quotes_daily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</si>
  <si>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dividends_daily 0/10 </t>
    </r>
    <r>
      <rPr>
        <sz val="10"/>
        <rFont val="Noto Sans CJK SC"/>
        <family val="2"/>
      </rPr>
      <t xml:space="preserve">成功卻記「成功」
假設：①所有逐標的工作改為「全部失敗→失敗、部分→部分」；②只修 </t>
    </r>
    <r>
      <rPr>
        <sz val="10"/>
        <rFont val="Arial"/>
        <family val="0"/>
        <charset val="1"/>
      </rPr>
      <t xml:space="preserve">dividends_daily
</t>
    </r>
    <r>
      <rPr>
        <sz val="10"/>
        <rFont val="Noto Sans CJK SC"/>
        <family val="2"/>
      </rPr>
      <t xml:space="preserve">排除：</t>
    </r>
    <r>
      <rPr>
        <sz val="10"/>
        <rFont val="Arial"/>
        <family val="0"/>
        <charset val="1"/>
      </rPr>
      <t xml:space="preserve">13:24:00 </t>
    </r>
    <r>
      <rPr>
        <sz val="10"/>
        <rFont val="Noto Sans CJK SC"/>
        <family val="2"/>
      </rPr>
      <t xml:space="preserve">五個工作同時觸發：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quotes_my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（排程中心顯示「失敗」，明細不變「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項失敗…」「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檔失敗…」），</t>
    </r>
    <r>
      <rPr>
        <sz val="10"/>
        <rFont val="Arial"/>
        <family val="0"/>
        <charset val="1"/>
      </rPr>
      <t xml:space="preserve">digest_daily </t>
    </r>
    <r>
      <rPr>
        <sz val="10"/>
        <rFont val="Noto Sans CJK SC"/>
        <family val="2"/>
      </rPr>
      <t xml:space="preserve">成功；</t>
    </r>
    <r>
      <rPr>
        <sz val="10"/>
        <rFont val="Arial"/>
        <family val="0"/>
        <charset val="1"/>
      </rPr>
      <t xml:space="preserve">history_daily error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項失敗；…來源回應空白，且本輪沒有任何標的從同一來源取得資料，視為無法連線」（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裁定：空回應在無任何來源回應時視為無法連線）；</t>
    </r>
    <r>
      <rPr>
        <sz val="10"/>
        <rFont val="Arial"/>
        <family val="0"/>
        <charset val="1"/>
      </rPr>
      <t xml:space="preserve">dividend_inbox_scan 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sentiment_daily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index_quotes_daily error</t>
    </r>
    <r>
      <rPr>
        <sz val="10"/>
        <rFont val="Noto Sans CJK SC"/>
        <family val="2"/>
      </rPr>
      <t xml:space="preserve">「寫入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筆外部快照（應有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筆）」。排除②
定位：</t>
    </r>
    <r>
      <rPr>
        <sz val="10"/>
        <rFont val="Arial"/>
        <family val="0"/>
        <charset val="1"/>
      </rPr>
      <t xml:space="preserve">scheduler/jobs.py:225 sweep_outcome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pricing/registry.py fetch_quote_history_explained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</si>
  <si>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</si>
  <si>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r>
      <rPr>
        <sz val="10"/>
        <rFont val="Noto Sans CJK SC"/>
        <family val="2"/>
      </rPr>
      <t xml:space="preserve">同意。另外發現 </t>
    </r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靠 </t>
    </r>
    <r>
      <rPr>
        <sz val="10"/>
        <rFont val="Arial"/>
        <family val="0"/>
        <charset val="1"/>
      </rPr>
      <t xml:space="preserve">list_cards </t>
    </r>
    <r>
      <rPr>
        <sz val="10"/>
        <rFont val="Noto Sans CJK SC"/>
        <family val="2"/>
      </rPr>
      <t xml:space="preserve">取出影子卡來斷言，等於把洩漏當成功能；修正後其中兩則「沒有影子卡」的斷言會變成永遠成立，已一併改為明確要求含影子卡。</t>
    </r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</si>
  <si>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</si>
  <si>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r>
      <rPr>
        <sz val="10"/>
        <rFont val="Noto Sans CJK SC"/>
        <family val="2"/>
      </rPr>
      <t xml:space="preserve">清單的契約測試（</t>
    </r>
    <r>
      <rPr>
        <sz val="10"/>
        <rFont val="Arial"/>
        <family val="0"/>
        <charset val="1"/>
      </rPr>
      <t xml:space="preserve">test_insight_run_api</t>
    </r>
    <r>
      <rPr>
        <sz val="10"/>
        <rFont val="Noto Sans CJK SC"/>
        <family val="2"/>
      </rPr>
      <t xml:space="preserve">）從未存入影子卡；唯一有影子卡的 </t>
    </r>
    <r>
      <rPr>
        <sz val="10"/>
        <rFont val="Arial"/>
        <family val="0"/>
        <charset val="1"/>
      </rPr>
      <t xml:space="preserve">test_insights_store </t>
    </r>
    <r>
      <rPr>
        <sz val="10"/>
        <rFont val="Noto Sans CJK SC"/>
        <family val="2"/>
      </rPr>
      <t xml:space="preserve">只測儀表板的 </t>
    </r>
    <r>
      <rPr>
        <sz val="10"/>
        <rFont val="Arial"/>
        <family val="0"/>
        <charset val="1"/>
      </rPr>
      <t xml:space="preserve">latest_cards</t>
    </r>
    <r>
      <rPr>
        <sz val="10"/>
        <rFont val="Noto Sans CJK SC"/>
        <family val="2"/>
      </rPr>
      <t xml:space="preserve">；影子評估的測試反而依賴清單回傳影子卡。</t>
    </r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</si>
  <si>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</si>
  <si>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</si>
  <si>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tests/contract/test_def069_shadow_cards_never_listed.py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生效＋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影子卡 → 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三種形狀都只回生效卡；第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則「戰績保留影子列」為回歸釘）。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則失敗，例「</t>
    </r>
    <r>
      <rPr>
        <sz val="10"/>
        <rFont val="Arial"/>
        <family val="0"/>
        <charset val="1"/>
      </rPr>
      <t xml:space="preserve">assert [2, 1] == [1]</t>
    </r>
    <r>
      <rPr>
        <sz val="10"/>
        <rFont val="Noto Sans CJK SC"/>
        <family val="2"/>
      </rPr>
      <t xml:space="preserve">」、「</t>
    </r>
    <r>
      <rPr>
        <sz val="10"/>
        <rFont val="Arial"/>
        <family val="0"/>
        <charset val="1"/>
      </rPr>
      <t xml:space="preserve">{'groups': [...AAPL...]} != {'groups': []}</t>
    </r>
    <r>
      <rPr>
        <sz val="10"/>
        <rFont val="Noto Sans CJK SC"/>
        <family val="2"/>
      </rPr>
      <t xml:space="preserve">」。新增 </t>
    </r>
    <r>
      <rPr>
        <sz val="10"/>
        <rFont val="Arial"/>
        <family val="0"/>
        <charset val="1"/>
      </rPr>
      <t xml:space="preserve">e2e tests/e2e/test_def069_def071_shadow_ui_flow.py </t>
    </r>
    <r>
      <rPr>
        <sz val="10"/>
        <rFont val="Noto Sans CJK SC"/>
        <family val="2"/>
      </rPr>
      <t xml:space="preserve">前半：持倉健診的標題卡不是影子卡。變異：拿掉條件 → 契約 </t>
    </r>
    <r>
      <rPr>
        <sz val="10"/>
        <rFont val="Arial"/>
        <family val="0"/>
        <charset val="1"/>
      </rPr>
      <t xml:space="preserve">3/4 </t>
    </r>
    <r>
      <rPr>
        <sz val="10"/>
        <rFont val="Noto Sans CJK SC"/>
        <family val="2"/>
      </rPr>
      <t xml:space="preserve">失敗（同上訊息）；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strict mode violation … resolved to 2 elements: … 2330 </t>
    </r>
    <r>
      <rPr>
        <sz val="10"/>
        <rFont val="Noto Sans CJK SC"/>
        <family val="2"/>
      </rPr>
      <t xml:space="preserve">影子卡（已套校正）」（影子卡成為標題卡）。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</si>
  <si>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時間推進流程（</t>
    </r>
    <r>
      <rPr>
        <sz val="10"/>
        <rFont val="Arial"/>
        <family val="0"/>
        <charset val="1"/>
      </rPr>
      <t xml:space="preserve">09-01→09-10→09-18→09-21→09-29</t>
    </r>
    <r>
      <rPr>
        <sz val="10"/>
        <rFont val="Noto Sans CJK SC"/>
        <family val="2"/>
      </rPr>
      <t xml:space="preserve">）：每批後讀 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symbol=2330 </t>
    </r>
    <r>
      <rPr>
        <sz val="10"/>
        <rFont val="Noto Sans CJK SC"/>
        <family val="2"/>
      </rPr>
      <t xml:space="preserve">三種形狀並比對 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is_shadow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與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個股抽屜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</si>
  <si>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影子卡成為持倉健診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標題卡
假設：①伺服器端清單預設排除影子；②只改畫面
排除：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（生效 </t>
    </r>
    <r>
      <rPr>
        <sz val="10"/>
        <rFont val="Arial"/>
        <family val="0"/>
        <charset val="1"/>
      </rPr>
      <t xml:space="preserve">v1 9</t>
    </r>
    <r>
      <rPr>
        <sz val="10"/>
        <rFont val="Noto Sans CJK SC"/>
        <family val="2"/>
      </rPr>
      <t xml:space="preserve">＋影子 </t>
    </r>
    <r>
      <rPr>
        <sz val="10"/>
        <rFont val="Arial"/>
        <family val="0"/>
        <charset val="1"/>
      </rPr>
      <t xml:space="preserve">v2 9</t>
    </r>
    <r>
      <rPr>
        <sz val="10"/>
        <rFont val="Noto Sans CJK SC"/>
        <family val="2"/>
      </rPr>
      <t xml:space="preserve">）平面 </t>
    </r>
    <r>
      <rPr>
        <sz val="10"/>
        <rFont val="Arial"/>
        <family val="0"/>
        <charset val="1"/>
      </rPr>
      <t xml:space="preserve">total 27</t>
    </r>
    <r>
      <rPr>
        <sz val="10"/>
        <rFont val="Noto Sans CJK SC"/>
        <family val="2"/>
      </rPr>
      <t xml:space="preserve">、影子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09-21 total 36</t>
    </r>
    <r>
      <rPr>
        <sz val="10"/>
        <rFont val="Noto Sans CJK SC"/>
        <family val="2"/>
      </rPr>
      <t xml:space="preserve">、影子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（資料表影子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09-29</t>
    </r>
    <r>
      <rPr>
        <sz val="10"/>
        <rFont val="Noto Sans CJK SC"/>
        <family val="2"/>
      </rPr>
      <t xml:space="preserve">（生效 </t>
    </r>
    <r>
      <rPr>
        <sz val="10"/>
        <rFont val="Arial"/>
        <family val="0"/>
        <charset val="1"/>
      </rPr>
      <t xml:space="preserve">v2 9</t>
    </r>
    <r>
      <rPr>
        <sz val="10"/>
        <rFont val="Noto Sans CJK SC"/>
        <family val="2"/>
      </rPr>
      <t xml:space="preserve">＋影子 </t>
    </r>
    <r>
      <rPr>
        <sz val="10"/>
        <rFont val="Arial"/>
        <family val="0"/>
        <charset val="1"/>
      </rPr>
      <t xml:space="preserve">v3 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total 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group 45</t>
    </r>
    <r>
      <rPr>
        <sz val="10"/>
        <rFont val="Noto Sans CJK SC"/>
        <family val="2"/>
      </rPr>
      <t xml:space="preserve">、影子皆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symbol=2330 </t>
    </r>
    <r>
      <rPr>
        <sz val="10"/>
        <rFont val="Noto Sans CJK SC"/>
        <family val="2"/>
      </rPr>
      <t xml:space="preserve">前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張皆非影子；持倉健診「校正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處、「校正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」（影子）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戰績預測明細仍保留影子列（標「影子」）供比較。排除②
定位：</t>
    </r>
    <r>
      <rPr>
        <sz val="10"/>
        <rFont val="Arial"/>
        <family val="0"/>
        <charset val="1"/>
      </rPr>
      <t xml:space="preserve">llm_insight/insights_store.py:551 _filters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include_shadow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
判定：通過</t>
    </r>
  </si>
  <si>
    <r>
      <rPr>
        <sz val="10"/>
        <rFont val="Noto Sans CJK SC"/>
        <family val="2"/>
      </rPr>
      <t xml:space="preserve">三次檢查影子卡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張進入任何使用者清單（資料表影子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不加 </t>
    </r>
    <r>
      <rPr>
        <sz val="10"/>
        <rFont val="Arial"/>
        <family val="0"/>
        <charset val="1"/>
      </rPr>
      <t xml:space="preserve">is_shadow = 0 → 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At index 0 diff: 2 != 1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4 passed</t>
    </r>
  </si>
  <si>
    <r>
      <rPr>
        <sz val="10"/>
        <rFont val="Noto Sans CJK SC"/>
        <family val="2"/>
      </rPr>
      <t xml:space="preserve">同意，並依 </t>
    </r>
    <r>
      <rPr>
        <sz val="10"/>
        <rFont val="Arial"/>
        <family val="0"/>
        <charset val="1"/>
      </rPr>
      <t xml:space="preserve">owner ⑧ A </t>
    </r>
    <r>
      <rPr>
        <sz val="10"/>
        <rFont val="Noto Sans CJK SC"/>
        <family val="2"/>
      </rPr>
      <t xml:space="preserve">實作。另補一項：評分端也要按版本算，否則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剛產生就能拿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的影子評分晉升（測試 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已釘住：舊碼會直接晉升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）；晉升比較的「生效方」原本也混入全部歷史，改為兩邊都只看該版本自己的紀錄。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在對話中確認三項設計：</t>
    </r>
    <r>
      <rPr>
        <sz val="10"/>
        <rFont val="Arial"/>
        <family val="0"/>
        <charset val="1"/>
      </rPr>
      <t xml:space="preserve">shadow_batches </t>
    </r>
    <r>
      <rPr>
        <sz val="10"/>
        <rFont val="Noto Sans CJK SC"/>
        <family val="2"/>
      </rPr>
      <t xml:space="preserve">計「評分筆數」；晉升比較用各版本自己的紀錄；只有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、沒有生效版時由使用者按「設為生效」採用，不自動影子。</t>
    </r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</si>
  <si>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</si>
  <si>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</si>
  <si>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r>
      <rPr>
        <sz val="10"/>
        <rFont val="Noto Sans CJK SC"/>
        <family val="2"/>
      </rPr>
      <t xml:space="preserve">新增純函式 </t>
    </r>
    <r>
      <rPr>
        <sz val="10"/>
        <rFont val="Arial"/>
        <family val="0"/>
        <charset val="1"/>
      </rPr>
      <t xml:space="preserve">promote.shadow_phase</t>
    </r>
    <r>
      <rPr>
        <sz val="10"/>
        <rFont val="Noto Sans CJK SC"/>
        <family val="2"/>
      </rPr>
      <t xml:space="preserve">，影子期分成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waiting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queued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insight_service.shadow_states </t>
    </r>
    <r>
      <rPr>
        <sz val="10"/>
        <rFont val="Noto Sans CJK SC"/>
        <family val="2"/>
      </rPr>
      <t xml:space="preserve">算出全部任務的狀態，只有「啟用中且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」的任務佔名額（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＝該版已有影子卡且該版自己的評分數 </t>
    </r>
    <r>
      <rPr>
        <sz val="10"/>
        <rFont val="Arial"/>
        <family val="0"/>
        <charset val="1"/>
      </rPr>
      <t xml:space="preserve">&lt; shadow_batches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waiting</t>
    </r>
    <r>
      <rPr>
        <sz val="10"/>
        <rFont val="Noto Sans CJK SC"/>
        <family val="2"/>
      </rPr>
      <t xml:space="preserve">（有空位）與 </t>
    </r>
    <r>
      <rPr>
        <sz val="10"/>
        <rFont val="Arial"/>
        <family val="0"/>
        <charset val="1"/>
      </rPr>
      <t xml:space="preserve">running </t>
    </r>
    <r>
      <rPr>
        <sz val="10"/>
        <rFont val="Noto Sans CJK SC"/>
        <family val="2"/>
      </rPr>
      <t xml:space="preserve">每一批都整批產影子卡（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一批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張算一個名額）；</t>
    </r>
    <r>
      <rPr>
        <sz val="10"/>
        <rFont val="Arial"/>
        <family val="0"/>
        <charset val="1"/>
      </rPr>
      <t xml:space="preserve">queued </t>
    </r>
    <r>
      <rPr>
        <sz val="10"/>
        <rFont val="Noto Sans CJK SC"/>
        <family val="2"/>
      </rPr>
      <t xml:space="preserve">本批不產，診斷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與校正版本鏈顯示「影子排隊中（目前 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／上限 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）」。評分達門檻即判定：</t>
    </r>
    <r>
      <rPr>
        <sz val="10"/>
        <rFont val="Arial"/>
        <family val="0"/>
        <charset val="1"/>
      </rPr>
      <t xml:space="preserve">won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lost </t>
    </r>
    <r>
      <rPr>
        <sz val="10"/>
        <rFont val="Noto Sans CJK SC"/>
        <family val="2"/>
      </rPr>
      <t xml:space="preserve">都結束影子期、釋出名額（輸掉的版本不再花影子成本）；晉升、封存影子版本、生效版追上最新版也結束。</t>
    </r>
    <r>
      <rPr>
        <sz val="10"/>
        <rFont val="Arial"/>
        <family val="0"/>
        <charset val="1"/>
      </rPr>
      <t xml:space="preserve">evaluations_store.version_score </t>
    </r>
    <r>
      <rPr>
        <sz val="10"/>
        <rFont val="Noto Sans CJK SC"/>
        <family val="2"/>
      </rPr>
      <t xml:space="preserve">取某版本自己的評分，晉升判定與畫面共用；同一份狀態供執行、晉升、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診斷與校正版本鏈使用。不採用：改成「近期影子卡張數」（仍是張數不是任務數）；把狀態存成資料表（可由評分推出，免同步問題）。規則寫入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</si>
  <si>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跨版本／跨全部歷史彙總的計數與成績讀取點 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:436 </t>
    </r>
    <r>
      <rPr>
        <sz val="10"/>
        <rFont val="Noto Sans CJK SC"/>
        <family val="2"/>
      </rPr>
      <t xml:space="preserve">張數上限、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影子成績混各版、</t>
    </r>
    <r>
      <rPr>
        <sz val="10"/>
        <rFont val="Arial"/>
        <family val="0"/>
        <charset val="1"/>
      </rPr>
      <t xml:space="preserve">:1004 </t>
    </r>
    <r>
      <rPr>
        <sz val="10"/>
        <rFont val="Noto Sans CJK SC"/>
        <family val="2"/>
      </rPr>
      <t xml:space="preserve">生效成績混全部歷史）／白名單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個讀取點另由 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處理；</t>
    </r>
    <r>
      <rPr>
        <sz val="10"/>
        <rFont val="Arial"/>
        <family val="0"/>
        <charset val="1"/>
      </rPr>
      <t xml:space="preserve">_check_regression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筆滾動量的是使用者看到的卡，跨版本切換後新版變差正是要發的預警；</t>
    </r>
    <r>
      <rPr>
        <sz val="10"/>
        <rFont val="Arial"/>
        <family val="0"/>
        <charset val="1"/>
      </rPr>
      <t xml:space="preserve">ai_score by_combo </t>
    </r>
    <r>
      <rPr>
        <sz val="10"/>
        <rFont val="Noto Sans CJK SC"/>
        <family val="2"/>
      </rPr>
      <t xml:space="preserve">是任務整體戰績，刻意跨版本）。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</si>
  <si>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tests/scheduler/test_def070_shadow_period.py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則，真實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＋驗證者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的假模型〔提示詞含校正層 → 預測上漲，否則下跌〕＋以 </t>
    </r>
    <r>
      <rPr>
        <sz val="10"/>
        <rFont val="Arial"/>
        <family val="0"/>
        <charset val="1"/>
      </rPr>
      <t xml:space="preserve">now= </t>
    </r>
    <r>
      <rPr>
        <sz val="10"/>
        <rFont val="Noto Sans CJK SC"/>
        <family val="2"/>
      </rPr>
      <t xml:space="preserve">推進時間）：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晉升後產生新版本，下一批有新版影子卡（依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流程：兩批 → 評分 → 自動晉升 </t>
    </r>
    <r>
      <rPr>
        <sz val="10"/>
        <rFont val="Arial"/>
        <family val="0"/>
        <charset val="1"/>
      </rPr>
      <t xml:space="preserve">v2 →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v3 → </t>
    </r>
    <r>
      <rPr>
        <sz val="10"/>
        <rFont val="Noto Sans CJK SC"/>
        <family val="2"/>
      </rPr>
      <t xml:space="preserve">下一批影子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兩個任務、上限 </t>
    </r>
    <r>
      <rPr>
        <sz val="10"/>
        <rFont val="Arial"/>
        <family val="0"/>
        <charset val="1"/>
      </rPr>
      <t xml:space="preserve">1 → </t>
    </r>
    <r>
      <rPr>
        <sz val="10"/>
        <rFont val="Noto Sans CJK SC"/>
        <family val="2"/>
      </rPr>
      <t xml:space="preserve">第二個排隊、第一個結束後輪到它；</t>
    </r>
    <r>
      <rPr>
        <sz val="10"/>
        <rFont val="Arial"/>
        <family val="0"/>
        <charset val="1"/>
      </rPr>
      <t xml:space="preserve">(c) portfolio </t>
    </r>
    <r>
      <rPr>
        <sz val="10"/>
        <rFont val="Noto Sans CJK SC"/>
        <family val="2"/>
      </rPr>
      <t xml:space="preserve">任務可累積到 </t>
    </r>
    <r>
      <rPr>
        <sz val="10"/>
        <rFont val="Arial"/>
        <family val="0"/>
        <charset val="1"/>
      </rPr>
      <t xml:space="preserve">shadow_batches </t>
    </r>
    <r>
      <rPr>
        <sz val="10"/>
        <rFont val="Noto Sans CJK SC"/>
        <family val="2"/>
      </rPr>
      <t xml:space="preserve">並晉升；封存影子版本、生效版追上各釋出名額；輸掉即釋出名額；停用任務不佔名額。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6/7 </t>
    </r>
    <r>
      <rPr>
        <sz val="10"/>
        <rFont val="Noto Sans CJK SC"/>
        <family val="2"/>
      </rPr>
      <t xml:space="preserve">失敗：</t>
    </r>
    <r>
      <rPr>
        <sz val="10"/>
        <rFont val="Arial"/>
        <family val="0"/>
        <charset val="1"/>
      </rPr>
      <t xml:space="preserve">(a)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2 == 4</t>
    </r>
    <r>
      <rPr>
        <sz val="10"/>
        <rFont val="Noto Sans CJK SC"/>
        <family val="2"/>
      </rPr>
      <t xml:space="preserve">」（第二批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張影子卡）、</t>
    </r>
    <r>
      <rPr>
        <sz val="10"/>
        <rFont val="Arial"/>
        <family val="0"/>
        <charset val="1"/>
      </rPr>
      <t xml:space="preserve">(b)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1 == 0</t>
    </r>
    <r>
      <rPr>
        <sz val="10"/>
        <rFont val="Noto Sans CJK SC"/>
        <family val="2"/>
      </rPr>
      <t xml:space="preserve">」、釋出名額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(1, 1) == (1, 0)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(c)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assert 2 == 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portfolio </t>
    </r>
    <r>
      <rPr>
        <sz val="10"/>
        <rFont val="Noto Sans CJK SC"/>
        <family val="2"/>
      </rPr>
      <t xml:space="preserve">任務停在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張）、輸掉即釋出「</t>
    </r>
    <r>
      <rPr>
        <sz val="10"/>
        <rFont val="Arial"/>
        <family val="0"/>
        <charset val="1"/>
      </rPr>
      <t xml:space="preserve">(1, 1) == (3, 0)</t>
    </r>
    <r>
      <rPr>
        <sz val="10"/>
        <rFont val="Noto Sans CJK SC"/>
        <family val="2"/>
      </rPr>
      <t xml:space="preserve">」；第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則為新設計的守門。變異 </t>
    </r>
    <r>
      <rPr>
        <sz val="10"/>
        <rFont val="Arial"/>
        <family val="0"/>
        <charset val="1"/>
      </rPr>
      <t xml:space="preserve">M2 </t>
    </r>
    <r>
      <rPr>
        <sz val="10"/>
        <rFont val="Noto Sans CJK SC"/>
        <family val="2"/>
      </rPr>
      <t xml:space="preserve">改回全歷史張數 → 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M3 </t>
    </r>
    <r>
      <rPr>
        <sz val="10"/>
        <rFont val="Noto Sans CJK SC"/>
        <family val="2"/>
      </rPr>
      <t xml:space="preserve">影子成績改回各版混算 → 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assert 1 not in [1]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靠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的評分晉升）。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</si>
  <si>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時間推進流程（同 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以畫面「設為生效」採用 → 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v2 → 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 </t>
    </r>
    <r>
      <rPr>
        <sz val="10"/>
        <rFont val="Noto Sans CJK SC"/>
        <family val="2"/>
      </rPr>
      <t xml:space="preserve">各跑一批 → 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影子評估批次數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＋自動晉升 → 改 </t>
    </r>
    <r>
      <rPr>
        <sz val="10"/>
        <rFont val="Arial"/>
        <family val="0"/>
        <charset val="1"/>
      </rPr>
      <t xml:space="preserve">3 →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v3 → </t>
    </r>
    <r>
      <rPr>
        <sz val="10"/>
        <rFont val="Noto Sans CJK SC"/>
        <family val="2"/>
      </rPr>
      <t xml:space="preserve">再跑一批；讀 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表、假模型請求與版本鏈狀態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</si>
  <si>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上限以累計影子卡計，第一批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張之後永無影子、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無法評估
假設：①上限改計任務數、影子期每批都產；②只放寬張數
排除：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生效 </t>
    </r>
    <r>
      <rPr>
        <sz val="10"/>
        <rFont val="Arial"/>
        <family val="0"/>
        <charset val="1"/>
      </rPr>
      <t xml:space="preserve">v1 9 </t>
    </r>
    <r>
      <rPr>
        <sz val="10"/>
        <rFont val="Noto Sans CJK SC"/>
        <family val="2"/>
      </rPr>
      <t xml:space="preserve">張＋影子 </t>
    </r>
    <r>
      <rPr>
        <sz val="10"/>
        <rFont val="Arial"/>
        <family val="0"/>
        <charset val="1"/>
      </rPr>
      <t xml:space="preserve">v2 9 </t>
    </r>
    <r>
      <rPr>
        <sz val="10"/>
        <rFont val="Noto Sans CJK SC"/>
        <family val="2"/>
      </rPr>
      <t xml:space="preserve">張（假模型帶校正層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09-21 </t>
    </r>
    <r>
      <rPr>
        <sz val="10"/>
        <rFont val="Noto Sans CJK SC"/>
        <family val="2"/>
      </rPr>
      <t xml:space="preserve">再產影子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張（版本鏈「影子評估中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v2 18 </t>
    </r>
    <r>
      <rPr>
        <sz val="10"/>
        <rFont val="Noto Sans CJK SC"/>
        <family val="2"/>
      </rPr>
      <t xml:space="preserve">筆評分、批次數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時不晉升（版本鏈「影子評估中 </t>
    </r>
    <r>
      <rPr>
        <sz val="10"/>
        <rFont val="Arial"/>
        <family val="0"/>
        <charset val="1"/>
      </rPr>
      <t xml:space="preserve">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」、生效仍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），改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後評分工作「晉升：個股健檢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」、生效版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；隨後產生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，下一批生效 </t>
    </r>
    <r>
      <rPr>
        <sz val="10"/>
        <rFont val="Arial"/>
        <family val="0"/>
        <charset val="1"/>
      </rPr>
      <t xml:space="preserve">v2 9 </t>
    </r>
    <r>
      <rPr>
        <sz val="10"/>
        <rFont val="Noto Sans CJK SC"/>
        <family val="2"/>
      </rPr>
      <t xml:space="preserve">張＋影子 </t>
    </r>
    <r>
      <rPr>
        <sz val="10"/>
        <rFont val="Arial"/>
        <family val="0"/>
        <charset val="1"/>
      </rPr>
      <t xml:space="preserve">v3 9 </t>
    </r>
    <r>
      <rPr>
        <sz val="10"/>
        <rFont val="Noto Sans CJK SC"/>
        <family val="2"/>
      </rPr>
      <t xml:space="preserve">張。晉升比較依各版本自己的紀錄（</t>
    </r>
    <r>
      <rPr>
        <sz val="10"/>
        <rFont val="Arial"/>
        <family val="0"/>
        <charset val="1"/>
      </rPr>
      <t xml:space="preserve">v1 27 </t>
    </r>
    <r>
      <rPr>
        <sz val="10"/>
        <rFont val="Noto Sans CJK SC"/>
        <family val="2"/>
      </rPr>
      <t xml:space="preserve">筆失誤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18 </t>
    </r>
    <r>
      <rPr>
        <sz val="10"/>
        <rFont val="Noto Sans CJK SC"/>
        <family val="2"/>
      </rPr>
      <t xml:space="preserve">筆失誤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）。排除②
定位：</t>
    </r>
    <r>
      <rPr>
        <sz val="10"/>
        <rFont val="Arial"/>
        <family val="0"/>
        <charset val="1"/>
      </rPr>
      <t xml:space="preserve">llm_insight/promote.py:109 shadow_phase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api/insight_service.py shadow_states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</si>
  <si>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影子每批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張持續產生；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晉升後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下一批即有影子卡；門檻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時暫緩、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時晉升。變異（驗證者於本機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重做）：排隊條件拿掉（恆 </t>
    </r>
    <r>
      <rPr>
        <sz val="10"/>
        <rFont val="Arial"/>
        <family val="0"/>
        <charset val="1"/>
      </rPr>
      <t xml:space="preserve">waiting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(1, 1) == (1, 0)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7 passed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max_shadows </t>
    </r>
    <r>
      <rPr>
        <sz val="10"/>
        <rFont val="Noto Sans CJK SC"/>
        <family val="2"/>
      </rPr>
      <t xml:space="preserve">排隊情境未黑箱重現，以契約測試與變異佐證</t>
    </r>
  </si>
  <si>
    <r>
      <rPr>
        <sz val="10"/>
        <rFont val="Noto Sans CJK SC"/>
        <family val="2"/>
      </rPr>
      <t xml:space="preserve">同意。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原本就接受 </t>
    </r>
    <r>
      <rPr>
        <sz val="10"/>
        <rFont val="Arial"/>
        <family val="0"/>
        <charset val="1"/>
      </rPr>
      <t xml:space="preserve">version: null</t>
    </r>
    <r>
      <rPr>
        <sz val="10"/>
        <rFont val="Noto Sans CJK SC"/>
        <family val="2"/>
      </rPr>
      <t xml:space="preserve">（取消生效），不必新增。另外：選到已封存版本原本回「該洞察組合無校正版本 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」，改為「校正版本 </t>
    </r>
    <r>
      <rPr>
        <sz val="10"/>
        <rFont val="Arial"/>
        <family val="0"/>
        <charset val="1"/>
      </rPr>
      <t xml:space="preserve">vN </t>
    </r>
    <r>
      <rPr>
        <sz val="10"/>
        <rFont val="Noto Sans CJK SC"/>
        <family val="2"/>
      </rPr>
      <t xml:space="preserve">已封存，不能設為生效」。</t>
    </r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</si>
  <si>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</si>
  <si>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r>
      <rPr>
        <sz val="10"/>
        <rFont val="Noto Sans CJK SC"/>
        <family val="2"/>
      </rPr>
      <t xml:space="preserve">「每條路由都要有前端呼叫點」的守門測試有白名單，這個路由的白名單理由寫「</t>
    </r>
    <r>
      <rPr>
        <sz val="10"/>
        <rFont val="Arial"/>
        <family val="0"/>
        <charset val="1"/>
      </rPr>
      <t xml:space="preserve">the newest live one is active by default</t>
    </r>
    <r>
      <rPr>
        <sz val="10"/>
        <rFont val="Noto Sans CJK SC"/>
        <family val="2"/>
      </rPr>
      <t xml:space="preserve">」——從來不是事實（沒有生效版時卡片不附加任何校正層），讓缺按鈕看起來像刻意設計；任務抽屜的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從未打開 ④。已刪除兩條相關白名單，守門測試因此會攔下「按鈕不呼叫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</si>
  <si>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每個未封存、非生效的版本加「設為生效」，生效版加「取消生效」（回到不附加校正層）；兩者都先跳站內確認框「之後產生的卡片改用校正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；已產生的卡片不變」。影子版本顯示狀態標籤：影子評估中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、影子：下一批開始評估、影子排隊中（目前／上限）、影子勝出・可設為生效、影子未勝出，並列出本版與生效版各自的評分數與失誤數（數字由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給）。沒有生效版時提示「目前未設生效版 — 卡片不附加校正層」。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修復鈕改名「前往設為生效」，抽屜打開後聚焦推薦按鈕（勝出的影子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影子 </t>
    </r>
    <r>
      <rPr>
        <sz val="10"/>
        <rFont val="Arial"/>
        <family val="0"/>
        <charset val="1"/>
      </rPr>
      <t xml:space="preserve">&gt; </t>
    </r>
    <r>
      <rPr>
        <sz val="10"/>
        <rFont val="Noto Sans CJK SC"/>
        <family val="2"/>
      </rPr>
      <t xml:space="preserve">最新版，以外框標示）。</t>
    </r>
    <r>
      <rPr>
        <sz val="10"/>
        <rFont val="Arial"/>
        <family val="0"/>
        <charset val="1"/>
      </rPr>
      <t xml:space="preserve">GET /api/calibrations </t>
    </r>
    <r>
      <rPr>
        <sz val="10"/>
        <rFont val="Noto Sans CJK SC"/>
        <family val="2"/>
      </rPr>
      <t xml:space="preserve">每版多 </t>
    </r>
    <r>
      <rPr>
        <sz val="10"/>
        <rFont val="Arial"/>
        <family val="0"/>
        <charset val="1"/>
      </rPr>
      <t xml:space="preserve">is_active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shadow </t>
    </r>
    <r>
      <rPr>
        <sz val="10"/>
        <rFont val="Noto Sans CJK SC"/>
        <family val="2"/>
      </rPr>
      <t xml:space="preserve">兩欄（只增欄位，唯讀）。自我進化設定說明改為「關閉時需到「洞察管線 › 任務抽屜 › ④ 校正版本鏈」按「設為生效」」，另兩段說明改為如實描述（上限計任務數、批次數實計評分筆數）。</t>
    </r>
  </si>
  <si>
    <r>
      <rPr>
        <sz val="10"/>
        <rFont val="Noto Sans CJK SC"/>
        <family val="2"/>
      </rPr>
      <t xml:space="preserve">界面文字叫使用者「按／點「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」」但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沒有對應控制項：掃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web/*.js|html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按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點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點選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按下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點擊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「…」→ 共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settings-prompts.js:1100</t>
    </r>
    <r>
      <rPr>
        <sz val="10"/>
        <rFont val="Noto Sans CJK SC"/>
        <family val="2"/>
      </rPr>
      <t xml:space="preserve">「設為生效」）／白名單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（誤判：</t>
    </r>
    <r>
      <rPr>
        <sz val="10"/>
        <rFont val="Arial"/>
        <family val="0"/>
        <charset val="1"/>
      </rPr>
      <t xml:space="preserve">instruments.js:277</t>
    </r>
    <r>
      <rPr>
        <sz val="10"/>
        <rFont val="Noto Sans CJK SC"/>
        <family val="2"/>
      </rPr>
      <t xml:space="preserve">「顯示已移除／封存」按鈕在 </t>
    </r>
    <r>
      <rPr>
        <sz val="10"/>
        <rFont val="Arial"/>
        <family val="0"/>
        <charset val="1"/>
      </rPr>
      <t xml:space="preserve">:110</t>
    </r>
    <r>
      <rPr>
        <sz val="10"/>
        <rFont val="Noto Sans CJK SC"/>
        <family val="2"/>
      </rPr>
      <t xml:space="preserve">，標籤後帶數量）／其餘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有對應控制項。「無前端呼叫」白名單剩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條，理由逐條確認屬實，也沒有界面文字承諾這些按鈕。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</si>
  <si>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e2e tests/e2e/test_def069_def071_shadow_ui_flow.py </t>
    </r>
    <r>
      <rPr>
        <sz val="10"/>
        <rFont val="Noto Sans CJK SC"/>
        <family val="2"/>
      </rPr>
      <t xml:space="preserve">後半：乾跑預檢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「前往設為生效」→ 抽屜聚焦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的按鈕 → 按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「設為生效」→ 站內確認框 → </t>
    </r>
    <r>
      <rPr>
        <sz val="10"/>
        <rFont val="Arial"/>
        <family val="0"/>
        <charset val="1"/>
      </rPr>
      <t xml:space="preserve">PUT → v1 </t>
    </r>
    <r>
      <rPr>
        <sz val="10"/>
        <rFont val="Noto Sans CJK SC"/>
        <family val="2"/>
      </rPr>
      <t xml:space="preserve">顯示「生效中」、</t>
    </r>
    <r>
      <rPr>
        <sz val="10"/>
        <rFont val="Arial"/>
        <family val="0"/>
        <charset val="1"/>
      </rPr>
      <t xml:space="preserve">API active_calibration_version=1 → </t>
    </r>
    <r>
      <rPr>
        <sz val="10"/>
        <rFont val="Noto Sans CJK SC"/>
        <family val="2"/>
      </rPr>
      <t xml:space="preserve">按「取消生效」→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變回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。以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執行失敗「</t>
    </r>
    <r>
      <rPr>
        <sz val="10"/>
        <rFont val="Arial"/>
        <family val="0"/>
        <charset val="1"/>
      </rPr>
      <t xml:space="preserve">Locator expected to have count '1' Actual value: 0 … .pf-row button:has-text('</t>
    </r>
    <r>
      <rPr>
        <sz val="10"/>
        <rFont val="Noto Sans CJK SC"/>
        <family val="2"/>
      </rPr>
      <t xml:space="preserve">前往設為生效</t>
    </r>
    <r>
      <rPr>
        <sz val="10"/>
        <rFont val="Arial"/>
        <family val="0"/>
        <charset val="1"/>
      </rPr>
      <t xml:space="preserve">')</t>
    </r>
    <r>
      <rPr>
        <sz val="10"/>
        <rFont val="Noto Sans CJK SC"/>
        <family val="2"/>
      </rPr>
      <t xml:space="preserve">」。新增 </t>
    </r>
    <r>
      <rPr>
        <sz val="10"/>
        <rFont val="Arial"/>
        <family val="0"/>
        <charset val="1"/>
      </rPr>
      <t xml:space="preserve">tests/contract/test_def071_set_active_calibration.py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則：版本鏈的生效／影子標示與勝出紀錄〔舊碼 </t>
    </r>
    <r>
      <rPr>
        <sz val="10"/>
        <rFont val="Arial"/>
        <family val="0"/>
        <charset val="1"/>
      </rPr>
      <t xml:space="preserve">KeyError 'is_active'</t>
    </r>
    <r>
      <rPr>
        <sz val="10"/>
        <rFont val="Noto Sans CJK SC"/>
        <family val="2"/>
      </rPr>
      <t xml:space="preserve">〕；已封存版本回中文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；設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後下一批卡片 </t>
    </r>
    <r>
      <rPr>
        <sz val="10"/>
        <rFont val="Arial"/>
        <family val="0"/>
        <charset val="1"/>
      </rPr>
      <t xml:space="preserve">calibration_version=1 </t>
    </r>
    <r>
      <rPr>
        <sz val="10"/>
        <rFont val="Noto Sans CJK SC"/>
        <family val="2"/>
      </rPr>
      <t xml:space="preserve">且提示詞只含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、取消後為 </t>
    </r>
    <r>
      <rPr>
        <sz val="10"/>
        <rFont val="Arial"/>
        <family val="0"/>
        <charset val="1"/>
      </rPr>
      <t xml:space="preserve">None</t>
    </r>
    <r>
      <rPr>
        <sz val="10"/>
        <rFont val="Noto Sans CJK SC"/>
        <family val="2"/>
      </rPr>
      <t xml:space="preserve">〔回歸釘，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原本存在〕）。變異 </t>
    </r>
    <r>
      <rPr>
        <sz val="10"/>
        <rFont val="Arial"/>
        <family val="0"/>
        <charset val="1"/>
      </rPr>
      <t xml:space="preserve">M4 </t>
    </r>
    <r>
      <rPr>
        <sz val="10"/>
        <rFont val="Noto Sans CJK SC"/>
        <family val="2"/>
      </rPr>
      <t xml:space="preserve">按鈕不呼叫 </t>
    </r>
    <r>
      <rPr>
        <sz val="10"/>
        <rFont val="Arial"/>
        <family val="0"/>
        <charset val="1"/>
      </rPr>
      <t xml:space="preserve">API → 2 </t>
    </r>
    <r>
      <rPr>
        <sz val="10"/>
        <rFont val="Noto Sans CJK SC"/>
        <family val="2"/>
      </rPr>
      <t xml:space="preserve">則失敗：路由守門「</t>
    </r>
    <r>
      <rPr>
        <sz val="10"/>
        <rFont val="Arial"/>
        <family val="0"/>
        <charset val="1"/>
      </rPr>
      <t xml:space="preserve">routes no browser code reaches …: [('PUT', '/api/insight-tasks/{insight_type_id}/active-calibration'), ('PUT', '/api/insight-types/…')]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TimeoutError: Timeout 60000ms exceeded while waiting for event "response"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</si>
  <si>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操作 洞察管線 › 個股健檢 抽屜 ④ 校正版本鏈：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按「設為生效」；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按「取消生效」再按「設為生效」；讀確認框、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與版本鏈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</si>
  <si>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版本鏈只有「封存」
假設：①每版有設為生效／取消生效且走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；②只加了按鈕外觀
排除：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時提示「目前未設生效版 — 卡片不附加校正層；按「設為生效」採用某一版」，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列「最新版 設為生效 封存」；按下 → 確認框「設為生效 </t>
    </r>
    <r>
      <rPr>
        <sz val="10"/>
        <rFont val="Arial"/>
        <family val="0"/>
        <charset val="1"/>
      </rPr>
      <t xml:space="preserve">v1 — </t>
    </r>
    <r>
      <rPr>
        <sz val="10"/>
        <rFont val="Noto Sans CJK SC"/>
        <family val="2"/>
      </rPr>
      <t xml:space="preserve">個股健檢：之後產生的卡片改用校正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；已產生的卡片不變」→ </t>
    </r>
    <r>
      <rPr>
        <sz val="10"/>
        <rFont val="Arial"/>
        <family val="0"/>
        <charset val="1"/>
      </rPr>
      <t xml:space="preserve">PUT {"version":1}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「已設為生效」、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「生效中 取消生效」，之後卡片 </t>
    </r>
    <r>
      <rPr>
        <sz val="10"/>
        <rFont val="Arial"/>
        <family val="0"/>
        <charset val="1"/>
      </rPr>
      <t xml:space="preserve">calibration_version=1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09-29 v2</t>
    </r>
    <r>
      <rPr>
        <sz val="10"/>
        <rFont val="Noto Sans CJK SC"/>
        <family val="2"/>
      </rPr>
      <t xml:space="preserve">「取消生效」→ </t>
    </r>
    <r>
      <rPr>
        <sz val="10"/>
        <rFont val="Arial"/>
        <family val="0"/>
        <charset val="1"/>
      </rPr>
      <t xml:space="preserve">PUT {"version":null} 200</t>
    </r>
    <r>
      <rPr>
        <sz val="10"/>
        <rFont val="Noto Sans CJK SC"/>
        <family val="2"/>
      </rPr>
      <t xml:space="preserve">、「已取消生效　之後的卡片不附加校正層」、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；再「設為生效」→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。診斷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「有未套用的校正版本（不會進行影子評估，需手動設為生效）」。排除②
定位：</t>
    </r>
    <r>
      <rPr>
        <sz val="10"/>
        <rFont val="Arial"/>
        <family val="0"/>
        <charset val="1"/>
      </rPr>
      <t xml:space="preserve">web/pipeline.js:796 putActive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:853-869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</si>
  <si>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設為生效／取消生效各實測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與版本鏈一致。變異（驗證者於本機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重做）：版本 </t>
    </r>
    <r>
      <rPr>
        <sz val="10"/>
        <rFont val="Arial"/>
        <family val="0"/>
        <charset val="1"/>
      </rPr>
      <t xml:space="preserve">is_active </t>
    </r>
    <r>
      <rPr>
        <sz val="10"/>
        <rFont val="Noto Sans CJK SC"/>
        <family val="2"/>
      </rPr>
      <t xml:space="preserve">恆 </t>
    </r>
    <r>
      <rPr>
        <sz val="10"/>
        <rFont val="Arial"/>
        <family val="0"/>
        <charset val="1"/>
      </rPr>
      <t xml:space="preserve">False → 1 failed</t>
    </r>
    <r>
      <rPr>
        <sz val="10"/>
        <rFont val="Noto Sans CJK SC"/>
        <family val="2"/>
      </rPr>
      <t xml:space="preserve">；前端改打不存在的路由 → 路由守門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routes no browser code reaches…active-calibration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e2e——</t>
    </r>
    <r>
      <rPr>
        <sz val="10"/>
        <rFont val="Noto Sans CJK SC"/>
        <family val="2"/>
      </rPr>
      <t xml:space="preserve">前端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改打不存在的 </t>
    </r>
    <r>
      <rPr>
        <sz val="10"/>
        <rFont val="Arial"/>
        <family val="0"/>
        <charset val="1"/>
      </rPr>
      <t xml:space="preserve">/active-calibration-x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/api/insight-tasks/1/active-calibration-x </t>
    </r>
    <r>
      <rPr>
        <sz val="10"/>
        <rFont val="Noto Sans CJK SC"/>
        <family val="2"/>
      </rPr>
      <t xml:space="preserve">回應非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</si>
  <si>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發現（修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在對話中裁定本輪一起修。樣本改為「觸發這次產版的那一批失誤」，觸發用的證據與交給大師模型的證據是同一組（與 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共用時間窗）。</t>
    </r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</si>
  <si>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</si>
  <si>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</si>
  <si>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evaluations_store.calibration_window</t>
    </r>
    <r>
      <rPr>
        <sz val="10"/>
        <rFont val="Noto Sans CJK SC"/>
        <family val="2"/>
      </rPr>
      <t xml:space="preserve">（見 </t>
    </r>
    <r>
      <rPr>
        <sz val="10"/>
        <rFont val="Arial"/>
        <family val="0"/>
        <charset val="1"/>
      </rPr>
      <t xml:space="preserve">DEF-080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miss_samples_by_ids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只把時間窗內的失誤交給大師模型，底稿取生效版的內文（無生效版時為空白）。</t>
    </r>
    <r>
      <rPr>
        <sz val="10"/>
        <rFont val="Arial"/>
        <family val="0"/>
        <charset val="1"/>
      </rPr>
      <t xml:space="preserve">miss_samples_for_version </t>
    </r>
    <r>
      <rPr>
        <sz val="10"/>
        <rFont val="Noto Sans CJK SC"/>
        <family val="2"/>
      </rPr>
      <t xml:space="preserve">保留給 </t>
    </r>
    <r>
      <rPr>
        <sz val="10"/>
        <rFont val="Arial"/>
        <family val="0"/>
        <charset val="1"/>
      </rPr>
      <t xml:space="preserve">/api/calibrations/{id}/samples</t>
    </r>
    <r>
      <rPr>
        <sz val="10"/>
        <rFont val="Noto Sans CJK SC"/>
        <family val="2"/>
      </rPr>
      <t xml:space="preserve">，與新函式共用同一段 </t>
    </r>
    <r>
      <rPr>
        <sz val="10"/>
        <rFont val="Arial"/>
        <family val="0"/>
        <charset val="1"/>
      </rPr>
      <t xml:space="preserve">SQL</t>
    </r>
    <r>
      <rPr>
        <sz val="10"/>
        <rFont val="Noto Sans CJK SC"/>
        <family val="2"/>
      </rPr>
      <t xml:space="preserve">。排程明細改為「產生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筆）」，可直接從明細看到依據筆數。不採用：改用 </t>
    </r>
    <r>
      <rPr>
        <sz val="10"/>
        <rFont val="Arial"/>
        <family val="0"/>
        <charset val="1"/>
      </rPr>
      <t xml:space="preserve">IS NULL </t>
    </r>
    <r>
      <rPr>
        <sz val="10"/>
        <rFont val="Noto Sans CJK SC"/>
        <family val="2"/>
      </rPr>
      <t xml:space="preserve">查整段歷史的失誤（會重複使用已拿來產版的舊失誤，即 </t>
    </r>
    <r>
      <rPr>
        <sz val="10"/>
        <rFont val="Arial"/>
        <family val="0"/>
        <charset val="1"/>
      </rPr>
      <t xml:space="preserve">DEF-080</t>
    </r>
    <r>
      <rPr>
        <sz val="10"/>
        <rFont val="Noto Sans CJK SC"/>
        <family val="2"/>
      </rPr>
      <t xml:space="preserve">）。附記（未修）：</t>
    </r>
    <r>
      <rPr>
        <sz val="10"/>
        <rFont val="Arial"/>
        <family val="0"/>
        <charset val="1"/>
      </rPr>
      <t xml:space="preserve">spec 4.7 </t>
    </r>
    <r>
      <rPr>
        <sz val="10"/>
        <rFont val="Noto Sans CJK SC"/>
        <family val="2"/>
      </rPr>
      <t xml:space="preserve">說 </t>
    </r>
    <r>
      <rPr>
        <sz val="10"/>
        <rFont val="Arial"/>
        <family val="0"/>
        <charset val="1"/>
      </rPr>
      <t xml:space="preserve">samples </t>
    </r>
    <r>
      <rPr>
        <sz val="10"/>
        <rFont val="Noto Sans CJK SC"/>
        <family val="2"/>
      </rPr>
      <t xml:space="preserve">路由回傳「驅動該版的失誤樣本」，實作回傳的是「該版本身卡片的失誤」；要正確回答需在版本上記錄依據（加欄位），此路由沒有前端呼叫點，列為後續項。</t>
    </r>
  </si>
  <si>
    <r>
      <rPr>
        <sz val="10"/>
        <rFont val="Noto Sans CJK SC"/>
        <family val="2"/>
      </rPr>
      <t xml:space="preserve">「以最新版或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代替生效版」的讀取點 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insight_service:901 </t>
    </r>
    <r>
      <rPr>
        <sz val="10"/>
        <rFont val="Noto Sans CJK SC"/>
        <family val="2"/>
      </rPr>
      <t xml:space="preserve">底稿、</t>
    </r>
    <r>
      <rPr>
        <sz val="10"/>
        <rFont val="Arial"/>
        <family val="0"/>
        <charset val="1"/>
      </rPr>
      <t xml:space="preserve">:902 </t>
    </r>
    <r>
      <rPr>
        <sz val="10"/>
        <rFont val="Noto Sans CJK SC"/>
        <family val="2"/>
      </rPr>
      <t xml:space="preserve">取樣本的版本）／白名單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:430 </t>
    </r>
    <r>
      <rPr>
        <sz val="10"/>
        <rFont val="Noto Sans CJK SC"/>
        <family val="2"/>
      </rPr>
      <t xml:space="preserve">影子版本本來就是最新版；</t>
    </r>
    <r>
      <rPr>
        <sz val="10"/>
        <rFont val="Arial"/>
        <family val="0"/>
        <charset val="1"/>
      </rPr>
      <t xml:space="preserve">:998 </t>
    </r>
    <r>
      <rPr>
        <sz val="10"/>
        <rFont val="Noto Sans CJK SC"/>
        <family val="2"/>
      </rPr>
      <t xml:space="preserve">晉升比較的就是最新版；</t>
    </r>
    <r>
      <rPr>
        <sz val="10"/>
        <rFont val="Arial"/>
        <family val="0"/>
        <charset val="1"/>
      </rPr>
      <t xml:space="preserve">:1064 _unapplied_calibration </t>
    </r>
    <r>
      <rPr>
        <sz val="10"/>
        <rFont val="Noto Sans CJK SC"/>
        <family val="2"/>
      </rPr>
      <t xml:space="preserve">本來就在比「生效版 ≠ 最新版」；</t>
    </r>
    <r>
      <rPr>
        <sz val="10"/>
        <rFont val="Arial"/>
        <family val="0"/>
        <charset val="1"/>
      </rPr>
      <t xml:space="preserve">composer_store:791 </t>
    </r>
    <r>
      <rPr>
        <sz val="10"/>
        <rFont val="Noto Sans CJK SC"/>
        <family val="2"/>
      </rPr>
      <t xml:space="preserve">是寫入、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合法；</t>
    </r>
    <r>
      <rPr>
        <sz val="10"/>
        <rFont val="Arial"/>
        <family val="0"/>
        <charset val="1"/>
      </rPr>
      <t xml:space="preserve">evaluations_store:650 miss_samples_for_version </t>
    </r>
    <r>
      <rPr>
        <sz val="10"/>
        <rFont val="Noto Sans CJK SC"/>
        <family val="2"/>
      </rPr>
      <t xml:space="preserve">的唯一呼叫者 </t>
    </r>
    <r>
      <rPr>
        <sz val="10"/>
        <rFont val="Arial"/>
        <family val="0"/>
        <charset val="1"/>
      </rPr>
      <t xml:space="preserve">samples </t>
    </r>
    <r>
      <rPr>
        <sz val="10"/>
        <rFont val="Noto Sans CJK SC"/>
        <family val="2"/>
      </rPr>
      <t xml:space="preserve">路由一定傳真實版本號，</t>
    </r>
    <r>
      <rPr>
        <sz val="10"/>
        <rFont val="Arial"/>
        <family val="0"/>
        <charset val="1"/>
      </rPr>
      <t xml:space="preserve">Loop 3 </t>
    </r>
    <r>
      <rPr>
        <sz val="10"/>
        <rFont val="Noto Sans CJK SC"/>
        <family val="2"/>
      </rPr>
      <t xml:space="preserve">已不再用它）。掃描指令：</t>
    </r>
    <r>
      <rPr>
        <sz val="10"/>
        <rFont val="Arial"/>
        <family val="0"/>
        <charset val="1"/>
      </rPr>
      <t xml:space="preserve">git grep -nE "\[-1\]\.(version|body)|if active else 1|calibration_version = \?" 3be67db -- portfolio_dash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</si>
  <si>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tests/scheduler/test_def079_calibration_basis.py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則，資料形狀比照真實：真卡片＋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同版本、同 </t>
    </r>
    <r>
      <rPr>
        <sz val="10"/>
        <rFont val="Arial"/>
        <family val="0"/>
        <charset val="1"/>
      </rPr>
      <t xml:space="preserve">lane </t>
    </r>
    <r>
      <rPr>
        <sz val="10"/>
        <rFont val="Noto Sans CJK SC"/>
        <family val="2"/>
      </rPr>
      <t xml:space="preserve">的評分）。舊邏輯 </t>
    </r>
    <r>
      <rPr>
        <sz val="10"/>
        <rFont val="Arial"/>
        <family val="0"/>
        <charset val="1"/>
      </rPr>
      <t xml:space="preserve">2/2 </t>
    </r>
    <r>
      <rPr>
        <sz val="10"/>
        <rFont val="Noto Sans CJK SC"/>
        <family val="2"/>
      </rPr>
      <t xml:space="preserve">失敗：「</t>
    </r>
    <r>
      <rPr>
        <sz val="10"/>
        <rFont val="Arial"/>
        <family val="0"/>
        <charset val="1"/>
      </rPr>
      <t xml:space="preserve">sample 0 never reached the master assert '</t>
    </r>
    <r>
      <rPr>
        <sz val="10"/>
        <rFont val="Noto Sans CJK SC"/>
        <family val="2"/>
      </rPr>
      <t xml:space="preserve">「未校正失誤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」、「</t>
    </r>
    <r>
      <rPr>
        <sz val="10"/>
        <rFont val="Arial"/>
        <family val="0"/>
        <charset val="1"/>
      </rPr>
      <t xml:space="preserve">assert ('BASE-ONE' in …</t>
    </r>
    <r>
      <rPr>
        <sz val="10"/>
        <rFont val="Noto Sans CJK SC"/>
        <family val="2"/>
      </rPr>
      <t xml:space="preserve">」（底稿是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的內文）。</t>
    </r>
    <r>
      <rPr>
        <sz val="10"/>
        <rFont val="Arial"/>
        <family val="0"/>
        <charset val="1"/>
      </rPr>
      <t xml:space="preserve">test_generate_calibrations </t>
    </r>
    <r>
      <rPr>
        <sz val="10"/>
        <rFont val="Noto Sans CJK SC"/>
        <family val="2"/>
      </rPr>
      <t xml:space="preserve">補斷言「</t>
    </r>
    <r>
      <rPr>
        <sz val="10"/>
        <rFont val="Arial"/>
        <family val="0"/>
        <charset val="1"/>
      </rPr>
      <t xml:space="preserve">prompts[0].count("</t>
    </r>
    <r>
      <rPr>
        <sz val="10"/>
        <rFont val="Noto Sans CJK SC"/>
        <family val="2"/>
      </rPr>
      <t xml:space="preserve">評語：高估</t>
    </r>
    <r>
      <rPr>
        <sz val="10"/>
        <rFont val="Arial"/>
        <family val="0"/>
        <charset val="1"/>
      </rPr>
      <t xml:space="preserve">") == 8</t>
    </r>
    <r>
      <rPr>
        <sz val="10"/>
        <rFont val="Noto Sans CJK SC"/>
        <family val="2"/>
      </rPr>
      <t xml:space="preserve">」，舊邏輯失敗「</t>
    </r>
    <r>
      <rPr>
        <sz val="10"/>
        <rFont val="Arial"/>
        <family val="0"/>
        <charset val="1"/>
      </rPr>
      <t xml:space="preserve">assert 0 == 8</t>
    </r>
    <r>
      <rPr>
        <sz val="10"/>
        <rFont val="Noto Sans CJK SC"/>
        <family val="2"/>
      </rPr>
      <t xml:space="preserve">」。變異 </t>
    </r>
    <r>
      <rPr>
        <sz val="10"/>
        <rFont val="Arial"/>
        <family val="0"/>
        <charset val="1"/>
      </rPr>
      <t xml:space="preserve">M7 </t>
    </r>
    <r>
      <rPr>
        <sz val="10"/>
        <rFont val="Noto Sans CJK SC"/>
        <family val="2"/>
      </rPr>
      <t xml:space="preserve">樣本改回取最新版或 </t>
    </r>
    <r>
      <rPr>
        <sz val="10"/>
        <rFont val="Arial"/>
        <family val="0"/>
        <charset val="1"/>
      </rPr>
      <t xml:space="preserve">v1 → 3 </t>
    </r>
    <r>
      <rPr>
        <sz val="10"/>
        <rFont val="Noto Sans CJK SC"/>
        <family val="2"/>
      </rPr>
      <t xml:space="preserve">則失敗（含 </t>
    </r>
    <r>
      <rPr>
        <sz val="10"/>
        <rFont val="Arial"/>
        <family val="0"/>
        <charset val="1"/>
      </rPr>
      <t xml:space="preserve">assert 0 == 8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M8 </t>
    </r>
    <r>
      <rPr>
        <sz val="10"/>
        <rFont val="Noto Sans CJK SC"/>
        <family val="2"/>
      </rPr>
      <t xml:space="preserve">底稿改回最新版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('BASE-ONE' in …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</si>
  <si>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筆（失誤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）後產生校正；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筆評分（失誤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）產生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09-29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影子期的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筆評分（失誤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）產生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；讀校正工作明細與版本內容</t>
    </r>
  </si>
  <si>
    <r>
      <rPr>
        <sz val="10"/>
        <rFont val="Noto Sans CJK SC"/>
        <family val="2"/>
      </rPr>
      <t xml:space="preserve">觀察：開發者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發現：無生效版時第一版失誤樣本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筆、之後版本以最新版而非生效版為底
假設：①樣本改為觸發本次產版的那批失誤、底稿取生效版；②只改明細文字
排除：明細依序「產生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筆）」（生效版空、未校正卡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筆中失誤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）、「產生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筆）」（生效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筆中失誤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）、「產生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筆）」（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筆中失誤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），樣本數＝觸發窗內失誤數。排除②
定位：</t>
    </r>
    <r>
      <rPr>
        <sz val="10"/>
        <rFont val="Arial"/>
        <family val="0"/>
        <charset val="1"/>
      </rPr>
      <t xml:space="preserve">api/insight_service.py:1188 active_body </t>
    </r>
    <r>
      <rPr>
        <sz val="10"/>
        <rFont val="Noto Sans CJK SC"/>
        <family val="2"/>
      </rPr>
      <t xml:space="preserve">取生效版、</t>
    </r>
    <r>
      <rPr>
        <sz val="10"/>
        <rFont val="Arial"/>
        <family val="0"/>
        <charset val="1"/>
      </rPr>
      <t xml:space="preserve">:1193 miss_samples_by_ids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</si>
  <si>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三次產版的樣本數與各自觸發窗的失誤數一致。變異（驗證者於本機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重做）：底稿改取最新未封存版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'BASE-ONE'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 passed</t>
    </r>
  </si>
  <si>
    <r>
      <rPr>
        <sz val="10"/>
        <rFont val="Noto Sans CJK SC"/>
        <family val="2"/>
      </rPr>
      <t xml:space="preserve">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發現（修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在對話中裁定本輪一起修。另加一道防線：最新版還在影子評估中、或已勝出等待「設為生效」時不產生新版，否則新版會取代它成為影子、舊候選永遠不會被判定。</t>
    </r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</si>
  <si>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</si>
  <si>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r>
      <rPr>
        <sz val="10"/>
        <rFont val="Noto Sans CJK SC"/>
        <family val="2"/>
      </rPr>
      <t xml:space="preserve">唯一跑兩次產版的測試 </t>
    </r>
    <r>
      <rPr>
        <sz val="10"/>
        <rFont val="Arial"/>
        <family val="0"/>
        <charset val="1"/>
      </rPr>
      <t xml:space="preserve">test_second_run_appends_version </t>
    </r>
    <r>
      <rPr>
        <sz val="10"/>
        <rFont val="Noto Sans CJK SC"/>
        <family val="2"/>
      </rPr>
      <t xml:space="preserve">在同一時刻、以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標記塞入第二批評分，然後斷言會出現 </t>
    </r>
    <r>
      <rPr>
        <sz val="10"/>
        <rFont val="Arial"/>
        <family val="0"/>
        <charset val="1"/>
      </rPr>
      <t xml:space="preserve">v2——</t>
    </r>
    <r>
      <rPr>
        <sz val="10"/>
        <rFont val="Noto Sans CJK SC"/>
        <family val="2"/>
      </rPr>
      <t xml:space="preserve">把重複觸發當成預期行為釘住。已改成真實形狀：第二批為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，且在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產生後一天才評分。</t>
    </r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</si>
  <si>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</si>
  <si>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以全部歷史作為產生動作或判定依據的讀取點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insight_service:891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calibration_gap :110 </t>
    </r>
    <r>
      <rPr>
        <sz val="10"/>
        <rFont val="Noto Sans CJK SC"/>
        <family val="2"/>
      </rPr>
      <t xml:space="preserve">全域校準誤差預警衡量目前狀態、不產出新東西；戰績頁 </t>
    </r>
    <r>
      <rPr>
        <sz val="10"/>
        <rFont val="Arial"/>
        <family val="0"/>
        <charset val="1"/>
      </rPr>
      <t xml:space="preserve">totals.gate_open</t>
    </r>
    <r>
      <rPr>
        <sz val="10"/>
        <rFont val="Noto Sans CJK SC"/>
        <family val="2"/>
      </rPr>
      <t xml:space="preserve">〔</t>
    </r>
    <r>
      <rPr>
        <sz val="10"/>
        <rFont val="Arial"/>
        <family val="0"/>
        <charset val="1"/>
      </rPr>
      <t xml:space="preserve">routers/insights.py:885</t>
    </r>
    <r>
      <rPr>
        <sz val="10"/>
        <rFont val="Noto Sans CJK SC"/>
        <family val="2"/>
      </rPr>
      <t xml:space="preserve">〕與 </t>
    </r>
    <r>
      <rPr>
        <sz val="10"/>
        <rFont val="Arial"/>
        <family val="0"/>
        <charset val="1"/>
      </rPr>
      <t xml:space="preserve">by_combo.gate_open</t>
    </r>
    <r>
      <rPr>
        <sz val="10"/>
        <rFont val="Noto Sans CJK SC"/>
        <family val="2"/>
      </rPr>
      <t xml:space="preserve">〔</t>
    </r>
    <r>
      <rPr>
        <sz val="10"/>
        <rFont val="Arial"/>
        <family val="0"/>
        <charset val="1"/>
      </rPr>
      <t xml:space="preserve">evaluations_store:767</t>
    </r>
    <r>
      <rPr>
        <sz val="10"/>
        <rFont val="Noto Sans CJK SC"/>
        <family val="2"/>
      </rPr>
      <t xml:space="preserve">〕只決定顯示比率時標不標「資料不足」；</t>
    </r>
    <r>
      <rPr>
        <sz val="10"/>
        <rFont val="Arial"/>
        <family val="0"/>
        <charset val="1"/>
      </rPr>
      <t xml:space="preserve">scoring.trust_tier </t>
    </r>
    <r>
      <rPr>
        <sz val="10"/>
        <rFont val="Noto Sans CJK SC"/>
        <family val="2"/>
      </rPr>
      <t xml:space="preserve">顯示用分級；</t>
    </r>
    <r>
      <rPr>
        <sz val="10"/>
        <rFont val="Arial"/>
        <family val="0"/>
        <charset val="1"/>
      </rPr>
      <t xml:space="preserve">_check_regression 8 </t>
    </r>
    <r>
      <rPr>
        <sz val="10"/>
        <rFont val="Noto Sans CJK SC"/>
        <family val="2"/>
      </rPr>
      <t xml:space="preserve">筆滾動跨版本，切換版本後變差本來就要發預警）。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已修的兩處晉升讀取不重複計。掃描指令：</t>
    </r>
    <r>
      <rPr>
        <sz val="10"/>
        <rFont val="Arial"/>
        <family val="0"/>
        <charset val="1"/>
      </rPr>
      <t xml:space="preserve">git grep -nE "resolved_sample_count\(|consecutive_misses\(|combo_score\(|min_samples" 3be67db -- portfolio_dash/api portfolio_dash/llm_insight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</si>
  <si>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tests/scheduler/test_def080_calibration_window.py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則）。舊邏輯 </t>
    </r>
    <r>
      <rPr>
        <sz val="10"/>
        <rFont val="Arial"/>
        <family val="0"/>
        <charset val="1"/>
      </rPr>
      <t xml:space="preserve">6/6 </t>
    </r>
    <r>
      <rPr>
        <sz val="10"/>
        <rFont val="Noto Sans CJK SC"/>
        <family val="2"/>
      </rPr>
      <t xml:space="preserve">失敗：同一批舊失誤不再每週產版「</t>
    </r>
    <r>
      <rPr>
        <sz val="10"/>
        <rFont val="Arial"/>
        <family val="0"/>
        <charset val="1"/>
      </rPr>
      <t xml:space="preserve">assert [1, 2] == [1]</t>
    </r>
    <r>
      <rPr>
        <sz val="10"/>
        <rFont val="Noto Sans CJK SC"/>
        <family val="2"/>
      </rPr>
      <t xml:space="preserve">」；上一版之後的新失誤仍會觸發（舊邏輯樣本為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prompt </t>
    </r>
    <r>
      <rPr>
        <sz val="10"/>
        <rFont val="Noto Sans CJK SC"/>
        <family val="2"/>
      </rPr>
      <t xml:space="preserve">失敗）；採用後只計生效版自己的卡片「</t>
    </r>
    <r>
      <rPr>
        <sz val="10"/>
        <rFont val="Arial"/>
        <family val="0"/>
        <charset val="1"/>
      </rPr>
      <t xml:space="preserve">[1, 2] == [1]</t>
    </r>
    <r>
      <rPr>
        <sz val="10"/>
        <rFont val="Noto Sans CJK SC"/>
        <family val="2"/>
      </rPr>
      <t xml:space="preserve">」；封存的版本仍消耗其依據「</t>
    </r>
    <r>
      <rPr>
        <sz val="10"/>
        <rFont val="Arial"/>
        <family val="0"/>
        <charset val="1"/>
      </rPr>
      <t xml:space="preserve">[1, 2] == [1]</t>
    </r>
    <r>
      <rPr>
        <sz val="10"/>
        <rFont val="Noto Sans CJK SC"/>
        <family val="2"/>
      </rPr>
      <t xml:space="preserve">」；影子評估中不產版與勝出待採用不產版皆「</t>
    </r>
    <r>
      <rPr>
        <sz val="10"/>
        <rFont val="Arial"/>
        <family val="0"/>
        <charset val="1"/>
      </rPr>
      <t xml:space="preserve">[1, 2, 3] == [1, 2]</t>
    </r>
    <r>
      <rPr>
        <sz val="10"/>
        <rFont val="Noto Sans CJK SC"/>
        <family val="2"/>
      </rPr>
      <t xml:space="preserve">」。變異 </t>
    </r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時間窗改回全部歷史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[1, 2] == [1]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M10 </t>
    </r>
    <r>
      <rPr>
        <sz val="10"/>
        <rFont val="Noto Sans CJK SC"/>
        <family val="2"/>
      </rPr>
      <t xml:space="preserve">不限版本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則；</t>
    </r>
    <r>
      <rPr>
        <sz val="10"/>
        <rFont val="Arial"/>
        <family val="0"/>
        <charset val="1"/>
      </rPr>
      <t xml:space="preserve">M11 </t>
    </r>
    <r>
      <rPr>
        <sz val="10"/>
        <rFont val="Noto Sans CJK SC"/>
        <family val="2"/>
      </rPr>
      <t xml:space="preserve">拿掉影子評估中的防線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[1, 2, 3] == [1, 2]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</si>
  <si>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後立即再跑一次校正；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後再跑一次（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影子評估中）；讀明細與版本數</t>
    </r>
  </si>
  <si>
    <r>
      <rPr>
        <sz val="10"/>
        <rFont val="Noto Sans CJK SC"/>
        <family val="2"/>
      </rPr>
      <t xml:space="preserve">觀察：開發者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發現：觸發條件讀全部歷史，同一批舊失誤每週重複產版（驗證者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連續產生即此）
假設：①時間窗只算上一版之後的新評分、影子評估中暫停；②只擋同日重跑
排除：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後立刻再跑 → 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個任務（個股健檢 新樣本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8…</t>
    </r>
    <r>
      <rPr>
        <sz val="10"/>
        <rFont val="Noto Sans CJK SC"/>
        <family val="2"/>
      </rPr>
      <t xml:space="preserve">）」，版本仍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個；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生效後累積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筆新評分才於 </t>
    </r>
    <r>
      <rPr>
        <sz val="10"/>
        <rFont val="Arial"/>
        <family val="0"/>
        <charset val="1"/>
      </rPr>
      <t xml:space="preserve">09-18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影子評估中再跑 → 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個任務（個股健檢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影子評估中）」；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晉升後以其影子期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筆評分產生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。排除②
定位：</t>
    </r>
    <r>
      <rPr>
        <sz val="10"/>
        <rFont val="Arial"/>
        <family val="0"/>
        <charset val="1"/>
      </rPr>
      <t xml:space="preserve">llm_insight/evaluations_store.py:686 calibration_window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</si>
  <si>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</si>
  <si>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r>
      <rPr>
        <sz val="10"/>
        <rFont val="Noto Sans CJK SC"/>
        <family val="2"/>
      </rPr>
      <t xml:space="preserve">同意。另外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原本就缺「已更新數」，前端要說「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檔已更新」只能自己算，所以一併由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補上計數。</t>
    </r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</si>
  <si>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</si>
  <si>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</si>
  <si>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</si>
  <si>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refresh </t>
    </r>
    <r>
      <rPr>
        <sz val="10"/>
        <rFont val="Noto Sans CJK SC"/>
        <family val="2"/>
      </rPr>
      <t xml:space="preserve">結果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的提示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shell.js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；同類的其他提示——背景回補（</t>
    </r>
    <r>
      <rPr>
        <sz val="10"/>
        <rFont val="Arial"/>
        <family val="0"/>
        <charset val="1"/>
      </rPr>
      <t xml:space="preserve">instruments.js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/actions/backfill-history </t>
    </r>
    <r>
      <rPr>
        <sz val="10"/>
        <rFont val="Noto Sans CJK SC"/>
        <family val="2"/>
      </rPr>
      <t xml:space="preserve">只回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）與單檔更新（新增標的後的更新，只回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字串）——都不讀 </t>
    </r>
    <r>
      <rPr>
        <sz val="10"/>
        <rFont val="Arial"/>
        <family val="0"/>
        <charset val="1"/>
      </rPr>
      <t xml:space="preserve">results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grep -n "results\[" web/*.js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grep -rn "refresh-quotes\|backfill-history" web/*.js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</si>
  <si>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tests/contract/test_def068_refresh_quotes_summary.py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則，真實路由＋不連網的假供應商）：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無法執行（</t>
    </r>
    <r>
      <rPr>
        <sz val="10"/>
        <rFont val="Arial"/>
        <family val="0"/>
        <charset val="1"/>
      </rPr>
      <t xml:space="preserve">ImportError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combine_quote_results </t>
    </r>
    <r>
      <rPr>
        <sz val="10"/>
        <rFont val="Noto Sans CJK SC"/>
        <family val="2"/>
      </rPr>
      <t xml:space="preserve">不存在）。新增 </t>
    </r>
    <r>
      <rPr>
        <sz val="10"/>
        <rFont val="Arial"/>
        <family val="0"/>
        <charset val="1"/>
      </rPr>
      <t xml:space="preserve">e2e tests/e2e/test_def068_refresh_toast_flow.py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則，瀏覽器的 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以「真實路由在程序內產生的回應」回覆，所以提示是對著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實際形狀測的）：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換回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版 → </t>
    </r>
    <r>
      <rPr>
        <sz val="10"/>
        <rFont val="Arial"/>
        <family val="0"/>
        <charset val="1"/>
      </rPr>
      <t xml:space="preserve">2/2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contain text '</t>
    </r>
    <r>
      <rPr>
        <sz val="10"/>
        <rFont val="Noto Sans CJK SC"/>
        <family val="2"/>
      </rPr>
      <t xml:space="preserve">報價更新失敗</t>
    </r>
    <r>
      <rPr>
        <sz val="10"/>
        <rFont val="Arial"/>
        <family val="0"/>
        <charset val="1"/>
      </rPr>
      <t xml:space="preserve">' … waiting for locator(".toast.toast-fail")</t>
    </r>
    <r>
      <rPr>
        <sz val="10"/>
        <rFont val="Noto Sans CJK SC"/>
        <family val="2"/>
      </rPr>
      <t xml:space="preserve">」，部分完成那則實際提示為「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。其餘已更新，重新整理頁面即可看到新價。」。變異：</t>
    </r>
    <r>
      <rPr>
        <sz val="10"/>
        <rFont val="Arial"/>
        <family val="0"/>
        <charset val="1"/>
      </rPr>
      <t xml:space="preserve">M9 fx_failed </t>
    </r>
    <r>
      <rPr>
        <sz val="10"/>
        <rFont val="Noto Sans CJK SC"/>
        <family val="2"/>
      </rPr>
      <t xml:space="preserve">改成任一工作失敗即算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則失敗；</t>
    </r>
    <r>
      <rPr>
        <sz val="10"/>
        <rFont val="Arial"/>
        <family val="0"/>
        <charset val="1"/>
      </rPr>
      <t xml:space="preserve">M10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instruments_updated → 2 </t>
    </r>
    <r>
      <rPr>
        <sz val="10"/>
        <rFont val="Noto Sans CJK SC"/>
        <family val="2"/>
      </rPr>
      <t xml:space="preserve">則失敗。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</si>
  <si>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）（外網封鎖）：儀表板 ⟳ 重新整理 › 更新報價，攔截 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回應與提示，前後比對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表雜湊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</si>
  <si>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全部失敗卻提示「其餘已更新」、不提匯率
假設：①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補計數、前端依計數選句；②前端只換句子
排除：回應新增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），三個工作 </t>
    </r>
    <r>
      <rPr>
        <sz val="10"/>
        <rFont val="Arial"/>
        <family val="0"/>
        <charset val="1"/>
      </rPr>
      <t xml:space="preserve">status error</t>
    </r>
    <r>
      <rPr>
        <sz val="10"/>
        <rFont val="Noto Sans CJK SC"/>
        <family val="2"/>
      </rPr>
      <t xml:space="preserve">；提示為失敗語氣（</t>
    </r>
    <r>
      <rPr>
        <sz val="10"/>
        <rFont val="Arial"/>
        <family val="0"/>
        <charset val="1"/>
      </rPr>
      <t xml:space="preserve">toast-fail</t>
    </r>
    <r>
      <rPr>
        <sz val="10"/>
        <rFont val="Noto Sans CJK SC"/>
        <family val="2"/>
      </rPr>
      <t xml:space="preserve">）「報價更新失敗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。仍顯示上次取得的價格，請稍後再試或檢查資料來源。」；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前後相同。排除②
定位：</t>
    </r>
    <r>
      <rPr>
        <sz val="10"/>
        <rFont val="Arial"/>
        <family val="0"/>
        <charset val="1"/>
      </rPr>
      <t xml:space="preserve">scheduler/jobs.py combine_quote_results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web/shell.js
</t>
    </r>
    <r>
      <rPr>
        <sz val="10"/>
        <rFont val="Noto Sans CJK SC"/>
        <family val="2"/>
      </rPr>
      <t xml:space="preserve">判定：通過（部分失敗句型離線無法製造，由開發者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覆蓋）</t>
    </r>
  </si>
  <si>
    <r>
      <rPr>
        <sz val="10"/>
        <rFont val="Noto Sans CJK SC"/>
        <family val="2"/>
      </rPr>
      <t xml:space="preserve">失敗語氣、點名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組匯率、不宣稱已更新。變異（驗證者於本機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all_failed </t>
    </r>
    <r>
      <rPr>
        <sz val="10"/>
        <rFont val="Noto Sans CJK SC"/>
        <family val="2"/>
      </rPr>
      <t xml:space="preserve">恆 </t>
    </r>
    <r>
      <rPr>
        <sz val="10"/>
        <rFont val="Arial"/>
        <family val="0"/>
        <charset val="1"/>
      </rPr>
      <t xml:space="preserve">False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False is True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4 passed</t>
    </r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</si>
  <si>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</si>
  <si>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r>
      <rPr>
        <sz val="10"/>
        <rFont val="Noto Sans CJK SC"/>
        <family val="2"/>
      </rPr>
      <t xml:space="preserve">同意。另外：洞察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的明細在成功時就是字面「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」、略過時是列舉碼，而 </t>
    </r>
    <r>
      <rPr>
        <sz val="10"/>
        <rFont val="Arial"/>
        <family val="0"/>
        <charset val="1"/>
      </rPr>
      <t xml:space="preserve">web/pipeline.js:847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`r.detail || ppSkipReason(r.reason)`</t>
    </r>
    <r>
      <rPr>
        <sz val="10"/>
        <rFont val="Noto Sans CJK SC"/>
        <family val="2"/>
      </rPr>
      <t xml:space="preserve">，明細非空就會繞過中文對照表；評分與校正的「無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」分支也是英文。</t>
    </r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</si>
  <si>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</si>
  <si>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tests/contract/test_zh_punctuation_fullwidth.py </t>
    </r>
    <r>
      <rPr>
        <sz val="10"/>
        <rFont val="Noto Sans CJK SC"/>
        <family val="2"/>
      </rPr>
      <t xml:space="preserve">只檢查「半形標點緊鄰中文」——純英文句沒有中文可以緊鄰，因此被判乾淨；該檔甚至把「</t>
    </r>
    <r>
      <rPr>
        <sz val="10"/>
        <rFont val="Arial"/>
        <family val="0"/>
        <charset val="1"/>
      </rPr>
      <t xml:space="preserve">3 alert(s) [a, b], 2 dispatched; notify</t>
    </r>
    <r>
      <rPr>
        <sz val="10"/>
        <rFont val="Noto Sans CJK SC"/>
        <family val="2"/>
      </rPr>
      <t xml:space="preserve">：無啟用通道」列為偵測器「不可標記」的範例：它檢查的是標點，從來不是語言。評分與校正工作的測試只斷言 </t>
    </r>
    <r>
      <rPr>
        <sz val="10"/>
        <rFont val="Arial"/>
        <family val="0"/>
        <charset val="1"/>
      </rPr>
      <t xml:space="preserve">isinstance(detail, str)</t>
    </r>
    <r>
      <rPr>
        <sz val="10"/>
        <rFont val="Noto Sans CJK SC"/>
        <family val="2"/>
      </rPr>
      <t xml:space="preserve">，任何字串都會通過。</t>
    </r>
  </si>
  <si>
    <r>
      <rPr>
        <sz val="10"/>
        <rFont val="Noto Sans CJK SC"/>
        <family val="2"/>
      </rPr>
      <t xml:space="preserve">所有明細改為中文句、全形標點，機器列舉碼留在 </t>
    </r>
    <r>
      <rPr>
        <sz val="10"/>
        <rFont val="Arial"/>
        <family val="0"/>
        <charset val="1"/>
      </rPr>
      <t xml:space="preserve">job_runs.reason</t>
    </r>
    <r>
      <rPr>
        <sz val="10"/>
        <rFont val="Noto Sans CJK SC"/>
        <family val="2"/>
      </rPr>
      <t xml:space="preserve">：預警掃描「預警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條（規則名…），派發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張；推播：送出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則／待送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則（通道異常：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）」、推播崩潰「推播失敗（預警已記錄）」；摘要「每日摘要 日期：…」／「每週行動清單 日期：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項；…」；新聞「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則，僅存標題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則，已收錄略過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則…」（排程與手動抓新聞共用 </t>
    </r>
    <r>
      <rPr>
        <sz val="10"/>
        <rFont val="Arial"/>
        <family val="0"/>
        <charset val="1"/>
      </rPr>
      <t xml:space="preserve">jobs.news_run_outcome</t>
    </r>
    <r>
      <rPr>
        <sz val="10"/>
        <rFont val="Noto Sans CJK SC"/>
        <family val="2"/>
      </rPr>
      <t xml:space="preserve">）；備份「備份完成：檔名」；外部快照「寫入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筆外部快照（應有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筆）」；訊號掃描「掃描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檔：首次建立狀態…」；無執行器「</t>
    </r>
    <r>
      <rPr>
        <sz val="10"/>
        <rFont val="Arial"/>
        <family val="0"/>
        <charset val="1"/>
      </rPr>
      <t xml:space="preserve">XX</t>
    </r>
    <r>
      <rPr>
        <sz val="10"/>
        <rFont val="Noto Sans CJK SC"/>
        <family val="2"/>
      </rPr>
      <t xml:space="preserve">執行器未接線，未執行」；洞察 </t>
    </r>
    <r>
      <rPr>
        <sz val="10"/>
        <rFont val="Arial"/>
        <family val="0"/>
        <charset val="1"/>
      </rPr>
      <t xml:space="preserve">run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張沿用當日快取）」、閘門略過「未執行：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閘門中文原因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。評分／校正（</t>
    </r>
    <r>
      <rPr>
        <sz val="10"/>
        <rFont val="Arial"/>
        <family val="0"/>
        <charset val="1"/>
      </rPr>
      <t xml:space="preserve">agent U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改回傳摘要物件（</t>
    </r>
    <r>
      <rPr>
        <sz val="10"/>
        <rFont val="Arial"/>
        <family val="0"/>
        <charset val="1"/>
      </rPr>
      <t xml:space="preserve">EvaluateSummary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CalibrationSummary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str() </t>
    </r>
    <r>
      <rPr>
        <sz val="10"/>
        <rFont val="Noto Sans CJK SC"/>
        <family val="2"/>
      </rPr>
      <t xml:space="preserve">即中文明細），</t>
    </r>
    <r>
      <rPr>
        <sz val="10"/>
        <rFont val="Arial"/>
        <family val="0"/>
        <charset val="1"/>
      </rPr>
      <t xml:space="preserve">scheduler </t>
    </r>
    <r>
      <rPr>
        <sz val="10"/>
        <rFont val="Noto Sans CJK SC"/>
        <family val="2"/>
      </rPr>
      <t xml:space="preserve">仍不 </t>
    </r>
    <r>
      <rPr>
        <sz val="10"/>
        <rFont val="Arial"/>
        <family val="0"/>
        <charset val="1"/>
      </rPr>
      <t xml:space="preserve">import api——</t>
    </r>
    <r>
      <rPr>
        <sz val="10"/>
        <rFont val="Noto Sans CJK SC"/>
        <family val="2"/>
      </rPr>
      <t xml:space="preserve">評分「評分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張</t>
    </r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、無法判定 </t>
    </r>
    <r>
      <rPr>
        <sz val="10"/>
        <rFont val="Arial"/>
        <family val="0"/>
        <charset val="1"/>
      </rPr>
      <t xml:space="preserve">U </t>
    </r>
    <r>
      <rPr>
        <sz val="10"/>
        <rFont val="Noto Sans CJK SC"/>
        <family val="2"/>
      </rPr>
      <t xml:space="preserve">張</t>
    </r>
    <r>
      <rPr>
        <sz val="10"/>
        <rFont val="Arial"/>
        <family val="0"/>
        <charset val="1"/>
      </rPr>
      <t xml:space="preserve">][</t>
    </r>
    <r>
      <rPr>
        <sz val="10"/>
        <rFont val="Noto Sans CJK SC"/>
        <family val="2"/>
      </rPr>
      <t xml:space="preserve">、失敗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張</t>
    </r>
    <r>
      <rPr>
        <sz val="10"/>
        <rFont val="Arial"/>
        <family val="0"/>
        <charset val="1"/>
      </rPr>
      <t xml:space="preserve">]</t>
    </r>
    <r>
      <rPr>
        <sz val="10"/>
        <rFont val="Noto Sans CJK SC"/>
        <family val="2"/>
      </rPr>
      <t xml:space="preserve">；晉升：無｜晉升：甲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｜勝出待設為生效：乙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」；校正「產生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版（名 </t>
    </r>
    <r>
      <rPr>
        <sz val="10"/>
        <rFont val="Arial"/>
        <family val="0"/>
        <charset val="1"/>
      </rPr>
      <t xml:space="preserve">vK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筆）</t>
    </r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；略過 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][</t>
    </r>
    <r>
      <rPr>
        <sz val="10"/>
        <rFont val="Noto Sans CJK SC"/>
        <family val="2"/>
      </rPr>
      <t xml:space="preserve">；暫不產生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影子評估中）</t>
    </r>
    <r>
      <rPr>
        <sz val="10"/>
        <rFont val="Arial"/>
        <family val="0"/>
        <charset val="1"/>
      </rPr>
      <t xml:space="preserve">][</t>
    </r>
    <r>
      <rPr>
        <sz val="10"/>
        <rFont val="Noto Sans CJK SC"/>
        <family val="2"/>
      </rPr>
      <t xml:space="preserve">；驗證器拒絕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版（名：原因）</t>
    </r>
    <r>
      <rPr>
        <sz val="10"/>
        <rFont val="Arial"/>
        <family val="0"/>
        <charset val="1"/>
      </rPr>
      <t xml:space="preserve">][</t>
    </r>
    <r>
      <rPr>
        <sz val="10"/>
        <rFont val="Noto Sans CJK SC"/>
        <family val="2"/>
      </rPr>
      <t xml:space="preserve">；未設定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大師模型｜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額度用罄…</t>
    </r>
    <r>
      <rPr>
        <sz val="10"/>
        <rFont val="Arial"/>
        <family val="0"/>
        <charset val="1"/>
      </rPr>
      <t xml:space="preserve">]</t>
    </r>
    <r>
      <rPr>
        <sz val="10"/>
        <rFont val="Noto Sans CJK SC"/>
        <family val="2"/>
      </rPr>
      <t xml:space="preserve">」；沒有自我校正任務「沒有開啟自我校正的任務，未產生校正版本」。規則寫入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</si>
  <si>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</si>
  <si>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r>
      <rPr>
        <sz val="10"/>
        <rFont val="Noto Sans CJK SC"/>
        <family val="2"/>
      </rPr>
      <t xml:space="preserve">新增守門 </t>
    </r>
    <r>
      <rPr>
        <sz val="10"/>
        <rFont val="Arial"/>
        <family val="0"/>
        <charset val="1"/>
      </rPr>
      <t xml:space="preserve">tests/contract/test_def073_job_details_speak_chinese.py</t>
    </r>
    <r>
      <rPr>
        <sz val="10"/>
        <rFont val="Noto Sans CJK SC"/>
        <family val="2"/>
      </rPr>
      <t xml:space="preserve">（對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個工作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成功／失敗兩條分支用 </t>
    </r>
    <r>
      <rPr>
        <sz val="10"/>
        <rFont val="Arial"/>
        <family val="0"/>
        <charset val="1"/>
      </rPr>
      <t xml:space="preserve">run_job_outcome </t>
    </r>
    <r>
      <rPr>
        <sz val="10"/>
        <rFont val="Noto Sans CJK SC"/>
        <family val="2"/>
      </rPr>
      <t xml:space="preserve">實跑，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盡量接真實的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端，只打樁會連網的部分；掃描寫入的明細，兩個字母以上的 </t>
    </r>
    <r>
      <rPr>
        <sz val="10"/>
        <rFont val="Arial"/>
        <family val="0"/>
        <charset val="1"/>
      </rPr>
      <t xml:space="preserve">ASCII </t>
    </r>
    <r>
      <rPr>
        <sz val="10"/>
        <rFont val="Noto Sans CJK SC"/>
        <family val="2"/>
      </rPr>
      <t xml:space="preserve">詞除識別字〔代號、幣對、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HTTP</t>
    </r>
    <r>
      <rPr>
        <sz val="10"/>
        <rFont val="Noto Sans CJK SC"/>
        <family val="2"/>
      </rPr>
      <t xml:space="preserve">、供應商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、例外類別名、備份檔名、通道產品名〕外一律算英文；另含無執行器分支、</t>
    </r>
    <r>
      <rPr>
        <sz val="10"/>
        <rFont val="Arial"/>
        <family val="0"/>
        <charset val="1"/>
      </rPr>
      <t xml:space="preserve">wrapper </t>
    </r>
    <r>
      <rPr>
        <sz val="10"/>
        <rFont val="Noto Sans CJK SC"/>
        <family val="2"/>
      </rPr>
      <t xml:space="preserve">句、推播句每個分支、偵測器正向對照）：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34/50 </t>
    </r>
    <r>
      <rPr>
        <sz val="10"/>
        <rFont val="Noto Sans CJK SC"/>
        <family val="2"/>
      </rPr>
      <t xml:space="preserve">失敗，例「</t>
    </r>
    <r>
      <rPr>
        <sz val="10"/>
        <rFont val="Arial"/>
        <family val="0"/>
        <charset val="1"/>
      </rPr>
      <t xml:space="preserve">AssertionError: alert_scan (success) wrote English into job_runs.detail: '4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0 dispatched; notify</t>
    </r>
    <r>
      <rPr>
        <sz val="10"/>
        <rFont val="Noto Sans CJK SC"/>
        <family val="2"/>
      </rPr>
      <t xml:space="preserve">：無啟用通道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」、「… </t>
    </r>
    <r>
      <rPr>
        <sz val="10"/>
        <rFont val="Arial"/>
        <family val="0"/>
        <charset val="1"/>
      </rPr>
      <t xml:space="preserve">digest_daily (success) … 'daily digest 2026-06-11</t>
    </r>
    <r>
      <rPr>
        <sz val="10"/>
        <rFont val="Noto Sans CJK SC"/>
        <family val="2"/>
      </rPr>
      <t xml:space="preserve">：組合 —，…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」。已知盲點：只檢查有驅動到的分支；全大寫英文字會被當識別字放過；</t>
    </r>
    <r>
      <rPr>
        <sz val="10"/>
        <rFont val="Arial"/>
        <family val="0"/>
        <charset val="1"/>
      </rPr>
      <t xml:space="preserve">raise </t>
    </r>
    <r>
      <rPr>
        <sz val="10"/>
        <rFont val="Noto Sans CJK SC"/>
        <family val="2"/>
      </rPr>
      <t xml:space="preserve">出來的例外原文依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不檢查。新增 </t>
    </r>
    <r>
      <rPr>
        <sz val="10"/>
        <rFont val="Arial"/>
        <family val="0"/>
        <charset val="1"/>
      </rPr>
      <t xml:space="preserve">tests/llm_insight/test_def073_insight_run_detail.py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則，舊碼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失敗）、</t>
    </r>
    <r>
      <rPr>
        <sz val="10"/>
        <rFont val="Arial"/>
        <family val="0"/>
        <charset val="1"/>
      </rPr>
      <t xml:space="preserve">tests/contract/test_def073_manual_news_detail.py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則，舊碼 </t>
    </r>
    <r>
      <rPr>
        <sz val="10"/>
        <rFont val="Arial"/>
        <family val="0"/>
        <charset val="1"/>
      </rPr>
      <t xml:space="preserve">2/2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assert ('ok', 'manua… 2 symbol(s)') == ('ok', '2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則…</t>
    </r>
    <r>
      <rPr>
        <sz val="10"/>
        <rFont val="Arial"/>
        <family val="0"/>
        <charset val="1"/>
      </rPr>
      <t xml:space="preserve">')</t>
    </r>
    <r>
      <rPr>
        <sz val="10"/>
        <rFont val="Noto Sans CJK SC"/>
        <family val="2"/>
      </rPr>
      <t xml:space="preserve">」）、</t>
    </r>
    <r>
      <rPr>
        <sz val="10"/>
        <rFont val="Arial"/>
        <family val="0"/>
        <charset val="1"/>
      </rPr>
      <t xml:space="preserve">tests/scheduler/test_def073_evolution_job_details.py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則，以真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jobs.* </t>
    </r>
    <r>
      <rPr>
        <sz val="10"/>
        <rFont val="Noto Sans CJK SC"/>
        <family val="2"/>
      </rPr>
      <t xml:space="preserve">驅動，舊碼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失敗，例「</t>
    </r>
    <r>
      <rPr>
        <sz val="10"/>
        <rFont val="Arial"/>
        <family val="0"/>
        <charset val="1"/>
      </rPr>
      <t xml:space="preserve">'calibration pass complete' == '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個任務（個股健檢 樣本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'evaluate pass complete' ==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張；晉升：無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」）。變異：預警掃描改回英文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則「</t>
    </r>
    <r>
      <rPr>
        <sz val="10"/>
        <rFont val="Arial"/>
        <family val="0"/>
        <charset val="1"/>
      </rPr>
      <t xml:space="preserve">assert not ['alert']</t>
    </r>
    <r>
      <rPr>
        <sz val="10"/>
        <rFont val="Noto Sans CJK SC"/>
        <family val="2"/>
      </rPr>
      <t xml:space="preserve">」；推播句改回「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則；外部快照改回「</t>
    </r>
    <r>
      <rPr>
        <sz val="10"/>
        <rFont val="Arial"/>
        <family val="0"/>
        <charset val="1"/>
      </rPr>
      <t xml:space="preserve">snapshot(s) written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則；洞察停止明細改回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那行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則；手動新聞改回 </t>
    </r>
    <r>
      <rPr>
        <sz val="10"/>
        <rFont val="Arial"/>
        <family val="0"/>
        <charset val="1"/>
      </rPr>
      <t xml:space="preserve">manual: </t>
    </r>
    <r>
      <rPr>
        <sz val="10"/>
        <rFont val="Noto Sans CJK SC"/>
        <family val="2"/>
      </rPr>
      <t xml:space="preserve">前綴 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則；評分改回常數 →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則；校正改回常數 →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</si>
  <si>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）：以「立即執行」跑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個工作並讀明細，另讀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個工作與 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流程中評分／校正工作的明細；以正規式掃描明細中的英文詞（排除代號、幣對、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HTTP</t>
    </r>
    <r>
      <rPr>
        <sz val="10"/>
        <rFont val="Noto Sans CJK SC"/>
        <family val="2"/>
      </rPr>
      <t xml:space="preserve">、供應商名）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</si>
  <si>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明細有「</t>
    </r>
    <r>
      <rPr>
        <sz val="10"/>
        <rFont val="Arial"/>
        <family val="0"/>
        <charset val="1"/>
      </rPr>
      <t xml:space="preserve">alert(s)…dispatched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daily digest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evaluate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
假設：①全部改為中文且校正說明結果；②只改被點名的句子
排除：預警掃描「預警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條（單一標的集中度、產業集中度、幣別集中度），派發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張；推播：無啟用通道」、每日摘要「每日摘要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：…」、每週「每週行動清單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項…」、新聞「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則，僅存標題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則，已收錄略過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則」、訊號「掃描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檔：首次建立狀態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檔…」、備份「備份完成：</t>
    </r>
    <r>
      <rPr>
        <sz val="10"/>
        <rFont val="Arial"/>
        <family val="0"/>
        <charset val="1"/>
      </rPr>
      <t xml:space="preserve">portfolio_2026-09-26.db.gz</t>
    </r>
    <r>
      <rPr>
        <sz val="10"/>
        <rFont val="Noto Sans CJK SC"/>
        <family val="2"/>
      </rPr>
      <t xml:space="preserve">」、外部快照「寫入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筆外部快照（應有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筆）」；校正三種結果各不同：「產生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版；略過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個任務（個股健檢 新樣本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20…</t>
    </r>
    <r>
      <rPr>
        <sz val="10"/>
        <rFont val="Noto Sans CJK SC"/>
        <family val="2"/>
      </rPr>
      <t xml:space="preserve">）」「…驗證器拒絕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版（個股健檢：越權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幣別混算關鍵字：加碼）」「產生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筆）」「暫不產生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個任務（個股健檢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影子評估中）」；評分「評分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張；晉升：無」「…晉升：個股健檢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個工作明細英文詞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（備份檔名除外）；</t>
    </r>
    <r>
      <rPr>
        <sz val="10"/>
        <rFont val="Arial"/>
        <family val="0"/>
        <charset val="1"/>
      </rPr>
      <t xml:space="preserve">finmind_chips_daily </t>
    </r>
    <r>
      <rPr>
        <sz val="10"/>
        <rFont val="Noto Sans CJK SC"/>
        <family val="2"/>
      </rPr>
      <t xml:space="preserve">因未設金鑰 </t>
    </r>
    <r>
      <rPr>
        <sz val="10"/>
        <rFont val="Arial"/>
        <family val="0"/>
        <charset val="1"/>
      </rPr>
      <t xml:space="preserve">raise</t>
    </r>
    <r>
      <rPr>
        <sz val="10"/>
        <rFont val="Noto Sans CJK SC"/>
        <family val="2"/>
      </rPr>
      <t xml:space="preserve">，明細「執行失敗：</t>
    </r>
    <r>
      <rPr>
        <sz val="10"/>
        <rFont val="Arial"/>
        <family val="0"/>
        <charset val="1"/>
      </rPr>
      <t xml:space="preserve">MissingTokenError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FinMind API key is not configured</t>
    </r>
    <r>
      <rPr>
        <sz val="10"/>
        <rFont val="Noto Sans CJK SC"/>
        <family val="2"/>
      </rPr>
      <t xml:space="preserve">」屬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保留例外原文的白名單。排除②
定位：</t>
    </r>
    <r>
      <rPr>
        <sz val="10"/>
        <rFont val="Arial"/>
        <family val="0"/>
        <charset val="1"/>
      </rPr>
      <t xml:space="preserve">scheduler/jobs.py </t>
    </r>
    <r>
      <rPr>
        <sz val="10"/>
        <rFont val="Noto Sans CJK SC"/>
        <family val="2"/>
      </rPr>
      <t xml:space="preserve">各工作回傳、</t>
    </r>
    <r>
      <rPr>
        <sz val="10"/>
        <rFont val="Arial"/>
        <family val="0"/>
        <charset val="1"/>
      </rPr>
      <t xml:space="preserve">api/insight_service.py EvaluateSummary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CalibrationSummary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</si>
  <si>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</si>
  <si>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r>
      <rPr>
        <sz val="10"/>
        <rFont val="Noto Sans CJK SC"/>
        <family val="2"/>
      </rPr>
      <t xml:space="preserve">附註：失敗時的例外原文（</t>
    </r>
    <r>
      <rPr>
        <sz val="10"/>
        <rFont val="Arial"/>
        <family val="0"/>
        <charset val="1"/>
      </rPr>
      <t xml:space="preserve">failure_detail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保留英文類別名與原文，未列入本張</t>
    </r>
  </si>
  <si>
    <r>
      <rPr>
        <sz val="10"/>
        <rFont val="Noto Sans CJK SC"/>
        <family val="2"/>
      </rPr>
      <t xml:space="preserve">同意。依「門」掃描另找到同類門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 公司行動 分頁已選帳戶籤時按新增（</t>
    </r>
    <r>
      <rPr>
        <sz val="10"/>
        <rFont val="Arial"/>
        <family val="0"/>
        <charset val="1"/>
      </rPr>
      <t xml:space="preserve">web/ledger.js:1294 `window.pdCorpActionForm.open({ onSaved: () =&gt; boot() })`</t>
    </r>
    <r>
      <rPr>
        <sz val="10"/>
        <rFont val="Noto Sans CJK SC"/>
        <family val="2"/>
      </rPr>
      <t xml:space="preserve">），一樣落在第一個帳戶。</t>
    </r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</si>
  <si>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</si>
  <si>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e2e tests/e2e/test_corporate_actions_flow.py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test_door2_offers_the_repair…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:1058-1062</t>
    </r>
    <r>
      <rPr>
        <sz val="10"/>
        <rFont val="Noto Sans CJK SC"/>
        <family val="2"/>
      </rPr>
      <t xml:space="preserve">）在註解裡記下「帳戶落在 </t>
    </r>
    <r>
      <rPr>
        <sz val="10"/>
        <rFont val="Arial"/>
        <family val="0"/>
        <charset val="1"/>
      </rPr>
      <t xml:space="preserve">Moomoo</t>
    </r>
    <r>
      <rPr>
        <sz val="10"/>
        <rFont val="Noto Sans CJK SC"/>
        <family val="2"/>
      </rPr>
      <t xml:space="preserve">」，接著用 </t>
    </r>
    <r>
      <rPr>
        <sz val="10"/>
        <rFont val="Arial"/>
        <family val="0"/>
        <charset val="1"/>
      </rPr>
      <t xml:space="preserve">select_option("tw_broker") </t>
    </r>
    <r>
      <rPr>
        <sz val="10"/>
        <rFont val="Noto Sans CJK SC"/>
        <family val="2"/>
      </rPr>
      <t xml:space="preserve">手動改回——測試把缺陷寫成了操作步驟，而不是斷言。已改為 </t>
    </r>
    <r>
      <rPr>
        <sz val="10"/>
        <rFont val="Arial"/>
        <family val="0"/>
        <charset val="1"/>
      </rPr>
      <t xml:space="preserve">to_have_value("tw_broker")</t>
    </r>
    <r>
      <rPr>
        <sz val="10"/>
        <rFont val="Noto Sans CJK SC"/>
        <family val="2"/>
      </rPr>
      <t xml:space="preserve">，並新增一紅一綠、兩紅、已篩選三種情境。</t>
    </r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</si>
  <si>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</si>
  <si>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r>
      <rPr>
        <sz val="10"/>
        <rFont val="Noto Sans CJK SC"/>
        <family val="2"/>
      </rPr>
      <t xml:space="preserve">開啟公司行動表單的門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抽屜補登、門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帳本頁新增）／原本正確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賣超修復帶入該筆賣出的帳戶）。另查「依篩選帶入帳戶」的地方：只有 </t>
    </r>
    <r>
      <rPr>
        <sz val="10"/>
        <rFont val="Arial"/>
        <family val="0"/>
        <charset val="1"/>
      </rPr>
      <t xml:space="preserve">detail.js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持有帳戶篩選狀態；</t>
    </r>
    <r>
      <rPr>
        <sz val="10"/>
        <rFont val="Arial"/>
        <family val="0"/>
        <charset val="1"/>
      </rPr>
      <t xml:space="preserve">detail.js:1314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app.js:140 </t>
    </r>
    <r>
      <rPr>
        <sz val="10"/>
        <rFont val="Noto Sans CJK SC"/>
        <family val="2"/>
      </rPr>
      <t xml:space="preserve">是連到公司行動帳本的連結，帶該列自己的 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，白名單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-E "\.open\(\{" 3be67db -- web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grep -n -E "state\.account|filterAcct|acctFilter|selectedAccount" web/*.js</t>
    </r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</si>
  <si>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</si>
  <si>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），前置與開發者 </t>
    </r>
    <r>
      <rPr>
        <sz val="10"/>
        <rFont val="Arial"/>
        <family val="0"/>
        <charset val="1"/>
      </rPr>
      <t xml:space="preserve">_seed_red_footer </t>
    </r>
    <r>
      <rPr>
        <sz val="10"/>
        <rFont val="Noto Sans CJK SC"/>
        <family val="2"/>
      </rPr>
      <t xml:space="preserve">同形：</t>
    </r>
    <r>
      <rPr>
        <sz val="10"/>
        <rFont val="Arial"/>
        <family val="0"/>
        <charset val="1"/>
      </rPr>
      <t xml:space="preserve">T1 2330 </t>
    </r>
    <r>
      <rPr>
        <sz val="10"/>
        <rFont val="Noto Sans CJK SC"/>
        <family val="2"/>
      </rPr>
      <t xml:space="preserve">台灣券商 </t>
    </r>
    <r>
      <rPr>
        <sz val="10"/>
        <rFont val="Arial"/>
        <family val="0"/>
        <charset val="1"/>
      </rPr>
      <t xml:space="preserve">01-05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（首筆買進前）＋</t>
    </r>
    <r>
      <rPr>
        <sz val="10"/>
        <rFont val="Arial"/>
        <family val="0"/>
        <charset val="1"/>
      </rPr>
      <t xml:space="preserve">04-01 </t>
    </r>
    <r>
      <rPr>
        <sz val="10"/>
        <rFont val="Noto Sans CJK SC"/>
        <family val="2"/>
      </rPr>
      <t xml:space="preserve">分割；</t>
    </r>
    <r>
      <rPr>
        <sz val="10"/>
        <rFont val="Arial"/>
        <family val="0"/>
        <charset val="1"/>
      </rPr>
      <t xml:space="preserve">T2 AAPL </t>
    </r>
    <r>
      <rPr>
        <sz val="10"/>
        <rFont val="Noto Sans CJK SC"/>
        <family val="2"/>
      </rPr>
      <t xml:space="preserve">在嘉信與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各一筆早於買進的賣出＋分割（兩帳戶皆不一致）；</t>
    </r>
    <r>
      <rPr>
        <sz val="10"/>
        <rFont val="Arial"/>
        <family val="0"/>
        <charset val="1"/>
      </rPr>
      <t xml:space="preserve">T3 </t>
    </r>
    <r>
      <rPr>
        <sz val="10"/>
        <rFont val="Noto Sans CJK SC"/>
        <family val="2"/>
      </rPr>
      <t xml:space="preserve">交易帳本 › 公司行動 分頁選「嘉信」帳戶籤後按新增；每段以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備份還原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</si>
  <si>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預填清單第一個帳戶 </t>
    </r>
    <r>
      <rPr>
        <sz val="10"/>
        <rFont val="Arial"/>
        <family val="0"/>
        <charset val="1"/>
      </rPr>
      <t xml:space="preserve">Moomoo MY
</t>
    </r>
    <r>
      <rPr>
        <sz val="10"/>
        <rFont val="Noto Sans CJK SC"/>
        <family val="2"/>
      </rPr>
      <t xml:space="preserve">假設：①依伺服器對帳結果帶入不一致帳戶；②只改預設順序
排除：</t>
    </r>
    <r>
      <rPr>
        <sz val="10"/>
        <rFont val="Arial"/>
        <family val="0"/>
        <charset val="1"/>
      </rPr>
      <t xml:space="preserve">T1 </t>
    </r>
    <r>
      <rPr>
        <sz val="10"/>
        <rFont val="Noto Sans CJK SC"/>
        <family val="2"/>
      </rPr>
      <t xml:space="preserve">單一帳戶不一致 → 帳戶下拉＝台灣券商；</t>
    </r>
    <r>
      <rPr>
        <sz val="10"/>
        <rFont val="Arial"/>
        <family val="0"/>
        <charset val="1"/>
      </rPr>
      <t xml:space="preserve">T2 </t>
    </r>
    <r>
      <rPr>
        <sz val="10"/>
        <rFont val="Noto Sans CJK SC"/>
        <family val="2"/>
      </rPr>
      <t xml:space="preserve">兩帳戶不一致 → 下拉首項「請選擇帳戶」（空值）、原因「此標的在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、嘉信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的對帳結果都是 ⚠ 對帳不一致，請先選擇要補登的帳戶」、登錄鍵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T3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帶入嘉信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。排除②
定位：</t>
    </r>
    <r>
      <rPr>
        <sz val="10"/>
        <rFont val="Arial"/>
        <family val="0"/>
        <charset val="1"/>
      </rPr>
      <t xml:space="preserve">web/detail.js:1272 repairTarget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web/ledger.js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3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</si>
  <si>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</si>
  <si>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② B</t>
    </r>
    <r>
      <rPr>
        <sz val="10"/>
        <rFont val="Noto Sans CJK SC"/>
        <family val="2"/>
      </rPr>
      <t xml:space="preserve">（未來日期的賣出尚未到期，所以還算持有）。依「持有」判定的讀取者掃描，同一個 </t>
    </r>
    <r>
      <rPr>
        <sz val="10"/>
        <rFont val="Arial"/>
        <family val="0"/>
        <charset val="1"/>
      </rPr>
      <t xml:space="preserve">current_shares &gt; 0 </t>
    </r>
    <r>
      <rPr>
        <sz val="10"/>
        <rFont val="Noto Sans CJK SC"/>
        <family val="2"/>
      </rPr>
      <t xml:space="preserve">另有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處：預警規則 › 目標配置的持有／觀察徽章（與本缺陷同一個可見症狀）、訊號的 </t>
    </r>
    <r>
      <rPr>
        <sz val="10"/>
        <rFont val="Arial"/>
        <family val="0"/>
        <charset val="1"/>
      </rPr>
      <t xml:space="preserve">held </t>
    </r>
    <r>
      <rPr>
        <sz val="10"/>
        <rFont val="Noto Sans CJK SC"/>
        <family val="2"/>
      </rPr>
      <t xml:space="preserve">旗標（也餵給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rule_signals_json</t>
    </r>
    <r>
      <rPr>
        <sz val="10"/>
        <rFont val="Noto Sans CJK SC"/>
        <family val="2"/>
      </rPr>
      <t xml:space="preserve">）、報價排程判定「部分」的持倉門檻、</t>
    </r>
    <r>
      <rPr>
        <sz val="10"/>
        <rFont val="Arial"/>
        <family val="0"/>
        <charset val="1"/>
      </rPr>
      <t xml:space="preserve">Alpha Vantage </t>
    </r>
    <r>
      <rPr>
        <sz val="10"/>
        <rFont val="Noto Sans CJK SC"/>
        <family val="2"/>
      </rPr>
      <t xml:space="preserve">基本面的持倉宇宙——本輪一併改走同一判定。徽章也經 </t>
    </r>
    <r>
      <rPr>
        <sz val="10"/>
        <rFont val="Arial"/>
        <family val="0"/>
        <charset val="1"/>
      </rPr>
      <t xml:space="preserve">/api/instruments </t>
    </r>
    <r>
      <rPr>
        <sz val="10"/>
        <rFont val="Noto Sans CJK SC"/>
        <family val="2"/>
      </rPr>
      <t xml:space="preserve">影響全站搜尋的「持倉／觀察」，同步修好。</t>
    </r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</si>
  <si>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</si>
  <si>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</si>
  <si>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「持有」分成兩個問題，各只有一個判定（規則寫入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登錄類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（徽章、封存、移除、永久移除、目標配置徽章、訊號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、報價排程的持倉門檻、</t>
    </r>
    <r>
      <rPr>
        <sz val="10"/>
        <rFont val="Arial"/>
        <family val="0"/>
        <charset val="1"/>
      </rPr>
      <t xml:space="preserve">Alpha Vantage </t>
    </r>
    <r>
      <rPr>
        <sz val="10"/>
        <rFont val="Noto Sans CJK SC"/>
        <family val="2"/>
      </rPr>
      <t xml:space="preserve">持倉宇宙）一律走 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（任一帳戶今天或之後任一帳本日期持股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）；新增清單版 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（每次呼叫只載一次 </t>
    </r>
    <r>
      <rPr>
        <sz val="10"/>
        <rFont val="Arial"/>
        <family val="0"/>
        <charset val="1"/>
      </rPr>
      <t xml:space="preserve">action index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instruments.py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合併為同一函式，四個門共用；</t>
    </r>
    <r>
      <rPr>
        <sz val="10"/>
        <rFont val="Arial"/>
        <family val="0"/>
        <charset val="1"/>
      </rPr>
      <t xml:space="preserve">strategy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signals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fundamentals </t>
    </r>
    <r>
      <rPr>
        <sz val="10"/>
        <rFont val="Noto Sans CJK SC"/>
        <family val="2"/>
      </rPr>
      <t xml:space="preserve">四處改用 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/api/target-weights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now </t>
    </r>
    <r>
      <rPr>
        <sz val="10"/>
        <rFont val="Noto Sans CJK SC"/>
        <family val="2"/>
      </rPr>
      <t xml:space="preserve">依賴；排程接縫只給 </t>
    </r>
    <r>
      <rPr>
        <sz val="10"/>
        <rFont val="Arial"/>
        <family val="0"/>
        <charset val="1"/>
      </rPr>
      <t xml:space="preserve">conn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actions.held_symbols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shared.clock.app_now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get_now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同一時鐘）。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估值類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（預警與洞察的持有宇宙、週報、可賣股數）讀估值日帳本：未來日期的賣出尚未計入所以仍算持有、放空也算，與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理由一致，維持不動。放空也顯示「持有」：徽章只回答「有沒有部位」，放空的區分在抽屜與儀表板既有的 </t>
    </r>
    <r>
      <rPr>
        <sz val="10"/>
        <rFont val="Arial"/>
        <family val="0"/>
        <charset val="1"/>
      </rPr>
      <t xml:space="preserve">short_open </t>
    </r>
    <r>
      <rPr>
        <sz val="10"/>
        <rFont val="Noto Sans CJK SC"/>
        <family val="2"/>
      </rPr>
      <t xml:space="preserve">標示；只有未來日期買入的標的也顯示「持有」，因為移除會被擋，徽章不應邀請一個會被拒絕的操作。不採用：另加「放空」字樣（需新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欄位，裁定未要求）。</t>
    </r>
  </si>
  <si>
    <r>
      <rPr>
        <sz val="10"/>
        <rFont val="Noto Sans CJK SC"/>
        <family val="2"/>
      </rPr>
      <t xml:space="preserve">「持有」判定 共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徽章含全站搜尋與永久移除、封存守門併入；</t>
    </r>
    <r>
      <rPr>
        <sz val="10"/>
        <rFont val="Arial"/>
        <family val="0"/>
        <charset val="1"/>
      </rPr>
      <t xml:space="preserve">strategy.py:179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signals_service.py:186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fundamentals_service.py:27</t>
    </r>
    <r>
      <rPr>
        <sz val="10"/>
        <rFont val="Noto Sans CJK SC"/>
        <family val="2"/>
      </rPr>
      <t xml:space="preserve">）／原本正確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store._reactivate_if_held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（估值日帳本類：</t>
    </r>
    <r>
      <rPr>
        <sz val="10"/>
        <rFont val="Arial"/>
        <family val="0"/>
        <charset val="1"/>
      </rPr>
      <t xml:space="preserve">insight_service.held_in_book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held_symbols_for_alerts——</t>
    </r>
    <r>
      <rPr>
        <sz val="10"/>
        <rFont val="Noto Sans CJK SC"/>
        <family val="2"/>
      </rPr>
      <t xml:space="preserve">預警「未持有，不產卡」與洞察持有宇宙；</t>
    </r>
    <r>
      <rPr>
        <sz val="10"/>
        <rFont val="Arial"/>
        <family val="0"/>
        <charset val="1"/>
      </rPr>
      <t xml:space="preserve">digest _held_symbols_and_names </t>
    </r>
    <r>
      <rPr>
        <sz val="10"/>
        <rFont val="Noto Sans CJK SC"/>
        <family val="2"/>
      </rPr>
      <t xml:space="preserve">週報漲跌榜；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可賣股數；</t>
    </r>
    <r>
      <rPr>
        <sz val="10"/>
        <rFont val="Arial"/>
        <family val="0"/>
        <charset val="1"/>
      </rPr>
      <t xml:space="preserve">input_center ctx.holdings </t>
    </r>
    <r>
      <rPr>
        <sz val="10"/>
        <rFont val="Noto Sans CJK SC"/>
        <family val="2"/>
      </rPr>
      <t xml:space="preserve">股數表；</t>
    </r>
    <r>
      <rPr>
        <sz val="10"/>
        <rFont val="Arial"/>
        <family val="0"/>
        <charset val="1"/>
      </rPr>
      <t xml:space="preserve">validate.py:789 </t>
    </r>
    <r>
      <rPr>
        <sz val="10"/>
        <rFont val="Noto Sans CJK SC"/>
        <family val="2"/>
      </rPr>
      <t xml:space="preserve">賣超守門與 </t>
    </r>
    <r>
      <rPr>
        <sz val="10"/>
        <rFont val="Arial"/>
        <family val="0"/>
        <charset val="1"/>
      </rPr>
      <t xml:space="preserve">ledgers.py:1103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1119 E13 </t>
    </r>
    <r>
      <rPr>
        <sz val="10"/>
        <rFont val="Noto Sans CJK SC"/>
        <family val="2"/>
      </rPr>
      <t xml:space="preserve">為驗證用）。修後以 </t>
    </r>
    <r>
      <rPr>
        <sz val="10"/>
        <rFont val="Arial"/>
        <family val="0"/>
        <charset val="1"/>
      </rPr>
      <t xml:space="preserve">current_shares &gt; 0 </t>
    </r>
    <r>
      <rPr>
        <sz val="10"/>
        <rFont val="Noto Sans CJK SC"/>
        <family val="2"/>
      </rPr>
      <t xml:space="preserve">判定「持有」的程式呼叫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處。前端：</t>
    </r>
    <r>
      <rPr>
        <sz val="10"/>
        <rFont val="Arial"/>
        <family val="0"/>
        <charset val="1"/>
      </rPr>
      <t xml:space="preserve">instruments.js </t>
    </r>
    <r>
      <rPr>
        <sz val="10"/>
        <rFont val="Noto Sans CJK SC"/>
        <family val="2"/>
      </rPr>
      <t xml:space="preserve">徽章、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全站搜尋、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目標配置徽章讀同一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已修；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pipeline-wizard.js</t>
    </r>
    <r>
      <rPr>
        <sz val="10"/>
        <rFont val="Noto Sans CJK SC"/>
        <family val="2"/>
      </rPr>
      <t xml:space="preserve">（儀表板帳本）、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sym-picker.js</t>
    </r>
    <r>
      <rPr>
        <sz val="10"/>
        <rFont val="Noto Sans CJK SC"/>
        <family val="2"/>
      </rPr>
      <t xml:space="preserve">（可賣股數）白名單。掃描指令：</t>
    </r>
    <r>
      <rPr>
        <sz val="10"/>
        <rFont val="Arial"/>
        <family val="0"/>
        <charset val="1"/>
      </rPr>
      <t xml:space="preserve">git grep -n -E "current_shares\(|holds_position\(|held_among\(|def [a-z_]*held[a-z_]*\(" -- portfolio_dash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-E "\.held\b|\bheld:" 3be67db -- web/*.js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</si>
  <si>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tests/contract/test_def075_watchlist_held_is_holds_position.py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則：未來賣出 → 持有、移除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、永久移除 </t>
    </r>
    <r>
      <rPr>
        <sz val="10"/>
        <rFont val="Arial"/>
        <family val="0"/>
        <charset val="1"/>
      </rPr>
      <t xml:space="preserve">422 held</t>
    </r>
    <r>
      <rPr>
        <sz val="10"/>
        <rFont val="Noto Sans CJK SC"/>
        <family val="2"/>
      </rPr>
      <t xml:space="preserve">；刪掉該筆賣出 →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股持有；賣出改到過去 → 觀察、移除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；已清倉 → 觀察；放空 → 持有、永久移除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；全部標的徽章＝守門），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3/6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a sale that has not happened yet leaves the position held — the badge must say </t>
    </r>
    <r>
      <rPr>
        <sz val="10"/>
        <rFont val="Noto Sans CJK SC"/>
        <family val="2"/>
      </rPr>
      <t xml:space="preserve">持有 </t>
    </r>
    <r>
      <rPr>
        <sz val="10"/>
        <rFont val="Arial"/>
        <family val="0"/>
        <charset val="1"/>
      </rPr>
      <t xml:space="preserve">/ assert False is True</t>
    </r>
    <r>
      <rPr>
        <sz val="10"/>
        <rFont val="Noto Sans CJK SC"/>
        <family val="2"/>
      </rPr>
      <t xml:space="preserve">」。新增 </t>
    </r>
    <r>
      <rPr>
        <sz val="10"/>
        <rFont val="Arial"/>
        <family val="0"/>
        <charset val="1"/>
      </rPr>
      <t xml:space="preserve">tests/contract/test_def075_registry_held_readers_agree.py</t>
    </r>
    <r>
      <rPr>
        <sz val="10"/>
        <rFont val="Noto Sans CJK SC"/>
        <family val="2"/>
      </rPr>
      <t xml:space="preserve">（參數化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則，各讀取者走自己的公開入口：</t>
    </r>
    <r>
      <rPr>
        <sz val="10"/>
        <rFont val="Arial"/>
        <family val="0"/>
        <charset val="1"/>
      </rPr>
      <t xml:space="preserve">/api/instruments </t>
    </r>
    <r>
      <rPr>
        <sz val="10"/>
        <rFont val="Noto Sans CJK SC"/>
        <family val="2"/>
      </rPr>
      <t xml:space="preserve">徽章、</t>
    </r>
    <r>
      <rPr>
        <sz val="10"/>
        <rFont val="Arial"/>
        <family val="0"/>
        <charset val="1"/>
      </rPr>
      <t xml:space="preserve">/api/target-weights </t>
    </r>
    <r>
      <rPr>
        <sz val="10"/>
        <rFont val="Noto Sans CJK SC"/>
        <family val="2"/>
      </rPr>
      <t xml:space="preserve">徽章、</t>
    </r>
    <r>
      <rPr>
        <sz val="10"/>
        <rFont val="Arial"/>
        <family val="0"/>
        <charset val="1"/>
      </rPr>
      <t xml:space="preserve">/api/signals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/api/signals/{s}</t>
    </r>
    <r>
      <rPr>
        <sz val="10"/>
        <rFont val="Noto Sans CJK SC"/>
        <family val="2"/>
      </rPr>
      <t xml:space="preserve">、報價排程持倉門檻、</t>
    </r>
    <r>
      <rPr>
        <sz val="10"/>
        <rFont val="Arial"/>
        <family val="0"/>
        <charset val="1"/>
      </rPr>
      <t xml:space="preserve">Alpha Vantage </t>
    </r>
    <r>
      <rPr>
        <sz val="10"/>
        <rFont val="Noto Sans CJK SC"/>
        <family val="2"/>
      </rPr>
      <t xml:space="preserve">實際送出的宇宙；夾具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只因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賣出清倉、</t>
    </r>
    <r>
      <rPr>
        <sz val="10"/>
        <rFont val="Arial"/>
        <family val="0"/>
        <charset val="1"/>
      </rPr>
      <t xml:space="preserve">2303 </t>
    </r>
    <r>
      <rPr>
        <sz val="10"/>
        <rFont val="Noto Sans CJK SC"/>
        <family val="2"/>
      </rPr>
      <t xml:space="preserve">宣告放空、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已清倉、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持有），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6/6 </t>
    </r>
    <r>
      <rPr>
        <sz val="10"/>
        <rFont val="Noto Sans CJK SC"/>
        <family val="2"/>
      </rPr>
      <t xml:space="preserve">失敗，例「</t>
    </r>
    <r>
      <rPr>
        <sz val="10"/>
        <rFont val="Arial"/>
        <family val="0"/>
        <charset val="1"/>
      </rPr>
      <t xml:space="preserve">target-weights badge: held=['2330'] but holds_position says ['0056', '2303', '2330'] — missing ['0056', '2303'], extra []</t>
    </r>
    <r>
      <rPr>
        <sz val="10"/>
        <rFont val="Noto Sans CJK SC"/>
        <family val="2"/>
      </rPr>
      <t xml:space="preserve">」。變異：</t>
    </r>
    <r>
      <rPr>
        <sz val="10"/>
        <rFont val="Arial"/>
        <family val="0"/>
        <charset val="1"/>
      </rPr>
      <t xml:space="preserve">instruments._held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&gt; 0 → 3 </t>
    </r>
    <r>
      <rPr>
        <sz val="10"/>
        <rFont val="Noto Sans CJK SC"/>
        <family val="2"/>
      </rPr>
      <t xml:space="preserve">則失敗（同上訊息）；四處各自改回 </t>
    </r>
    <r>
      <rPr>
        <sz val="10"/>
        <rFont val="Arial"/>
        <family val="0"/>
        <charset val="1"/>
      </rPr>
      <t xml:space="preserve">current_shares &gt; 0 → </t>
    </r>
    <r>
      <rPr>
        <sz val="10"/>
        <rFont val="Noto Sans CJK SC"/>
        <family val="2"/>
      </rPr>
      <t xml:space="preserve">各恰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target-weights badge…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signal drawer…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quote-job threshold…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alpha-vantage universe: …missing ['0056', '2303']</t>
    </r>
    <r>
      <rPr>
        <sz val="10"/>
        <rFont val="Noto Sans CJK SC"/>
        <family val="2"/>
      </rPr>
      <t xml:space="preserve">」）。</t>
    </r>
    <r>
      <rPr>
        <sz val="10"/>
        <rFont val="Arial"/>
        <family val="0"/>
        <charset val="1"/>
      </rPr>
      <t xml:space="preserve">containment </t>
    </r>
    <r>
      <rPr>
        <sz val="10"/>
        <rFont val="Noto Sans CJK SC"/>
        <family val="2"/>
      </rPr>
      <t xml:space="preserve">普查 </t>
    </r>
    <r>
      <rPr>
        <sz val="10"/>
        <rFont val="Arial"/>
        <family val="0"/>
        <charset val="1"/>
      </rPr>
      <t xml:space="preserve">8/8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</si>
  <si>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</si>
  <si>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本機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只靠未來日期賣出清倉時徽章變「觀察」、移除卻 </t>
    </r>
    <r>
      <rPr>
        <sz val="10"/>
        <rFont val="Arial"/>
        <family val="0"/>
        <charset val="1"/>
      </rPr>
      <t xml:space="preserve">422
</t>
    </r>
    <r>
      <rPr>
        <sz val="10"/>
        <rFont val="Noto Sans CJK SC"/>
        <family val="2"/>
      </rPr>
      <t xml:space="preserve">假設：①登錄類「持有」統一為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；②只改觀察清單
排除：寫入 </t>
    </r>
    <r>
      <rPr>
        <sz val="10"/>
        <rFont val="Arial"/>
        <family val="0"/>
        <charset val="1"/>
      </rPr>
      <t xml:space="preserve">#118 </t>
    </r>
    <r>
      <rPr>
        <sz val="10"/>
        <rFont val="Noto Sans CJK SC"/>
        <family val="2"/>
      </rPr>
      <t xml:space="preserve">後觀察清單「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元大高股息 … 持有」；移除 → </t>
    </r>
    <r>
      <rPr>
        <sz val="10"/>
        <rFont val="Arial"/>
        <family val="0"/>
        <charset val="1"/>
      </rPr>
      <t xml:space="preserve">DELETE /api/instruments/0056 422</t>
    </r>
    <r>
      <rPr>
        <sz val="10"/>
        <rFont val="Noto Sans CJK SC"/>
        <family val="2"/>
      </rPr>
      <t xml:space="preserve">、對話框「無法移除：持倉中的標的不可移除或封存」；目標配置「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持有 元大高股息」，</t>
    </r>
    <r>
      <rPr>
        <sz val="10"/>
        <rFont val="Arial"/>
        <family val="0"/>
        <charset val="1"/>
      </rPr>
      <t xml:space="preserve">/api/target-weights held:true</t>
    </r>
    <r>
      <rPr>
        <sz val="10"/>
        <rFont val="Noto Sans CJK SC"/>
        <family val="2"/>
      </rPr>
      <t xml:space="preserve">；刪除 </t>
    </r>
    <r>
      <rPr>
        <sz val="10"/>
        <rFont val="Arial"/>
        <family val="0"/>
        <charset val="1"/>
      </rPr>
      <t xml:space="preserve">#118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R6_START </t>
    </r>
    <r>
      <rPr>
        <sz val="10"/>
        <rFont val="Noto Sans CJK SC"/>
        <family val="2"/>
      </rPr>
      <t xml:space="preserve">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與全部計數逐字相同。排除②
定位：</t>
    </r>
    <r>
      <rPr>
        <sz val="10"/>
        <rFont val="Arial"/>
        <family val="0"/>
        <charset val="1"/>
      </rPr>
      <t xml:space="preserve">api/routers/instruments.py:56 _held → holds_position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strategy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signals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actions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fundamentals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held_among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</si>
  <si>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觀察清單與目標配置皆「持有」、移除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以十年後為今日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False is True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12 passed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</si>
  <si>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① B </t>
    </r>
    <r>
      <rPr>
        <sz val="10"/>
        <rFont val="Noto Sans CJK SC"/>
        <family val="2"/>
      </rPr>
      <t xml:space="preserve">改走共用判定。</t>
    </r>
    <r>
      <rPr>
        <sz val="10"/>
        <rFont val="Arial"/>
        <family val="0"/>
        <charset val="1"/>
      </rPr>
      <t xml:space="preserve">detect()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dividend_inbox.py:267</t>
    </r>
    <r>
      <rPr>
        <sz val="10"/>
        <rFont val="Noto Sans CJK SC"/>
        <family val="2"/>
      </rPr>
      <t xml:space="preserve">）讀的是已存的事件、不是抓取宇宙，列白名單（理由見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）。</t>
    </r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</si>
  <si>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</si>
  <si>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</si>
  <si>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shared/instrument_scope.tracked_instruments(conn)</t>
    </r>
    <r>
      <rPr>
        <sz val="10"/>
        <rFont val="Noto Sans CJK SC"/>
        <family val="2"/>
      </rPr>
      <t xml:space="preserve">，與後備路徑同一判定、同一 </t>
    </r>
    <r>
      <rPr>
        <sz val="10"/>
        <rFont val="Arial"/>
        <family val="0"/>
        <charset val="1"/>
      </rPr>
      <t xml:space="preserve">board </t>
    </r>
    <r>
      <rPr>
        <sz val="10"/>
        <rFont val="Noto Sans CJK SC"/>
        <family val="2"/>
      </rPr>
      <t xml:space="preserve">預設（全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仍只有一份「未封存」定義）。持有中的標的不可能被封存（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守門，本輪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起徽章也用同一判定），所以不會漏掉持倉的配息。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</si>
  <si>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</si>
  <si>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tests/contract/test_def074_dividend_scan_excludes_archived.py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則）：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與後備路徑各一則（有買入歷史、已清倉的標的封存後不掃、還原後回來、持有中不受影響），另一則比對兩條路徑要求同一組標的。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2/3 </t>
    </r>
    <r>
      <rPr>
        <sz val="10"/>
        <rFont val="Noto Sans CJK SC"/>
        <family val="2"/>
      </rPr>
      <t xml:space="preserve">失敗：「</t>
    </r>
    <r>
      <rPr>
        <sz val="10"/>
        <rFont val="Arial"/>
        <family val="0"/>
        <charset val="1"/>
      </rPr>
      <t xml:space="preserve">runner: archiving must remove exactly the archived symbol (before=['2330','2454','AAPL'], after=['2330','2454','AAPL'])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runner=['2330','2454','AAPL'] fallback=['2330','AAPL']</t>
    </r>
    <r>
      <rPr>
        <sz val="10"/>
        <rFont val="Noto Sans CJK SC"/>
        <family val="2"/>
      </rPr>
      <t xml:space="preserve">」。變異：改回 </t>
    </r>
    <r>
      <rPr>
        <sz val="10"/>
        <rFont val="Arial"/>
        <family val="0"/>
        <charset val="1"/>
      </rPr>
      <t xml:space="preserve">list_instruments → </t>
    </r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</si>
  <si>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repo-env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SQLite </t>
    </r>
    <r>
      <rPr>
        <sz val="10"/>
        <rFont val="Noto Sans CJK SC"/>
        <family val="2"/>
      </rPr>
      <t xml:space="preserve">備份後，觀察清單 › 移除（隱藏）已換股清倉的 </t>
    </r>
    <r>
      <rPr>
        <sz val="10"/>
        <rFont val="Arial"/>
        <family val="0"/>
        <charset val="1"/>
      </rPr>
      <t xml:space="preserve">VRTB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dividend_inbox_scan</t>
    </r>
    <r>
      <rPr>
        <sz val="10"/>
        <rFont val="Noto Sans CJK SC"/>
        <family val="2"/>
      </rPr>
      <t xml:space="preserve">「立即執行」讀明細逐檔清單 → 以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還原 </t>
    </r>
    <r>
      <rPr>
        <sz val="10"/>
        <rFont val="Arial"/>
        <family val="0"/>
        <charset val="1"/>
      </rPr>
      <t xml:space="preserve">VRTB → </t>
    </r>
    <r>
      <rPr>
        <sz val="10"/>
        <rFont val="Noto Sans CJK SC"/>
        <family val="2"/>
      </rPr>
      <t xml:space="preserve">再掃一次 → 還原 </t>
    </r>
    <r>
      <rPr>
        <sz val="10"/>
        <rFont val="Arial"/>
        <family val="0"/>
        <charset val="1"/>
      </rPr>
      <t xml:space="preserve">DB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</si>
  <si>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裁定①：收件匣掃描宇宙含已封存標的
假設：①收件匣改走共用判定；②只改後備路徑
排除：封存前明細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檔（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封存後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檔（</t>
    </r>
    <r>
      <rPr>
        <sz val="10"/>
        <rFont val="Arial"/>
        <family val="0"/>
        <charset val="1"/>
      </rPr>
      <t xml:space="preserve">VRTB </t>
    </r>
    <r>
      <rPr>
        <sz val="10"/>
        <rFont val="Noto Sans CJK SC"/>
        <family val="2"/>
      </rPr>
      <t xml:space="preserve">消失，持有中的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仍在）；還原後回到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檔。排除②
定位：</t>
    </r>
    <r>
      <rPr>
        <sz val="10"/>
        <rFont val="Arial"/>
        <family val="0"/>
        <charset val="1"/>
      </rPr>
      <t xml:space="preserve">api/dividend_inbox.py:235 tracked_instruments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</si>
  <si>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</si>
  <si>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r>
      <rPr>
        <sz val="10"/>
        <rFont val="Noto Sans CJK SC"/>
        <family val="2"/>
      </rPr>
      <t xml:space="preserve">同意改為密碼欄位。遮罩部分：</t>
    </r>
    <r>
      <rPr>
        <sz val="10"/>
        <rFont val="Arial"/>
        <family val="0"/>
        <charset val="1"/>
      </rPr>
      <t xml:space="preserve">**owner 2026-09-26 </t>
    </r>
    <r>
      <rPr>
        <sz val="10"/>
        <rFont val="Noto Sans CJK SC"/>
        <family val="2"/>
      </rPr>
      <t xml:space="preserve">已在對話中直接裁定「所有金鑰一律前後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個字元」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，取代規格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前後各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個字元」解讀（請驗證者知悉）。起因：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的短金鑰規則在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字元會露出一半以上（</t>
    </r>
    <r>
      <rPr>
        <sz val="10"/>
        <rFont val="Arial"/>
        <family val="0"/>
        <charset val="1"/>
      </rPr>
      <t xml:space="preserve">Finnhub </t>
    </r>
    <r>
      <rPr>
        <sz val="10"/>
        <rFont val="Noto Sans CJK SC"/>
        <family val="2"/>
      </rPr>
      <t xml:space="preserve">金鑰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字元、</t>
    </r>
    <r>
      <rPr>
        <sz val="10"/>
        <rFont val="Arial"/>
        <family val="0"/>
        <charset val="1"/>
      </rPr>
      <t xml:space="preserve">Alpha Vantage 16 </t>
    </r>
    <r>
      <rPr>
        <sz val="10"/>
        <rFont val="Noto Sans CJK SC"/>
        <family val="2"/>
      </rPr>
      <t xml:space="preserve">字元剛好落在這一段），開發者提出後由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直接裁定維持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。本張因此沒有待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決定的事項。</t>
    </r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</si>
  <si>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</si>
  <si>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r>
      <rPr>
        <sz val="10"/>
        <rFont val="Noto Sans CJK SC"/>
        <family val="2"/>
      </rPr>
      <t xml:space="preserve">遮罩只在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回應上測過（</t>
    </r>
    <r>
      <rPr>
        <sz val="10"/>
        <rFont val="Arial"/>
        <family val="0"/>
        <charset val="1"/>
      </rPr>
      <t xml:space="preserve">test_llm_settings_api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test_datasources_api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test_notify_api</t>
    </r>
    <r>
      <rPr>
        <sz val="10"/>
        <rFont val="Noto Sans CJK SC"/>
        <family val="2"/>
      </rPr>
      <t xml:space="preserve">）；前端輸入欄的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沒有任何守門。新增：由掃描衍生祕密輸入欄集合的靜態守門，加上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</si>
  <si>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</si>
  <si>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r>
      <rPr>
        <sz val="10"/>
        <rFont val="Noto Sans CJK SC"/>
        <family val="2"/>
      </rPr>
      <t xml:space="preserve">祕密輸入欄：掃描 </t>
    </r>
    <r>
      <rPr>
        <sz val="10"/>
        <rFont val="Arial"/>
        <family val="0"/>
        <charset val="1"/>
      </rPr>
      <t xml:space="preserve">web/*.html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&lt;input&gt;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web/*.js </t>
    </r>
    <r>
      <rPr>
        <sz val="10"/>
        <rFont val="Noto Sans CJK SC"/>
        <family val="2"/>
      </rPr>
      <t xml:space="preserve">動態建立的 </t>
    </r>
    <r>
      <rPr>
        <sz val="10"/>
        <rFont val="Arial"/>
        <family val="0"/>
        <charset val="1"/>
      </rPr>
      <t xml:space="preserve">55 </t>
    </r>
    <r>
      <rPr>
        <sz val="10"/>
        <rFont val="Noto Sans CJK SC"/>
        <family val="2"/>
      </rPr>
      <t xml:space="preserve">個，共 </t>
    </r>
    <r>
      <rPr>
        <sz val="10"/>
        <rFont val="Arial"/>
        <family val="0"/>
        <charset val="1"/>
      </rPr>
      <t xml:space="preserve">127 </t>
    </r>
    <r>
      <rPr>
        <sz val="10"/>
        <rFont val="Noto Sans CJK SC"/>
        <family val="2"/>
      </rPr>
      <t xml:space="preserve">個，依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label </t>
    </r>
    <r>
      <rPr>
        <sz val="10"/>
        <rFont val="Noto Sans CJK SC"/>
        <family val="2"/>
      </rPr>
      <t xml:space="preserve">比對 </t>
    </r>
    <r>
      <rPr>
        <sz val="10"/>
        <rFont val="Arial"/>
        <family val="0"/>
        <charset val="1"/>
      </rPr>
      <t xml:space="preserve">key|token|password|secret|</t>
    </r>
    <r>
      <rPr>
        <sz val="10"/>
        <rFont val="Noto Sans CJK SC"/>
        <family val="2"/>
      </rPr>
      <t xml:space="preserve">金鑰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權杖</t>
    </r>
    <r>
      <rPr>
        <sz val="10"/>
        <rFont val="Arial"/>
        <family val="0"/>
        <charset val="1"/>
      </rPr>
      <t xml:space="preserve">|</t>
    </r>
    <r>
      <rPr>
        <sz val="10"/>
        <rFont val="Noto Sans CJK SC"/>
        <family val="2"/>
      </rPr>
      <t xml:space="preserve">密碼 → 候選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，排除非祕密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dr-maxout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數量、</t>
    </r>
    <r>
      <rPr>
        <sz val="10"/>
        <rFont val="Arial"/>
        <family val="0"/>
        <charset val="1"/>
      </rPr>
      <t xml:space="preserve">input.js:867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ledger.js:466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checkbox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settings-fees.js:107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number</t>
    </r>
    <r>
      <rPr>
        <sz val="10"/>
        <rFont val="Noto Sans CJK SC"/>
        <family val="2"/>
      </rPr>
      <t xml:space="preserve">）→ 祕密欄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dr-key</t>
    </r>
    <r>
      <rPr>
        <sz val="10"/>
        <rFont val="Noto Sans CJK SC"/>
        <family val="2"/>
      </rPr>
      <t xml:space="preserve">、資料來源重設對話框、</t>
    </r>
    <r>
      <rPr>
        <sz val="10"/>
        <rFont val="Arial"/>
        <family val="0"/>
        <charset val="1"/>
      </rPr>
      <t xml:space="preserve">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nt-tg-token</t>
    </r>
    <r>
      <rPr>
        <sz val="10"/>
        <rFont val="Noto Sans CJK SC"/>
        <family val="2"/>
      </rPr>
      <t xml:space="preserve">）／原本正確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login-pass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nu-pass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nt-em-pass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nt-ntfy-topic</t>
    </r>
    <r>
      <rPr>
        <sz val="10"/>
        <rFont val="Noto Sans CJK SC"/>
        <family val="2"/>
      </rPr>
      <t xml:space="preserve">：唯讀、由伺服器產生、要複製到手機 </t>
    </r>
    <r>
      <rPr>
        <sz val="10"/>
        <rFont val="Arial"/>
        <family val="0"/>
        <charset val="1"/>
      </rPr>
      <t xml:space="preserve">app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F1 </t>
    </r>
    <r>
      <rPr>
        <sz val="10"/>
        <rFont val="Noto Sans CJK SC"/>
        <family val="2"/>
      </rPr>
      <t xml:space="preserve">裁定刻意顯示）。遮罩：</t>
    </r>
    <r>
      <rPr>
        <sz val="10"/>
        <rFont val="Arial"/>
        <family val="0"/>
        <charset val="1"/>
      </rPr>
      <t xml:space="preserve">mask_secret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處呼叫（</t>
    </r>
    <r>
      <rPr>
        <sz val="10"/>
        <rFont val="Arial"/>
        <family val="0"/>
        <charset val="1"/>
      </rPr>
      <t xml:space="preserve">llm_settings:79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datasources_store:398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notify:63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）全部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，本次不改。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</si>
  <si>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tests/contract/test_def078_secret_inputs_and_masks.py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則：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字元模型金鑰與資料來源金鑰 → 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字元 → •••；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密碼皆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；回應不含完整祕密；掃描衍生的祕密欄全部必須是 </t>
    </r>
    <r>
      <rPr>
        <sz val="10"/>
        <rFont val="Arial"/>
        <family val="0"/>
        <charset val="1"/>
      </rPr>
      <t xml:space="preserve">password</t>
    </r>
    <r>
      <rPr>
        <sz val="10"/>
        <rFont val="Noto Sans CJK SC"/>
        <family val="2"/>
      </rPr>
      <t xml:space="preserve">；白名單項目仍存在；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欄有 </t>
    </r>
    <r>
      <rPr>
        <sz val="10"/>
        <rFont val="Arial"/>
        <family val="0"/>
        <charset val="1"/>
      </rPr>
      <t xml:space="preserve">new-password</t>
    </r>
    <r>
      <rPr>
        <sz val="10"/>
        <rFont val="Noto Sans CJK SC"/>
        <family val="2"/>
      </rPr>
      <t xml:space="preserve">）；新增 </t>
    </r>
    <r>
      <rPr>
        <sz val="10"/>
        <rFont val="Arial"/>
        <family val="0"/>
        <charset val="1"/>
      </rPr>
      <t xml:space="preserve">e2e tests/e2e/test_def078_secret_inputs_flow.py</t>
    </r>
    <r>
      <rPr>
        <sz val="10"/>
        <rFont val="Noto Sans CJK SC"/>
        <family val="2"/>
      </rPr>
      <t xml:space="preserve">（受保護模式登入後：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欄 </t>
    </r>
    <r>
      <rPr>
        <sz val="10"/>
        <rFont val="Arial"/>
        <family val="0"/>
        <charset val="1"/>
      </rPr>
      <t xml:space="preserve">type=password</t>
    </r>
    <r>
      <rPr>
        <sz val="10"/>
        <rFont val="Noto Sans CJK SC"/>
        <family val="2"/>
      </rPr>
      <t xml:space="preserve">、按重設後也是；「目前：」遮罩正確；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input.value </t>
    </r>
    <r>
      <rPr>
        <sz val="10"/>
        <rFont val="Noto Sans CJK SC"/>
        <family val="2"/>
      </rPr>
      <t xml:space="preserve">都不含完整祕密；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回應都不含）。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上：契約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則失敗（「</t>
    </r>
    <r>
      <rPr>
        <sz val="10"/>
        <rFont val="Arial"/>
        <family val="0"/>
        <charset val="1"/>
      </rPr>
      <t xml:space="preserve">secret inputs that echo what is typed: settings.html:533#nt-ntfy-token (type=None) / :550#nt-tg-token / :631#dr-key / settings-datasources.js:217 (type='text')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autocomplete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attribute 'password' / Actual value: None</t>
    </r>
    <r>
      <rPr>
        <sz val="10"/>
        <rFont val="Noto Sans CJK SC"/>
        <family val="2"/>
      </rPr>
      <t xml:space="preserve">」。遮罩各則在舊碼也通過——那是依 </t>
    </r>
    <r>
      <rPr>
        <sz val="10"/>
        <rFont val="Arial"/>
        <family val="0"/>
        <charset val="1"/>
      </rPr>
      <t xml:space="preserve">owner 3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裁定設的釘子。變異：遮罩放寬為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6 → 3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assert 'sk-or-•••pqrstu' == 'sk-•••stu'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text → 2 </t>
    </r>
    <r>
      <rPr>
        <sz val="10"/>
        <rFont val="Noto Sans CJK SC"/>
        <family val="2"/>
      </rPr>
      <t xml:space="preserve">則；資料來源對話框改回 </t>
    </r>
    <r>
      <rPr>
        <sz val="10"/>
        <rFont val="Arial"/>
        <family val="0"/>
        <charset val="1"/>
      </rPr>
      <t xml:space="preserve">'text' → 1 </t>
    </r>
    <r>
      <rPr>
        <sz val="10"/>
        <rFont val="Noto Sans CJK SC"/>
        <family val="2"/>
      </rPr>
      <t xml:space="preserve">則；</t>
    </r>
    <r>
      <rPr>
        <sz val="10"/>
        <rFont val="Arial"/>
        <family val="0"/>
        <charset val="1"/>
      </rPr>
      <t xml:space="preserve">nt-tg-token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text → 1 </t>
    </r>
    <r>
      <rPr>
        <sz val="10"/>
        <rFont val="Noto Sans CJK SC"/>
        <family val="2"/>
      </rPr>
      <t xml:space="preserve">則。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</si>
  <si>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</si>
  <si>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#dr-key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欄為 </t>
    </r>
    <r>
      <rPr>
        <sz val="10"/>
        <rFont val="Arial"/>
        <family val="0"/>
        <charset val="1"/>
      </rPr>
      <t xml:space="preserve">type=text
</t>
    </r>
    <r>
      <rPr>
        <sz val="10"/>
        <rFont val="Noto Sans CJK SC"/>
        <family val="2"/>
      </rPr>
      <t xml:space="preserve">假設：①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欄皆改密碼欄、遮罩依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字元；②只改模型金鑰欄
排除：</t>
    </r>
    <r>
      <rPr>
        <sz val="10"/>
        <rFont val="Arial"/>
        <family val="0"/>
        <charset val="1"/>
      </rPr>
      <t xml:space="preserve">#dr-key type=password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autocomplete=new-password</t>
    </r>
    <r>
      <rPr>
        <sz val="10"/>
        <rFont val="Noto Sans CJK SC"/>
        <family val="2"/>
      </rPr>
      <t xml:space="preserve">（重設後仍是 </t>
    </r>
    <r>
      <rPr>
        <sz val="10"/>
        <rFont val="Arial"/>
        <family val="0"/>
        <charset val="1"/>
      </rPr>
      <t xml:space="preserve">password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空），欄旁「目前：</t>
    </r>
    <r>
      <rPr>
        <sz val="10"/>
        <rFont val="Arial"/>
        <family val="0"/>
        <charset val="1"/>
      </rPr>
      <t xml:space="preserve">sk-•••815</t>
    </r>
    <r>
      <rPr>
        <sz val="10"/>
        <rFont val="Noto Sans CJK SC"/>
        <family val="2"/>
      </rPr>
      <t xml:space="preserve">」；資料來源對話框 </t>
    </r>
    <r>
      <rPr>
        <sz val="10"/>
        <rFont val="Arial"/>
        <family val="0"/>
        <charset val="1"/>
      </rPr>
      <t xml:space="preserve">type=password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autocomplete=new-password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nt-em-pass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password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new-password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防護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）；遮罩 </t>
    </r>
    <r>
      <rPr>
        <sz val="10"/>
        <rFont val="Arial"/>
        <family val="0"/>
        <charset val="1"/>
      </rPr>
      <t xml:space="preserve">sk-•••815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個模型）、</t>
    </r>
    <r>
      <rPr>
        <sz val="10"/>
        <rFont val="Arial"/>
        <family val="0"/>
        <charset val="1"/>
      </rPr>
      <t xml:space="preserve">finmind eyJ•••YMY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主題 </t>
    </r>
    <r>
      <rPr>
        <sz val="10"/>
        <rFont val="Arial"/>
        <family val="0"/>
        <charset val="1"/>
      </rPr>
      <t xml:space="preserve">pd-•••c0b</t>
    </r>
    <r>
      <rPr>
        <sz val="10"/>
        <rFont val="Noto Sans CJK SC"/>
        <family val="2"/>
      </rPr>
      <t xml:space="preserve">，皆前後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；頁面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無完整金鑰。排除②
定位：</t>
    </r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
</t>
    </r>
    <r>
      <rPr>
        <sz val="10"/>
        <rFont val="Noto Sans CJK SC"/>
        <family val="2"/>
      </rPr>
      <t xml:space="preserve">判定：通過（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字元，取代規格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</si>
  <si>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</si>
  <si>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⑥ A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</si>
  <si>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</si>
  <si>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</si>
  <si>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</si>
  <si>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r>
      <rPr>
        <sz val="10"/>
        <rFont val="Noto Sans CJK SC"/>
        <family val="2"/>
      </rPr>
      <t xml:space="preserve">讀取這個結果的地方 共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／改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web/app.js </t>
    </r>
    <r>
      <rPr>
        <sz val="10"/>
        <rFont val="Noto Sans CJK SC"/>
        <family val="2"/>
      </rPr>
      <t xml:space="preserve">鮮度面板、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快照重生、單元測試）／自動帶出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變數 </t>
    </r>
    <r>
      <rPr>
        <sz val="10"/>
        <rFont val="Arial"/>
        <family val="0"/>
        <charset val="1"/>
      </rPr>
      <t xml:space="preserve">freshness_json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model_dump </t>
    </r>
    <r>
      <rPr>
        <sz val="10"/>
        <rFont val="Noto Sans CJK SC"/>
        <family val="2"/>
      </rPr>
      <t xml:space="preserve">帶出新欄位，帶此變數的提示詞當日快取一次性未命中）／既有測試更新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scripts/verify_live.py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stress-audit</t>
    </r>
    <r>
      <rPr>
        <sz val="10"/>
        <rFont val="Noto Sans CJK SC"/>
        <family val="2"/>
      </rPr>
      <t xml:space="preserve">、週報、匯出、預警皆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處讀取。掃描指令：</t>
    </r>
    <r>
      <rPr>
        <sz val="10"/>
        <rFont val="Arial"/>
        <family val="0"/>
        <charset val="1"/>
      </rPr>
      <t xml:space="preserve">git grep -n "fx_triangulation\|FxTriangle" 3be67db -- . ':!docs'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</si>
  <si>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tests/portfolio/test_def077_fx_triangulation_common_date.py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則：規格四案 </t>
    </r>
    <r>
      <rPr>
        <sz val="10"/>
        <rFont val="Arial"/>
        <family val="0"/>
        <charset val="1"/>
      </rPr>
      <t xml:space="preserve">(a) </t>
    </r>
    <r>
      <rPr>
        <sz val="10"/>
        <rFont val="Noto Sans CJK SC"/>
        <family val="2"/>
      </rPr>
      <t xml:space="preserve">同日一致 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同日不一致 →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日期不同共同日一致 →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、共同日確實不一致 →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(d) </t>
    </r>
    <r>
      <rPr>
        <sz val="10"/>
        <rFont val="Noto Sans CJK SC"/>
        <family val="2"/>
      </rPr>
      <t xml:space="preserve">無共同日 → </t>
    </r>
    <r>
      <rPr>
        <sz val="10"/>
        <rFont val="Arial"/>
        <family val="0"/>
        <charset val="1"/>
      </rPr>
      <t xml:space="preserve">ok None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；另不晚於估值日、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形狀、經 </t>
    </r>
    <r>
      <rPr>
        <sz val="10"/>
        <rFont val="Arial"/>
        <family val="0"/>
        <charset val="1"/>
      </rPr>
      <t xml:space="preserve">build_dashboard </t>
    </r>
    <r>
      <rPr>
        <sz val="10"/>
        <rFont val="Noto Sans CJK SC"/>
        <family val="2"/>
      </rPr>
      <t xml:space="preserve">的真實路徑、反向匯率歷史方向）；新增 </t>
    </r>
    <r>
      <rPr>
        <sz val="10"/>
        <rFont val="Arial"/>
        <family val="0"/>
        <charset val="1"/>
      </rPr>
      <t xml:space="preserve">e2e tests/e2e/test_def077_fx_triangle_note_flow.py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則：日期不同但一致 → 「日期不同」「以共同日期 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比較」「（一致）」非琥珀；無共同日期 → 「無法比較」）。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上：單元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失敗（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則為新介面不存在；經 </t>
    </r>
    <r>
      <rPr>
        <sz val="10"/>
        <rFont val="Arial"/>
        <family val="0"/>
        <charset val="1"/>
      </rPr>
      <t xml:space="preserve">build_dashboard </t>
    </r>
    <r>
      <rPr>
        <sz val="10"/>
        <rFont val="Noto Sans CJK SC"/>
        <family val="2"/>
      </rPr>
      <t xml:space="preserve">那則為語意失敗「</t>
    </r>
    <r>
      <rPr>
        <sz val="10"/>
        <rFont val="Arial"/>
        <family val="0"/>
        <charset val="1"/>
      </rPr>
      <t xml:space="preserve">ok=False gap_pct=-2.2222</t>
    </r>
    <r>
      <rPr>
        <sz val="10"/>
        <rFont val="Noto Sans CJK SC"/>
        <family val="2"/>
      </rPr>
      <t xml:space="preserve">」，正是 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的形狀）；</t>
    </r>
    <r>
      <rPr>
        <sz val="10"/>
        <rFont val="Arial"/>
        <family val="0"/>
        <charset val="1"/>
      </rPr>
      <t xml:space="preserve">e2e 2/2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missing </t>
    </r>
    <r>
      <rPr>
        <sz val="10"/>
        <rFont val="Noto Sans CJK SC"/>
        <family val="2"/>
      </rPr>
      <t xml:space="preserve">「日期不同」 </t>
    </r>
    <r>
      <rPr>
        <sz val="10"/>
        <rFont val="Arial"/>
        <family val="0"/>
        <charset val="1"/>
      </rPr>
      <t xml:space="preserve">in: </t>
    </r>
    <r>
      <rPr>
        <sz val="10"/>
        <rFont val="Noto Sans CJK SC"/>
        <family val="2"/>
      </rPr>
      <t xml:space="preserve">匯率三角一致性 </t>
    </r>
    <r>
      <rPr>
        <sz val="10"/>
        <rFont val="Arial"/>
        <family val="0"/>
        <charset val="1"/>
      </rPr>
      <t xml:space="preserve">USD/TWD</t>
    </r>
    <r>
      <rPr>
        <sz val="10"/>
        <rFont val="Noto Sans CJK SC"/>
        <family val="2"/>
      </rPr>
      <t xml:space="preserve">：…推得 </t>
    </r>
    <r>
      <rPr>
        <sz val="10"/>
        <rFont val="Arial"/>
        <family val="0"/>
        <charset val="1"/>
      </rPr>
      <t xml:space="preserve">30.800000</t>
    </r>
    <r>
      <rPr>
        <sz val="10"/>
        <rFont val="Noto Sans CJK SC"/>
        <family val="2"/>
      </rPr>
      <t xml:space="preserve">，直接報價 </t>
    </r>
    <r>
      <rPr>
        <sz val="10"/>
        <rFont val="Arial"/>
        <family val="0"/>
        <charset val="1"/>
      </rPr>
      <t xml:space="preserve">31.500000</t>
    </r>
    <r>
      <rPr>
        <sz val="10"/>
        <rFont val="Noto Sans CJK SC"/>
        <family val="2"/>
      </rPr>
      <t xml:space="preserve">，落差 </t>
    </r>
    <r>
      <rPr>
        <sz val="10"/>
        <rFont val="Arial"/>
        <family val="0"/>
        <charset val="1"/>
      </rPr>
      <t xml:space="preserve">-2.2222%</t>
    </r>
    <r>
      <rPr>
        <sz val="10"/>
        <rFont val="Noto Sans CJK SC"/>
        <family val="2"/>
      </rPr>
      <t xml:space="preserve">（超過 </t>
    </r>
    <r>
      <rPr>
        <sz val="10"/>
        <rFont val="Arial"/>
        <family val="0"/>
        <charset val="1"/>
      </rPr>
      <t xml:space="preserve">0.05% …</t>
    </r>
    <r>
      <rPr>
        <sz val="10"/>
        <rFont val="Noto Sans CJK SC"/>
        <family val="2"/>
      </rPr>
      <t xml:space="preserve">）」。變異：改回永遠比最新一筆 →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則失敗，含 </t>
    </r>
    <r>
      <rPr>
        <sz val="10"/>
        <rFont val="Arial"/>
        <family val="0"/>
        <charset val="1"/>
      </rPr>
      <t xml:space="preserve">(c)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judged on the common date 2026-09-24, the triangle closes: … direct=32.500000 gap_pct=-1.5385 ok=False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scripts/regen_golden_full.py </t>
    </r>
    <r>
      <rPr>
        <sz val="10"/>
        <rFont val="Noto Sans CJK SC"/>
        <family val="2"/>
      </rPr>
      <t xml:space="preserve">重生，差異只有新增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個鍵。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</si>
  <si>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</si>
  <si>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 USD/MYR 09-24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MYR/TWD 09-22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USD/TWD 09-25</t>
    </r>
    <r>
      <rPr>
        <sz val="10"/>
        <rFont val="Noto Sans CJK SC"/>
        <family val="2"/>
      </rPr>
      <t xml:space="preserve">；提示文字「匯率三角一致性 </t>
    </r>
    <r>
      <rPr>
        <sz val="10"/>
        <rFont val="Arial"/>
        <family val="0"/>
        <charset val="1"/>
      </rPr>
      <t xml:space="preserve">USD/TWD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USD/MYR × MYR/TWD </t>
    </r>
    <r>
      <rPr>
        <sz val="10"/>
        <rFont val="Noto Sans CJK SC"/>
        <family val="2"/>
      </rPr>
      <t xml:space="preserve">推得 </t>
    </r>
    <r>
      <rPr>
        <sz val="10"/>
        <rFont val="Arial"/>
        <family val="0"/>
        <charset val="1"/>
      </rPr>
      <t xml:space="preserve">31.663000</t>
    </r>
    <r>
      <rPr>
        <sz val="10"/>
        <rFont val="Noto Sans CJK SC"/>
        <family val="2"/>
      </rPr>
      <t xml:space="preserve">，直接報價 </t>
    </r>
    <r>
      <rPr>
        <sz val="10"/>
        <rFont val="Arial"/>
        <family val="0"/>
        <charset val="1"/>
      </rPr>
      <t xml:space="preserve">31.663000</t>
    </r>
    <r>
      <rPr>
        <sz val="10"/>
        <rFont val="Noto Sans CJK SC"/>
        <family val="2"/>
      </rPr>
      <t xml:space="preserve">，落差 </t>
    </r>
    <r>
      <rPr>
        <sz val="10"/>
        <rFont val="Arial"/>
        <family val="0"/>
        <charset val="1"/>
      </rPr>
      <t xml:space="preserve">0.0000%</t>
    </r>
    <r>
      <rPr>
        <sz val="10"/>
        <rFont val="Noto Sans CJK SC"/>
        <family val="2"/>
      </rPr>
      <t xml:space="preserve">（一致）・日期不同（各組最新：…），以共同日期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比較」✓；但這則「一致」提示的計算樣式為 </t>
    </r>
    <r>
      <rPr>
        <sz val="10"/>
        <rFont val="Arial"/>
        <family val="0"/>
        <charset val="1"/>
      </rPr>
      <t xml:space="preserve">color rgb(217,161,63)</t>
    </r>
    <r>
      <rPr>
        <sz val="10"/>
        <rFont val="Noto Sans CJK SC"/>
        <family val="2"/>
      </rPr>
      <t xml:space="preserve">、背景 </t>
    </r>
    <r>
      <rPr>
        <sz val="10"/>
        <rFont val="Arial"/>
        <family val="0"/>
        <charset val="1"/>
      </rPr>
      <t xml:space="preserve">rgba(217,161,63,0.14)——</t>
    </r>
    <r>
      <rPr>
        <sz val="10"/>
        <rFont val="Noto Sans CJK SC"/>
        <family val="2"/>
      </rPr>
      <t xml:space="preserve">與「排程器未啟動」警示同一個琥珀色警示框
假設：①</t>
    </r>
    <r>
      <rPr>
        <sz val="10"/>
        <rFont val="Arial"/>
        <family val="0"/>
        <charset val="1"/>
      </rPr>
      <t xml:space="preserve">ok:true </t>
    </r>
    <r>
      <rPr>
        <sz val="10"/>
        <rFont val="Noto Sans CJK SC"/>
        <family val="2"/>
      </rPr>
      <t xml:space="preserve">本應中性、樣式沒生效；②所有提示本來就是琥珀色
排除：</t>
    </r>
    <r>
      <rPr>
        <sz val="10"/>
        <rFont val="Arial"/>
        <family val="0"/>
        <charset val="1"/>
      </rPr>
      <t xml:space="preserve">app.js:1395 </t>
    </r>
    <r>
      <rPr>
        <sz val="10"/>
        <rFont val="Noto Sans CJK SC"/>
        <family val="2"/>
      </rPr>
      <t xml:space="preserve">註解與開發者說明皆寫「只有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顯示琥珀色、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中性」，程式只在 </t>
    </r>
    <r>
      <rPr>
        <sz val="10"/>
        <rFont val="Arial"/>
        <family val="0"/>
        <charset val="1"/>
      </rPr>
      <t xml:space="preserve">false </t>
    </r>
    <r>
      <rPr>
        <sz val="10"/>
        <rFont val="Noto Sans CJK SC"/>
        <family val="2"/>
      </rPr>
      <t xml:space="preserve">時設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styles.css:1240-1247 .fresh-note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，所以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仍是琥珀；開發者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）讀的是 </t>
    </r>
    <r>
      <rPr>
        <sz val="10"/>
        <rFont val="Arial"/>
        <family val="0"/>
        <charset val="1"/>
      </rPr>
      <t xml:space="preserve">n.style.color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""</t>
    </r>
    <r>
      <rPr>
        <sz val="10"/>
        <rFont val="Noto Sans CJK SC"/>
        <family val="2"/>
      </rPr>
      <t xml:space="preserve">，未驗計算後顏色，因而通過。排除②（設計意圖明寫非琥珀）
定位：</t>
    </r>
    <r>
      <rPr>
        <sz val="10"/>
        <rFont val="Arial"/>
        <family val="0"/>
        <charset val="1"/>
      </rPr>
      <t xml:space="preserve">web/styles.css:1240 .fresh-note </t>
    </r>
    <r>
      <rPr>
        <sz val="10"/>
        <rFont val="Noto Sans CJK SC"/>
        <family val="2"/>
      </rPr>
      <t xml:space="preserve">預設琥珀、</t>
    </r>
    <r>
      <rPr>
        <sz val="10"/>
        <rFont val="Arial"/>
        <family val="0"/>
        <charset val="1"/>
      </rPr>
      <t xml:space="preserve">web/app.js:1393-1420 </t>
    </r>
    <r>
      <rPr>
        <sz val="10"/>
        <rFont val="Noto Sans CJK SC"/>
        <family val="2"/>
      </rPr>
      <t xml:space="preserve">未替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換成中性樣式
判定：部分通過——比較日期與判定正確（</t>
    </r>
    <r>
      <rPr>
        <sz val="10"/>
        <rFont val="Arial"/>
        <family val="0"/>
        <charset val="1"/>
      </rPr>
      <t xml:space="preserve">J-01 tri ok:true</t>
    </r>
    <r>
      <rPr>
        <sz val="10"/>
        <rFont val="Noto Sans CJK SC"/>
        <family val="2"/>
      </rPr>
      <t xml:space="preserve">），畫面仍以警示色呈現「一致」與「無法比較」，與規格「日期不同而不是紅燈」及開發者自述的設計不符</t>
    </r>
  </si>
  <si>
    <r>
      <rPr>
        <sz val="10"/>
        <rFont val="Noto Sans CJK SC"/>
        <family val="2"/>
      </rPr>
      <t xml:space="preserve">文字與判定正確；「一致」提示為琥珀色警示框（計算樣式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dates_differ </t>
    </r>
    <r>
      <rPr>
        <sz val="10"/>
        <rFont val="Noto Sans CJK SC"/>
        <family val="2"/>
      </rPr>
      <t xml:space="preserve">恆 </t>
    </r>
    <r>
      <rPr>
        <sz val="10"/>
        <rFont val="Arial"/>
        <family val="0"/>
        <charset val="1"/>
      </rPr>
      <t xml:space="preserve">False → 5 failed</t>
    </r>
    <r>
      <rPr>
        <sz val="10"/>
        <rFont val="Noto Sans CJK SC"/>
        <family val="2"/>
      </rPr>
      <t xml:space="preserve">，還原後 </t>
    </r>
    <r>
      <rPr>
        <sz val="10"/>
        <rFont val="Arial"/>
        <family val="0"/>
        <charset val="1"/>
      </rPr>
      <t xml:space="preserve">9 passed</t>
    </r>
    <r>
      <rPr>
        <sz val="10"/>
        <rFont val="Noto Sans CJK SC"/>
        <family val="2"/>
      </rPr>
      <t xml:space="preserve">（判定邏輯的測試有效；樣式測試有盲點）</t>
    </r>
  </si>
  <si>
    <r>
      <rPr>
        <sz val="10"/>
        <rFont val="Noto Sans CJK SC"/>
        <family val="2"/>
      </rPr>
      <t xml:space="preserve">還差：①匯率三角提示在 </t>
    </r>
    <r>
      <rPr>
        <sz val="10"/>
        <rFont val="Arial"/>
        <family val="0"/>
        <charset val="1"/>
      </rPr>
      <t xml:space="preserve">ok === true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時改為中性樣式（例如另設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覆寫 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的琥珀色與琥珀底，或把三角提示移出 </t>
    </r>
    <r>
      <rPr>
        <sz val="10"/>
        <rFont val="Arial"/>
        <family val="0"/>
        <charset val="1"/>
      </rPr>
      <t xml:space="preserve">.fresh-note</t>
    </r>
    <r>
      <rPr>
        <sz val="10"/>
        <rFont val="Noto Sans CJK SC"/>
        <family val="2"/>
      </rPr>
      <t xml:space="preserve">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改以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color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（現行 </t>
    </r>
    <r>
      <rPr>
        <sz val="10"/>
        <rFont val="Arial"/>
        <family val="0"/>
        <charset val="1"/>
      </rPr>
      <t xml:space="preserve">n.style.color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預設琥珀時仍通過）；③同類掃描：其他以 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判斷顏色、但容器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已有預設警示色的提示</t>
    </r>
  </si>
  <si>
    <r>
      <rPr>
        <sz val="10"/>
        <rFont val="Noto Sans CJK SC"/>
        <family val="2"/>
      </rPr>
      <t xml:space="preserve">同意，依 </t>
    </r>
    <r>
      <rPr>
        <sz val="10"/>
        <rFont val="Arial"/>
        <family val="0"/>
        <charset val="1"/>
      </rPr>
      <t xml:space="preserve">owner ⑤ 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額度偏低」。另外 </t>
    </r>
    <r>
      <rPr>
        <sz val="10"/>
        <rFont val="Arial"/>
        <family val="0"/>
        <charset val="1"/>
      </rPr>
      <t xml:space="preserve">shared/whatsnew.py:1317 </t>
    </r>
    <r>
      <rPr>
        <sz val="10"/>
        <rFont val="Noto Sans CJK SC"/>
        <family val="2"/>
      </rPr>
      <t xml:space="preserve">的更新說明也寫「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額度偏低預警」；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另在對話中裁定：畫面上其他「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額度」（見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</si>
  <si>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</si>
  <si>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</si>
  <si>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r>
      <rPr>
        <sz val="10"/>
        <rFont val="Noto Sans CJK SC"/>
        <family val="2"/>
      </rPr>
      <t xml:space="preserve">標題改為「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額度偏低」；推播與洞察觸發晶片原本就讀規則名，預警鈴列表與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提示詞讀標題，一併變成「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額度偏低」（當日洞察快取一次性未命中，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已接受）。</t>
    </r>
    <r>
      <rPr>
        <sz val="10"/>
        <rFont val="Arial"/>
        <family val="0"/>
        <charset val="1"/>
      </rPr>
      <t xml:space="preserve">whatsnew.py:1317 </t>
    </r>
    <r>
      <rPr>
        <sz val="10"/>
        <rFont val="Noto Sans CJK SC"/>
        <family val="2"/>
      </rPr>
      <t xml:space="preserve">改寫為「不再誤報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額度偏低預警」：它是指向現行功能的更新目錄項目，不是當時實際推播或寫入的紀錄（</t>
    </r>
    <r>
      <rPr>
        <sz val="10"/>
        <rFont val="Arial"/>
        <family val="0"/>
        <charset val="1"/>
      </rPr>
      <t xml:space="preserve">owner ④ </t>
    </r>
    <r>
      <rPr>
        <sz val="10"/>
        <rFont val="Noto Sans CJK SC"/>
        <family val="2"/>
      </rPr>
      <t xml:space="preserve">保留原樣的是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明細與週報那一類），讀者會拿這個詞去找目前的預警。標題保留字面值，由守門測試與規則名綁住。另依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在對話中的裁定，使用者看得到的其他「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」字樣一律改稱「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」：洞察管線「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額度」卡與跳過原因、乾跑預檢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閘門「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額度」、資料庫統計「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模型註冊表／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角色預設／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額度設定」、系統紀錄動作標籤「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操作／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設定刪除」、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輸入降級卡、洞察頁與數據變數庫說明；程式碼、註解、識別字維持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」是閘道產品名，與同頁的 </t>
    </r>
    <r>
      <rPr>
        <sz val="10"/>
        <rFont val="Arial"/>
        <family val="0"/>
        <charset val="1"/>
      </rPr>
      <t xml:space="preserve">FinMind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一樣保留。系統紀錄既有的舊資料列保留寫入當時的「</t>
    </r>
    <r>
      <rPr>
        <sz val="10"/>
        <rFont val="Arial"/>
        <family val="0"/>
        <charset val="1"/>
      </rPr>
      <t xml:space="preserve">LLM …</t>
    </r>
    <r>
      <rPr>
        <sz val="10"/>
        <rFont val="Noto Sans CJK SC"/>
        <family val="2"/>
      </rPr>
      <t xml:space="preserve">」字樣（比照裁定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</si>
  <si>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</si>
  <si>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tests/contract/test_def076_alert_titles_use_rule_vocabulary.py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則：掃描看得到每條註冊規則；標題不得用規則名以外的詞，除非列在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每筆仍存在且仍不同，避免白名單腐爛；標題不得含「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」；經 </t>
    </r>
    <r>
      <rPr>
        <sz val="10"/>
        <rFont val="Arial"/>
        <family val="0"/>
        <charset val="1"/>
      </rPr>
      <t xml:space="preserve">compute_alerts_from </t>
    </r>
    <r>
      <rPr>
        <sz val="10"/>
        <rFont val="Noto Sans CJK SC"/>
        <family val="2"/>
      </rPr>
      <t xml:space="preserve">實際產生的 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標題＝</t>
    </r>
    <r>
      <rPr>
        <sz val="10"/>
        <rFont val="Arial"/>
        <family val="0"/>
        <charset val="1"/>
      </rPr>
      <t xml:space="preserve">rule_name</t>
    </r>
    <r>
      <rPr>
        <sz val="10"/>
        <rFont val="Noto Sans CJK SC"/>
        <family val="2"/>
      </rPr>
      <t xml:space="preserve">＝「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額度偏低」）。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3/5 </t>
    </r>
    <r>
      <rPr>
        <sz val="10"/>
        <rFont val="Noto Sans CJK SC"/>
        <family val="2"/>
      </rPr>
      <t xml:space="preserve">失敗：「</t>
    </r>
    <r>
      <rPr>
        <sz val="10"/>
        <rFont val="Arial"/>
        <family val="0"/>
        <charset val="1"/>
      </rPr>
      <t xml:space="preserve">alerts.py:356: rule quota_low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 </t>
    </r>
    <r>
      <rPr>
        <sz val="10"/>
        <rFont val="Arial"/>
        <family val="0"/>
        <charset val="1"/>
      </rPr>
      <t xml:space="preserve">vs title predicate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額度偏低」」、「</t>
    </r>
    <r>
      <rPr>
        <sz val="10"/>
        <rFont val="Arial"/>
        <family val="0"/>
        <charset val="1"/>
      </rPr>
      <t xml:space="preserve">assert 'LLM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' == 'AI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」。變異：改回 </t>
    </r>
    <r>
      <rPr>
        <sz val="10"/>
        <rFont val="Arial"/>
        <family val="0"/>
        <charset val="1"/>
      </rPr>
      <t xml:space="preserve">LLM → </t>
    </r>
    <r>
      <rPr>
        <sz val="10"/>
        <rFont val="Noto Sans CJK SC"/>
        <family val="2"/>
      </rPr>
      <t xml:space="preserve">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則失敗。另新增 </t>
    </r>
    <r>
      <rPr>
        <sz val="10"/>
        <rFont val="Arial"/>
        <family val="0"/>
        <charset val="1"/>
      </rPr>
      <t xml:space="preserve">tests/contract/test_def076_ai_wording_not_llm.py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則：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掃描、後端掃描、掃描器自我測試）：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2/3 </t>
    </r>
    <r>
      <rPr>
        <sz val="10"/>
        <rFont val="Noto Sans CJK SC"/>
        <family val="2"/>
      </rPr>
      <t xml:space="preserve">失敗，逐行列出 </t>
    </r>
    <r>
      <rPr>
        <sz val="10"/>
        <rFont val="Arial"/>
        <family val="0"/>
        <charset val="1"/>
      </rPr>
      <t xml:space="preserve">web 18 </t>
    </r>
    <r>
      <rPr>
        <sz val="10"/>
        <rFont val="Noto Sans CJK SC"/>
        <family val="2"/>
      </rPr>
      <t xml:space="preserve">處與後端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處，例「</t>
    </r>
    <r>
      <rPr>
        <sz val="10"/>
        <rFont val="Arial"/>
        <family val="0"/>
        <charset val="1"/>
      </rPr>
      <t xml:space="preserve">web/pipeline.js:456: LLM </t>
    </r>
    <r>
      <rPr>
        <sz val="10"/>
        <rFont val="Noto Sans CJK SC"/>
        <family val="2"/>
      </rPr>
      <t xml:space="preserve">額度」「</t>
    </r>
    <r>
      <rPr>
        <sz val="10"/>
        <rFont val="Arial"/>
        <family val="0"/>
        <charset val="1"/>
      </rPr>
      <t xml:space="preserve">portfolio_dash/api/routers/db_stats.py:86: LLM </t>
    </r>
    <r>
      <rPr>
        <sz val="10"/>
        <rFont val="Noto Sans CJK SC"/>
        <family val="2"/>
      </rPr>
      <t xml:space="preserve">額度設定」；自我測試確認註解與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不被當成違規、字串／模板／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文字與屬性都看得到。變異 </t>
    </r>
    <r>
      <rPr>
        <sz val="10"/>
        <rFont val="Arial"/>
        <family val="0"/>
        <charset val="1"/>
      </rPr>
      <t xml:space="preserve">M12 pipeline.js </t>
    </r>
    <r>
      <rPr>
        <sz val="10"/>
        <rFont val="Noto Sans CJK SC"/>
        <family val="2"/>
      </rPr>
      <t xml:space="preserve">卡片改回「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額度」→「</t>
    </r>
    <r>
      <rPr>
        <sz val="10"/>
        <rFont val="Arial"/>
        <family val="0"/>
        <charset val="1"/>
      </rPr>
      <t xml:space="preserve">user-visible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 </t>
    </r>
    <r>
      <rPr>
        <sz val="10"/>
        <rFont val="Arial"/>
        <family val="0"/>
        <charset val="1"/>
      </rPr>
      <t xml:space="preserve">in web/ … web/pipeline.js:456: LLM </t>
    </r>
    <r>
      <rPr>
        <sz val="10"/>
        <rFont val="Noto Sans CJK SC"/>
        <family val="2"/>
      </rPr>
      <t xml:space="preserve">額度」；</t>
    </r>
    <r>
      <rPr>
        <sz val="10"/>
        <rFont val="Arial"/>
        <family val="0"/>
        <charset val="1"/>
      </rPr>
      <t xml:space="preserve">M13 db_stats </t>
    </r>
    <r>
      <rPr>
        <sz val="10"/>
        <rFont val="Noto Sans CJK SC"/>
        <family val="2"/>
      </rPr>
      <t xml:space="preserve">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額度設定」→「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 … </t>
    </r>
    <r>
      <rPr>
        <sz val="10"/>
        <rFont val="Arial"/>
        <family val="0"/>
        <charset val="1"/>
      </rPr>
      <t xml:space="preserve">db_stats.py:86: LLM </t>
    </r>
    <r>
      <rPr>
        <sz val="10"/>
        <rFont val="Noto Sans CJK SC"/>
        <family val="2"/>
      </rPr>
      <t xml:space="preserve">額度設定」。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</si>
  <si>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</si>
  <si>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 quota_low </t>
    </r>
    <r>
      <rPr>
        <sz val="10"/>
        <rFont val="Noto Sans CJK SC"/>
        <family val="2"/>
      </rPr>
      <t xml:space="preserve">事件標題「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
假設：①事件標題改用規則名、畫面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；②只改標題
排除：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個頁面「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處（僅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產品名）；門檻 </t>
    </r>
    <r>
      <rPr>
        <sz val="10"/>
        <rFont val="Arial"/>
        <family val="0"/>
        <charset val="1"/>
      </rPr>
      <t xml:space="preserve">4.00 </t>
    </r>
    <r>
      <rPr>
        <sz val="10"/>
        <rFont val="Noto Sans CJK SC"/>
        <family val="2"/>
      </rPr>
      <t xml:space="preserve">時預警鈴列「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　剩餘額度 </t>
    </r>
    <r>
      <rPr>
        <sz val="10"/>
        <rFont val="Arial"/>
        <family val="0"/>
        <charset val="1"/>
      </rPr>
      <t xml:space="preserve">$3.26</t>
    </r>
    <r>
      <rPr>
        <sz val="10"/>
        <rFont val="Noto Sans CJK SC"/>
        <family val="2"/>
      </rPr>
      <t xml:space="preserve">＜警戒值 </t>
    </r>
    <r>
      <rPr>
        <sz val="10"/>
        <rFont val="Arial"/>
        <family val="0"/>
        <charset val="1"/>
      </rPr>
      <t xml:space="preserve">$4.00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/api/alerts title </t>
    </r>
    <r>
      <rPr>
        <sz val="10"/>
        <rFont val="Noto Sans CJK SC"/>
        <family val="2"/>
      </rPr>
      <t xml:space="preserve">同；系統紀錄動作「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設定變更」；門檻改回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quota_low 0 </t>
    </r>
    <r>
      <rPr>
        <sz val="10"/>
        <rFont val="Noto Sans CJK SC"/>
        <family val="2"/>
      </rPr>
      <t xml:space="preserve">條。排除②
定位：</t>
    </r>
    <r>
      <rPr>
        <sz val="10"/>
        <rFont val="Arial"/>
        <family val="0"/>
        <charset val="1"/>
      </rPr>
      <t xml:space="preserve">strategy/alerts.py:361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api/action_log.py:96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</si>
  <si>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</si>
  <si>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r>
      <rPr>
        <sz val="10"/>
        <rFont val="Noto Sans CJK SC"/>
        <family val="2"/>
      </rPr>
      <t xml:space="preserve">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</si>
  <si>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Noto Sans CJK SC"/>
        <family val="2"/>
      </rPr>
      <t xml:space="preserve">同意驗證者的判定與根因。同類掃描另找到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處同形狀：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琥珀在重繪後殘留）、資料新鮮度「推導」標籤用過期的琥珀徽章；後者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在對話中裁定改為中性灰，兩處都併入本張一起修。</t>
    </r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</si>
  <si>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</si>
  <si>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</si>
  <si>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r>
      <rPr>
        <sz val="10"/>
        <rFont val="Noto Sans CJK SC"/>
        <family val="2"/>
      </rPr>
      <t xml:space="preserve">類別修法：狀態色一律用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。①匯率三角提示：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.fresh-note</t>
    </r>
    <r>
      <rPr>
        <sz val="10"/>
        <rFont val="Noto Sans CJK SC"/>
        <family val="2"/>
      </rPr>
      <t xml:space="preserve">（琥珀）；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 </t>
    </r>
    <r>
      <rPr>
        <sz val="10"/>
        <rFont val="Arial"/>
        <family val="0"/>
        <charset val="1"/>
      </rPr>
      <t xml:space="preserve">--text-2</t>
    </r>
    <r>
      <rPr>
        <sz val="10"/>
        <rFont val="Noto Sans CJK SC"/>
        <family val="2"/>
      </rPr>
      <t xml:space="preserve">、面板底色、淡邊框），移除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顏色；文字（含「日期不同…以共同日期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比較」）不變。②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狀態徽章：額度偏低改用既有 </t>
    </r>
    <r>
      <rPr>
        <sz val="10"/>
        <rFont val="Arial"/>
        <family val="0"/>
        <charset val="1"/>
      </rPr>
      <t xml:space="preserve">.pill-warn</t>
    </r>
    <r>
      <rPr>
        <sz val="10"/>
        <rFont val="Noto Sans CJK SC"/>
        <family val="2"/>
      </rPr>
      <t xml:space="preserve">，刪除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顏色，已關閉分支補清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。③「推導」標籤改 </t>
    </r>
    <r>
      <rPr>
        <sz val="10"/>
        <rFont val="Arial"/>
        <family val="0"/>
        <charset val="1"/>
      </rPr>
      <t xml:space="preserve">.badge-info-mini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.badge </t>
    </r>
    <r>
      <rPr>
        <sz val="10"/>
        <rFont val="Noto Sans CJK SC"/>
        <family val="2"/>
      </rPr>
      <t xml:space="preserve">預設中性＋小尺寸）。④新守門 </t>
    </r>
    <r>
      <rPr>
        <sz val="10"/>
        <rFont val="Arial"/>
        <family val="0"/>
        <charset val="1"/>
      </rPr>
      <t xml:space="preserve">tests/contract/test_def077_state_colour_is_a_class.py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的規則擴及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全部檔案：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設定狀態色（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--up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--down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--ok </t>
    </r>
    <r>
      <rPr>
        <sz val="10"/>
        <rFont val="Noto Sans CJK SC"/>
        <family val="2"/>
      </rPr>
      <t xml:space="preserve">或其 </t>
    </r>
    <r>
      <rPr>
        <sz val="10"/>
        <rFont val="Arial"/>
        <family val="0"/>
        <charset val="1"/>
      </rPr>
      <t xml:space="preserve">rgba</t>
    </r>
    <r>
      <rPr>
        <sz val="10"/>
        <rFont val="Noto Sans CJK SC"/>
        <family val="2"/>
      </rPr>
      <t xml:space="preserve">）的位置都必須列在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並寫理由，否則失敗；清單項目已不存在也失敗（防腐爛）。規則寫進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</t>
    </r>
    <r>
      <rPr>
        <sz val="10"/>
        <rFont val="Noto Sans CJK SC"/>
        <family val="2"/>
      </rPr>
      <t xml:space="preserve">）。掃描方式：</t>
    </r>
    <r>
      <rPr>
        <sz val="10"/>
        <rFont val="Arial"/>
        <family val="0"/>
        <charset val="1"/>
      </rPr>
      <t xml:space="preserve">web/*.js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*.html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vendored echarts.min.js</t>
    </r>
    <r>
      <rPr>
        <sz val="10"/>
        <rFont val="Noto Sans CJK SC"/>
        <family val="2"/>
      </rPr>
      <t xml:space="preserve">）逐行找 </t>
    </r>
    <r>
      <rPr>
        <sz val="10"/>
        <rFont val="Arial"/>
        <family val="0"/>
        <charset val="1"/>
      </rPr>
      <t xml:space="preserve">.style.color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borderColor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cssText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setProperty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setAttribute('style') </t>
    </r>
    <r>
      <rPr>
        <sz val="10"/>
        <rFont val="Noto Sans CJK SC"/>
        <family val="2"/>
      </rPr>
      <t xml:space="preserve">的賦值，再與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中預設為警示色的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（琥珀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個選擇器、紅 </t>
    </r>
    <r>
      <rPr>
        <sz val="10"/>
        <rFont val="Arial"/>
        <family val="0"/>
        <charset val="1"/>
      </rPr>
      <t xml:space="preserve">35 </t>
    </r>
    <r>
      <rPr>
        <sz val="10"/>
        <rFont val="Noto Sans CJK SC"/>
        <family val="2"/>
      </rPr>
      <t xml:space="preserve">個）比對。</t>
    </r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</si>
  <si>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</si>
  <si>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r>
      <rPr>
        <sz val="10"/>
        <rFont val="Noto Sans CJK SC"/>
        <family val="2"/>
      </rPr>
      <t xml:space="preserve">改寫 </t>
    </r>
    <r>
      <rPr>
        <sz val="10"/>
        <rFont val="Arial"/>
        <family val="0"/>
        <charset val="1"/>
      </rPr>
      <t xml:space="preserve">tests/e2e/test_def077_fx_triangle_note_flow.py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則）：三態各一——日期不同但共同日一致、無共同日、共同日確實不一致（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：推得 </t>
    </r>
    <r>
      <rPr>
        <sz val="10"/>
        <rFont val="Arial"/>
        <family val="0"/>
        <charset val="1"/>
      </rPr>
      <t xml:space="preserve">30.800000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33.000000</t>
    </r>
    <r>
      <rPr>
        <sz val="10"/>
        <rFont val="Noto Sans CJK SC"/>
        <family val="2"/>
      </rPr>
      <t xml:space="preserve">）——一律以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background-color</t>
    </r>
    <r>
      <rPr>
        <sz val="10"/>
        <rFont val="Noto Sans CJK SC"/>
        <family val="2"/>
      </rPr>
      <t xml:space="preserve">，並與同頁解析出的 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--amber-soft </t>
    </r>
    <r>
      <rPr>
        <sz val="10"/>
        <rFont val="Noto Sans CJK SC"/>
        <family val="2"/>
      </rPr>
      <t xml:space="preserve">比對（換主題時兩邊一起變）：前兩態不得是琥珀、第三態必須是琥珀；「推導」標籤不得是琥珀；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 偏低 → 已關閉、偏低 → 歸零（真實存檔門檻觸發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重繪）不得殘留琥珀，且分別等於 </t>
    </r>
    <r>
      <rPr>
        <sz val="10"/>
        <rFont val="Arial"/>
        <family val="0"/>
        <charset val="1"/>
      </rPr>
      <t xml:space="preserve">--text-3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--up</t>
    </r>
    <r>
      <rPr>
        <sz val="10"/>
        <rFont val="Noto Sans CJK SC"/>
        <family val="2"/>
      </rPr>
      <t xml:space="preserve">。新增 </t>
    </r>
    <r>
      <rPr>
        <sz val="10"/>
        <rFont val="Arial"/>
        <family val="0"/>
        <charset val="1"/>
      </rPr>
      <t xml:space="preserve">tests/contract/test_def077_state_colour_is_a_class.py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則）。變異（每組還原後皆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通過）：①三個前端檔換回 </t>
    </r>
    <r>
      <rPr>
        <sz val="10"/>
        <rFont val="Arial"/>
        <family val="0"/>
        <charset val="1"/>
      </rPr>
      <t xml:space="preserve">696934e → 5 failed</t>
    </r>
    <r>
      <rPr>
        <sz val="10"/>
        <rFont val="Noto Sans CJK SC"/>
        <family val="2"/>
      </rPr>
      <t xml:space="preserve">（一致、無法比較、推導、兩種徽章轉換；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那則照常通過）；②只拿掉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.fresh-note-info → 2 failed</t>
    </r>
    <r>
      <rPr>
        <sz val="10"/>
        <rFont val="Noto Sans CJK SC"/>
        <family val="2"/>
      </rPr>
      <t xml:space="preserve">；③只刪 </t>
    </r>
    <r>
      <rPr>
        <sz val="10"/>
        <rFont val="Arial"/>
        <family val="0"/>
        <charset val="1"/>
      </rPr>
      <t xml:space="preserve">styles.css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.fresh-note.fresh-note-info </t>
    </r>
    <r>
      <rPr>
        <sz val="10"/>
        <rFont val="Noto Sans CJK SC"/>
        <family val="2"/>
      </rPr>
      <t xml:space="preserve">規則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；④三態全改中性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（共同日不一致那則：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）；⑤推導改回 </t>
    </r>
    <r>
      <rPr>
        <sz val="10"/>
        <rFont val="Arial"/>
        <family val="0"/>
        <charset val="1"/>
      </rPr>
      <t xml:space="preserve">.badge-stale-mini → 1 failed</t>
    </r>
    <r>
      <rPr>
        <sz val="10"/>
        <rFont val="Noto Sans CJK SC"/>
        <family val="2"/>
      </rPr>
      <t xml:space="preserve">；⑥只把 </t>
    </r>
    <r>
      <rPr>
        <sz val="10"/>
        <rFont val="Arial"/>
        <family val="0"/>
        <charset val="1"/>
      </rPr>
      <t xml:space="preserve">settings-llm.js </t>
    </r>
    <r>
      <rPr>
        <sz val="10"/>
        <rFont val="Noto Sans CJK SC"/>
        <family val="2"/>
      </rPr>
      <t xml:space="preserve">換回 </t>
    </r>
    <r>
      <rPr>
        <sz val="10"/>
        <rFont val="Arial"/>
        <family val="0"/>
        <charset val="1"/>
      </rPr>
      <t xml:space="preserve">696934e → 2 failed</t>
    </r>
    <r>
      <rPr>
        <sz val="10"/>
        <rFont val="Noto Sans CJK SC"/>
        <family val="2"/>
      </rPr>
      <t xml:space="preserve">；⑦守門：把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琥珀放回 </t>
    </r>
    <r>
      <rPr>
        <sz val="10"/>
        <rFont val="Arial"/>
        <family val="0"/>
        <charset val="1"/>
      </rPr>
      <t xml:space="preserve">app.js → 2 failed</t>
    </r>
    <r>
      <rPr>
        <sz val="10"/>
        <rFont val="Noto Sans CJK SC"/>
        <family val="2"/>
      </rPr>
      <t xml:space="preserve">（未審的狀態色＋三角提示未用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settings-llm.js </t>
    </r>
    <r>
      <rPr>
        <sz val="10"/>
        <rFont val="Noto Sans CJK SC"/>
        <family val="2"/>
      </rPr>
      <t xml:space="preserve">換回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</si>
  <si>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</si>
  <si>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</si>
  <si>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</si>
  <si>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「（一致）」提示的計算樣式是琥珀色警示框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
</t>
    </r>
    <r>
      <rPr>
        <sz val="10"/>
        <rFont val="Noto Sans CJK SC"/>
        <family val="2"/>
      </rPr>
      <t xml:space="preserve">假設：①狀態改用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，三態、推導徽章與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狀態徽章的實際顯示都依狀態；②只修了 </t>
    </r>
    <r>
      <rPr>
        <sz val="10"/>
        <rFont val="Arial"/>
        <family val="0"/>
        <charset val="1"/>
      </rPr>
      <t xml:space="preserve">ok:true </t>
    </r>
    <r>
      <rPr>
        <sz val="10"/>
        <rFont val="Noto Sans CJK SC"/>
        <family val="2"/>
      </rPr>
      <t xml:space="preserve">那一態，「無法比較」或徽章仍殘留琥珀
排除：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、日期不同、以共同日期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比較）三角提示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」、無 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--text-2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--panel-2</t>
    </r>
    <r>
      <rPr>
        <sz val="10"/>
        <rFont val="Noto Sans CJK SC"/>
        <family val="2"/>
      </rPr>
      <t xml:space="preserve">；同區「排程器未啟動」仍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</t>
    </r>
    <r>
      <rPr>
        <sz val="10"/>
        <rFont val="Noto Sans CJK SC"/>
        <family val="2"/>
      </rPr>
      <t xml:space="preserve">「推導」為 </t>
    </r>
    <r>
      <rPr>
        <sz val="10"/>
        <rFont val="Arial"/>
        <family val="0"/>
        <charset val="1"/>
      </rPr>
      <t xml:space="preserve">badge-info-mini rgb(154,166,181)</t>
    </r>
    <r>
      <rPr>
        <sz val="10"/>
        <rFont val="Noto Sans CJK SC"/>
        <family val="2"/>
      </rPr>
      <t xml:space="preserve">（同欄「過期」徽章仍琥珀）；淺色主題三角提示 </t>
    </r>
    <r>
      <rPr>
        <sz val="10"/>
        <rFont val="Arial"/>
        <family val="0"/>
        <charset val="1"/>
      </rPr>
      <t xml:space="preserve">rgb(78,93,110)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rgb(243,246,250)</t>
    </r>
    <r>
      <rPr>
        <sz val="10"/>
        <rFont val="Noto Sans CJK SC"/>
        <family val="2"/>
      </rPr>
      <t xml:space="preserve">、排程器提示為淺色琥珀 </t>
    </r>
    <r>
      <rPr>
        <sz val="10"/>
        <rFont val="Arial"/>
        <family val="0"/>
        <charset val="1"/>
      </rPr>
      <t xml:space="preserve">rgb(168,123,31)</t>
    </r>
    <r>
      <rPr>
        <sz val="10"/>
        <rFont val="Noto Sans CJK SC"/>
        <family val="2"/>
      </rPr>
      <t xml:space="preserve">。本機：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推得 </t>
    </r>
    <r>
      <rPr>
        <sz val="10"/>
        <rFont val="Arial"/>
        <family val="0"/>
        <charset val="1"/>
      </rPr>
      <t xml:space="preserve">30.800000</t>
    </r>
    <r>
      <rPr>
        <sz val="10"/>
        <rFont val="Noto Sans CJK SC"/>
        <family val="2"/>
      </rPr>
      <t xml:space="preserve">、直接 </t>
    </r>
    <r>
      <rPr>
        <sz val="10"/>
        <rFont val="Arial"/>
        <family val="0"/>
        <charset val="1"/>
      </rPr>
      <t xml:space="preserve">33.000000</t>
    </r>
    <r>
      <rPr>
        <sz val="10"/>
        <rFont val="Noto Sans CJK SC"/>
        <family val="2"/>
      </rPr>
      <t xml:space="preserve">、落差 </t>
    </r>
    <r>
      <rPr>
        <sz val="10"/>
        <rFont val="Arial"/>
        <family val="0"/>
        <charset val="1"/>
      </rPr>
      <t xml:space="preserve">-6.6667% → </t>
    </r>
    <r>
      <rPr>
        <sz val="10"/>
        <rFont val="Noto Sans CJK SC"/>
        <family val="2"/>
      </rPr>
      <t xml:space="preserve">只有這一態是琥珀（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僅 </t>
    </r>
    <r>
      <rPr>
        <sz val="10"/>
        <rFont val="Arial"/>
        <family val="0"/>
        <charset val="1"/>
      </rPr>
      <t xml:space="preserve">fresh-note</t>
    </r>
    <r>
      <rPr>
        <sz val="10"/>
        <rFont val="Noto Sans CJK SC"/>
        <family val="2"/>
      </rPr>
      <t xml:space="preserve">）；驗證者自製無共同日期 →「無法比較（最近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天內三組匯率沒有共同日期，無法比較）・日期不同（…</t>
    </r>
    <r>
      <rPr>
        <sz val="10"/>
        <rFont val="Arial"/>
        <family val="0"/>
        <charset val="1"/>
      </rPr>
      <t xml:space="preserve">USD/MYR 2026-06-08…</t>
    </r>
    <r>
      <rPr>
        <sz val="10"/>
        <rFont val="Noto Sans CJK SC"/>
        <family val="2"/>
      </rPr>
      <t xml:space="preserve">）」中性；同日一致 →「落差 </t>
    </r>
    <r>
      <rPr>
        <sz val="10"/>
        <rFont val="Arial"/>
        <family val="0"/>
        <charset val="1"/>
      </rPr>
      <t xml:space="preserve">0.0000%</t>
    </r>
    <r>
      <rPr>
        <sz val="10"/>
        <rFont val="Noto Sans CJK SC"/>
        <family val="2"/>
      </rPr>
      <t xml:space="preserve">（一致）」中性；兩種主題結果相同。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狀態徽章：門檻 </t>
    </r>
    <r>
      <rPr>
        <sz val="10"/>
        <rFont val="Arial"/>
        <family val="0"/>
        <charset val="1"/>
      </rPr>
      <t xml:space="preserve">5.00 →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：額度偏低 </t>
    </r>
    <r>
      <rPr>
        <sz val="10"/>
        <rFont val="Arial"/>
        <family val="0"/>
        <charset val="1"/>
      </rPr>
      <t xml:space="preserve">$1.99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pill-warn </t>
    </r>
    <r>
      <rPr>
        <sz val="10"/>
        <rFont val="Noto Sans CJK SC"/>
        <family val="2"/>
      </rPr>
      <t xml:space="preserve">琥珀；清空 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後備、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個已設角色（</t>
    </r>
    <r>
      <rPr>
        <sz val="10"/>
        <rFont val="Arial"/>
        <family val="0"/>
        <charset val="1"/>
      </rPr>
      <t xml:space="preserve">PUT /api/llm/roles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）→「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：已關閉」</t>
    </r>
    <r>
      <rPr>
        <sz val="10"/>
        <rFont val="Arial"/>
        <family val="0"/>
        <charset val="1"/>
      </rPr>
      <t xml:space="preserve">pill-off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color rgb(94,107,124)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--text-3</t>
    </r>
    <r>
      <rPr>
        <sz val="10"/>
        <rFont val="Noto Sans CJK SC"/>
        <family val="2"/>
      </rPr>
      <t xml:space="preserve">、背景透明、無 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；還原後回偏低、再回「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：啟用中」綠。同一腳本在 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：「已關閉」仍帶 </t>
    </r>
    <r>
      <rPr>
        <sz val="10"/>
        <rFont val="Arial"/>
        <family val="0"/>
        <charset val="1"/>
      </rPr>
      <t xml:space="preserve">inline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color: var(--amber)…</t>
    </r>
    <r>
      <rPr>
        <sz val="10"/>
        <rFont val="Noto Sans CJK SC"/>
        <family val="2"/>
      </rPr>
      <t xml:space="preserve">」、計算樣式琥珀——重現原缺陷。掃描：兩個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顏色賦值 </t>
    </r>
    <r>
      <rPr>
        <sz val="10"/>
        <rFont val="Arial"/>
        <family val="0"/>
        <charset val="1"/>
      </rPr>
      <t xml:space="preserve">71 → 64 </t>
    </r>
    <r>
      <rPr>
        <sz val="10"/>
        <rFont val="Noto Sans CJK SC"/>
        <family val="2"/>
      </rPr>
      <t xml:space="preserve">處，狀態色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處（修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）與開發者數字相符；抽看白名單 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對帳徽章與 </t>
    </r>
    <r>
      <rPr>
        <sz val="10"/>
        <rFont val="Arial"/>
        <family val="0"/>
        <charset val="1"/>
      </rPr>
      <t xml:space="preserve">settings-llm.js #quota-value </t>
    </r>
    <r>
      <rPr>
        <sz val="10"/>
        <rFont val="Noto Sans CJK SC"/>
        <family val="2"/>
      </rPr>
      <t xml:space="preserve">皆每個分支都寫顏色。排除②
定位：</t>
    </r>
    <r>
      <rPr>
        <sz val="10"/>
        <rFont val="Arial"/>
        <family val="0"/>
        <charset val="1"/>
      </rPr>
      <t xml:space="preserve">web/app.js:1403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表達狀態、</t>
    </r>
    <r>
      <rPr>
        <sz val="10"/>
        <rFont val="Arial"/>
        <family val="0"/>
        <charset val="1"/>
      </rPr>
      <t xml:space="preserve">web/styles.css .fresh-note.fresh-note-info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.badge-info-mini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web/settings-llm.js:76 pill-warn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</si>
  <si>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三態只有 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為琥珀，一致與無法比較皆中性（深淺主題皆同）；推導徽章中性；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 偏低 → 已關閉 不殘留琥珀（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會殘留）。變異（驗證者於本機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自做，與開發者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組不同）：①</t>
    </r>
    <r>
      <rPr>
        <sz val="10"/>
        <rFont val="Arial"/>
        <family val="0"/>
        <charset val="1"/>
      </rPr>
      <t xml:space="preserve">.fresh-note-info </t>
    </r>
    <r>
      <rPr>
        <sz val="10"/>
        <rFont val="Noto Sans CJK SC"/>
        <family val="2"/>
      </rPr>
      <t xml:space="preserve">只把文字色改回琥珀（底色不動）→ </t>
    </r>
    <r>
      <rPr>
        <sz val="10"/>
        <rFont val="Arial"/>
        <family val="0"/>
        <charset val="1"/>
      </rPr>
      <t xml:space="preserve">e2e 2 failed</t>
    </r>
    <r>
      <rPr>
        <sz val="10"/>
        <rFont val="Noto Sans CJK SC"/>
        <family val="2"/>
      </rPr>
      <t xml:space="preserve">；②「無法比較」（</t>
    </r>
    <r>
      <rPr>
        <sz val="10"/>
        <rFont val="Arial"/>
        <family val="0"/>
        <charset val="1"/>
      </rPr>
      <t xml:space="preserve">ok === null</t>
    </r>
    <r>
      <rPr>
        <sz val="10"/>
        <rFont val="Noto Sans CJK SC"/>
        <family val="2"/>
      </rPr>
      <t xml:space="preserve">）改回琥珀 </t>
    </r>
    <r>
      <rPr>
        <sz val="10"/>
        <rFont val="Arial"/>
        <family val="0"/>
        <charset val="1"/>
      </rPr>
      <t xml:space="preserve">class → e2e 1 failed</t>
    </r>
    <r>
      <rPr>
        <sz val="10"/>
        <rFont val="Noto Sans CJK SC"/>
        <family val="2"/>
      </rPr>
      <t xml:space="preserve">；③「推導」徽章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加琥珀文字 → </t>
    </r>
    <r>
      <rPr>
        <sz val="10"/>
        <rFont val="Arial"/>
        <family val="0"/>
        <charset val="1"/>
      </rPr>
      <t xml:space="preserve">e2e 1 failed</t>
    </r>
    <r>
      <rPr>
        <sz val="10"/>
        <rFont val="Noto Sans CJK SC"/>
        <family val="2"/>
      </rPr>
      <t xml:space="preserve">；④偏低分支再加一行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琥珀（殘留形狀）→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＋守門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；⑤在未列管的 </t>
    </r>
    <r>
      <rPr>
        <sz val="10"/>
        <rFont val="Arial"/>
        <family val="0"/>
        <charset val="1"/>
      </rPr>
      <t xml:space="preserve">news.js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 → 守門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（點名 </t>
    </r>
    <r>
      <rPr>
        <sz val="10"/>
        <rFont val="Arial"/>
        <family val="0"/>
        <charset val="1"/>
      </rPr>
      <t xml:space="preserve">news.js</t>
    </r>
    <r>
      <rPr>
        <sz val="10"/>
        <rFont val="Noto Sans CJK SC"/>
        <family val="2"/>
      </rPr>
      <t xml:space="preserve">）。還原後各測試照常通過（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×3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</si>
  <si>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無。附註：「推導」改中性、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狀態徽章改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對話裁定併入本張驗收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</si>
  <si>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2026-09-27</t>
    </r>
  </si>
  <si>
    <r>
      <rPr>
        <sz val="10"/>
        <rFont val="Noto Sans CJK SC"/>
        <family val="2"/>
      </rPr>
      <t xml:space="preserve">新開，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在對話中裁定本輪改顯示名稱（驗證者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</si>
  <si>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</si>
  <si>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沒有任何測試斷言戰績頁如何稱呼任務：唯一的戰績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test_ai_score_status_flow.py</t>
    </r>
    <r>
      <rPr>
        <sz val="10"/>
        <rFont val="Noto Sans CJK SC"/>
        <family val="2"/>
      </rPr>
      <t xml:space="preserve">）以 </t>
    </r>
    <r>
      <rPr>
        <sz val="10"/>
        <rFont val="Arial"/>
        <family val="0"/>
        <charset val="1"/>
      </rPr>
      <t xml:space="preserve">stub </t>
    </r>
    <r>
      <rPr>
        <sz val="10"/>
        <rFont val="Noto Sans CJK SC"/>
        <family val="2"/>
      </rPr>
      <t xml:space="preserve">回應只驗結果欄的狀態章，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為空陣列；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測試只驗 </t>
    </r>
    <r>
      <rPr>
        <sz val="10"/>
        <rFont val="Arial"/>
        <family val="0"/>
        <charset val="1"/>
      </rPr>
      <t xml:space="preserve">insight_type_id </t>
    </r>
    <r>
      <rPr>
        <sz val="10"/>
        <rFont val="Noto Sans CJK SC"/>
        <family val="2"/>
      </rPr>
      <t xml:space="preserve">的值。</t>
    </r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</si>
  <si>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</si>
  <si>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r>
      <rPr>
        <sz val="10"/>
        <rFont val="Noto Sans CJK SC"/>
        <family val="2"/>
      </rPr>
      <t xml:space="preserve">前端以 </t>
    </r>
    <r>
      <rPr>
        <sz val="10"/>
        <rFont val="Arial"/>
        <family val="0"/>
        <charset val="1"/>
      </rPr>
      <t xml:space="preserve">insight_type_id </t>
    </r>
    <r>
      <rPr>
        <sz val="10"/>
        <rFont val="Noto Sans CJK SC"/>
        <family val="2"/>
      </rPr>
      <t xml:space="preserve">組字串顯示任務：共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）；後端使用者可見字串含「任務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api/routers/scheduler.py:155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llm_insight/generate.py:361——</t>
    </r>
    <r>
      <rPr>
        <sz val="10"/>
        <rFont val="Noto Sans CJK SC"/>
        <family val="2"/>
      </rPr>
      <t xml:space="preserve">都只在任務已不存在時出現，沒有名稱可用）；對帳 </t>
    </r>
    <r>
      <rPr>
        <sz val="10"/>
        <rFont val="Arial"/>
        <family val="0"/>
        <charset val="1"/>
      </rPr>
      <t xml:space="preserve">CSV ai_predictions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insight_type_id </t>
    </r>
    <r>
      <rPr>
        <sz val="10"/>
        <rFont val="Noto Sans CJK SC"/>
        <family val="2"/>
      </rPr>
      <t xml:space="preserve">為欄位：白名單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（對帳級匯出、英文欄名，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是對帳鍵）；排程中心、管線中心、立即執行提示本來就用名稱（</t>
    </r>
    <r>
      <rPr>
        <sz val="10"/>
        <rFont val="Arial"/>
        <family val="0"/>
        <charset val="1"/>
      </rPr>
      <t xml:space="preserve">DEF-030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"insight_type_id" -- web/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#" -- portfolio_dash web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</si>
  <si>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tests/contract/test_def081_ai_score_task_names.py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則：真實路由上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都帶名稱、刪除的任務寫「任務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（已刪除）」、</t>
    </r>
    <r>
      <rPr>
        <sz val="10"/>
        <rFont val="Arial"/>
        <family val="0"/>
        <charset val="1"/>
      </rPr>
      <t xml:space="preserve">insight_type_id </t>
    </r>
    <r>
      <rPr>
        <sz val="10"/>
        <rFont val="Noto Sans CJK SC"/>
        <family val="2"/>
      </rPr>
      <t xml:space="preserve">仍保留；三種情形的標籤）與 </t>
    </r>
    <r>
      <rPr>
        <sz val="10"/>
        <rFont val="Arial"/>
        <family val="0"/>
        <charset val="1"/>
      </rPr>
      <t xml:space="preserve">tests/e2e/test_def081_ai_score_task_names_flow.py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則：真實伺服器、真實資料庫、不 </t>
    </r>
    <r>
      <rPr>
        <sz val="10"/>
        <rFont val="Arial"/>
        <family val="0"/>
        <charset val="1"/>
      </rPr>
      <t xml:space="preserve">stub——</t>
    </r>
    <r>
      <rPr>
        <sz val="10"/>
        <rFont val="Noto Sans CJK SC"/>
        <family val="2"/>
      </rPr>
      <t xml:space="preserve">寫入任務與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筆評分，命中率列與預測明細第一欄皆為任務名稱、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」、兩區塊不得出現「任務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」）。變異：①</t>
    </r>
    <r>
      <rPr>
        <sz val="10"/>
        <rFont val="Arial"/>
        <family val="0"/>
        <charset val="1"/>
      </rPr>
      <t xml:space="preserve">insights.html </t>
    </r>
    <r>
      <rPr>
        <sz val="10"/>
        <rFont val="Noto Sans CJK SC"/>
        <family val="2"/>
      </rPr>
      <t xml:space="preserve">換回 </t>
    </r>
    <r>
      <rPr>
        <sz val="10"/>
        <rFont val="Arial"/>
        <family val="0"/>
        <charset val="1"/>
      </rPr>
      <t xml:space="preserve">696934e → e2e 1 failed</t>
    </r>
    <r>
      <rPr>
        <sz val="10"/>
        <rFont val="Noto Sans CJK SC"/>
        <family val="2"/>
      </rPr>
      <t xml:space="preserve">（期望文字為名稱）；②後端不寫 </t>
    </r>
    <r>
      <rPr>
        <sz val="10"/>
        <rFont val="Arial"/>
        <family val="0"/>
        <charset val="1"/>
      </rPr>
      <t xml:space="preserve">insight_type_label → contract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e2e 1 failed</t>
    </r>
    <r>
      <rPr>
        <sz val="10"/>
        <rFont val="Noto Sans CJK SC"/>
        <family val="2"/>
      </rPr>
      <t xml:space="preserve">；還原後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通過。既有 </t>
    </r>
    <r>
      <rPr>
        <sz val="10"/>
        <rFont val="Arial"/>
        <family val="0"/>
        <charset val="1"/>
      </rPr>
      <t xml:space="preserve">test_ai_score_api.py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test_ai_score_status_flow.py </t>
    </r>
    <r>
      <rPr>
        <sz val="10"/>
        <rFont val="Noto Sans CJK SC"/>
        <family val="2"/>
      </rPr>
      <t xml:space="preserve">照常通過。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</si>
  <si>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</si>
  <si>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</si>
  <si>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戰績頁以「任務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」稱呼任務，使用者無從對應
假設：①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帶任務名稱、畫面兩處改印名稱、滑鼠提示保留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編號；②只改其中一處或只改畫面
排除：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命中率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列「個股健檢」「持倉建議與提點」「持倉提點」，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依序「任務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」「任務 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」「任務 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」，與 </t>
    </r>
    <r>
      <rPr>
        <sz val="10"/>
        <rFont val="Arial"/>
        <family val="0"/>
        <charset val="1"/>
      </rPr>
      <t xml:space="preserve">/api/insight-tasks </t>
    </r>
    <r>
      <rPr>
        <sz val="10"/>
        <rFont val="Noto Sans CJK SC"/>
        <family val="2"/>
      </rPr>
      <t xml:space="preserve">名稱逐字相同；預測明細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列第一欄皆為名稱（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列）、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」；頁面可見文字「任務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API by_combo 3 </t>
    </r>
    <r>
      <rPr>
        <sz val="10"/>
        <rFont val="Noto Sans CJK SC"/>
        <family val="2"/>
      </rPr>
      <t xml:space="preserve">項與 </t>
    </r>
    <r>
      <rPr>
        <sz val="10"/>
        <rFont val="Arial"/>
        <family val="0"/>
        <charset val="1"/>
      </rPr>
      <t xml:space="preserve">rows 50 </t>
    </r>
    <r>
      <rPr>
        <sz val="10"/>
        <rFont val="Noto Sans CJK SC"/>
        <family val="2"/>
      </rPr>
      <t xml:space="preserve">項皆帶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。本機：任務存在 →「個股健檢」（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）；軟刪除後該任務的成績依既有規格（</t>
    </r>
    <r>
      <rPr>
        <sz val="10"/>
        <rFont val="Arial"/>
        <family val="0"/>
        <charset val="1"/>
      </rPr>
      <t xml:space="preserve">spec 4.1</t>
    </r>
    <r>
      <rPr>
        <sz val="10"/>
        <rFont val="Noto Sans CJK SC"/>
        <family val="2"/>
      </rPr>
      <t xml:space="preserve">）不再列入，命中率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列、明細「尚無預測評估記錄。」；任務列不存在 → 命中率與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列明細皆為「任務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（已刪除）」，比照排程中心寫法。排除②
定位：</t>
    </r>
    <r>
      <rPr>
        <sz val="10"/>
        <rFont val="Arial"/>
        <family val="0"/>
        <charset val="1"/>
      </rPr>
      <t xml:space="preserve">api/routers/insights.py:918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:925 _task_label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web/insights.html taskName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</si>
  <si>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命中率列與預測明細第一欄皆為任務名稱、滑鼠提示為「任務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」；任務已不存在時為「任務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（已刪除）」。變異（驗證者於本機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自做）：①已封存任務的標籤拿掉「（已刪除）」→ 契約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舊任務</t>
    </r>
    <r>
      <rPr>
        <sz val="10"/>
        <rFont val="Arial"/>
        <family val="0"/>
        <charset val="1"/>
      </rPr>
      <t xml:space="preserve">' == '</t>
    </r>
    <r>
      <rPr>
        <sz val="10"/>
        <rFont val="Noto Sans CJK SC"/>
        <family val="2"/>
      </rPr>
      <t xml:space="preserve">舊任務（已刪除）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）；②只替預測明細加標籤、命中率列不加 → 契約＋</t>
    </r>
    <r>
      <rPr>
        <sz val="10"/>
        <rFont val="Arial"/>
        <family val="0"/>
        <charset val="1"/>
      </rPr>
      <t xml:space="preserve">e2e 2 failed</t>
    </r>
    <r>
      <rPr>
        <sz val="10"/>
        <rFont val="Noto Sans CJK SC"/>
        <family val="2"/>
      </rPr>
      <t xml:space="preserve">。還原後照常通過</t>
    </r>
  </si>
  <si>
    <r>
      <rPr>
        <sz val="10"/>
        <rFont val="Noto Sans CJK SC"/>
        <family val="2"/>
      </rPr>
      <t xml:space="preserve">無。附註：已封存任務的評分依 </t>
    </r>
    <r>
      <rPr>
        <sz val="10"/>
        <rFont val="Arial"/>
        <family val="0"/>
        <charset val="1"/>
      </rPr>
      <t xml:space="preserve">spec 4.1 </t>
    </r>
    <r>
      <rPr>
        <sz val="10"/>
        <rFont val="Noto Sans CJK SC"/>
        <family val="2"/>
      </rPr>
      <t xml:space="preserve">不在戰績頁出現，所以「名稱（已刪除）」這支在頁面上走不到（契約測試有覆蓋），不影響本張</t>
    </r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</si>
  <si>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</si>
  <si>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</si>
  <si>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卡片「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」被標「未知代碼：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稱「可能是模型幻覺」
假設：①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是未註冊代號或模型幻覺；②是已註冊標的的名稱被當成代號
排除：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、持有中；卡片同句前文「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」即為該標的；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張卡中括號內寫已註冊英文名者僅此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被誤標，排除①
定位：</t>
    </r>
    <r>
      <rPr>
        <sz val="10"/>
        <rFont val="Arial"/>
        <family val="0"/>
        <charset val="1"/>
      </rPr>
      <t xml:space="preserve">figure_check.py:151 _CODE_RE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只比對代號不比對名稱（自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未變更）
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要求不得把非幻覺內容誤報；此處對使用者宣稱「可能是模型幻覺」</t>
    </r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</si>
  <si>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</si>
  <si>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DEF-082</t>
    </r>
  </si>
  <si>
    <r>
      <rPr>
        <sz val="10"/>
        <rFont val="Noto Sans CJK SC"/>
        <family val="2"/>
      </rPr>
      <t xml:space="preserve">同意驗證者的判定與根因（既有規則漏網，不是回歸）。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修；名稱比對範圍另在對話中裁定為「整名＋多字名稱的單字」，例如 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寫成「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」也算名稱。</t>
    </r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</si>
  <si>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</si>
  <si>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</si>
  <si>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r>
      <rPr>
        <sz val="10"/>
        <rFont val="Noto Sans CJK SC"/>
        <family val="2"/>
      </rPr>
      <t xml:space="preserve">類別修法：已知字詞改由登錄表的代號與名稱兩欄推導。①</t>
    </r>
    <r>
      <rPr>
        <sz val="10"/>
        <rFont val="Arial"/>
        <family val="0"/>
        <charset val="1"/>
      </rPr>
      <t xml:space="preserve">figure_check.check_figures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known_names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_name_forms </t>
    </r>
    <r>
      <rPr>
        <sz val="10"/>
        <rFont val="Noto Sans CJK SC"/>
        <family val="2"/>
      </rPr>
      <t xml:space="preserve">把每個已登錄名稱轉大寫，保留整名與其中每個以字母開頭的單字（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裁定）；全數字與單一字母一律不算名稱形式（整名與單字走同一道過濾），所以「</t>
    </r>
    <r>
      <rPr>
        <sz val="10"/>
        <rFont val="Arial"/>
        <family val="0"/>
        <charset val="1"/>
      </rPr>
      <t xml:space="preserve">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」照樣被標。②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_known_instruments </t>
    </r>
    <r>
      <rPr>
        <sz val="10"/>
        <rFont val="Noto Sans CJK SC"/>
        <family val="2"/>
      </rPr>
      <t xml:space="preserve">每次請求讀一次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，同時帶代號與名稱（仍是一次查詢，不逐卡讀表）。③畫面文字不變（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仍寫「不在持倉、觀察清單或已註冊標的中」）。掃描方式：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全部可見卡（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張）的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，以同一條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與一般括號正規式統計，對照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個代號與名稱。</t>
    </r>
  </si>
  <si>
    <r>
      <rPr>
        <sz val="10"/>
        <rFont val="Noto Sans CJK SC"/>
        <family val="2"/>
      </rPr>
      <t xml:space="preserve">括號段落 </t>
    </r>
    <r>
      <rPr>
        <sz val="10"/>
        <rFont val="Arial"/>
        <family val="0"/>
        <charset val="1"/>
      </rPr>
      <t xml:space="preserve">5,491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2,587 </t>
    </r>
    <r>
      <rPr>
        <sz val="10"/>
        <rFont val="Noto Sans CJK SC"/>
        <family val="2"/>
      </rPr>
      <t xml:space="preserve">種）；其中代號形狀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種：已登錄代號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、縮寫／指標／幣別 </t>
    </r>
    <r>
      <rPr>
        <sz val="10"/>
        <rFont val="Arial"/>
        <family val="0"/>
        <charset val="1"/>
      </rPr>
      <t xml:space="preserve">25</t>
    </r>
    <r>
      <rPr>
        <sz val="10"/>
        <rFont val="Noto Sans CJK SC"/>
        <family val="2"/>
      </rPr>
      <t xml:space="preserve">、未知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真陽性、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誤報）。括號內寫已登錄名稱：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種寫法／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處——全大寫單字 </t>
    </r>
    <r>
      <rPr>
        <sz val="10"/>
        <rFont val="Arial"/>
        <family val="0"/>
        <charset val="1"/>
      </rPr>
      <t xml:space="preserve">LARGAN ×1</t>
    </r>
    <r>
      <rPr>
        <sz val="10"/>
        <rFont val="Noto Sans CJK SC"/>
        <family val="2"/>
      </rPr>
      <t xml:space="preserve">（唯一具代號形狀，被誤報，即本張）；大小寫混合單字 </t>
    </r>
    <r>
      <rPr>
        <sz val="10"/>
        <rFont val="Arial"/>
        <family val="0"/>
        <charset val="1"/>
      </rPr>
      <t xml:space="preserve">Maybank ×3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Tesla ×1</t>
    </r>
    <r>
      <rPr>
        <sz val="10"/>
        <rFont val="Noto Sans CJK SC"/>
        <family val="2"/>
      </rPr>
      <t xml:space="preserve">；多字名稱 </t>
    </r>
    <r>
      <rPr>
        <sz val="10"/>
        <rFont val="Arial"/>
        <family val="0"/>
        <charset val="1"/>
      </rPr>
      <t xml:space="preserve">IHH Healthcare ×1</t>
    </r>
    <r>
      <rPr>
        <sz val="10"/>
        <rFont val="Noto Sans CJK SC"/>
        <family val="2"/>
      </rPr>
      <t xml:space="preserve">；列舉「如 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×1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Maybank, 1155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×1</t>
    </r>
    <r>
      <rPr>
        <sz val="10"/>
        <rFont val="Noto Sans CJK SC"/>
        <family val="2"/>
      </rPr>
      <t xml:space="preserve">；中文名 元大高股息 </t>
    </r>
    <r>
      <rPr>
        <sz val="10"/>
        <rFont val="Arial"/>
        <family val="0"/>
        <charset val="1"/>
      </rPr>
      <t xml:space="preserve">×1——</t>
    </r>
    <r>
      <rPr>
        <sz val="10"/>
        <rFont val="Noto Sans CJK SC"/>
        <family val="2"/>
      </rPr>
      <t xml:space="preserve">後六種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本來就不會讀成代號。登錄表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個名稱：中文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（永不具代號形狀）；拉丁字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個中，原樣即具代號形狀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）、轉大寫後才具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個字母以上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Microsoft</t>
    </r>
    <r>
      <rPr>
        <sz val="10"/>
        <rFont val="Noto Sans CJK SC"/>
        <family val="2"/>
      </rPr>
      <t xml:space="preserve">，永不匹配）、多字名稱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個含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個具代號形狀的單字（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</t>
    </r>
    <r>
      <rPr>
        <sz val="10"/>
        <rFont val="Noto Sans CJK SC"/>
        <family val="2"/>
      </rPr>
      <t xml:space="preserve">）——共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種形式，修後全數視為名稱。修後以同一檢核重算 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張卡：未知代碼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#82 6883</t>
    </r>
    <r>
      <rPr>
        <sz val="10"/>
        <rFont val="Noto Sans CJK SC"/>
        <family val="2"/>
      </rPr>
      <t xml:space="preserve">），誤報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。其他檢核面：專案裡判定「未知代號」的只有這一處（</t>
    </r>
    <r>
      <rPr>
        <sz val="10"/>
        <rFont val="Arial"/>
        <family val="0"/>
        <charset val="1"/>
      </rPr>
      <t xml:space="preserve">git grep unknown_symbols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，與 </t>
    </r>
    <r>
      <rPr>
        <sz val="10"/>
        <rFont val="Arial"/>
        <family val="0"/>
        <charset val="1"/>
      </rPr>
      <t xml:space="preserve">web/insights.html </t>
    </r>
    <r>
      <rPr>
        <sz val="10"/>
        <rFont val="Noto Sans CJK SC"/>
        <family val="2"/>
      </rPr>
      <t xml:space="preserve">的顯示）。</t>
    </r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</si>
  <si>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</si>
  <si>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</si>
  <si>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</si>
  <si>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</si>
  <si>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R8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」被標「未知代碼：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
假設：①名稱比對已接上路由，範圍符合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裁定（不分大小寫、整名＋多字名稱的單字、全數字與單一字母不算名稱）；②只放行了 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這個實例，或放得太寬、連真的未知代號也放行
排除：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</t>
    </r>
    <r>
      <rPr>
        <sz val="10"/>
        <rFont val="Arial"/>
        <family val="0"/>
        <charset val="1"/>
      </rPr>
      <t xml:space="preserve">figure_flags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{unverified_figures: [], unknown_symbols: [], snapshot: checked}</t>
    </r>
    <r>
      <rPr>
        <sz val="10"/>
        <rFont val="Noto Sans CJK SC"/>
        <family val="2"/>
      </rPr>
      <t xml:space="preserve">，卡片只剩「生成時版本未記錄」徽章；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「本週持倉週報」仍標「未知代碼」，滑鼠提示「未知代碼：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卡片提到的代號不在持倉、觀察清單或已註冊標的中，可能是模型幻覺…」；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張中唯一被標者為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，分組 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張被標；頁內抽出的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在本機重算：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{#82 6883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#209 LARGAN}</t>
    </r>
    <r>
      <rPr>
        <sz val="10"/>
        <rFont val="Noto Sans CJK SC"/>
        <family val="2"/>
      </rPr>
      <t xml:space="preserve">（重現原缺陷），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{#82 6883}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check_figures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登錄表）：</t>
    </r>
    <r>
      <rPr>
        <sz val="10"/>
        <rFont val="Arial"/>
        <family val="0"/>
        <charset val="1"/>
      </rPr>
      <t xml:space="preserve">(TESLA)(APPLE)(NVIDIA)(IHH)(YANG)(MING)(SPACE)(MICRO)(INC) </t>
    </r>
    <r>
      <rPr>
        <sz val="10"/>
        <rFont val="Noto Sans CJK SC"/>
        <family val="2"/>
      </rPr>
      <t xml:space="preserve">與全形（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）皆不標；</t>
    </r>
    <r>
      <rPr>
        <sz val="10"/>
        <rFont val="Arial"/>
        <family val="0"/>
        <charset val="1"/>
      </rPr>
      <t xml:space="preserve">(X)(LRDIM)(6883)(IHHH)(LARGA)(ADVANC)(TSMC) </t>
    </r>
    <r>
      <rPr>
        <sz val="10"/>
        <rFont val="Noto Sans CJK SC"/>
        <family val="2"/>
      </rPr>
      <t xml:space="preserve">照標；登錄名稱加入「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X</t>
    </r>
    <r>
      <rPr>
        <sz val="10"/>
        <rFont val="Noto Sans CJK SC"/>
        <family val="2"/>
      </rPr>
      <t xml:space="preserve">」後 </t>
    </r>
    <r>
      <rPr>
        <sz val="10"/>
        <rFont val="Arial"/>
        <family val="0"/>
        <charset val="1"/>
      </rPr>
      <t xml:space="preserve">(6883)(X) </t>
    </r>
    <r>
      <rPr>
        <sz val="10"/>
        <rFont val="Noto Sans CJK SC"/>
        <family val="2"/>
      </rPr>
      <t xml:space="preserve">仍標；小寫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、前後空白的名稱照樣放行；</t>
    </r>
    <r>
      <rPr>
        <sz val="10"/>
        <rFont val="Arial"/>
        <family val="0"/>
        <charset val="1"/>
      </rPr>
      <t xml:space="preserve">(MA20)(PE)(USD)(ROE) </t>
    </r>
    <r>
      <rPr>
        <sz val="10"/>
        <rFont val="Noto Sans CJK SC"/>
        <family val="2"/>
      </rPr>
      <t xml:space="preserve">不誤報；不傳名稱時（舊呼叫形狀）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仍被標。路由（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副本）：已封存的 </t>
    </r>
    <r>
      <rPr>
        <sz val="10"/>
        <rFont val="Arial"/>
        <family val="0"/>
        <charset val="1"/>
      </rPr>
      <t xml:space="preserve">3008 LARGAN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LG Electronics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(LG)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Alpha2 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(ALPHA2)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(LARGA)(TESL)(MICR)(6883) </t>
    </r>
    <r>
      <rPr>
        <sz val="10"/>
        <rFont val="Noto Sans CJK SC"/>
        <family val="2"/>
      </rPr>
      <t xml:space="preserve">照標，平面＝分組；同一腳本在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三者皆被標。排除②
定位：</t>
    </r>
    <r>
      <rPr>
        <sz val="10"/>
        <rFont val="Arial"/>
        <family val="0"/>
        <charset val="1"/>
      </rPr>
      <t xml:space="preserve">portfolio_dash/llm_insight/figure_check.py:472 _name_forms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:490 </t>
    </r>
    <r>
      <rPr>
        <sz val="10"/>
        <rFont val="Noto Sans CJK SC"/>
        <family val="2"/>
      </rPr>
      <t xml:space="preserve">全數字與單一字母過濾）、</t>
    </r>
    <r>
      <rPr>
        <sz val="10"/>
        <rFont val="Arial"/>
        <family val="0"/>
        <charset val="1"/>
      </rPr>
      <t xml:space="preserve">:507 </t>
    </r>
    <r>
      <rPr>
        <sz val="10"/>
        <rFont val="Noto Sans CJK SC"/>
        <family val="2"/>
      </rPr>
      <t xml:space="preserve">名稱比對、</t>
    </r>
    <r>
      <rPr>
        <sz val="10"/>
        <rFont val="Arial"/>
        <family val="0"/>
        <charset val="1"/>
      </rPr>
      <t xml:space="preserve">:563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portfolio_dash/api/routers/insights.py:1157 _known_instruments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:1170 </t>
    </r>
    <r>
      <rPr>
        <sz val="10"/>
        <rFont val="Noto Sans CJK SC"/>
        <family val="2"/>
      </rPr>
      <t xml:space="preserve">名稱）、</t>
    </r>
    <r>
      <rPr>
        <sz val="10"/>
        <rFont val="Arial"/>
        <family val="0"/>
        <charset val="1"/>
      </rPr>
      <t xml:space="preserve">:1200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:1328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</si>
  <si>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</si>
  <si>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r>
      <rPr>
        <sz val="10"/>
        <rFont val="Noto Sans CJK SC"/>
        <family val="2"/>
      </rPr>
      <t xml:space="preserve">無（不開單）。觀察：①上述未被攔的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組變異對應的邊界（已封存標的名稱、兩字母單字、字母＋數字單字、只比完全相同）目前行為正確但沒有測試釘住，建議開發者日後補單元／契約測試；②登錄表沒有的英文別名仍會被標（例：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登錄為「台積電」，卡片若寫「</t>
    </r>
    <r>
      <rPr>
        <sz val="10"/>
        <rFont val="Arial"/>
        <family val="0"/>
        <charset val="1"/>
      </rPr>
      <t xml:space="preserve">(TSMC)</t>
    </r>
    <r>
      <rPr>
        <sz val="10"/>
        <rFont val="Noto Sans CJK SC"/>
        <family val="2"/>
      </rPr>
      <t xml:space="preserve">」會標未知代碼），屬裁定範圍外，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卡片目前沒有這種寫法；③代號檢核只檢查「代號是否存在」，不檢查代號與名稱是否對得上：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(2026-09-25)</t>
    </r>
    <r>
      <rPr>
        <sz val="10"/>
        <rFont val="Noto Sans CJK SC"/>
        <family val="2"/>
      </rPr>
      <t xml:space="preserve">」寫「聯詠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#39 </t>
    </r>
    <r>
      <rPr>
        <sz val="10"/>
        <rFont val="Noto Sans CJK SC"/>
        <family val="2"/>
      </rPr>
      <t xml:space="preserve">寫「聯詠（</t>
    </r>
    <r>
      <rPr>
        <sz val="10"/>
        <rFont val="Arial"/>
        <family val="0"/>
        <charset val="1"/>
      </rPr>
      <t xml:space="preserve">2412</t>
    </r>
    <r>
      <rPr>
        <sz val="10"/>
        <rFont val="Noto Sans CJK SC"/>
        <family val="2"/>
      </rPr>
      <t xml:space="preserve">）」（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登錄名為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為中華電信），兩張皆未被標——超出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的期望範圍，供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</t>
    </r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</si>
  <si>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</si>
  <si>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</si>
  <si>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目標價穿越那一張卡失敗，主模型兩次回傳截斷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，供應商原文「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」，四個上游供應商皆同
假設：①供應商暫時故障或帳號問題；②本站送出的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含對方不支援的正規式；③備援模型設定錯誤
排除：錯誤訊息點名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欄位且四個供應商一致，排除①；本機以假端點擷取同一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實際送出的請求：</t>
    </r>
    <r>
      <rPr>
        <sz val="10"/>
        <rFont val="Arial"/>
        <family val="0"/>
        <charset val="1"/>
      </rPr>
      <t xml:space="preserve">supports_response_schema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^(?!^[-+.]*$)…</t>
    </r>
    <r>
      <rPr>
        <sz val="10"/>
        <rFont val="Noto Sans CJK SC"/>
        <family val="2"/>
      </rPr>
      <t xml:space="preserve">」（負向前瞻），同一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中固定出現，排除③（模型本身設定正確，</t>
    </r>
    <r>
      <rPr>
        <sz val="10"/>
        <rFont val="Arial"/>
        <family val="0"/>
        <charset val="1"/>
      </rPr>
      <t xml:space="preserve">ping </t>
    </r>
    <r>
      <rPr>
        <sz val="10"/>
        <rFont val="Noto Sans CJK SC"/>
        <family val="2"/>
      </rPr>
      <t xml:space="preserve">另可成功）
定位：</t>
    </r>
    <r>
      <rPr>
        <sz val="10"/>
        <rFont val="Arial"/>
        <family val="0"/>
        <charset val="1"/>
      </rPr>
      <t xml:space="preserve">shared/llm.py:453-454 </t>
    </r>
    <r>
      <rPr>
        <sz val="10"/>
        <rFont val="Noto Sans CJK SC"/>
        <family val="2"/>
      </rPr>
      <t xml:space="preserve">對支援的供應商一律送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:175-187 </t>
    </r>
    <r>
      <rPr>
        <sz val="10"/>
        <rFont val="Noto Sans CJK SC"/>
        <family val="2"/>
      </rPr>
      <t xml:space="preserve">原樣送 </t>
    </r>
    <r>
      <rPr>
        <sz val="10"/>
        <rFont val="Arial"/>
        <family val="0"/>
        <charset val="1"/>
      </rPr>
      <t xml:space="preserve">model_json_schema()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cards.py:33 Decimal </t>
    </r>
    <r>
      <rPr>
        <sz val="10"/>
        <rFont val="Noto Sans CJK SC"/>
        <family val="2"/>
      </rPr>
      <t xml:space="preserve">欄位產生 </t>
    </r>
    <r>
      <rPr>
        <sz val="10"/>
        <rFont val="Arial"/>
        <family val="0"/>
        <charset val="1"/>
      </rPr>
      <t xml:space="preserve">pattern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（中）— 備援機制在真實供應商上一律失效，主模型失敗時洞察卡無法產出</t>
    </r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</si>
  <si>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</si>
  <si>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DEF-083
2026-09-29 </t>
    </r>
    <r>
      <rPr>
        <sz val="10"/>
        <rFont val="Noto Sans CJK SC"/>
        <family val="2"/>
      </rPr>
      <t xml:space="preserve">補：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可固定重現（失敗記錄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裁定交開發者修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</si>
  <si>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2026-09-28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</si>
  <si>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</si>
  <si>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筆中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為空、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的呼叫，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同秒有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的列
假設：①這類紀錄本來就沒有模型參與；②記錄時漏傳模型
排除：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定義（</t>
    </r>
    <r>
      <rPr>
        <sz val="10"/>
        <rFont val="Arial"/>
        <family val="0"/>
        <charset val="1"/>
      </rPr>
      <t xml:space="preserve">llm_fail_log.py:92</t>
    </r>
    <r>
      <rPr>
        <sz val="10"/>
        <rFont val="Noto Sans CJK SC"/>
        <family val="2"/>
      </rPr>
      <t xml:space="preserve">）寫明是「成功呼叫、模型坦承無法歸類」，</t>
    </r>
    <r>
      <rPr>
        <sz val="10"/>
        <rFont val="Arial"/>
        <family val="0"/>
        <charset val="1"/>
      </rPr>
      <t xml:space="preserve">raw_output </t>
    </r>
    <r>
      <rPr>
        <sz val="10"/>
        <rFont val="Noto Sans CJK SC"/>
        <family val="2"/>
      </rPr>
      <t xml:space="preserve">為模型回覆，且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有同秒的模型列，排除①；換個方式看畫面：分類表只列用途與筆數，無法補回模型
定位：</t>
    </r>
    <r>
      <rPr>
        <sz val="10"/>
        <rFont val="Arial"/>
        <family val="0"/>
        <charset val="1"/>
      </rPr>
      <t xml:space="preserve">data_ingestion/agents.py:558-570 record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usage_id
</t>
    </r>
    <r>
      <rPr>
        <sz val="10"/>
        <rFont val="Noto Sans CJK SC"/>
        <family val="2"/>
      </rPr>
      <t xml:space="preserve">判定：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（低）— </t>
    </r>
    <r>
      <rPr>
        <sz val="10"/>
        <rFont val="Arial"/>
        <family val="0"/>
        <charset val="1"/>
      </rPr>
      <t xml:space="preserve">F-08 </t>
    </r>
    <r>
      <rPr>
        <sz val="10"/>
        <rFont val="Noto Sans CJK SC"/>
        <family val="2"/>
      </rPr>
      <t xml:space="preserve">期望紀錄含時間、模型、錯誤</t>
    </r>
  </si>
  <si>
    <r>
      <rPr>
        <sz val="10"/>
        <rFont val="Noto Sans CJK SC"/>
        <family val="2"/>
      </rPr>
      <t xml:space="preserve">下載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筆＝畫面 </t>
    </r>
    <r>
      <rPr>
        <sz val="10"/>
        <rFont val="Arial"/>
        <family val="0"/>
        <charset val="1"/>
      </rPr>
      <t xml:space="preserve">21 / 300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筆皆有 </t>
    </r>
    <r>
      <rPr>
        <sz val="10"/>
        <rFont val="Arial"/>
        <family val="0"/>
        <charset val="1"/>
      </rPr>
      <t xml:space="preserve">model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</si>
  <si>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DEF-084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</si>
  <si>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、非憑證假金鑰）：以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補一筆使剩餘額度 −</t>
    </r>
    <r>
      <rPr>
        <sz val="10"/>
        <rFont val="Arial"/>
        <family val="0"/>
        <charset val="1"/>
      </rPr>
      <t xml:space="preserve">$0.01</t>
    </r>
    <r>
      <rPr>
        <sz val="10"/>
        <rFont val="Noto Sans CJK SC"/>
        <family val="2"/>
      </rPr>
      <t xml:space="preserve">，真實瀏覽器（</t>
    </r>
    <r>
      <rPr>
        <sz val="10"/>
        <rFont val="Arial"/>
        <family val="0"/>
        <charset val="1"/>
      </rPr>
      <t xml:space="preserve">Playwright</t>
    </r>
    <r>
      <rPr>
        <sz val="10"/>
        <rFont val="Noto Sans CJK SC"/>
        <family val="2"/>
      </rPr>
      <t xml:space="preserve">）開洞察管線 › 任務抽屜 › 乾跑預檢，讀每一列與結論並截圖；另讀 </t>
    </r>
    <r>
      <rPr>
        <sz val="10"/>
        <rFont val="Arial"/>
        <family val="0"/>
        <charset val="1"/>
      </rPr>
      <t xml:space="preserve">/preflight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/diagnose </t>
    </r>
    <r>
      <rPr>
        <sz val="10"/>
        <rFont val="Noto Sans CJK SC"/>
        <family val="2"/>
      </rPr>
      <t xml:space="preserve">回應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</si>
  <si>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）」沒有按鈕或指引，結論只說「修復上方紅色項目後重跑預檢」；同畫面 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皆有一鍵修正
假設：①漏做；②刻意設計（額度加值不在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列舉）
排除：換個入口「為什麼沒跑？」（</t>
    </r>
    <r>
      <rPr>
        <sz val="10"/>
        <rFont val="Arial"/>
        <family val="0"/>
        <charset val="1"/>
      </rPr>
      <t xml:space="preserve">/diagnose</t>
    </r>
    <r>
      <rPr>
        <sz val="10"/>
        <rFont val="Noto Sans CJK SC"/>
        <family val="2"/>
      </rPr>
      <t xml:space="preserve">）同樣 </t>
    </r>
    <r>
      <rPr>
        <sz val="10"/>
        <rFont val="Arial"/>
        <family val="0"/>
        <charset val="1"/>
      </rPr>
      <t xml:space="preserve">first_blocker 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fix null</t>
    </r>
    <r>
      <rPr>
        <sz val="10"/>
        <rFont val="Noto Sans CJK SC"/>
        <family val="2"/>
      </rPr>
      <t xml:space="preserve">；讀碼 </t>
    </r>
    <r>
      <rPr>
        <sz val="10"/>
        <rFont val="Arial"/>
        <family val="0"/>
        <charset val="1"/>
      </rPr>
      <t xml:space="preserve">insight_service.py:1725-1731 </t>
    </r>
    <r>
      <rPr>
        <sz val="10"/>
        <rFont val="Noto Sans CJK SC"/>
        <family val="2"/>
      </rPr>
      <t xml:space="preserve">註解明言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無一鍵修正是刻意的，屬②
定位：規格（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列舉）與手冊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期望「給出可執行的修正指引」不一致
判定：</t>
    </r>
    <r>
      <rPr>
        <sz val="10"/>
        <rFont val="Arial"/>
        <family val="0"/>
        <charset val="1"/>
      </rPr>
      <t xml:space="preserve">OBSERVE — </t>
    </r>
    <r>
      <rPr>
        <sz val="10"/>
        <rFont val="Noto Sans CJK SC"/>
        <family val="2"/>
      </rPr>
      <t xml:space="preserve">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裁定修或維持</t>
    </r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</si>
  <si>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</si>
  <si>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（規格未定），請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
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 → 缺陷登記狀態改「新開」，交開發者</t>
    </r>
  </si>
  <si>
    <t xml:space="preserve">2026-09-29</t>
  </si>
  <si>
    <r>
      <rPr>
        <sz val="10"/>
        <rFont val="Noto Sans CJK SC"/>
        <family val="2"/>
      </rPr>
      <t xml:space="preserve">同意驗證者的判定與根因（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修好備援的重試後才第一次有真實備援呼叫，非回歸）。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裁定本輪修。類別比驗證者列的更寬：①送出 </t>
    </r>
    <r>
      <rPr>
        <sz val="10"/>
        <rFont val="Arial"/>
        <family val="0"/>
        <charset val="1"/>
      </rPr>
      <t xml:space="preserve">json_schema </t>
    </r>
    <r>
      <rPr>
        <sz val="10"/>
        <rFont val="Noto Sans CJK SC"/>
        <family val="2"/>
      </rPr>
      <t xml:space="preserve">的結構化呼叫共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處（洞察卡、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輸入、新聞整理、代號辨識、大師評分／校正／審查），全部經同一個出口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</t>
    </r>
    <r>
      <rPr>
        <sz val="10"/>
        <rFont val="Noto Sans CJK SC"/>
        <family val="2"/>
      </rPr>
      <t xml:space="preserve">，在出口修一次即涵蓋全部；②除了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官方文件列明的限制還有「每個 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必須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」「不支援數值／長度限制」，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全部至少踩到一項；③「使用者指定的模型失敗、畫面沒說明」的根因是結構化呼叫只回傳解析值、先失敗的候選被丟掉——一併修。</t>
    </r>
  </si>
  <si>
    <r>
      <rPr>
        <sz val="10"/>
        <rFont val="Noto Sans CJK SC"/>
        <family val="2"/>
      </rPr>
      <t xml:space="preserve">所有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測試都把 </t>
    </r>
    <r>
      <rPr>
        <sz val="10"/>
        <rFont val="Arial"/>
        <family val="0"/>
        <charset val="1"/>
      </rPr>
      <t xml:space="preserve">litellm.completion </t>
    </r>
    <r>
      <rPr>
        <sz val="10"/>
        <rFont val="Noto Sans CJK SC"/>
        <family val="2"/>
      </rPr>
      <t xml:space="preserve">換成接受任何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的假函式；唯一與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有關的測試（</t>
    </r>
    <r>
      <rPr>
        <sz val="10"/>
        <rFont val="Arial"/>
        <family val="0"/>
        <charset val="1"/>
      </rPr>
      <t xml:space="preserve">tests/shared/test_llm.py::test_response_format_passed_when_supported</t>
    </r>
    <r>
      <rPr>
        <sz val="10"/>
        <rFont val="Noto Sans CJK SC"/>
        <family val="2"/>
      </rPr>
      <t xml:space="preserve">）只斷言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裡有某個屬性名稱，從未檢查供應商會拒絕什麼。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複驗也走不驗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的假端點。整條鏈上唯一會驗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的是真實供應商，而測試到不了那裡。另外結構化呼叫只回傳解析後的值，備援發生與否對呼叫端不可見，所以沒有任何畫面或測試能觀察到「指定的模型沒有回答」。</t>
    </r>
  </si>
  <si>
    <r>
      <rPr>
        <sz val="10"/>
        <rFont val="Noto Sans CJK SC"/>
        <family val="2"/>
      </rPr>
      <t xml:space="preserve">類別修法（出口修一次）：①新增 </t>
    </r>
    <r>
      <rPr>
        <sz val="10"/>
        <rFont val="Arial"/>
        <family val="0"/>
        <charset val="1"/>
      </rPr>
      <t xml:space="preserve">portfolio_dash/shared/llm_schema.py——portable_schema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pydantic schema </t>
    </r>
    <r>
      <rPr>
        <sz val="10"/>
        <rFont val="Noto Sans CJK SC"/>
        <family val="2"/>
      </rPr>
      <t xml:space="preserve">轉成各路線都能編譯的子集（依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結構化輸出官方文件的限制，為本站所經路線中最嚴格者）：拿掉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與所有數值／長度限制、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oneOf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anyOf</t>
    </r>
    <r>
      <rPr>
        <sz val="10"/>
        <rFont val="Noto Sans CJK SC"/>
        <family val="2"/>
      </rPr>
      <t xml:space="preserve">，判別欄位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在每個分支設為必填（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缺這欄會拒收）；每個 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$ref </t>
    </r>
    <r>
      <rPr>
        <sz val="10"/>
        <rFont val="Noto Sans CJK SC"/>
        <family val="2"/>
      </rPr>
      <t xml:space="preserve">全部內嵌；遞迴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dict </t>
    </r>
    <r>
      <rPr>
        <sz val="10"/>
        <rFont val="Noto Sans CJK SC"/>
        <family val="2"/>
      </rPr>
      <t xml:space="preserve">欄位直接報錯（沒有路線能編譯）。</t>
    </r>
    <r>
      <rPr>
        <sz val="10"/>
        <rFont val="Arial"/>
        <family val="0"/>
        <charset val="1"/>
      </rPr>
      <t xml:space="preserve">schema_violations </t>
    </r>
    <r>
      <rPr>
        <sz val="10"/>
        <rFont val="Noto Sans CJK SC"/>
        <family val="2"/>
      </rPr>
      <t xml:space="preserve">是同一子集的檢核器，允許清單獨立寫死，不從轉換用的常數推導。②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</t>
    </r>
    <r>
      <rPr>
        <sz val="10"/>
        <rFont val="Noto Sans CJK SC"/>
        <family val="2"/>
      </rPr>
      <t xml:space="preserve">改送 </t>
    </r>
    <r>
      <rPr>
        <sz val="10"/>
        <rFont val="Arial"/>
        <family val="0"/>
        <charset val="1"/>
      </rPr>
      <t xml:space="preserve">portable_schema</t>
    </r>
    <r>
      <rPr>
        <sz val="10"/>
        <rFont val="Noto Sans CJK SC"/>
        <family val="2"/>
      </rPr>
      <t xml:space="preserve">；提示詞仍附完整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（模型看得到所有限制），回覆仍以完整 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模型驗證，所以沒有放寬任何驗證；更正 </t>
    </r>
    <r>
      <rPr>
        <sz val="10"/>
        <rFont val="Arial"/>
        <family val="0"/>
        <charset val="1"/>
      </rPr>
      <t xml:space="preserve">_json_instruction </t>
    </r>
    <r>
      <rPr>
        <sz val="10"/>
        <rFont val="Noto Sans CJK SC"/>
        <family val="2"/>
      </rPr>
      <t xml:space="preserve">的過時註解。③</t>
    </r>
    <r>
      <rPr>
        <sz val="10"/>
        <rFont val="Arial"/>
        <family val="0"/>
        <charset val="1"/>
      </rPr>
      <t xml:space="preserve">StructuredCompletion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model_name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failed_before</t>
    </r>
    <r>
      <rPr>
        <sz val="10"/>
        <rFont val="Noto Sans CJK SC"/>
        <family val="2"/>
      </rPr>
      <t xml:space="preserve">（先失敗的候選與中文原因）；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取自這次呼叫本身（不再讀最新一筆 </t>
    </r>
    <r>
      <rPr>
        <sz val="10"/>
        <rFont val="Arial"/>
        <family val="0"/>
        <charset val="1"/>
      </rPr>
      <t xml:space="preserve">llm_usage</t>
    </r>
    <r>
      <rPr>
        <sz val="10"/>
        <rFont val="Noto Sans CJK SC"/>
        <family val="2"/>
      </rPr>
      <t xml:space="preserve">），新增 </t>
    </r>
    <r>
      <rPr>
        <sz val="10"/>
        <rFont val="Arial"/>
        <family val="0"/>
        <charset val="1"/>
      </rPr>
      <t xml:space="preserve">meta.fallback_note</t>
    </r>
    <r>
      <rPr>
        <sz val="10"/>
        <rFont val="Noto Sans CJK SC"/>
        <family val="2"/>
      </rPr>
      <t xml:space="preserve">。④畫面：交易帳本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輸入在結果上方以琥珀色提示條顯示「指定模型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改為警示「解析完成（已改用其他模型）」；沒有備援時不顯示；自動模式下主模型失敗同樣說明（「主模型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失敗：…」）。掃描方式：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內所有把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交給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complete_structured_meta </t>
    </r>
    <r>
      <rPr>
        <sz val="10"/>
        <rFont val="Noto Sans CJK SC"/>
        <family val="2"/>
      </rPr>
      <t xml:space="preserve">的呼叫（含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master._master_structured </t>
    </r>
    <r>
      <rPr>
        <sz val="10"/>
        <rFont val="Noto Sans CJK SC"/>
        <family val="2"/>
      </rPr>
      <t xml:space="preserve">包裝）；</t>
    </r>
    <r>
      <rPr>
        <sz val="10"/>
        <rFont val="Arial"/>
        <family val="0"/>
        <charset val="1"/>
      </rPr>
      <t xml:space="preserve">git grep response_format </t>
    </r>
    <r>
      <rPr>
        <sz val="10"/>
        <rFont val="Noto Sans CJK SC"/>
        <family val="2"/>
      </rPr>
      <t xml:space="preserve">確認只有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一個出口；</t>
    </r>
    <r>
      <rPr>
        <sz val="10"/>
        <rFont val="Arial"/>
        <family val="0"/>
        <charset val="1"/>
      </rPr>
      <t xml:space="preserve">schema_violations </t>
    </r>
    <r>
      <rPr>
        <sz val="10"/>
        <rFont val="Noto Sans CJK SC"/>
        <family val="2"/>
      </rPr>
      <t xml:space="preserve">統計修前修後。</t>
    </r>
  </si>
  <si>
    <r>
      <rPr>
        <sz val="10"/>
        <rFont val="Noto Sans CJK SC"/>
        <family val="2"/>
      </rPr>
      <t xml:space="preserve">結構化呼叫點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generate.py 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agents.py AiDraftList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organizer.py 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instruments.py 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master.py _NarrativeScore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_Review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個出口；共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。修復前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處超出子集：</t>
    </r>
    <r>
      <rPr>
        <sz val="10"/>
        <rFont val="Arial"/>
        <family val="0"/>
        <charset val="1"/>
      </rPr>
      <t xml:space="preserve">pattern 11</t>
    </r>
    <r>
      <rPr>
        <sz val="10"/>
        <rFont val="Noto Sans CJK SC"/>
        <family val="2"/>
      </rPr>
      <t xml:space="preserve">（洞察卡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輸入草稿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oneOf 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輸入）、數值限制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（洞察卡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minimum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maximum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horizon_days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exclusiveMinimum</t>
    </r>
    <r>
      <rPr>
        <sz val="10"/>
        <rFont val="Noto Sans CJK SC"/>
        <family val="2"/>
      </rPr>
      <t xml:space="preserve">）、缺 </t>
    </r>
    <r>
      <rPr>
        <sz val="10"/>
        <rFont val="Arial"/>
        <family val="0"/>
        <charset val="1"/>
      </rPr>
      <t xml:space="preserve">additionalProperties: 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 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全有）、</t>
    </r>
    <r>
      <rPr>
        <sz val="10"/>
        <rFont val="Arial"/>
        <family val="0"/>
        <charset val="1"/>
      </rPr>
      <t xml:space="preserve">title 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default 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$defs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$ref 10</t>
    </r>
    <r>
      <rPr>
        <sz val="10"/>
        <rFont val="Noto Sans CJK SC"/>
        <family val="2"/>
      </rPr>
      <t xml:space="preserve">；修復後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實測被拒的是前兩類（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）；缺 </t>
    </r>
    <r>
      <rPr>
        <sz val="10"/>
        <rFont val="Arial"/>
        <family val="0"/>
        <charset val="1"/>
      </rPr>
      <t xml:space="preserve">additionalProperties </t>
    </r>
    <r>
      <rPr>
        <sz val="10"/>
        <rFont val="Noto Sans CJK SC"/>
        <family val="2"/>
      </rPr>
      <t xml:space="preserve">依官方文件同屬不支援。使用者可指定模型的畫面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輸入；其餘結構化呼叫沒有指定模型的入口，產出的卡片本來就記錄實際模型）→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</si>
  <si>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tests/shared/test_def083_portable_schema.py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則）：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掃出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個呼叫點，逐一檢查實際送出的 </t>
    </r>
    <r>
      <rPr>
        <sz val="10"/>
        <rFont val="Arial"/>
        <family val="0"/>
        <charset val="1"/>
      </rPr>
      <t xml:space="preserve">schema 0 </t>
    </r>
    <r>
      <rPr>
        <sz val="10"/>
        <rFont val="Noto Sans CJK SC"/>
        <family val="2"/>
      </rPr>
      <t xml:space="preserve">違規；修復前的原始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找得到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的原件（</t>
    </r>
    <r>
      <rPr>
        <sz val="10"/>
        <rFont val="Arial"/>
        <family val="0"/>
        <charset val="1"/>
      </rPr>
      <t xml:space="preserve">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處）；每個 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的欄位與必填不變（只多判別欄位）；聯集分支必填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；遞迴與 </t>
    </r>
    <r>
      <rPr>
        <sz val="10"/>
        <rFont val="Arial"/>
        <family val="0"/>
        <charset val="1"/>
      </rPr>
      <t xml:space="preserve">dict </t>
    </r>
    <r>
      <rPr>
        <sz val="10"/>
        <rFont val="Noto Sans CJK SC"/>
        <family val="2"/>
      </rPr>
      <t xml:space="preserve">欄位報錯；檢核器對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minimum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minItems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陣列／不支援的 </t>
    </r>
    <r>
      <rPr>
        <sz val="10"/>
        <rFont val="Arial"/>
        <family val="0"/>
        <charset val="1"/>
      </rPr>
      <t xml:space="preserve">format</t>
    </r>
    <r>
      <rPr>
        <sz val="10"/>
        <rFont val="Noto Sans CJK SC"/>
        <family val="2"/>
      </rPr>
      <t xml:space="preserve">／未封閉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not </t>
    </r>
    <r>
      <rPr>
        <sz val="10"/>
        <rFont val="Noto Sans CJK SC"/>
        <family val="2"/>
      </rPr>
      <t xml:space="preserve">各自報出；真實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下，會拒收非可攜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的假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被指定時由它自己回答（失敗記錄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筆）；指定模型失敗、主模型失敗時 </t>
    </r>
    <r>
      <rPr>
        <sz val="10"/>
        <rFont val="Arial"/>
        <family val="0"/>
        <charset val="1"/>
      </rPr>
      <t xml:space="preserve">fallback_note </t>
    </r>
    <r>
      <rPr>
        <sz val="10"/>
        <rFont val="Noto Sans CJK SC"/>
        <family val="2"/>
      </rPr>
      <t xml:space="preserve">的完整句子；提示詞仍含完整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。新增 </t>
    </r>
    <r>
      <rPr>
        <sz val="10"/>
        <rFont val="Arial"/>
        <family val="0"/>
        <charset val="1"/>
      </rPr>
      <t xml:space="preserve">e2e tests/e2e/test_def083_ai_failover_note_flow.py</t>
    </r>
    <r>
      <rPr>
        <sz val="10"/>
        <rFont val="Noto Sans CJK SC"/>
        <family val="2"/>
      </rPr>
      <t xml:space="preserve">：提示條顯示原句、</t>
    </r>
    <r>
      <rPr>
        <sz val="10"/>
        <rFont val="Arial"/>
        <family val="0"/>
        <charset val="1"/>
      </rPr>
      <t xml:space="preserve">computed color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；下一次沒有備援時提示條隱藏、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為一般成功。既有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輸入測試的假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改走新介面（</t>
    </r>
    <r>
      <rPr>
        <sz val="10"/>
        <rFont val="Arial"/>
        <family val="0"/>
        <charset val="1"/>
      </rPr>
      <t xml:space="preserve">tests/ai_completion.py</t>
    </r>
    <r>
      <rPr>
        <sz val="10"/>
        <rFont val="Noto Sans CJK SC"/>
        <family val="2"/>
      </rPr>
      <t xml:space="preserve">）。變異（改回舊寫法，每組還原後基準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失敗）：</t>
    </r>
    <r>
      <rPr>
        <sz val="10"/>
        <rFont val="Arial"/>
        <family val="0"/>
        <charset val="1"/>
      </rPr>
      <t xml:space="preserve">M83-a </t>
    </r>
    <r>
      <rPr>
        <sz val="10"/>
        <rFont val="Noto Sans CJK SC"/>
        <family val="2"/>
      </rPr>
      <t xml:space="preserve">原樣送 </t>
    </r>
    <r>
      <rPr>
        <sz val="10"/>
        <rFont val="Arial"/>
        <family val="0"/>
        <charset val="1"/>
      </rPr>
      <t xml:space="preserve">model_json_schema()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寫法）→ </t>
    </r>
    <r>
      <rPr>
        <sz val="10"/>
        <rFont val="Arial"/>
        <family val="0"/>
        <charset val="1"/>
      </rPr>
      <t xml:space="preserve">10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原件「</t>
    </r>
    <r>
      <rPr>
        <sz val="10"/>
        <rFont val="Arial"/>
        <family val="0"/>
        <charset val="1"/>
      </rPr>
      <t xml:space="preserve">'(?!' not in …</t>
    </r>
    <r>
      <rPr>
        <sz val="10"/>
        <rFont val="Noto Sans CJK SC"/>
        <family val="2"/>
      </rPr>
      <t xml:space="preserve">」、指定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被拒改由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回答、提示詞測試）；</t>
    </r>
    <r>
      <rPr>
        <sz val="10"/>
        <rFont val="Arial"/>
        <family val="0"/>
        <charset val="1"/>
      </rPr>
      <t xml:space="preserve">M83-b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M83-c pattern </t>
    </r>
    <r>
      <rPr>
        <sz val="10"/>
        <rFont val="Noto Sans CJK SC"/>
        <family val="2"/>
      </rPr>
      <t xml:space="preserve">直接複製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M83-d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M83-e </t>
    </r>
    <r>
      <rPr>
        <sz val="10"/>
        <rFont val="Noto Sans CJK SC"/>
        <family val="2"/>
      </rPr>
      <t xml:space="preserve">判別欄位不設必填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M83-f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None == '</t>
    </r>
    <r>
      <rPr>
        <sz val="10"/>
        <rFont val="Noto Sans CJK SC"/>
        <family val="2"/>
      </rPr>
      <t xml:space="preserve">指定模型 </t>
    </r>
    <r>
      <rPr>
        <sz val="10"/>
        <rFont val="Arial"/>
        <family val="0"/>
        <charset val="1"/>
      </rPr>
      <t xml:space="preserve">haiku-m </t>
    </r>
    <r>
      <rPr>
        <sz val="10"/>
        <rFont val="Noto Sans CJK SC"/>
        <family val="2"/>
      </rPr>
      <t xml:space="preserve">失敗：…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M83-g </t>
    </r>
    <r>
      <rPr>
        <sz val="10"/>
        <rFont val="Noto Sans CJK SC"/>
        <family val="2"/>
      </rPr>
      <t xml:space="preserve">前端不顯示提示條 → </t>
    </r>
    <r>
      <rPr>
        <sz val="10"/>
        <rFont val="Arial"/>
        <family val="0"/>
        <charset val="1"/>
      </rPr>
      <t xml:space="preserve">e2e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Locator expected to be visible</t>
    </r>
    <r>
      <rPr>
        <sz val="10"/>
        <rFont val="Noto Sans CJK SC"/>
        <family val="2"/>
      </rPr>
      <t xml:space="preserve">）。註：</t>
    </r>
    <r>
      <rPr>
        <sz val="10"/>
        <rFont val="Arial"/>
        <family val="0"/>
        <charset val="1"/>
      </rPr>
      <t xml:space="preserve">M83-c </t>
    </r>
    <r>
      <rPr>
        <sz val="10"/>
        <rFont val="Noto Sans CJK SC"/>
        <family val="2"/>
      </rPr>
      <t xml:space="preserve">第一次跑時逐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檢查沒有失敗——檢核器的允許清單當時由轉換的常數推導，改一處兩邊一起瞎；已改成獨立寫死，重跑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</si>
  <si>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</si>
  <si>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</si>
  <si>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</si>
  <si>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解析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本身產出；主模型改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後洞察卡也由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產出；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救回，全程無 </t>
    </r>
    <r>
      <rPr>
        <sz val="10"/>
        <rFont val="Arial"/>
        <family val="0"/>
        <charset val="1"/>
      </rPr>
      <t xml:space="preserve">400
</t>
    </r>
    <r>
      <rPr>
        <sz val="10"/>
        <rFont val="Noto Sans CJK SC"/>
        <family val="2"/>
      </rPr>
      <t xml:space="preserve">假設：①只修了被點名的 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</t>
    </r>
    <r>
      <rPr>
        <sz val="10"/>
        <rFont val="Noto Sans CJK SC"/>
        <family val="2"/>
      </rPr>
      <t xml:space="preserve">兩個實例；②只拿掉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，仍留其他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不支援的關鍵字（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恰好接受，換路由就會再被拒）；③送出的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過度簡化，模型的回覆變得無法通過本地 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驗證；④備援成功了，但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輸入沒告訴使用者指定模型失敗
排除：嚴格假端點對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逐一回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InsightCard 6 </t>
    </r>
    <r>
      <rPr>
        <sz val="10"/>
        <rFont val="Noto Sans CJK SC"/>
        <family val="2"/>
      </rPr>
      <t xml:space="preserve">處問題：</t>
    </r>
    <r>
      <rPr>
        <sz val="10"/>
        <rFont val="Arial"/>
        <family val="0"/>
        <charset val="1"/>
      </rPr>
      <t xml:space="preserve">target_pct 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horizon_days exclusiveMinimum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上下限、兩個 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缺 </t>
    </r>
    <r>
      <rPr>
        <sz val="10"/>
        <rFont val="Arial"/>
        <family val="0"/>
        <charset val="1"/>
      </rPr>
      <t xml:space="preserve">additionalProperties:false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AiDraftList </t>
    </r>
    <r>
      <rPr>
        <sz val="10"/>
        <rFont val="Noto Sans CJK SC"/>
        <family val="2"/>
      </rPr>
      <t xml:space="preserve">另有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），在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逐一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，排除①②；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與本機的回覆全部通過 </t>
    </r>
    <r>
      <rPr>
        <sz val="10"/>
        <rFont val="Arial"/>
        <family val="0"/>
        <charset val="1"/>
      </rPr>
      <t xml:space="preserve">pydantic</t>
    </r>
    <r>
      <rPr>
        <sz val="10"/>
        <rFont val="Noto Sans CJK SC"/>
        <family val="2"/>
      </rPr>
      <t xml:space="preserve">、卡片與草稿正常寫出（</t>
    </r>
    <r>
      <rPr>
        <sz val="10"/>
        <rFont val="Arial"/>
        <family val="0"/>
        <charset val="1"/>
      </rPr>
      <t xml:space="preserve">demo #250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，本機卡 </t>
    </r>
    <r>
      <rPr>
        <sz val="10"/>
        <rFont val="Arial"/>
        <family val="0"/>
        <charset val="1"/>
      </rPr>
      <t xml:space="preserve">#20</t>
    </r>
    <r>
      <rPr>
        <sz val="10"/>
        <rFont val="Noto Sans CJK SC"/>
        <family val="2"/>
      </rPr>
      <t xml:space="preserve">），且提示詞仍附完整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供模型閱讀，排除③；本機指定模型回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時出現琥珀提示條與警示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、成功時不出現，排除④
定位：</t>
    </r>
    <r>
      <rPr>
        <sz val="10"/>
        <rFont val="Arial"/>
        <family val="0"/>
        <charset val="1"/>
      </rPr>
      <t xml:space="preserve">shared/llm.py:177-192 `_response_format_for` </t>
    </r>
    <r>
      <rPr>
        <sz val="10"/>
        <rFont val="Noto Sans CJK SC"/>
        <family val="2"/>
      </rPr>
      <t xml:space="preserve">改送 </t>
    </r>
    <r>
      <rPr>
        <sz val="10"/>
        <rFont val="Arial"/>
        <family val="0"/>
        <charset val="1"/>
      </rPr>
      <t xml:space="preserve">llm_schema.portable_schema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:484-485 </t>
    </r>
    <r>
      <rPr>
        <sz val="10"/>
        <rFont val="Noto Sans CJK SC"/>
        <family val="2"/>
      </rPr>
      <t xml:space="preserve">出口不變、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個呼叫點共用；</t>
    </r>
    <r>
      <rPr>
        <sz val="10"/>
        <rFont val="Arial"/>
        <family val="0"/>
        <charset val="1"/>
      </rPr>
      <t xml:space="preserve">StructuredCompletion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model_name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failed_before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data_ingestion/agents.py:232 `_fallback_note` → routers/input_center.py:1970 → web/input.js:1964-1998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</si>
  <si>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</si>
  <si>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r>
      <rPr>
        <sz val="10"/>
        <rFont val="Noto Sans CJK SC"/>
        <family val="2"/>
      </rPr>
      <t xml:space="preserve">無（不開單）。觀察：①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截斷 </t>
    </r>
    <r>
      <rPr>
        <sz val="10"/>
        <rFont val="Arial"/>
        <family val="0"/>
        <charset val="1"/>
      </rPr>
      <t xml:space="preserve">JSON 6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#524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：大師評分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、洞察卡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），全部由重試或備援救回、未掉卡；截斷重試在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仍記 </t>
    </r>
    <r>
      <rPr>
        <sz val="10"/>
        <rFont val="Arial"/>
        <family val="0"/>
        <charset val="1"/>
      </rPr>
      <t xml:space="preserve">0 tokens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觀察④，供應商未回報用量）；②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輸入的模型選單是每個瀏覽器記住的偏好（</t>
    </r>
    <r>
      <rPr>
        <sz val="10"/>
        <rFont val="Arial"/>
        <family val="0"/>
        <charset val="1"/>
      </rPr>
      <t xml:space="preserve">localStorage pd_ai_model</t>
    </r>
    <r>
      <rPr>
        <sz val="10"/>
        <rFont val="Noto Sans CJK SC"/>
        <family val="2"/>
      </rPr>
      <t xml:space="preserve">），驗證者複驗時選的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延續到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（皆由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產出、通過），測後已改回「自動（角色預設）」</t>
    </r>
  </si>
  <si>
    <r>
      <rPr>
        <sz val="10"/>
        <rFont val="Noto Sans CJK SC"/>
        <family val="2"/>
      </rPr>
      <t xml:space="preserve">檢驗方 </t>
    </r>
    <r>
      <rPr>
        <sz val="10"/>
        <rFont val="Arial"/>
        <family val="0"/>
        <charset val="1"/>
      </rPr>
      <t xml:space="preserve">2026-09-30</t>
    </r>
  </si>
  <si>
    <r>
      <rPr>
        <sz val="10"/>
        <rFont val="Noto Sans CJK SC"/>
        <family val="2"/>
      </rPr>
      <t xml:space="preserve">同意驗證者的判定與根因（自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起即存在，非回歸）。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裁定修。</t>
    </r>
  </si>
  <si>
    <r>
      <rPr>
        <sz val="10"/>
        <rFont val="Noto Sans CJK SC"/>
        <family val="2"/>
      </rPr>
      <t xml:space="preserve">既有測試 </t>
    </r>
    <r>
      <rPr>
        <sz val="10"/>
        <rFont val="Arial"/>
        <family val="0"/>
        <charset val="1"/>
      </rPr>
      <t xml:space="preserve">tests/data_ingestion/test_ai_union.py::test_confessed_unparsed_rows_are_recorded_once </t>
    </r>
    <r>
      <rPr>
        <sz val="10"/>
        <rFont val="Noto Sans CJK SC"/>
        <family val="2"/>
      </rPr>
      <t xml:space="preserve">只斷言它當初要守的欄位（</t>
    </r>
    <r>
      <rPr>
        <sz val="10"/>
        <rFont val="Arial"/>
        <family val="0"/>
        <charset val="1"/>
      </rPr>
      <t xml:space="preserve">outcome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agent</t>
    </r>
    <r>
      <rPr>
        <sz val="10"/>
        <rFont val="Noto Sans CJK SC"/>
        <family val="2"/>
      </rPr>
      <t xml:space="preserve">、原文、回覆、提示詞——提示詞是 </t>
    </r>
    <r>
      <rPr>
        <sz val="10"/>
        <rFont val="Arial"/>
        <family val="0"/>
        <charset val="1"/>
      </rPr>
      <t xml:space="preserve">2026-08-28 </t>
    </r>
    <r>
      <rPr>
        <sz val="10"/>
        <rFont val="Noto Sans CJK SC"/>
        <family val="2"/>
      </rPr>
      <t xml:space="preserve">發現為空後補的），從未斷言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；它的假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只回傳 </t>
    </r>
    <r>
      <rPr>
        <sz val="10"/>
        <rFont val="Arial"/>
        <family val="0"/>
        <charset val="1"/>
      </rPr>
      <t xml:space="preserve">AiDraftList</t>
    </r>
    <r>
      <rPr>
        <sz val="10"/>
        <rFont val="Noto Sans CJK SC"/>
        <family val="2"/>
      </rPr>
      <t xml:space="preserve">，測試裡根本沒有模型可比對——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的回傳形狀讓這個遺漏無法被觀察。點名欄位的斷言只證明被點名的欄位。</t>
    </r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</si>
  <si>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</si>
  <si>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</si>
  <si>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tests/data_ingestion/test_def084_confessions_name_their_model.py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 </t>
    </r>
    <r>
      <rPr>
        <sz val="10"/>
        <rFont val="Arial"/>
        <family val="0"/>
        <charset val="1"/>
      </rPr>
      <t xml:space="preserve">seam</t>
    </r>
    <r>
      <rPr>
        <sz val="10"/>
        <rFont val="Noto Sans CJK SC"/>
        <family val="2"/>
      </rPr>
      <t xml:space="preserve">、只替換供應商）：①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形狀的回覆（坦承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列）→ 記錄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＝這次呼叫的 </t>
    </r>
    <r>
      <rPr>
        <sz val="10"/>
        <rFont val="Arial"/>
        <family val="0"/>
        <charset val="1"/>
      </rPr>
      <t xml:space="preserve">llm_usage.id</t>
    </r>
    <r>
      <rPr>
        <sz val="10"/>
        <rFont val="Noto Sans CJK SC"/>
        <family val="2"/>
      </rPr>
      <t xml:space="preserve">；②同一次呼叫的 </t>
    </r>
    <r>
      <rPr>
        <sz val="10"/>
        <rFont val="Arial"/>
        <family val="0"/>
        <charset val="1"/>
      </rPr>
      <t xml:space="preserve">schema_mismatch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兩筆，非空欄位一致；③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以外的擷取都傳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。變異：</t>
    </r>
    <r>
      <rPr>
        <sz val="10"/>
        <rFont val="Arial"/>
        <family val="0"/>
        <charset val="1"/>
      </rPr>
      <t xml:space="preserve">M84-a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寫法）→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'' == 'google/gemini-2.5-flash-lite'</t>
    </r>
    <r>
      <rPr>
        <sz val="10"/>
        <rFont val="Noto Sans CJK SC"/>
        <family val="2"/>
      </rPr>
      <t xml:space="preserve">；缺 </t>
    </r>
    <r>
      <rPr>
        <sz val="10"/>
        <rFont val="Arial"/>
        <family val="0"/>
        <charset val="1"/>
      </rPr>
      <t xml:space="preserve">{'model', 'usage_id'}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['data_ingestion/agents.py:598']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</si>
  <si>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</si>
  <si>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</si>
  <si>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部署後的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都有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；修復前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筆仍為空
假設：①只有開發者那一筆（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gemini</t>
    </r>
    <r>
      <rPr>
        <sz val="10"/>
        <rFont val="Noto Sans CJK SC"/>
        <family val="2"/>
      </rPr>
      <t xml:space="preserve">）剛好帶到，換模型或換路徑就漏；②</t>
    </r>
    <r>
      <rPr>
        <sz val="10"/>
        <rFont val="Arial"/>
        <family val="0"/>
        <charset val="1"/>
      </rPr>
      <t xml:space="preserve">usage_id </t>
    </r>
    <r>
      <rPr>
        <sz val="10"/>
        <rFont val="Noto Sans CJK SC"/>
        <family val="2"/>
      </rPr>
      <t xml:space="preserve">指向錯的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
排除：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產生的 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#523 </t>
    </r>
    <r>
      <rPr>
        <sz val="10"/>
        <rFont val="Noto Sans CJK SC"/>
        <family val="2"/>
      </rPr>
      <t xml:space="preserve">同樣帶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，排除①；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#523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1088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1089 </t>
    </r>
    <r>
      <rPr>
        <sz val="10"/>
        <rFont val="Noto Sans CJK SC"/>
        <family val="2"/>
      </rPr>
      <t xml:space="preserve">各自對到同秒、同 </t>
    </r>
    <r>
      <rPr>
        <sz val="10"/>
        <rFont val="Arial"/>
        <family val="0"/>
        <charset val="1"/>
      </rPr>
      <t xml:space="preserve">agent</t>
    </r>
    <r>
      <rPr>
        <sz val="10"/>
        <rFont val="Noto Sans CJK SC"/>
        <family val="2"/>
      </rPr>
      <t xml:space="preserve">、同模型的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F-04 0.009053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F-05 0.008962</t>
    </r>
    <r>
      <rPr>
        <sz val="10"/>
        <rFont val="Noto Sans CJK SC"/>
        <family val="2"/>
      </rPr>
      <t xml:space="preserve">），排除②
定位：</t>
    </r>
    <r>
      <rPr>
        <sz val="10"/>
        <rFont val="Arial"/>
        <family val="0"/>
        <charset val="1"/>
      </rPr>
      <t xml:space="preserve">data_ingestion/agents.py:572 completer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:614-615 record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completion.model_name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usage_id
</t>
    </r>
    <r>
      <rPr>
        <sz val="10"/>
        <rFont val="Noto Sans CJK SC"/>
        <family val="2"/>
      </rPr>
      <t xml:space="preserve">判定：通過</t>
    </r>
  </si>
  <si>
    <r>
      <rPr>
        <sz val="10"/>
        <rFont val="Noto Sans CJK SC"/>
        <family val="2"/>
      </rPr>
      <t xml:space="preserve">下載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筆＝畫面 </t>
    </r>
    <r>
      <rPr>
        <sz val="10"/>
        <rFont val="Arial"/>
        <family val="0"/>
        <charset val="1"/>
      </rPr>
      <t xml:space="preserve">26 / 300</t>
    </r>
    <r>
      <rPr>
        <sz val="10"/>
        <rFont val="Noto Sans CJK SC"/>
        <family val="2"/>
      </rPr>
      <t xml:space="preserve">；部署後 </t>
    </r>
    <r>
      <rPr>
        <sz val="10"/>
        <rFont val="Arial"/>
        <family val="0"/>
        <charset val="1"/>
      </rPr>
      <t xml:space="preserve">unparsed_rows 3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#521 google/gemini-2.5-flash-lite usage 1083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#522 anthropic/claude-haiku-4.5 usage 1088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#523 anthropic/claude-haiku-4.5 usage 1089</t>
    </r>
    <r>
      <rPr>
        <sz val="10"/>
        <rFont val="Noto Sans CJK SC"/>
        <family val="2"/>
      </rPr>
      <t xml:space="preserve">；修復前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空（資料殘留）。變異 </t>
    </r>
    <r>
      <rPr>
        <sz val="10"/>
        <rFont val="Arial"/>
        <family val="0"/>
        <charset val="1"/>
      </rPr>
      <t xml:space="preserve">V84-a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不帶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，還原後全過</t>
    </r>
  </si>
  <si>
    <r>
      <rPr>
        <sz val="10"/>
        <rFont val="Noto Sans CJK SC"/>
        <family val="2"/>
      </rPr>
      <t xml:space="preserve">無（不開單）。修復前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筆舊記錄屬資料殘留，程式已正確，是否清除由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決定（不影響結案；上限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筆會自然淘汰）</t>
    </r>
  </si>
  <si>
    <r>
      <rPr>
        <sz val="10"/>
        <rFont val="Noto Sans CJK SC"/>
        <family val="2"/>
      </rPr>
      <t xml:space="preserve">同意。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給可執行的修正指引，形式由開發者設計。設計：沿用前端既有的「前往額度設定」按鈕（</t>
    </r>
    <r>
      <rPr>
        <sz val="10"/>
        <rFont val="Arial"/>
        <family val="0"/>
        <charset val="1"/>
      </rPr>
      <t xml:space="preserve">fix.kind fund_quota → </t>
    </r>
    <r>
      <rPr>
        <sz val="10"/>
        <rFont val="Noto Sans CJK SC"/>
        <family val="2"/>
      </rPr>
      <t xml:space="preserve">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與額度，與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輸入額度不足面板同一個入口），乾跑預檢與「為什麼沒跑？」兩個對話框都有。同類掃描另發現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（範圍不相容）與 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（開啟自我校正但未設大師模型）同樣亮紅／黃卻沒有按鈕，一併修。金額寫法統一為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位小數（與前端 </t>
    </r>
    <r>
      <rPr>
        <sz val="10"/>
        <rFont val="Arial"/>
        <family val="0"/>
        <charset val="1"/>
      </rPr>
      <t xml:space="preserve">fmt.num </t>
    </r>
    <r>
      <rPr>
        <sz val="10"/>
        <rFont val="Noto Sans CJK SC"/>
        <family val="2"/>
      </rPr>
      <t xml:space="preserve">相同的四捨五入）。</t>
    </r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</si>
  <si>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</si>
  <si>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</si>
  <si>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預檢閘門非通過狀態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G0 </t>
    </r>
    <r>
      <rPr>
        <sz val="10"/>
        <rFont val="Noto Sans CJK SC"/>
        <family val="2"/>
      </rPr>
      <t xml:space="preserve">失敗、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警告、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失敗、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失敗／資訊、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失敗、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警告、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資訊、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警告／資訊）：原本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種有按鈕、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種沒有（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警告）→ 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；另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旁的「價格新鮮度」資訊列不影響執行、屬純告知 → 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。前端修正種類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個，後端原本送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個，死按鈕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enable_schedule</t>
    </r>
    <r>
      <rPr>
        <sz val="10"/>
        <rFont val="Noto Sans CJK SC"/>
        <family val="2"/>
      </rPr>
      <t xml:space="preserve">）→ 修後送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個；</t>
    </r>
    <r>
      <rPr>
        <sz val="10"/>
        <rFont val="Arial"/>
        <family val="0"/>
        <charset val="1"/>
      </rPr>
      <t xml:space="preserve">enable_schedule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create_schedule </t>
    </r>
    <r>
      <rPr>
        <sz val="10"/>
        <rFont val="Noto Sans CJK SC"/>
        <family val="2"/>
      </rPr>
      <t xml:space="preserve">的同義標籤（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對未排程一律送 </t>
    </r>
    <r>
      <rPr>
        <sz val="10"/>
        <rFont val="Arial"/>
        <family val="0"/>
        <charset val="1"/>
      </rPr>
      <t xml:space="preserve">create_schedule</t>
    </r>
    <r>
      <rPr>
        <sz val="10"/>
        <rFont val="Noto Sans CJK SC"/>
        <family val="2"/>
      </rPr>
      <t xml:space="preserve">），列白名單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。伺服器寫出額度金額的句子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額度不足、管線節點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種）→ 全部經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${</t>
    </r>
    <r>
      <rPr>
        <sz val="10"/>
        <rFont val="Noto Sans CJK SC"/>
        <family val="2"/>
      </rPr>
      <t xml:space="preserve">」共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處，另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處不是額度（</t>
    </r>
    <r>
      <rPr>
        <sz val="10"/>
        <rFont val="Arial"/>
        <family val="0"/>
        <charset val="1"/>
      </rPr>
      <t xml:space="preserve">auth_store </t>
    </r>
    <r>
      <rPr>
        <sz val="10"/>
        <rFont val="Noto Sans CJK SC"/>
        <family val="2"/>
      </rPr>
      <t xml:space="preserve">密碼雜湊格式、</t>
    </r>
    <r>
      <rPr>
        <sz val="10"/>
        <rFont val="Arial"/>
        <family val="0"/>
        <charset val="1"/>
      </rPr>
      <t xml:space="preserve">wire.py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NT$ </t>
    </r>
    <r>
      <rPr>
        <sz val="10"/>
        <rFont val="Noto Sans CJK SC"/>
        <family val="2"/>
      </rPr>
      <t xml:space="preserve">手續費說明）。</t>
    </r>
  </si>
  <si>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tests/contract/test_def085_preflight_fix_guidance.py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則）：前端每個修正種類都有閘門送出（白名單 </t>
    </r>
    <r>
      <rPr>
        <sz val="10"/>
        <rFont val="Arial"/>
        <family val="0"/>
        <charset val="1"/>
      </rPr>
      <t xml:space="preserve">enable_schedule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每個非通過狀態都有前端有動作的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且前端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前往 </t>
    </r>
    <r>
      <rPr>
        <sz val="10"/>
        <rFont val="Arial"/>
        <family val="0"/>
        <charset val="1"/>
      </rPr>
      <t xml:space="preserve">settings.html#llm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未設大師＝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usd_display 8 </t>
    </r>
    <r>
      <rPr>
        <sz val="10"/>
        <rFont val="Noto Sans CJK SC"/>
        <family val="2"/>
      </rPr>
      <t xml:space="preserve">組數值與前端 </t>
    </r>
    <r>
      <rPr>
        <sz val="10"/>
        <rFont val="Arial"/>
        <family val="0"/>
        <charset val="1"/>
      </rPr>
      <t xml:space="preserve">fmt.num </t>
    </r>
    <r>
      <rPr>
        <sz val="10"/>
        <rFont val="Noto Sans CJK SC"/>
        <family val="2"/>
      </rPr>
      <t xml:space="preserve">相同（含 </t>
    </r>
    <r>
      <rPr>
        <sz val="10"/>
        <rFont val="Arial"/>
        <family val="0"/>
        <charset val="1"/>
      </rPr>
      <t xml:space="preserve">0.125→$0.13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-0.004→$0.00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情境（剩餘 −</t>
    </r>
    <r>
      <rPr>
        <sz val="10"/>
        <rFont val="Arial"/>
        <family val="0"/>
        <charset val="1"/>
      </rPr>
      <t xml:space="preserve">$0.01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）」、預檢與診斷都有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、管線節點「餘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$-0.03</t>
    </r>
    <r>
      <rPr>
        <sz val="10"/>
        <rFont val="Noto Sans CJK SC"/>
        <family val="2"/>
      </rPr>
      <t xml:space="preserve">）— 補充額度後即可繼續使用」。新增 </t>
    </r>
    <r>
      <rPr>
        <sz val="10"/>
        <rFont val="Arial"/>
        <family val="0"/>
        <charset val="1"/>
      </rPr>
      <t xml:space="preserve">e2e tests/e2e/test_def085_preflight_quota_fix_flow.py</t>
    </r>
    <r>
      <rPr>
        <sz val="10"/>
        <rFont val="Noto Sans CJK SC"/>
        <family val="2"/>
      </rPr>
      <t xml:space="preserve">：乾跑預檢與「為什麼沒跑？」的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列都顯示「額度耗盡（剩餘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）」與「前往額度設定」，點下去到 </t>
    </r>
    <r>
      <rPr>
        <sz val="10"/>
        <rFont val="Arial"/>
        <family val="0"/>
        <charset val="1"/>
      </rPr>
      <t xml:space="preserve">settings.html#llm</t>
    </r>
    <r>
      <rPr>
        <sz val="10"/>
        <rFont val="Noto Sans CJK SC"/>
        <family val="2"/>
      </rPr>
      <t xml:space="preserve">。變異：</t>
    </r>
    <r>
      <rPr>
        <sz val="10"/>
        <rFont val="Arial"/>
        <family val="0"/>
        <charset val="1"/>
      </rPr>
      <t xml:space="preserve">M85-a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寫法）→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（含既有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M85-b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R1 → 1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M85-d R6 </t>
    </r>
    <r>
      <rPr>
        <sz val="10"/>
        <rFont val="Noto Sans CJK SC"/>
        <family val="2"/>
      </rPr>
      <t xml:space="preserve">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寫法）→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M85-e usd_display </t>
    </r>
    <r>
      <rPr>
        <sz val="10"/>
        <rFont val="Noto Sans CJK SC"/>
        <family val="2"/>
      </rPr>
      <t xml:space="preserve">改回預設捨入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'$0.12' == '$0.13'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M85-f AI </t>
    </r>
    <r>
      <rPr>
        <sz val="10"/>
        <rFont val="Noto Sans CJK SC"/>
        <family val="2"/>
      </rPr>
      <t xml:space="preserve">額度不足訊息印原始 </t>
    </r>
    <r>
      <rPr>
        <sz val="10"/>
        <rFont val="Arial"/>
        <family val="0"/>
        <charset val="1"/>
      </rPr>
      <t xml:space="preserve">Decimal → 1 failed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</si>
  <si>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</si>
  <si>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r>
      <rPr>
        <sz val="10"/>
        <rFont val="Noto Sans CJK SC"/>
        <family val="2"/>
      </rPr>
      <t xml:space="preserve">本機專用測試環境（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、非憑證假金鑰）：以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補一筆使剩餘額度 −</t>
    </r>
    <r>
      <rPr>
        <sz val="10"/>
        <rFont val="Arial"/>
        <family val="0"/>
        <charset val="1"/>
      </rPr>
      <t xml:space="preserve">$0.01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真實瀏覽器開洞察管線 › 任務抽屜 › 乾跑預檢，與任務卡上的「為什麼沒跑？」，讀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列、按「前往額度設定」看落點並截圖（</t>
    </r>
    <r>
      <rPr>
        <sz val="10"/>
        <rFont val="Arial"/>
        <family val="0"/>
        <charset val="1"/>
      </rPr>
      <t xml:space="preserve">R11_DEF085_preflight.png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R11_DEF085_diagnose.png</t>
    </r>
    <r>
      <rPr>
        <sz val="10"/>
        <rFont val="Noto Sans CJK SC"/>
        <family val="2"/>
      </rPr>
      <t xml:space="preserve">）；讀 </t>
    </r>
    <r>
      <rPr>
        <sz val="10"/>
        <rFont val="Arial"/>
        <family val="0"/>
        <charset val="1"/>
      </rPr>
      <t xml:space="preserve">/preflight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/insight-tasks/status</t>
    </r>
    <r>
      <rPr>
        <sz val="10"/>
        <rFont val="Noto Sans CJK SC"/>
        <family val="2"/>
      </rPr>
      <t xml:space="preserve">；另建停用任務與「開啟自我校正、未設大師模型」任務抽樣同類；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＋本機 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</t>
    </r>
  </si>
  <si>
    <r>
      <rPr>
        <sz val="10"/>
        <rFont val="Noto Sans CJK SC"/>
        <family val="2"/>
      </rPr>
      <t xml:space="preserve">觀察：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列有「前往額度設定」按鈕，兩個對話框都有，按下到設定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與額度；金額 </t>
    </r>
    <r>
      <rPr>
        <sz val="10"/>
        <rFont val="Arial"/>
        <family val="0"/>
        <charset val="1"/>
      </rPr>
      <t xml:space="preserve">$-0.01 </t>
    </r>
    <r>
      <rPr>
        <sz val="10"/>
        <rFont val="Noto Sans CJK SC"/>
        <family val="2"/>
      </rPr>
      <t xml:space="preserve">與節點一致
假設：①只有乾跑預檢有按鈕、「為什麼沒跑？」仍沒有；②按鈕是死按鈕或跳錯頁；③只修了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，同類的其他紅／黃列仍沒有指引
排除：兩個對話框的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個按鈕，</t>
    </r>
    <r>
      <rPr>
        <sz val="10"/>
        <rFont val="Arial"/>
        <family val="0"/>
        <charset val="1"/>
      </rPr>
      <t xml:space="preserve">/diagnose first_blocker R6 fix fund_quota</t>
    </r>
    <r>
      <rPr>
        <sz val="10"/>
        <rFont val="Noto Sans CJK SC"/>
        <family val="2"/>
      </rPr>
      <t xml:space="preserve">，排除①；按下後網址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與額度分頁作用中、角色欄可見，排除②；停用任務的 </t>
    </r>
    <r>
      <rPr>
        <sz val="10"/>
        <rFont val="Arial"/>
        <family val="0"/>
        <charset val="1"/>
      </rPr>
      <t xml:space="preserve">G0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enable_task</t>
    </r>
    <r>
      <rPr>
        <sz val="10"/>
        <rFont val="Noto Sans CJK SC"/>
        <family val="2"/>
      </rPr>
      <t xml:space="preserve">、未設大師的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、缺價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edit_universe</t>
    </r>
    <r>
      <rPr>
        <sz val="10"/>
        <rFont val="Noto Sans CJK SC"/>
        <family val="2"/>
      </rPr>
      <t xml:space="preserve">，排除③
定位：</t>
    </r>
    <r>
      <rPr>
        <sz val="10"/>
        <rFont val="Arial"/>
        <family val="0"/>
        <charset val="1"/>
      </rPr>
      <t xml:space="preserve">api/insight_service.py:1734-1736 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R1 edit_templates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 fund_quota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:1879-1883 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shared/money.usd_display </t>
    </r>
    <r>
      <rPr>
        <sz val="10"/>
        <rFont val="Noto Sans CJK SC"/>
        <family val="2"/>
      </rPr>
      <t xml:space="preserve">用於 </t>
    </r>
    <r>
      <rPr>
        <sz val="10"/>
        <rFont val="Arial"/>
        <family val="0"/>
        <charset val="1"/>
      </rPr>
      <t xml:space="preserve">llm_insight/gating.py:171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shared/llm_config.py:314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llm_insight/pipeline_status.py:179-184
</t>
    </r>
    <r>
      <rPr>
        <sz val="10"/>
        <rFont val="Noto Sans CJK SC"/>
        <family val="2"/>
      </rPr>
      <t xml:space="preserve">判定：通過</t>
    </r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</si>
  <si>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</si>
  <si>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r>
      <rPr>
        <sz val="10"/>
        <rFont val="Noto Sans CJK SC"/>
        <family val="2"/>
      </rPr>
      <t xml:space="preserve">無（不開單）。觀察：</t>
    </r>
    <r>
      <rPr>
        <sz val="10"/>
        <rFont val="Arial"/>
        <family val="0"/>
        <charset val="1"/>
      </rPr>
      <t xml:space="preserve">strategy/alerts.py:154-156 `_usd`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額度偏低」預警明細 </t>
    </r>
    <r>
      <rPr>
        <sz val="10"/>
        <rFont val="Arial"/>
        <family val="0"/>
        <charset val="1"/>
      </rPr>
      <t xml:space="preserve">:363</t>
    </r>
    <r>
      <rPr>
        <sz val="10"/>
        <rFont val="Noto Sans CJK SC"/>
        <family val="2"/>
      </rPr>
      <t xml:space="preserve">）仍自行 </t>
    </r>
    <r>
      <rPr>
        <sz val="10"/>
        <rFont val="Arial"/>
        <family val="0"/>
        <charset val="1"/>
      </rPr>
      <t xml:space="preserve">quantize</t>
    </r>
    <r>
      <rPr>
        <sz val="10"/>
        <rFont val="Noto Sans CJK SC"/>
        <family val="2"/>
      </rPr>
      <t xml:space="preserve">（銀行家捨入、無千分位），未走 </t>
    </r>
    <r>
      <rPr>
        <sz val="10"/>
        <rFont val="Arial"/>
        <family val="0"/>
        <charset val="1"/>
      </rPr>
      <t xml:space="preserve">usd_display——</t>
    </r>
    <r>
      <rPr>
        <sz val="10"/>
        <rFont val="Noto Sans CJK SC"/>
        <family val="2"/>
      </rPr>
      <t xml:space="preserve">同類顯示一致性，開發者同類掃描未列到；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額度高於門檻、目前不會出現，建議日後順手統一</t>
    </r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</si>
  <si>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</si>
  <si>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</si>
  <si>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</si>
  <si>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</si>
  <si>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</si>
  <si>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</si>
  <si>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</si>
  <si>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</si>
  <si>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</si>
  <si>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</si>
  <si>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</si>
  <si>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</si>
  <si>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</si>
  <si>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r>
      <rPr>
        <sz val="10"/>
        <rFont val="Noto Sans CJK SC"/>
        <family val="2"/>
      </rPr>
      <t xml:space="preserve">開發者：處理狀態＝新開的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張，先高（</t>
    </r>
    <r>
      <rPr>
        <sz val="10"/>
        <rFont val="Arial"/>
        <family val="0"/>
        <charset val="1"/>
      </rPr>
      <t xml:space="preserve">DEF-012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DEF-027</t>
    </r>
    <r>
      <rPr>
        <sz val="10"/>
        <rFont val="Noto Sans CJK SC"/>
        <family val="2"/>
      </rPr>
      <t xml:space="preserve">）再中、低；於缺陷登記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欄寫根因到檔案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行、來回記錄左半（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）補齊並附同類掃描與變異測試後改為待複驗。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：裁定待裁定的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</si>
  <si>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</si>
  <si>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</si>
  <si>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</si>
  <si>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驗證者：先確認受測站頁首＝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組回歸快篩；依「來回記錄」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列複驗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DEF-012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027</t>
    </r>
    <r>
      <rPr>
        <sz val="10"/>
        <rFont val="Noto Sans CJK SC"/>
        <family val="2"/>
      </rPr>
      <t xml:space="preserve">（高）→ </t>
    </r>
    <r>
      <rPr>
        <sz val="10"/>
        <rFont val="Arial"/>
        <family val="0"/>
        <charset val="1"/>
      </rPr>
      <t xml:space="preserve">DEF-001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037</t>
    </r>
    <r>
      <rPr>
        <sz val="10"/>
        <rFont val="Noto Sans CJK SC"/>
        <family val="2"/>
      </rPr>
      <t xml:space="preserve">（中）→ </t>
    </r>
    <r>
      <rPr>
        <sz val="10"/>
        <rFont val="Arial"/>
        <family val="0"/>
        <charset val="1"/>
      </rPr>
      <t xml:space="preserve">DEF-002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038</t>
    </r>
    <r>
      <rPr>
        <sz val="10"/>
        <rFont val="Noto Sans CJK SC"/>
        <family val="2"/>
      </rPr>
      <t xml:space="preserve">（低）。複驗時請注意四個行為變更：①同日交易依輸入順序重播（</t>
    </r>
    <r>
      <rPr>
        <sz val="10"/>
        <rFont val="Arial"/>
        <family val="0"/>
        <charset val="1"/>
      </rPr>
      <t xml:space="preserve">B-18 </t>
    </r>
    <r>
      <rPr>
        <sz val="10"/>
        <rFont val="Noto Sans CJK SC"/>
        <family val="2"/>
      </rPr>
      <t xml:space="preserve">三筆順序）；②券商對帳單「全部寫入」改為「寫入勾選列」且警告列需逐列確認；③出金透支訊息新句型「此筆出金會使 台灣券商 的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現金於 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降至 −</t>
    </r>
    <r>
      <rPr>
        <sz val="10"/>
        <rFont val="Arial"/>
        <family val="0"/>
        <charset val="1"/>
      </rPr>
      <t xml:space="preserve">N</t>
    </r>
    <r>
      <rPr>
        <sz val="10"/>
        <rFont val="Noto Sans CJK SC"/>
        <family val="2"/>
      </rPr>
      <t xml:space="preserve">（出金當日）…」；④帳本表改為切到分頁才載入（</t>
    </r>
    <r>
      <rPr>
        <sz val="10"/>
        <rFont val="Arial"/>
        <family val="0"/>
        <charset val="1"/>
      </rPr>
      <t xml:space="preserve">2026-09-16 L16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張待裁定；另請裁定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項觀察（</t>
    </r>
    <r>
      <rPr>
        <sz val="10"/>
        <rFont val="Arial"/>
        <family val="0"/>
        <charset val="1"/>
      </rPr>
      <t xml:space="preserve">_seed_child_price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後寫分拆子公司價格且刪除不移除；只在觀察清單的標的因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產「持倉提點」卡；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更正門不走 </t>
    </r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所以日期類提示到不了）。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</si>
  <si>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</si>
  <si>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</si>
  <si>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開發者：①先修複驗未過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web/app.js:112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app.js:100 </t>
    </r>
    <r>
      <rPr>
        <sz val="10"/>
        <rFont val="Noto Sans CJK SC"/>
        <family val="2"/>
      </rPr>
      <t xml:space="preserve">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之後——沒有未註冊標的時永不顯示；並修掉 </t>
    </r>
    <r>
      <rPr>
        <sz val="10"/>
        <rFont val="Arial"/>
        <family val="0"/>
        <charset val="1"/>
      </rPr>
      <t xml:space="preserve">test_unapplied_actions_have_an_entry.py:125 </t>
    </r>
    <r>
      <rPr>
        <sz val="10"/>
        <rFont val="Noto Sans CJK SC"/>
        <family val="2"/>
      </rPr>
      <t xml:space="preserve">只比對字串的盲點）、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（帳本刪除後同頁「最近匯入」與復原框未刷新）；②依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裁定實作新開的 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筆快照清理，先備份）、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046</t>
    </r>
    <r>
      <rPr>
        <sz val="10"/>
        <rFont val="Noto Sans CJK SC"/>
        <family val="2"/>
      </rPr>
      <t xml:space="preserve">（刪除錯誤卡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，先備份）、</t>
    </r>
    <r>
      <rPr>
        <sz val="10"/>
        <rFont val="Arial"/>
        <family val="0"/>
        <charset val="1"/>
      </rPr>
      <t xml:space="preserve">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；③修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044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045 </t>
    </r>
    <r>
      <rPr>
        <sz val="10"/>
        <rFont val="Noto Sans CJK SC"/>
        <family val="2"/>
      </rPr>
      <t xml:space="preserve">請補「用到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的頁面必須載入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模組的帳戶名守門）。④依裁定同步手冊：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A-11②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B-10③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DEF-013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C-04b①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DEF-018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）的期望值</t>
    </r>
  </si>
  <si>
    <r>
      <rPr>
        <sz val="10"/>
        <rFont val="Noto Sans CJK SC"/>
        <family val="2"/>
      </rPr>
      <t xml:space="preserve">防護建議（不擋結案）：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的單元守門只認字面值，等價寫法要靠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才攔得到，建議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DEF-004 </t>
    </r>
    <r>
      <rPr>
        <sz val="10"/>
        <rFont val="Noto Sans CJK SC"/>
        <family val="2"/>
      </rPr>
      <t xml:space="preserve">以「只換表頭」變異 </t>
    </r>
    <r>
      <rPr>
        <sz val="10"/>
        <rFont val="Arial"/>
        <family val="0"/>
        <charset val="1"/>
      </rPr>
      <t xml:space="preserve">18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DEF-032 </t>
    </r>
    <r>
      <rPr>
        <sz val="10"/>
        <rFont val="Noto Sans CJK SC"/>
        <family val="2"/>
      </rPr>
      <t xml:space="preserve">後端去重變異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，目前靠前端彙整。觀察：收件匣折讓款副標題在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被截斷；立即執行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而非任務名；公司行動帳本列不顯示重組費用。本輪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另於 </t>
    </r>
    <r>
      <rPr>
        <sz val="10"/>
        <rFont val="Arial"/>
        <family val="0"/>
        <charset val="1"/>
      </rPr>
      <t xml:space="preserve">insight:7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張市場週報卡、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#211</t>
    </r>
    <r>
      <rPr>
        <sz val="10"/>
        <rFont val="Noto Sans CJK SC"/>
        <family val="2"/>
      </rPr>
      <t xml:space="preserve">（預期寫入）</t>
    </r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</si>
  <si>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</si>
  <si>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</si>
  <si>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驗證者：先確認受測站頁首＝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組回歸快篩；依「來回記錄」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列複驗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（複驗未過，請重放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「未解」欄的情境：沒有未註冊標的時儀表板的公司行動區塊；同頁刪除帳本列後的「最近匯入」與復原對話框）→ 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（中）→ 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（低）。期望值已依裁定改為手冊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（見「測試案例」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欄）。⚠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卡號更正：錯卡是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 moomoo_my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交易商警示」），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是正常的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預警卡、未刪除；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交接備註寫的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是開發者的錯誤。請注意四個行為變更：①帳本「編輯」開框即預覽，軟性警告要逐項勾選才能儲存；②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／券商匯入的賣超列預設不勾，須在確認框逐列勾選（伺服器也強制，整檔確認不再能寫入賣超）；③入帳日在未來的股利，入帳日前不計入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、總報酬與已收股利；④補登過去日期時，草稿以交易日當時的部位試算並加註。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：請裁定備註欄列出的決策項。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</si>
  <si>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</si>
  <si>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</si>
  <si>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r>
      <rPr>
        <sz val="10"/>
        <rFont val="Noto Sans CJK SC"/>
        <family val="2"/>
      </rPr>
      <t xml:space="preserve">開發者：①先修複驗未過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（寫入前若當日已有正式報價就不寫起始價並說明；附驗證者探測測試），並一起做 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（中）：批次復原走與逐筆刪除相同的重播防護（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orphan</t>
    </r>
    <r>
      <rPr>
        <sz val="10"/>
        <rFont val="Noto Sans CJK SC"/>
        <family val="2"/>
      </rPr>
      <t xml:space="preserve">＋前端賣超確認框）與 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稽核，並掃描所有繞過 </t>
    </r>
    <r>
      <rPr>
        <sz val="10"/>
        <rFont val="Arial"/>
        <family val="0"/>
        <charset val="1"/>
      </rPr>
      <t xml:space="preserve">store.delete_*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；③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（中）系統與新聞整理提示詞版本記錄；④低：</t>
    </r>
    <r>
      <rPr>
        <sz val="10"/>
        <rFont val="Arial"/>
        <family val="0"/>
        <charset val="1"/>
      </rPr>
      <t xml:space="preserve">DEF-050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055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清理）、</t>
    </r>
    <r>
      <rPr>
        <sz val="10"/>
        <rFont val="Arial"/>
        <family val="0"/>
        <charset val="1"/>
      </rPr>
      <t xml:space="preserve">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061</t>
    </r>
    <r>
      <rPr>
        <sz val="10"/>
        <rFont val="Noto Sans CJK SC"/>
        <family val="2"/>
      </rPr>
      <t xml:space="preserve">；⑤資料：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刪錯卡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xlsx </t>
    </r>
    <r>
      <rPr>
        <sz val="10"/>
        <rFont val="Noto Sans CJK SC"/>
        <family val="2"/>
      </rPr>
      <t xml:space="preserve">衝突時以 </t>
    </r>
    <r>
      <rPr>
        <sz val="10"/>
        <rFont val="Arial"/>
        <family val="0"/>
        <charset val="1"/>
      </rPr>
      <t xml:space="preserve">xlsx </t>
    </r>
    <r>
      <rPr>
        <sz val="10"/>
        <rFont val="Noto Sans CJK SC"/>
        <family val="2"/>
      </rPr>
      <t xml:space="preserve">為準）。手冊：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的期望（未來日期交易依估值日切）請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或開發者代補至 </t>
    </r>
    <r>
      <rPr>
        <sz val="10"/>
        <rFont val="Arial"/>
        <family val="0"/>
        <charset val="1"/>
      </rPr>
      <t xml:space="preserve">B-17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</si>
  <si>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</si>
  <si>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</si>
  <si>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</si>
  <si>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驗證者：先確認受測站頁首＝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組回歸快篩；依「來回記錄」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列複驗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（複驗未過，請重放「子公司當日已有正式報價」的情境：存檔前表單應提示起始價不會寫入，存檔後與刪除後該價格列都逐欄不變；現在已不會覆蓋，可直接在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用有報價的日期試）→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（中）→ </t>
    </r>
    <r>
      <rPr>
        <sz val="10"/>
        <rFont val="Arial"/>
        <family val="0"/>
        <charset val="1"/>
      </rPr>
      <t xml:space="preserve">DEF-050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</t>
    </r>
    <r>
      <rPr>
        <sz val="10"/>
        <rFont val="Noto Sans CJK SC"/>
        <family val="2"/>
      </rPr>
      <t xml:space="preserve">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起計入」；③分拆的子公司起始價只寫入沒有價格的日期，已有報價時表單與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會說明未寫入；編輯分拆可改起始價，改日期會搬移起始價並以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說明；④股利帳本「編輯」開框即顯示檢查結果，軟性警告要逐項勾選才能儲存；⑤系統提示詞與新聞整理提示詞有「版本記錄」（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目前各為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：請裁定備註欄列出的決策項。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</si>
  <si>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</si>
  <si>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</si>
  <si>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r>
      <rPr>
        <sz val="10"/>
        <rFont val="Noto Sans CJK SC"/>
        <family val="2"/>
      </rPr>
      <t xml:space="preserve">開發者：①先修複驗未過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：資金頁「現金收支明細」讀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，加分隔說明與「未來日期」徽章、餘額欄標示投影（與列印報告同文字），並做同類掃描；②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：規則名稱單一來源（</t>
    </r>
    <r>
      <rPr>
        <sz val="10"/>
        <rFont val="Arial"/>
        <family val="0"/>
        <charset val="1"/>
      </rPr>
      <t xml:space="preserve">/api/alert-rules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），精靈不得顯示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；③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 </t>
    </r>
    <r>
      <rPr>
        <sz val="10"/>
        <rFont val="Noto Sans CJK SC"/>
        <family val="2"/>
      </rPr>
      <t xml:space="preserve">排除封存，與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共用判定；④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：以 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取得 </t>
    </r>
    <r>
      <rPr>
        <sz val="10"/>
        <rFont val="Arial"/>
        <family val="0"/>
        <charset val="1"/>
      </rPr>
      <t xml:space="preserve">GET /api/ui-prefs 500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traceback </t>
    </r>
    <r>
      <rPr>
        <sz val="10"/>
        <rFont val="Noto Sans CJK SC"/>
        <family val="2"/>
      </rPr>
      <t xml:space="preserve">並修正（讀取路徑不應寫入／建表），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次全綠再交；⑤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scripts/clean_orphan_seed_prices.py</t>
    </r>
    <r>
      <rPr>
        <sz val="10"/>
        <rFont val="Noto Sans CJK SC"/>
        <family val="2"/>
      </rPr>
      <t xml:space="preserve">（試跑、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先備份、稽核、可選 </t>
    </r>
    <r>
      <rPr>
        <sz val="10"/>
        <rFont val="Arial"/>
        <family val="0"/>
        <charset val="1"/>
      </rPr>
      <t xml:space="preserve">--backfill</t>
    </r>
    <r>
      <rPr>
        <sz val="10"/>
        <rFont val="Noto Sans CJK SC"/>
        <family val="2"/>
      </rPr>
      <t xml:space="preserve">），並在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執行後附清單與結果。全部依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：根因到行、同類掃描附數字、修復前會失敗的測試＋變異測試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</si>
  <si>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</si>
  <si>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</si>
  <si>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</si>
  <si>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驗證者：先確認頁首＝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組；依「來回記錄」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列複驗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（複驗未過，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目前沒有未來日期列，請照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步驟自行寫一筆未來日期的券商費用：帳戶現金 › 台灣券商 明細第一列前應有「以下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之後），不計入目前餘額；其餘額欄為投影」、該列日期有徽章、餘額有「投影」、表頭目前餘額不含它並寫「（截至…，不含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筆未來日期）」；另可在個股抽屜 配息史 驗未來股利的徽章）→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（請照你的方式重跑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全套，並可在任何頁面同時打多個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（精靈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個監聽規則；要看排程明細請在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按「立即執行」產生新的一列，修正前的舊列仍是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（封存一檔非持倉標的後，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個報價類排程送出的清單不含它；另可驗「放空中／以未來日期賣出清倉」的標的無法封存）→ 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已無孤兒，腳本試跑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筆；如需驗腳本本身，請在本機依 </t>
    </r>
    <r>
      <rPr>
        <sz val="10"/>
        <rFont val="Arial"/>
        <family val="0"/>
        <charset val="1"/>
      </rPr>
      <t xml:space="preserve">tests/scripts </t>
    </r>
    <r>
      <rPr>
        <sz val="10"/>
        <rFont val="Noto Sans CJK SC"/>
        <family val="2"/>
      </rPr>
      <t xml:space="preserve">的情境重放）。請注意三個行為變更：①資金頁明細與抽屜配息史的未來列有標示；②放空中或只靠未來日期賣出清倉的標的不能封存或移除（回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），刪除／修改帳本列若讓已封存標的重新持有，會自動解除封存；③預警規則名稱統一：精靈「價格過期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缺價」→「價格過期」、各處「即將除息」→「即將除息提醒」，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：請裁定備註欄列出的決策項。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</si>
  <si>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</si>
  <si>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</si>
  <si>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r>
      <rPr>
        <sz val="10"/>
        <rFont val="Noto Sans CJK SC"/>
        <family val="2"/>
      </rPr>
      <t xml:space="preserve">開發者：依規格處理 </t>
    </r>
    <r>
      <rPr>
        <sz val="10"/>
        <rFont val="Arial"/>
        <family val="0"/>
        <charset val="1"/>
      </rPr>
      <t xml:space="preserve">DEF-066 → 067 → 069 → 070 → 071 → 068 → 073 → 072 → 075 → 074 → 078 → 077 → 076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 </t>
    </r>
    <r>
      <rPr>
        <sz val="10"/>
        <rFont val="Noto Sans CJK SC"/>
        <family val="2"/>
      </rPr>
      <t xml:space="preserve">同屬影子評估，建議同批修並把規格 </t>
    </r>
    <r>
      <rPr>
        <sz val="10"/>
        <rFont val="Arial"/>
        <family val="0"/>
        <charset val="1"/>
      </rPr>
      <t xml:space="preserve">§9 </t>
    </r>
    <r>
      <rPr>
        <sz val="10"/>
        <rFont val="Noto Sans CJK SC"/>
        <family val="2"/>
      </rPr>
      <t xml:space="preserve">的時間推進情境改寫成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 </t>
    </r>
    <r>
      <rPr>
        <sz val="10"/>
        <rFont val="Noto Sans CJK SC"/>
        <family val="2"/>
      </rPr>
      <t xml:space="preserve">延續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的「持有」單一判定，建議同批。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請先讀規格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的「驗證者對裁定的解讀」，理解不同就在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欄寫出並交回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確認，不要自行擴大或縮小範圍。全部依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：根因到行、同類掃描附數字、修復前會失敗的測試＋變異測試、防線盲點（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請特別說明「只有出錯才會走到的路徑缺相依」要由哪道防線攔）。附帶建議：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to_have_text </t>
    </r>
    <r>
      <rPr>
        <sz val="10"/>
        <rFont val="Noto Sans CJK SC"/>
        <family val="2"/>
      </rPr>
      <t xml:space="preserve">驗分隔列，列被設為 </t>
    </r>
    <r>
      <rPr>
        <sz val="10"/>
        <rFont val="Arial"/>
        <family val="0"/>
        <charset val="1"/>
      </rPr>
      <t xml:space="preserve">hidden </t>
    </r>
    <r>
      <rPr>
        <sz val="10"/>
        <rFont val="Noto Sans CJK SC"/>
        <family val="2"/>
      </rPr>
      <t xml:space="preserve">時仍通過，請補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。修完部署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、回填「交接紀錄」後交回驗證者複驗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</si>
  <si>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</si>
  <si>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</si>
  <si>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</si>
  <si>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驗證者：先確認頁首＝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組；依「來回記錄」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列（第 </t>
    </r>
    <r>
      <rPr>
        <sz val="10"/>
        <rFont val="Arial"/>
        <family val="0"/>
        <charset val="1"/>
      </rPr>
      <t xml:space="preserve">159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173 </t>
    </r>
    <r>
      <rPr>
        <sz val="10"/>
        <rFont val="Noto Sans CJK SC"/>
        <family val="2"/>
      </rPr>
      <t xml:space="preserve">列）複驗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在對話中的裁定已取代或補充部分規格，見備註欄與各張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欄。建議複驗方式：①需要排程器、假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或時鐘推進的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）請在本機專用測試環境（規格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）重放——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流程的預期：</t>
    </r>
    <r>
      <rPr>
        <sz val="10"/>
        <rFont val="Arial"/>
        <family val="0"/>
        <charset val="1"/>
      </rPr>
      <t xml:space="preserve">09-10 </t>
    </r>
    <r>
      <rPr>
        <sz val="10"/>
        <rFont val="Noto Sans CJK SC"/>
        <family val="2"/>
      </rPr>
      <t xml:space="preserve">一次產生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張影子卡是正確的（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個任務）、</t>
    </r>
    <r>
      <rPr>
        <sz val="10"/>
        <rFont val="Arial"/>
        <family val="0"/>
        <charset val="1"/>
      </rPr>
      <t xml:space="preserve">09-11 </t>
    </r>
    <r>
      <rPr>
        <sz val="10"/>
        <rFont val="Noto Sans CJK SC"/>
        <family val="2"/>
      </rPr>
      <t xml:space="preserve">應再產生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晉升後的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下一批就有影子卡；產生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之後同一批失誤不會再產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，需在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之後再累積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筆新評分；評分與校正的排程明細會寫出做了什麼（例「產生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版（個股健檢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・失誤樣本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筆）」）；持倉健診與抽屜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建議不再出現影子卡；④ 校正版本鏈可按「設為生效／取消生效」。②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：以 </t>
    </r>
    <r>
      <rPr>
        <sz val="10"/>
        <rFont val="Arial"/>
        <family val="0"/>
        <charset val="1"/>
      </rPr>
      <t xml:space="preserve">_seed_red_footer </t>
    </r>
    <r>
      <rPr>
        <sz val="10"/>
        <rFont val="Noto Sans CJK SC"/>
        <family val="2"/>
      </rPr>
      <t xml:space="preserve">同形狀的前置狀態開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抽屜 →「補登公司行動」帳戶預填台灣券商。③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：封存一檔已清倉標的 → 股利收件匣掃描清單不含它。④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加一筆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 → 觀察清單與預警規則 › 目標配置徽章皆「持有」、移除回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。⑤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各頁與預警清單無「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」字樣。⑥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目前三條腿日期正好不同（</t>
    </r>
    <r>
      <rPr>
        <sz val="10"/>
        <rFont val="Arial"/>
        <family val="0"/>
        <charset val="1"/>
      </rPr>
      <t xml:space="preserve">USD/MYR 09-24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MYR/TWD 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USD/TWD 09-25</t>
    </r>
    <r>
      <rPr>
        <sz val="10"/>
        <rFont val="Noto Sans CJK SC"/>
        <family val="2"/>
      </rPr>
      <t xml:space="preserve">），首頁鮮度面板應顯示「日期不同…以共同日期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比較」且判一致（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重跑）。⑦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：設定頁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 </t>
    </r>
    <r>
      <rPr>
        <sz val="10"/>
        <rFont val="Arial"/>
        <family val="0"/>
        <charset val="1"/>
      </rPr>
      <t xml:space="preserve">type=password</t>
    </r>
    <r>
      <rPr>
        <sz val="10"/>
        <rFont val="Noto Sans CJK SC"/>
        <family val="2"/>
      </rPr>
      <t xml:space="preserve">，遮罩前後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字元。請注意三個行為變更：①排程全部失敗記「失敗」（含報價），歷史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棒遇休市或下市不算失敗；②「持有」擴及目標配置徽章、訊號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、報價排程的持倉門檻、</t>
    </r>
    <r>
      <rPr>
        <sz val="10"/>
        <rFont val="Arial"/>
        <family val="0"/>
        <charset val="1"/>
      </rPr>
      <t xml:space="preserve">Alpha Vantage </t>
    </r>
    <r>
      <rPr>
        <sz val="10"/>
        <rFont val="Noto Sans CJK SC"/>
        <family val="2"/>
      </rPr>
      <t xml:space="preserve">宇宙（只因未來日期賣出清倉、放空、只有未來日期買入皆算持有）；③畫面上的「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」產品名除外）。</t>
    </r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</si>
  <si>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</si>
  <si>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</si>
  <si>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r>
      <rPr>
        <sz val="10"/>
        <rFont val="Noto Sans CJK SC"/>
        <family val="2"/>
      </rPr>
      <t xml:space="preserve">開發者：只需修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（低）：①匯率三角提示在 </t>
    </r>
    <r>
      <rPr>
        <sz val="10"/>
        <rFont val="Arial"/>
        <family val="0"/>
        <charset val="1"/>
      </rPr>
      <t xml:space="preserve">ok === true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時改為中性樣式（一般文字色、無琥珀底），只有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background-color</t>
    </r>
    <r>
      <rPr>
        <sz val="10"/>
        <rFont val="Noto Sans CJK SC"/>
        <family val="2"/>
      </rPr>
      <t xml:space="preserve">（一致與無法比較不是琥珀、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是琥珀），並做變異（拿掉中性樣式 → 測試失敗）；③同類掃描：列出所有「容器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已有預設警示色、程式卻以 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判斷顏色」的提示並附數字。依 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在來回記錄新增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列、改待複驗、部署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後交回。提醒：輪次彙總目前只到第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需新增第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列，結案簽核「總輪次」公式範圍 </t>
    </r>
    <r>
      <rPr>
        <sz val="10"/>
        <rFont val="Arial"/>
        <family val="0"/>
        <charset val="1"/>
      </rPr>
      <t xml:space="preserve">B4:B9 </t>
    </r>
    <r>
      <rPr>
        <sz val="10"/>
        <rFont val="Noto Sans CJK SC"/>
        <family val="2"/>
      </rPr>
      <t xml:space="preserve">需一併延伸（驗證者下輪處理亦可）</t>
    </r>
  </si>
  <si>
    <r>
      <rPr>
        <sz val="10"/>
        <rFont val="Noto Sans CJK SC"/>
        <family val="2"/>
      </rPr>
      <t xml:space="preserve">本輪觀察（不開單，詳見規格 </t>
    </r>
    <r>
      <rPr>
        <sz val="10"/>
        <rFont val="Arial"/>
        <family val="0"/>
        <charset val="1"/>
      </rPr>
      <t xml:space="preserve">§2</t>
    </r>
    <r>
      <rPr>
        <sz val="10"/>
        <rFont val="Noto Sans CJK SC"/>
        <family val="2"/>
      </rPr>
      <t xml:space="preserve">）：①系統操作紀錄中修正前寫入的舊列仍顯示「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操作」（比照 ④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保留）；②</t>
    </r>
    <r>
      <rPr>
        <sz val="10"/>
        <rFont val="Arial"/>
        <family val="0"/>
        <charset val="1"/>
      </rPr>
      <t xml:space="preserve">finmind_chips_daily </t>
    </r>
    <r>
      <rPr>
        <sz val="10"/>
        <rFont val="Noto Sans CJK SC"/>
        <family val="2"/>
      </rPr>
      <t xml:space="preserve">未設金鑰時明細為英文例外原文（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白名單）；③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戰績「各洞察任務命中率」仍顯示「任務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觀察，未裁定）；④驗證者以隱藏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連載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頁時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一度 </t>
    </r>
    <r>
      <rPr>
        <sz val="10"/>
        <rFont val="Arial"/>
        <family val="0"/>
        <charset val="1"/>
      </rPr>
      <t xml:space="preserve">99 </t>
    </r>
    <r>
      <rPr>
        <sz val="10"/>
        <rFont val="Noto Sans CJK SC"/>
        <family val="2"/>
      </rPr>
      <t xml:space="preserve">秒，為驗證者自身負載。環境：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本輪寫入 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J-03</t>
    </r>
    <r>
      <rPr>
        <sz val="10"/>
        <rFont val="Noto Sans CJK SC"/>
        <family val="2"/>
      </rPr>
      <t xml:space="preserve">）皆已刪除，低額度門檻 </t>
    </r>
    <r>
      <rPr>
        <sz val="10"/>
        <rFont val="Arial"/>
        <family val="0"/>
        <charset val="1"/>
      </rPr>
      <t xml:space="preserve">1.00→4.00→1.00 </t>
    </r>
    <r>
      <rPr>
        <sz val="10"/>
        <rFont val="Noto Sans CJK SC"/>
        <family val="2"/>
      </rPr>
      <t xml:space="preserve">已還原；本機專用環境（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、時鐘推進）已全部停止，未連任何外部服務、未在任何祕密欄位輸入</t>
    </r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</si>
  <si>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</si>
  <si>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</si>
  <si>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驗證者：先確認頁首＝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；重跑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組；依「來回記錄」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列（第 </t>
    </r>
    <r>
      <rPr>
        <sz val="10"/>
        <rFont val="Arial"/>
        <family val="0"/>
        <charset val="1"/>
      </rPr>
      <t xml:space="preserve">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列）複驗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張。①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首頁 資料新鮮度 面板——匯率三角提示（目前 </t>
    </r>
    <r>
      <rPr>
        <sz val="10"/>
        <rFont val="Arial"/>
        <family val="0"/>
        <charset val="1"/>
      </rPr>
      <t xml:space="preserve">ok:true</t>
    </r>
    <r>
      <rPr>
        <sz val="10"/>
        <rFont val="Noto Sans CJK SC"/>
        <family val="2"/>
      </rPr>
      <t xml:space="preserve">、日期不同、以共同日期 </t>
    </r>
    <r>
      <rPr>
        <sz val="10"/>
        <rFont val="Arial"/>
        <family val="0"/>
        <charset val="1"/>
      </rPr>
      <t xml:space="preserve">2026-09-22 </t>
    </r>
    <r>
      <rPr>
        <sz val="10"/>
        <rFont val="Noto Sans CJK SC"/>
        <family val="2"/>
      </rPr>
      <t xml:space="preserve">比較）的計算樣式應為一般文字色與面板底色，不是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；同區「排程器未啟動」仍是琥珀；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旁「推導」標籤為中性灰。</t>
    </r>
    <r>
      <rPr>
        <sz val="10"/>
        <rFont val="Arial"/>
        <family val="0"/>
        <charset val="1"/>
      </rPr>
      <t xml:space="preserve">ok:false </t>
    </r>
    <r>
      <rPr>
        <sz val="10"/>
        <rFont val="Noto Sans CJK SC"/>
        <family val="2"/>
      </rPr>
      <t xml:space="preserve">與「無共同日期」請在本機環境製造比對顏色（本機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帳本三腿同日 </t>
    </r>
    <r>
      <rPr>
        <sz val="10"/>
        <rFont val="Arial"/>
        <family val="0"/>
        <charset val="1"/>
      </rPr>
      <t xml:space="preserve">06-09 </t>
    </r>
    <r>
      <rPr>
        <sz val="10"/>
        <rFont val="Noto Sans CJK SC"/>
        <family val="2"/>
      </rPr>
      <t xml:space="preserve">即為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：推得 </t>
    </r>
    <r>
      <rPr>
        <sz val="10"/>
        <rFont val="Arial"/>
        <family val="0"/>
        <charset val="1"/>
      </rPr>
      <t xml:space="preserve">30.800000 vs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33.000000</t>
    </r>
    <r>
      <rPr>
        <sz val="10"/>
        <rFont val="Noto Sans CJK SC"/>
        <family val="2"/>
      </rPr>
      <t xml:space="preserve">）。另可在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先讓剩餘額度低於門檻（徽章「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：額度偏低」琥珀），再清空四個角色預設存檔，徽章應變「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：已關閉」灰色、不殘留琥珀（會寫入設定，請在本機做或事後還原）。②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的「各洞察任務命中率」與「預測明細」第一欄顯示任務名稱（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：個股健檢、持倉建議與提點、持倉提點），滑鼠停留顯示「任務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」。輪次彙總已新增第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，公式範圍已延伸到缺陷登記第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列），日期、版本與各判定數請於複驗後填寫。</t>
    </r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</si>
  <si>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</si>
  <si>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r>
      <rPr>
        <sz val="10"/>
        <rFont val="Noto Sans CJK SC"/>
        <family val="2"/>
      </rPr>
      <t xml:space="preserve">驗證者 → 開發者、</t>
    </r>
    <r>
      <rPr>
        <sz val="10"/>
        <rFont val="Arial"/>
        <family val="0"/>
        <charset val="1"/>
      </rPr>
      <t xml:space="preserve">Owner</t>
    </r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</si>
  <si>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</si>
  <si>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r>
      <rPr>
        <sz val="10"/>
        <rFont val="Noto Sans CJK SC"/>
        <family val="2"/>
      </rPr>
      <t xml:space="preserve">修復方與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：請在「結案簽核」第 </t>
    </r>
    <r>
      <rPr>
        <sz val="10"/>
        <rFont val="Arial"/>
        <family val="0"/>
        <charset val="1"/>
      </rPr>
      <t xml:space="preserve">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列簽署。簽署後若再改動程式，依簽核頁規定重跑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組並在輪次彙總新增一列</t>
    </r>
  </si>
  <si>
    <r>
      <rPr>
        <sz val="10"/>
        <rFont val="Noto Sans CJK SC"/>
        <family val="2"/>
      </rPr>
      <t xml:space="preserve">本輪觀察（不開單、不影響結案）：①已封存任務的評分依 </t>
    </r>
    <r>
      <rPr>
        <sz val="10"/>
        <rFont val="Arial"/>
        <family val="0"/>
        <charset val="1"/>
      </rPr>
      <t xml:space="preserve">spec 4.1 </t>
    </r>
    <r>
      <rPr>
        <sz val="10"/>
        <rFont val="Noto Sans CJK SC"/>
        <family val="2"/>
      </rPr>
      <t xml:space="preserve">不在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戰績出現，所以 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的「名稱（已刪除）」標籤在頁面上走不到（契約測試有覆蓋）；②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未設金鑰時明細為英文例外原文，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白名單）維持。環境：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本輪只寫入 </t>
    </r>
    <r>
      <rPr>
        <sz val="10"/>
        <rFont val="Arial"/>
        <family val="0"/>
        <charset val="1"/>
      </rPr>
      <t xml:space="preserve">J-03 #120 </t>
    </r>
    <r>
      <rPr>
        <sz val="10"/>
        <rFont val="Noto Sans CJK SC"/>
        <family val="2"/>
      </rPr>
      <t xml:space="preserve">並已刪除；本機專用環境（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副本、假資料、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對照伺服器）已全部停止，未連任何外部服務、未在任何祕密欄位輸入</t>
    </r>
  </si>
  <si>
    <r>
      <rPr>
        <sz val="10"/>
        <rFont val="Noto Sans CJK SC"/>
        <family val="2"/>
      </rPr>
      <t xml:space="preserve">驗證者 →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、開發者</t>
    </r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</si>
  <si>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</si>
  <si>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</si>
  <si>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r>
      <rPr>
        <sz val="10"/>
        <rFont val="Noto Sans CJK SC"/>
        <family val="2"/>
      </rPr>
      <t xml:space="preserve">本輪觀察（不開單、不影響判定）：①</t>
    </r>
    <r>
      <rPr>
        <sz val="10"/>
        <rFont val="Arial"/>
        <family val="0"/>
        <charset val="1"/>
      </rPr>
      <t xml:space="preserve">D-03 </t>
    </r>
    <r>
      <rPr>
        <sz val="10"/>
        <rFont val="Noto Sans CJK SC"/>
        <family val="2"/>
      </rPr>
      <t xml:space="preserve">以早於最新收盤抓取時間的日期登錄「虛構」分割時，系統依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把抓到的收盤視為供應商已調整（真實分割無此問題），故改以晚於抓取時間的日期驗證；②</t>
    </r>
    <r>
      <rPr>
        <sz val="10"/>
        <rFont val="Arial"/>
        <family val="0"/>
        <charset val="1"/>
      </rPr>
      <t xml:space="preserve">D-02b </t>
    </r>
    <r>
      <rPr>
        <sz val="10"/>
        <rFont val="Noto Sans CJK SC"/>
        <family val="2"/>
      </rPr>
      <t xml:space="preserve">美股產生小數股仍跳「券商通常折現」提示、整組刪除訊息以原始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」稱呼帳戶（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已記，未變）；③</t>
    </r>
    <r>
      <rPr>
        <sz val="10"/>
        <rFont val="Arial"/>
        <family val="0"/>
        <charset val="1"/>
      </rPr>
      <t xml:space="preserve">B-06 </t>
    </r>
    <r>
      <rPr>
        <sz val="10"/>
        <rFont val="Noto Sans CJK SC"/>
        <family val="2"/>
      </rPr>
      <t xml:space="preserve">美股小數股成交金額未量化到 </t>
    </r>
    <r>
      <rPr>
        <sz val="10"/>
        <rFont val="Arial"/>
        <family val="0"/>
        <charset val="1"/>
      </rPr>
      <t xml:space="preserve">cent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池出現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位小數（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已記，未變）；④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中文名稱的報價查詢約 </t>
    </r>
    <r>
      <rPr>
        <sz val="10"/>
        <rFont val="Arial"/>
        <family val="0"/>
        <charset val="1"/>
      </rPr>
      <t xml:space="preserve">25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秒才回「查無報價」再進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辨識；⑤</t>
    </r>
    <r>
      <rPr>
        <sz val="10"/>
        <rFont val="Arial"/>
        <family val="0"/>
        <charset val="1"/>
      </rPr>
      <t xml:space="preserve">E-03 </t>
    </r>
    <r>
      <rPr>
        <sz val="10"/>
        <rFont val="Noto Sans CJK SC"/>
        <family val="2"/>
      </rPr>
      <t xml:space="preserve">推導匯率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需兩條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腿同日才更新，本輪停在 </t>
    </r>
    <r>
      <rPr>
        <sz val="10"/>
        <rFont val="Arial"/>
        <family val="0"/>
        <charset val="1"/>
      </rPr>
      <t xml:space="preserve">09-22 </t>
    </r>
    <r>
      <rPr>
        <sz val="10"/>
        <rFont val="Noto Sans CJK SC"/>
        <family val="2"/>
      </rPr>
      <t xml:space="preserve">並標過期。環境：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本輪寫入皆已刪除或復原，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測試任務 </t>
    </r>
    <r>
      <rPr>
        <sz val="10"/>
        <rFont val="Arial"/>
        <family val="0"/>
        <charset val="1"/>
      </rPr>
      <t xml:space="preserve">#13 </t>
    </r>
    <r>
      <rPr>
        <sz val="10"/>
        <rFont val="Noto Sans CJK SC"/>
        <family val="2"/>
      </rPr>
      <t xml:space="preserve">軟刪除、卡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隨之隱藏，</t>
    </r>
    <r>
      <rPr>
        <sz val="10"/>
        <rFont val="Arial"/>
        <family val="0"/>
        <charset val="1"/>
      </rPr>
      <t xml:space="preserve">evaluate_insights #207 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張；本機環境（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副本、假報價、假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、時鐘推進）已全部停止，未連外部服務、未在祕密欄位輸入</t>
    </r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</si>
  <si>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</si>
  <si>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</si>
  <si>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驗證者：先確認頁首＝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；依「來回記錄」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列（第 </t>
    </r>
    <r>
      <rPr>
        <sz val="10"/>
        <rFont val="Arial"/>
        <family val="0"/>
        <charset val="1"/>
      </rPr>
      <t xml:space="preserve">177 </t>
    </r>
    <r>
      <rPr>
        <sz val="10"/>
        <rFont val="Noto Sans CJK SC"/>
        <family val="2"/>
      </rPr>
      <t xml:space="preserve">列）複驗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、複驗 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，再重跑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組；通過後在「結案簽核」重新簽檢驗方（第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列），接著交開發者簽「修復方」（第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列），最後由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簽署（第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驗法：①</t>
    </r>
    <r>
      <rPr>
        <sz val="10"/>
        <rFont val="Arial"/>
        <family val="0"/>
        <charset val="1"/>
      </rPr>
      <t xml:space="preserve">demo AI </t>
    </r>
    <r>
      <rPr>
        <sz val="10"/>
        <rFont val="Noto Sans CJK SC"/>
        <family val="2"/>
      </rPr>
      <t xml:space="preserve">洞察頁：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科技股佔比近九成」不再有「未知代碼」標記，</t>
    </r>
    <r>
      <rPr>
        <sz val="10"/>
        <rFont val="Arial"/>
        <family val="0"/>
        <charset val="1"/>
      </rPr>
      <t xml:space="preserve">GET /api/insights #209 figure_flags.unknown_symbols = []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」（真陽性不得消失）；③其他名稱形式（不分大小寫、多字名稱的單字）與真的未知代號，請在本機以既有卡片或直接呼叫 </t>
    </r>
    <r>
      <rPr>
        <sz val="10"/>
        <rFont val="Arial"/>
        <family val="0"/>
        <charset val="1"/>
      </rPr>
      <t xml:space="preserve">figure_check.check_figures </t>
    </r>
    <r>
      <rPr>
        <sz val="10"/>
        <rFont val="Noto Sans CJK SC"/>
        <family val="2"/>
      </rPr>
      <t xml:space="preserve">驗證（例：「</t>
    </r>
    <r>
      <rPr>
        <sz val="10"/>
        <rFont val="Arial"/>
        <family val="0"/>
        <charset val="1"/>
      </rPr>
      <t xml:space="preserve">(TESLA)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5225 (IHH)</t>
    </r>
    <r>
      <rPr>
        <sz val="10"/>
        <rFont val="Noto Sans CJK SC"/>
        <family val="2"/>
      </rPr>
      <t xml:space="preserve">」不標；「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(6883)</t>
    </r>
    <r>
      <rPr>
        <sz val="10"/>
        <rFont val="Noto Sans CJK SC"/>
        <family val="2"/>
      </rPr>
      <t xml:space="preserve">」照標）。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這一張卡是這種寫法，請勿為了驗證產生新卡（會花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額度）。輪次彙總已新增第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公式；說明文字移到第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列），日期、版本與各判定數請於複驗後填寫；結案簽核「總輪次」公式目前範圍 </t>
    </r>
    <r>
      <rPr>
        <sz val="10"/>
        <rFont val="Arial"/>
        <family val="0"/>
        <charset val="1"/>
      </rPr>
      <t xml:space="preserve">B4:B11</t>
    </r>
    <r>
      <rPr>
        <sz val="10"/>
        <rFont val="Noto Sans CJK SC"/>
        <family val="2"/>
      </rPr>
      <t xml:space="preserve">，請於簽署時延伸到 </t>
    </r>
    <r>
      <rPr>
        <sz val="10"/>
        <rFont val="Arial"/>
        <family val="0"/>
        <charset val="1"/>
      </rPr>
      <t xml:space="preserve">B12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</si>
  <si>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</si>
  <si>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</si>
  <si>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r>
      <rPr>
        <sz val="10"/>
        <rFont val="Noto Sans CJK SC"/>
        <family val="2"/>
      </rPr>
      <t xml:space="preserve">開發者：請在「結案簽核」第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列（修復方）簽署；之後交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列簽署並填結案日期（第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列）。簽署後若再改動程式，依簽核頁規定重跑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組並在輪次彙總新增一列</t>
    </r>
  </si>
  <si>
    <r>
      <rPr>
        <sz val="10"/>
        <rFont val="Noto Sans CJK SC"/>
        <family val="2"/>
      </rPr>
      <t xml:space="preserve">本輪觀察（不開單、不影響結案）：①驗證者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組變異未被測試攔下——已封存標的的名稱、兩字母單字（</t>
    </r>
    <r>
      <rPr>
        <sz val="10"/>
        <rFont val="Arial"/>
        <family val="0"/>
        <charset val="1"/>
      </rPr>
      <t xml:space="preserve">LG</t>
    </r>
    <r>
      <rPr>
        <sz val="10"/>
        <rFont val="Noto Sans CJK SC"/>
        <family val="2"/>
      </rPr>
      <t xml:space="preserve">）、字母＋數字單字（</t>
    </r>
    <r>
      <rPr>
        <sz val="10"/>
        <rFont val="Arial"/>
        <family val="0"/>
        <charset val="1"/>
      </rPr>
      <t xml:space="preserve">ALPHA2</t>
    </r>
    <r>
      <rPr>
        <sz val="10"/>
        <rFont val="Noto Sans CJK SC"/>
        <family val="2"/>
      </rPr>
      <t xml:space="preserve">）、只比完全相同（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不可放行）；現行行為皆已經真實路由黑箱驗證正確，建議日後補測試釘住；②登錄表沒有的英文別名仍會被標（例「</t>
    </r>
    <r>
      <rPr>
        <sz val="10"/>
        <rFont val="Arial"/>
        <family val="0"/>
        <charset val="1"/>
      </rPr>
      <t xml:space="preserve">(TSMC)</t>
    </r>
    <r>
      <rPr>
        <sz val="10"/>
        <rFont val="Noto Sans CJK SC"/>
        <family val="2"/>
      </rPr>
      <t xml:space="preserve">」而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登錄為「台積電」），屬裁定範圍外，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目前沒有這種卡；③代號檢核不比對代號與名稱是否相符：</t>
    </r>
    <r>
      <rPr>
        <sz val="10"/>
        <rFont val="Arial"/>
        <family val="0"/>
        <charset val="1"/>
      </rPr>
      <t xml:space="preserve">#220 </t>
    </r>
    <r>
      <rPr>
        <sz val="10"/>
        <rFont val="Noto Sans CJK SC"/>
        <family val="2"/>
      </rPr>
      <t xml:space="preserve">寫「聯詠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#39 </t>
    </r>
    <r>
      <rPr>
        <sz val="10"/>
        <rFont val="Noto Sans CJK SC"/>
        <family val="2"/>
      </rPr>
      <t xml:space="preserve">寫「聯詠（</t>
    </r>
    <r>
      <rPr>
        <sz val="10"/>
        <rFont val="Arial"/>
        <family val="0"/>
        <charset val="1"/>
      </rPr>
      <t xml:space="preserve">2412</t>
    </r>
    <r>
      <rPr>
        <sz val="10"/>
        <rFont val="Noto Sans CJK SC"/>
        <family val="2"/>
      </rPr>
      <t xml:space="preserve">）」皆未被標（超出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範圍，供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本輪只寫入 </t>
    </r>
    <r>
      <rPr>
        <sz val="10"/>
        <rFont val="Arial"/>
        <family val="0"/>
        <charset val="1"/>
      </rPr>
      <t xml:space="preserve">J-03 #134 </t>
    </r>
    <r>
      <rPr>
        <sz val="10"/>
        <rFont val="Noto Sans CJK SC"/>
        <family val="2"/>
      </rPr>
      <t xml:space="preserve">並已刪除；本機專用環境（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）已停止，未連任何外部服務、未在任何祕密欄位輸入、未產生新卡</t>
    </r>
  </si>
  <si>
    <r>
      <rPr>
        <sz val="10"/>
        <rFont val="Noto Sans CJK SC"/>
        <family val="2"/>
      </rPr>
      <t xml:space="preserve">開發者 → </t>
    </r>
    <r>
      <rPr>
        <sz val="10"/>
        <rFont val="Arial"/>
        <family val="0"/>
        <charset val="1"/>
      </rPr>
      <t xml:space="preserve">Owner</t>
    </r>
  </si>
  <si>
    <r>
      <rPr>
        <sz val="10"/>
        <rFont val="Noto Sans CJK SC"/>
        <family val="2"/>
      </rPr>
      <t xml:space="preserve">修復方已於「結案簽核」第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列簽署。簽署前自行由工作簿重算五項條件：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張缺陷結案 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／非缺陷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（待複驗、複驗未過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）、輪次彙總累計未結案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、還原檢查 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全部相符；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已無未裁定。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之後只有文件提交（驗證者回傳與本次簽署），程式未改動，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</si>
  <si>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</si>
  <si>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r>
      <rPr>
        <sz val="10"/>
        <rFont val="Noto Sans CJK SC"/>
        <family val="2"/>
      </rPr>
      <t xml:space="preserve">驗證者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觀察（交接紀錄第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列）的處理，皆不影響結案：①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組未被測試攔下的邊界變異——現行行為正確；若要補測試，只加測試不改程式，依簽核頁規定重跑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組並在輪次彙總新增一列，是否補由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決定；②登錄表沒有的英文別名照標（例「</t>
    </r>
    <r>
      <rPr>
        <sz val="10"/>
        <rFont val="Arial"/>
        <family val="0"/>
        <charset val="1"/>
      </rPr>
      <t xml:space="preserve">(TSMC)</t>
    </r>
    <r>
      <rPr>
        <sz val="10"/>
        <rFont val="Noto Sans CJK SC"/>
        <family val="2"/>
      </rPr>
      <t xml:space="preserve">」而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登錄為「台積電」）——符合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裁定的範圍；③代號與名稱不相符未被標（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#39</t>
    </r>
    <r>
      <rPr>
        <sz val="10"/>
        <rFont val="Noto Sans CJK SC"/>
        <family val="2"/>
      </rPr>
      <t xml:space="preserve">「聯詠（</t>
    </r>
    <r>
      <rPr>
        <sz val="10"/>
        <rFont val="Arial"/>
        <family val="0"/>
        <charset val="1"/>
      </rPr>
      <t xml:space="preserve">2412</t>
    </r>
    <r>
      <rPr>
        <sz val="10"/>
        <rFont val="Noto Sans CJK SC"/>
        <family val="2"/>
      </rPr>
      <t xml:space="preserve">）」）——現行檢核只判斷代號是否存在、不判斷代號與名稱是否對得上，屬新功能範圍，未排期，待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決定。</t>
    </r>
  </si>
  <si>
    <r>
      <rPr>
        <sz val="10"/>
        <rFont val="Noto Sans CJK SC"/>
        <family val="2"/>
      </rPr>
      <t xml:space="preserve">驗證者 → </t>
    </r>
    <r>
      <rPr>
        <sz val="10"/>
        <rFont val="Arial"/>
        <family val="0"/>
        <charset val="1"/>
      </rPr>
      <t xml:space="preserve">Owner</t>
    </r>
  </si>
  <si>
    <r>
      <rPr>
        <sz val="10"/>
        <rFont val="Noto Sans CJK SC"/>
        <family val="2"/>
      </rPr>
      <t xml:space="preserve">結案：</t>
    </r>
    <r>
      <rPr>
        <sz val="10"/>
        <rFont val="Arial"/>
        <family val="0"/>
        <charset val="1"/>
      </rPr>
      <t xml:space="preserve">Owner HFL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2026-09-28 </t>
    </r>
    <r>
      <rPr>
        <sz val="10"/>
        <rFont val="Noto Sans CJK SC"/>
        <family val="2"/>
      </rPr>
      <t xml:space="preserve">在對話中指示簽署，由驗證者代填「結案簽核」第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列結案日期，並更新第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列結論。代填前核對整份工作簿：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張缺陷結案 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／非缺陷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、來回記錄 </t>
    </r>
    <r>
      <rPr>
        <sz val="10"/>
        <rFont val="Arial"/>
        <family val="0"/>
        <charset val="1"/>
      </rPr>
      <t xml:space="preserve">177 </t>
    </r>
    <r>
      <rPr>
        <sz val="10"/>
        <rFont val="Noto Sans CJK SC"/>
        <family val="2"/>
      </rPr>
      <t xml:space="preserve">列無待填、輪次彙總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累計未結案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、還原檢查 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全部相符、</t>
    </r>
    <r>
      <rPr>
        <sz val="10"/>
        <rFont val="Arial"/>
        <family val="0"/>
        <charset val="1"/>
      </rPr>
      <t xml:space="preserve">37 </t>
    </r>
    <r>
      <rPr>
        <sz val="10"/>
        <rFont val="Noto Sans CJK SC"/>
        <family val="2"/>
      </rPr>
      <t xml:space="preserve">個公式重算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錯誤；修復方簽署只改了第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列與交接紀錄第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列；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之後只有文件提交、</t>
    </r>
    <r>
      <rPr>
        <sz val="10"/>
        <rFont val="Arial"/>
        <family val="0"/>
        <charset val="1"/>
      </rPr>
      <t xml:space="preserve">main </t>
    </r>
    <r>
      <rPr>
        <sz val="10"/>
        <rFont val="Noto Sans CJK SC"/>
        <family val="2"/>
      </rPr>
      <t xml:space="preserve">未動；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頁首仍為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，資料與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起點相同（僅跨日造成的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天數與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日走勢窗格移動）</t>
    </r>
  </si>
  <si>
    <t xml:space="preserve">無待辦。三方簽署完成，本輪功能測試結案</t>
  </si>
  <si>
    <r>
      <rPr>
        <sz val="10"/>
        <rFont val="Noto Sans CJK SC"/>
        <family val="2"/>
      </rPr>
      <t xml:space="preserve">未排期、由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日後決定（不影響結案）：①補測試釘住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組邊界（已封存標的名稱、兩字母單字、字母＋數字單字、只比完全相同）——只加測試時仍需重跑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組並在輪次彙總新增一列；②代號與名稱是否相符的檢核（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「聯詠 </t>
    </r>
    <r>
      <rPr>
        <sz val="10"/>
        <rFont val="Arial"/>
        <family val="0"/>
        <charset val="1"/>
      </rPr>
      <t xml:space="preserve">(3008)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#39</t>
    </r>
    <r>
      <rPr>
        <sz val="10"/>
        <rFont val="Noto Sans CJK SC"/>
        <family val="2"/>
      </rPr>
      <t xml:space="preserve">「聯詠（</t>
    </r>
    <r>
      <rPr>
        <sz val="10"/>
        <rFont val="Arial"/>
        <family val="0"/>
        <charset val="1"/>
      </rPr>
      <t xml:space="preserve">2412</t>
    </r>
    <r>
      <rPr>
        <sz val="10"/>
        <rFont val="Noto Sans CJK SC"/>
        <family val="2"/>
      </rPr>
      <t xml:space="preserve">）」）屬新功能。另：交接紀錄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欄選單補上「開發者 →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」與兩種多方傳遞寫法，使第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列的既有值成為有效選項</t>
    </r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</si>
  <si>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</si>
  <si>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</si>
  <si>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r>
      <rPr>
        <sz val="10"/>
        <rFont val="Noto Sans CJK SC"/>
        <family val="2"/>
      </rPr>
      <t xml:space="preserve">本輪觀察（不開單、不影響判定）：①驗證者 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首跑誤以清單格式寫標的宇宙，伺服器依規則改跟隨持倉產出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張卡、多花 </t>
    </r>
    <r>
      <rPr>
        <sz val="10"/>
        <rFont val="Arial"/>
        <family val="0"/>
        <charset val="1"/>
      </rPr>
      <t xml:space="preserve">$0.0174</t>
    </r>
    <r>
      <rPr>
        <sz val="10"/>
        <rFont val="Noto Sans CJK SC"/>
        <family val="2"/>
      </rPr>
      <t xml:space="preserve">（已計入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接受清單但靜默視為跟隨持倉，精靈不會產生這種格式）；②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D-04 </t>
    </r>
    <r>
      <rPr>
        <sz val="10"/>
        <rFont val="Noto Sans CJK SC"/>
        <family val="2"/>
      </rPr>
      <t xml:space="preserve">在行動日當天已抓過收盤時，依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視為供應商已調整（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觀察 ① 同一規則）；③</t>
    </r>
    <r>
      <rPr>
        <sz val="10"/>
        <rFont val="Arial"/>
        <family val="0"/>
        <charset val="1"/>
      </rPr>
      <t xml:space="preserve">evaluate_insights #212 </t>
    </r>
    <r>
      <rPr>
        <sz val="10"/>
        <rFont val="Noto Sans CJK SC"/>
        <family val="2"/>
      </rPr>
      <t xml:space="preserve">以大師模型評分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張花費 </t>
    </r>
    <r>
      <rPr>
        <sz val="10"/>
        <rFont val="Arial"/>
        <family val="0"/>
        <charset val="1"/>
      </rPr>
      <t xml:space="preserve">$0.0021532</t>
    </r>
    <r>
      <rPr>
        <sz val="10"/>
        <rFont val="Noto Sans CJK SC"/>
        <family val="2"/>
      </rPr>
      <t xml:space="preserve">，但該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cost_usd </t>
    </r>
    <r>
      <rPr>
        <sz val="10"/>
        <rFont val="Noto Sans CJK SC"/>
        <family val="2"/>
      </rPr>
      <t xml:space="preserve">為空；④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截斷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的重試在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0 tokens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（供應商未回報用量）；⑤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畫面「— 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」「— 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」為模型原文（來源資料）。環境：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本輪寫入皆已刪除或復原，測試任務已刪除；本機環境（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副本、假報價、假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、時鐘推進）已全部停止，未連外部服務、未在祕密欄位輸入。檢查程式首跑誤判的逐題原因見輪次彙總第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欄</t>
    </r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</si>
  <si>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</si>
  <si>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開發者：依 </t>
    </r>
    <r>
      <rPr>
        <sz val="10"/>
        <rFont val="Arial"/>
        <family val="0"/>
        <charset val="1"/>
      </rPr>
      <t xml:space="preserve">md §4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DEF-085——</t>
    </r>
    <r>
      <rPr>
        <sz val="10"/>
        <rFont val="Noto Sans CJK SC"/>
        <family val="2"/>
      </rPr>
      <t xml:space="preserve">根因寫到檔案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欄；驗證者的讀碼定位在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欄，請自行重新確認）、同類掃描附數字、變異測試（放回舊寫法會失敗）、閘門全綠後部署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，頁首版本更新；缺陷登記改「待複驗」，來回記錄新增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列（第 </t>
    </r>
    <r>
      <rPr>
        <sz val="10"/>
        <rFont val="Arial"/>
        <family val="0"/>
        <charset val="1"/>
      </rPr>
      <t xml:space="preserve">181 </t>
    </r>
    <r>
      <rPr>
        <sz val="10"/>
        <rFont val="Noto Sans CJK SC"/>
        <family val="2"/>
      </rPr>
      <t xml:space="preserve">列起，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由開發者建立並填 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L</t>
    </r>
    <r>
      <rPr>
        <sz val="10"/>
        <rFont val="Noto Sans CJK SC"/>
        <family val="2"/>
      </rPr>
      <t xml:space="preserve">），交接紀錄寫一列交回。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要修類別：所有送出 </t>
    </r>
    <r>
      <rPr>
        <sz val="10"/>
        <rFont val="Arial"/>
        <family val="0"/>
        <charset val="1"/>
      </rPr>
      <t xml:space="preserve">json_schema </t>
    </r>
    <r>
      <rPr>
        <sz val="10"/>
        <rFont val="Noto Sans CJK SC"/>
        <family val="2"/>
      </rPr>
      <t xml:space="preserve">的結構化呼叫（洞察卡、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輸入、新聞整理、大師評分、代號辨識…）在 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路由都不得含供應商不支援的關鍵字（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lookaround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</t>
    </r>
    <r>
      <rPr>
        <sz val="10"/>
        <rFont val="Noto Sans CJK SC"/>
        <family val="2"/>
      </rPr>
      <t xml:space="preserve">等），不只 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。驗證者：收到後以整份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重跑作為 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張缺陷的原始重現步驟與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組），全數通過才重新簽署</t>
    </r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</si>
  <si>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</si>
  <si>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</si>
  <si>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</si>
  <si>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r>
      <rPr>
        <sz val="10"/>
        <rFont val="Noto Sans CJK SC"/>
        <family val="2"/>
      </rPr>
      <t xml:space="preserve">驗證者：先確認頁首＝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；依「來回記錄」第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列複驗三張，再以整份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重跑作為 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（含三張的原始重現步驟與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驗法：①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 → 模型欄為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、沒有琥珀提示條、失敗記錄沒有新增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；②重放 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；③本機擷取實際送出的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逐一檢查：不含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／數值或長度限制／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都有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（可直接用 </t>
    </r>
    <r>
      <rPr>
        <sz val="10"/>
        <rFont val="Arial"/>
        <family val="0"/>
        <charset val="1"/>
      </rPr>
      <t xml:space="preserve">shared.llm_schema.schema_violations</t>
    </r>
    <r>
      <rPr>
        <sz val="10"/>
        <rFont val="Noto Sans CJK SC"/>
        <family val="2"/>
      </rPr>
      <t xml:space="preserve">，應為空）。注意：提示詞文字仍刻意附完整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（含「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），那是給模型讀的文字，不是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；④提示條要在指定模型真的失敗時才出現，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的模型目前都能回答——請在本機以假端點讓指定模型回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觀察（原句見第 </t>
    </r>
    <r>
      <rPr>
        <sz val="10"/>
        <rFont val="Arial"/>
        <family val="0"/>
        <charset val="1"/>
      </rPr>
      <t xml:space="preserve">181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F-08 </t>
    </r>
    <r>
      <rPr>
        <sz val="10"/>
        <rFont val="Noto Sans CJK SC"/>
        <family val="2"/>
      </rPr>
      <t xml:space="preserve">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，新的 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記錄應有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：本機讓剩餘額度為負，乾跑預檢與「為什麼沒跑？」的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列應有「前往額度設定」，點下去到設定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與額度；金額與管線節點同為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位小數。輪次彙總已新增第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公式；說明文字移到第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列），日期、版本與各判定數請於重跑後填寫；結案簽核「總輪次」公式目前範圍 </t>
    </r>
    <r>
      <rPr>
        <sz val="10"/>
        <rFont val="Arial"/>
        <family val="0"/>
        <charset val="1"/>
      </rPr>
      <t xml:space="preserve">B4:B13</t>
    </r>
    <r>
      <rPr>
        <sz val="10"/>
        <rFont val="Noto Sans CJK SC"/>
        <family val="2"/>
      </rPr>
      <t xml:space="preserve">，請於簽署時延伸到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</si>
  <si>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</si>
  <si>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t xml:space="preserve">2026-09-30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</si>
  <si>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</si>
  <si>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r>
      <rPr>
        <sz val="10"/>
        <rFont val="Noto Sans CJK SC"/>
        <family val="2"/>
      </rPr>
      <t xml:space="preserve">開發者：依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重新簽署結案簽核第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列（現為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時依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的簽署），並把本 </t>
    </r>
    <r>
      <rPr>
        <sz val="10"/>
        <rFont val="Arial"/>
        <family val="0"/>
        <charset val="1"/>
      </rPr>
      <t xml:space="preserve">xlsx </t>
    </r>
    <r>
      <rPr>
        <sz val="10"/>
        <rFont val="Noto Sans CJK SC"/>
        <family val="2"/>
      </rPr>
      <t xml:space="preserve">提交到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：重新簽署第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列、填第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列結案日期即結案。可選（不影響結案）：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空）屬資料殘留，要不要清除由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決定</t>
    </r>
  </si>
  <si>
    <r>
      <rPr>
        <sz val="10"/>
        <rFont val="Noto Sans CJK SC"/>
        <family val="2"/>
      </rPr>
      <t xml:space="preserve">本輪觀察（不開單、不影響判定）：①</t>
    </r>
    <r>
      <rPr>
        <sz val="10"/>
        <rFont val="Arial"/>
        <family val="0"/>
        <charset val="1"/>
      </rPr>
      <t xml:space="preserve">strategy/alerts.py:154-156 `_usd`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額度偏低」預警明細）仍自行 </t>
    </r>
    <r>
      <rPr>
        <sz val="10"/>
        <rFont val="Arial"/>
        <family val="0"/>
        <charset val="1"/>
      </rPr>
      <t xml:space="preserve">quantize</t>
    </r>
    <r>
      <rPr>
        <sz val="10"/>
        <rFont val="Noto Sans CJK SC"/>
        <family val="2"/>
      </rPr>
      <t xml:space="preserve">，未走 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usd_display——</t>
    </r>
    <r>
      <rPr>
        <sz val="10"/>
        <rFont val="Noto Sans CJK SC"/>
        <family val="2"/>
      </rPr>
      <t xml:space="preserve">同類顯示一致性，建議日後統一；②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截斷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次，全部由重試或備援救回、未掉卡；截斷重試在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0 tokens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觀察④）；</t>
    </r>
    <r>
      <rPr>
        <sz val="10"/>
        <rFont val="Arial"/>
        <family val="0"/>
        <charset val="1"/>
      </rPr>
      <t xml:space="preserve">evaluate_insights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job_runs cost_usd </t>
    </r>
    <r>
      <rPr>
        <sz val="10"/>
        <rFont val="Noto Sans CJK SC"/>
        <family val="2"/>
      </rPr>
      <t xml:space="preserve">仍為空（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觀察③）；③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輸入的模型選單是瀏覽器偏好，驗證者複驗選的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延續到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（皆通過），測後已改回「自動」；④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要等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卡派發完才結束（本輪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留存資料依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裁定見還原檢查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；本機環境（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副本、假報價、假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、時鐘推進）已全部停止，未連外部服務、未在祕密欄位輸入</t>
    </r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</si>
  <si>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</si>
  <si>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</si>
  <si>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</si>
  <si>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</si>
  <si>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</si>
  <si>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</si>
  <si>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</si>
  <si>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r>
      <rPr>
        <sz val="11"/>
        <color theme="1"/>
        <rFont val="Noto Sans CJK SC"/>
        <family val="2"/>
      </rPr>
      <t xml:space="preserve">否（首輪，無前一輪可比）；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本輪皆已跑，</t>
    </r>
    <r>
      <rPr>
        <sz val="11"/>
        <color theme="1"/>
        <rFont val="Calibri"/>
        <family val="2"/>
        <charset val="1"/>
      </rPr>
      <t xml:space="preserve">J-05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處溢位（</t>
    </r>
    <r>
      <rPr>
        <sz val="11"/>
        <color theme="1"/>
        <rFont val="Calibri"/>
        <family val="2"/>
        <charset val="1"/>
      </rPr>
      <t xml:space="preserve">DEF-002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</si>
  <si>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首輪初驗：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題全數執行，</t>
    </r>
    <r>
      <rPr>
        <sz val="11"/>
        <color theme="1"/>
        <rFont val="Calibri"/>
        <family val="2"/>
        <charset val="1"/>
      </rPr>
      <t xml:space="preserve">PASS 86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BLOCKED 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。開立 </t>
    </r>
    <r>
      <rPr>
        <sz val="11"/>
        <color theme="1"/>
        <rFont val="Calibri"/>
        <family val="2"/>
        <charset val="1"/>
      </rPr>
      <t xml:space="preserve">DEF-001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DEF-038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張（高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、中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；新開 </t>
    </r>
    <r>
      <rPr>
        <sz val="11"/>
        <color theme="1"/>
        <rFont val="Calibri"/>
        <family val="2"/>
        <charset val="1"/>
      </rPr>
      <t xml:space="preserve">29</t>
    </r>
    <r>
      <rPr>
        <sz val="11"/>
        <color theme="1"/>
        <rFont val="Noto Sans CJK SC"/>
        <family val="2"/>
      </rPr>
      <t xml:space="preserve">、待裁定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）。高嚴重度：</t>
    </r>
    <r>
      <rPr>
        <sz val="11"/>
        <color theme="1"/>
        <rFont val="Calibri"/>
        <family val="2"/>
        <charset val="1"/>
      </rPr>
      <t xml:space="preserve">DEF-012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DEF-012 </t>
    </r>
    <r>
      <rPr>
        <sz val="11"/>
        <color theme="1"/>
        <rFont val="Noto Sans CJK SC"/>
        <family val="2"/>
      </rPr>
      <t xml:space="preserve">同日買賣重播順序錯誤致已實現損益與成本移除算錯；</t>
    </r>
    <r>
      <rPr>
        <sz val="11"/>
        <color theme="1"/>
        <rFont val="Calibri"/>
        <family val="2"/>
        <charset val="1"/>
      </rPr>
      <t xml:space="preserve">DEF-027 </t>
    </r>
    <r>
      <rPr>
        <sz val="11"/>
        <color theme="1"/>
        <rFont val="Noto Sans CJK SC"/>
        <family val="2"/>
      </rPr>
      <t xml:space="preserve">券商對帳單寫入自動確認賣超、成本基礎歸零）。所有寫入案例皆已還原並逐位元比對；環境與基準的差異只來自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的報價與匯率更新（帳本面全部相符）與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花費 </t>
    </r>
    <r>
      <rPr>
        <sz val="11"/>
        <color theme="1"/>
        <rFont val="Calibri"/>
        <family val="2"/>
        <charset val="1"/>
      </rPr>
      <t xml:space="preserve">$0.0272825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</si>
  <si>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手算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情境相符、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</t>
    </r>
    <r>
      <rPr>
        <sz val="11"/>
        <color theme="1"/>
        <rFont val="Noto Sans CJK SC"/>
        <family val="2"/>
      </rPr>
      <t xml:space="preserve">匯出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13 </t>
    </r>
    <r>
      <rPr>
        <sz val="11"/>
        <color theme="1"/>
        <rFont val="Noto Sans CJK SC"/>
        <family val="2"/>
      </rPr>
      <t xml:space="preserve">頁零溢位、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5,918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260 </t>
    </r>
    <r>
      <rPr>
        <sz val="11"/>
        <color theme="1"/>
        <rFont val="Noto Sans CJK SC"/>
        <family val="2"/>
      </rPr>
      <t xml:space="preserve">全綠。複驗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張未見已結案功能退化；新發現的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皆為既有或邊角問題，非本輪修法引入</t>
    </r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</si>
  <si>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</si>
  <si>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7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逐字相同、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</t>
    </r>
    <r>
      <rPr>
        <sz val="11"/>
        <color theme="1"/>
        <rFont val="Noto Sans CJK SC"/>
        <family val="2"/>
      </rPr>
      <t xml:space="preserve">匯出全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13 </t>
    </r>
    <r>
      <rPr>
        <sz val="11"/>
        <color theme="1"/>
        <rFont val="Noto Sans CJK SC"/>
        <family val="2"/>
      </rPr>
      <t xml:space="preserve">頁零溢位、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890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6,082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272 </t>
    </r>
    <r>
      <rPr>
        <sz val="11"/>
        <color theme="1"/>
        <rFont val="Noto Sans CJK SC"/>
        <family val="2"/>
      </rPr>
      <t xml:space="preserve">全綠；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已結案功能抽查未見退化。新發現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（批次復原）、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（最近批次成本）皆為既有路徑，非本輪修法引入</t>
    </r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</si>
  <si>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</si>
  <si>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7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逐字相同、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18 </t>
    </r>
    <r>
      <rPr>
        <sz val="11"/>
        <color theme="1"/>
        <rFont val="Noto Sans CJK SC"/>
        <family val="2"/>
      </rPr>
      <t xml:space="preserve">個匯出全取得、</t>
    </r>
    <r>
      <rPr>
        <sz val="11"/>
        <color theme="1"/>
        <rFont val="Calibri"/>
        <family val="2"/>
        <charset val="1"/>
      </rPr>
      <t xml:space="preserve">J-05 390px 20 </t>
    </r>
    <r>
      <rPr>
        <sz val="11"/>
        <color theme="1"/>
        <rFont val="Noto Sans CJK SC"/>
        <family val="2"/>
      </rPr>
      <t xml:space="preserve">頁零截斷零溢位、</t>
    </r>
    <r>
      <rPr>
        <sz val="11"/>
        <color theme="1"/>
        <rFont val="Calibri"/>
        <family val="2"/>
        <charset val="1"/>
      </rPr>
      <t xml:space="preserve">console 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915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6,227 </t>
    </r>
    <r>
      <rPr>
        <sz val="11"/>
        <color theme="1"/>
        <rFont val="Noto Sans CJK SC"/>
        <family val="2"/>
      </rPr>
      <t xml:space="preserve">全綠；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全套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次因間歇性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GET /api/ui-prefs</t>
    </r>
    <r>
      <rPr>
        <sz val="11"/>
        <color theme="1"/>
        <rFont val="Noto Sans CJK SC"/>
        <family val="2"/>
      </rPr>
      <t xml:space="preserve">）各有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則失敗，第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 </t>
    </r>
    <r>
      <rPr>
        <sz val="11"/>
        <color theme="1"/>
        <rFont val="Calibri"/>
        <family val="2"/>
        <charset val="1"/>
      </rPr>
      <t xml:space="preserve">289 </t>
    </r>
    <r>
      <rPr>
        <sz val="11"/>
        <color theme="1"/>
        <rFont val="Noto Sans CJK SC"/>
        <family val="2"/>
      </rPr>
      <t xml:space="preserve">全過——開 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，功能斷言未見退化。新發現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）自 </t>
    </r>
    <r>
      <rPr>
        <sz val="11"/>
        <color theme="1"/>
        <rFont val="Calibri"/>
        <family val="2"/>
        <charset val="1"/>
      </rPr>
      <t xml:space="preserve">755c88a </t>
    </r>
    <r>
      <rPr>
        <sz val="11"/>
        <color theme="1"/>
        <rFont val="Noto Sans CJK SC"/>
        <family val="2"/>
      </rPr>
      <t xml:space="preserve">起即存在，非本輪引入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</si>
  <si>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</si>
  <si>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四情境手算相符、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19 </t>
    </r>
    <r>
      <rPr>
        <sz val="11"/>
        <color theme="1"/>
        <rFont val="Noto Sans CJK SC"/>
        <family val="2"/>
      </rPr>
      <t xml:space="preserve">個匯出全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18 </t>
    </r>
    <r>
      <rPr>
        <sz val="11"/>
        <color theme="1"/>
        <rFont val="Noto Sans CJK SC"/>
        <family val="2"/>
      </rPr>
      <t xml:space="preserve">頁零溢位且 </t>
    </r>
    <r>
      <rPr>
        <sz val="11"/>
        <color theme="1"/>
        <rFont val="Calibri"/>
        <family val="2"/>
        <charset val="1"/>
      </rPr>
      <t xml:space="preserve">console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926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6,326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295×3 </t>
    </r>
    <r>
      <rPr>
        <sz val="11"/>
        <color theme="1"/>
        <rFont val="Noto Sans CJK SC"/>
        <family val="2"/>
      </rPr>
      <t xml:space="preserve">全綠（</t>
    </r>
    <r>
      <rPr>
        <sz val="11"/>
        <color theme="1"/>
        <rFont val="Calibri"/>
        <family val="2"/>
        <charset val="1"/>
      </rPr>
      <t xml:space="preserve">DEF-065 </t>
    </r>
    <r>
      <rPr>
        <sz val="11"/>
        <color theme="1"/>
        <rFont val="Noto Sans CJK SC"/>
        <family val="2"/>
      </rPr>
      <t xml:space="preserve">的間歇性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未再出現）。本輪新開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張皆為首次可執行的案例或既有路徑，非本輪修法引入</t>
    </r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</si>
  <si>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</si>
  <si>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（最大誤差 </t>
    </r>
    <r>
      <rPr>
        <sz val="11"/>
        <color theme="1"/>
        <rFont val="Calibri"/>
        <family val="2"/>
        <charset val="1"/>
      </rPr>
      <t xml:space="preserve">1e−20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逐字相同、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20 </t>
    </r>
    <r>
      <rPr>
        <sz val="11"/>
        <color theme="1"/>
        <rFont val="Noto Sans CJK SC"/>
        <family val="2"/>
      </rPr>
      <t xml:space="preserve">個匯出全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18 </t>
    </r>
    <r>
      <rPr>
        <sz val="11"/>
        <color theme="1"/>
        <rFont val="Noto Sans CJK SC"/>
        <family val="2"/>
      </rPr>
      <t xml:space="preserve">頁零溢位且 </t>
    </r>
    <r>
      <rPr>
        <sz val="11"/>
        <color theme="1"/>
        <rFont val="Calibri"/>
        <family val="2"/>
        <charset val="1"/>
      </rPr>
      <t xml:space="preserve">console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6,504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304×3 </t>
    </r>
    <r>
      <rPr>
        <sz val="11"/>
        <color theme="1"/>
        <rFont val="Noto Sans CJK SC"/>
        <family val="2"/>
      </rPr>
      <t xml:space="preserve">全綠。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已結案功能抽查未見退化；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的琥珀色是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新加的提示沿用既有 </t>
    </r>
    <r>
      <rPr>
        <sz val="11"/>
        <color theme="1"/>
        <rFont val="Calibri"/>
        <family val="2"/>
        <charset val="1"/>
      </rPr>
      <t xml:space="preserve">.fresh-note </t>
    </r>
    <r>
      <rPr>
        <sz val="11"/>
        <color theme="1"/>
        <rFont val="Noto Sans CJK SC"/>
        <family val="2"/>
      </rPr>
      <t xml:space="preserve">預設色，非既有功能退化</t>
    </r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</si>
  <si>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</si>
  <si>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（最大誤差 </t>
    </r>
    <r>
      <rPr>
        <sz val="11"/>
        <color theme="1"/>
        <rFont val="Calibri"/>
        <family val="2"/>
        <charset val="1"/>
      </rPr>
      <t xml:space="preserve">1e−20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逐字相同、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寫入→編輯→刪除字串相同、</t>
    </r>
    <r>
      <rPr>
        <sz val="11"/>
        <color theme="1"/>
        <rFont val="Calibri"/>
        <family val="2"/>
        <charset val="1"/>
      </rPr>
      <t xml:space="preserve">J-04 20 </t>
    </r>
    <r>
      <rPr>
        <sz val="11"/>
        <color theme="1"/>
        <rFont val="Noto Sans CJK SC"/>
        <family val="2"/>
      </rPr>
      <t xml:space="preserve">個匯出全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18 </t>
    </r>
    <r>
      <rPr>
        <sz val="11"/>
        <color theme="1"/>
        <rFont val="Noto Sans CJK SC"/>
        <family val="2"/>
      </rPr>
      <t xml:space="preserve">頁零溢位且頁面錯誤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953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6,510 passed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skipped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309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309 ×3 </t>
    </r>
    <r>
      <rPr>
        <sz val="11"/>
        <color theme="1"/>
        <rFont val="Noto Sans CJK SC"/>
        <family val="2"/>
      </rPr>
      <t xml:space="preserve">全綠。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只動顏色 </t>
    </r>
    <r>
      <rPr>
        <sz val="11"/>
        <color theme="1"/>
        <rFont val="Calibri"/>
        <family val="2"/>
        <charset val="1"/>
      </rPr>
      <t xml:space="preserve">class </t>
    </r>
    <r>
      <rPr>
        <sz val="11"/>
        <color theme="1"/>
        <rFont val="Noto Sans CJK SC"/>
        <family val="2"/>
      </rPr>
      <t xml:space="preserve">與戰績頁標籤（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增量欄位），抽查首頁、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與額度、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戰績既有功能未見退化</t>
    </r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</si>
  <si>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</si>
  <si>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不是修復輪，而是在最終版 </t>
    </r>
    <r>
      <rPr>
        <sz val="11"/>
        <color theme="1"/>
        <rFont val="Calibri"/>
        <family val="2"/>
        <charset val="1"/>
      </rPr>
      <t xml:space="preserve">a16210a </t>
    </r>
    <r>
      <rPr>
        <sz val="11"/>
        <color theme="1"/>
        <rFont val="Noto Sans CJK SC"/>
        <family val="2"/>
      </rPr>
      <t xml:space="preserve">上重跑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題與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判定一致（其中多處比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更好，例如 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022 </t>
    </r>
    <r>
      <rPr>
        <sz val="11"/>
        <color theme="1"/>
        <rFont val="Noto Sans CJK SC"/>
        <family val="2"/>
      </rPr>
      <t xml:space="preserve">的修正在原路徑上仍有效），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依手冊僅記錄；</t>
    </r>
    <r>
      <rPr>
        <sz val="11"/>
        <color theme="1"/>
        <rFont val="Calibri"/>
        <family val="2"/>
        <charset val="1"/>
      </rPr>
      <t xml:space="preserve">G-04 </t>
    </r>
    <r>
      <rPr>
        <sz val="11"/>
        <color theme="1"/>
        <rFont val="Noto Sans CJK SC"/>
        <family val="2"/>
      </rPr>
      <t xml:space="preserve">的誤報來自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之後新產生的卡片資料，判讀規則檔自 </t>
    </r>
    <r>
      <rPr>
        <sz val="11"/>
        <color theme="1"/>
        <rFont val="Calibri"/>
        <family val="2"/>
        <charset val="1"/>
      </rPr>
      <t xml:space="preserve">755c88a </t>
    </r>
    <r>
      <rPr>
        <sz val="11"/>
        <color theme="1"/>
        <rFont val="Noto Sans CJK SC"/>
        <family val="2"/>
      </rPr>
      <t xml:space="preserve">未變更，屬既有漏網、非回歸</t>
    </r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</si>
  <si>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</si>
  <si>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 94/94</t>
    </r>
    <r>
      <rPr>
        <sz val="11"/>
        <color theme="1"/>
        <rFont val="Noto Sans CJK SC"/>
        <family val="2"/>
      </rPr>
      <t xml:space="preserve">（最大誤差 </t>
    </r>
    <r>
      <rPr>
        <sz val="11"/>
        <color theme="1"/>
        <rFont val="Calibri"/>
        <family val="2"/>
        <charset val="1"/>
      </rPr>
      <t xml:space="preserve">1e−20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逐字相同、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寫入→編輯→刪除後六段字串相同、</t>
    </r>
    <r>
      <rPr>
        <sz val="11"/>
        <color theme="1"/>
        <rFont val="Calibri"/>
        <family val="2"/>
        <charset val="1"/>
      </rPr>
      <t xml:space="preserve">J-04 20 </t>
    </r>
    <r>
      <rPr>
        <sz val="11"/>
        <color theme="1"/>
        <rFont val="Noto Sans CJK SC"/>
        <family val="2"/>
      </rPr>
      <t xml:space="preserve">個匯出全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J-05 390px 18 </t>
    </r>
    <r>
      <rPr>
        <sz val="11"/>
        <color theme="1"/>
        <rFont val="Noto Sans CJK SC"/>
        <family val="2"/>
      </rPr>
      <t xml:space="preserve">頁零溢位且頁面錯誤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ruff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mypy 954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pytest 6,516 passed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 skipped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e2e 309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309 ×4</t>
    </r>
    <r>
      <rPr>
        <sz val="11"/>
        <color theme="1"/>
        <rFont val="Noto Sans CJK SC"/>
        <family val="2"/>
      </rPr>
      <t xml:space="preserve">（後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次保留伺服器記錄：</t>
    </r>
    <r>
      <rPr>
        <sz val="11"/>
        <color theme="1"/>
        <rFont val="Calibri"/>
        <family val="2"/>
        <charset val="1"/>
      </rPr>
      <t xml:space="preserve">594 </t>
    </r>
    <r>
      <rPr>
        <sz val="11"/>
        <color theme="1"/>
        <rFont val="Noto Sans CJK SC"/>
        <family val="2"/>
      </rPr>
      <t xml:space="preserve">個伺服器行程，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、伺服器端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） 全綠。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洞察卡的讀取時代號檢核（不寫資料），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洞察頁其他徽章（數值待核、無快照可核、生成時版本未記錄）照常</t>
    </r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</si>
  <si>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</si>
  <si>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r>
      <rPr>
        <sz val="11"/>
        <color theme="1"/>
        <rFont val="Noto Sans CJK SC"/>
        <family val="2"/>
      </rPr>
      <t xml:space="preserve">否：受測版本與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3a35454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六段逐字相同、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個匯出、</t>
    </r>
    <r>
      <rPr>
        <sz val="11"/>
        <color theme="1"/>
        <rFont val="Calibri"/>
        <family val="2"/>
        <charset val="1"/>
      </rPr>
      <t xml:space="preserve">390px 18 </t>
    </r>
    <r>
      <rPr>
        <sz val="11"/>
        <color theme="1"/>
        <rFont val="Noto Sans CJK SC"/>
        <family val="2"/>
      </rPr>
      <t xml:space="preserve">頁、閘門全綠＋守門變異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組皆攔）。三項新發現皆為既有行為、本輪首次被測到：</t>
    </r>
    <r>
      <rPr>
        <sz val="11"/>
        <color theme="1"/>
        <rFont val="Calibri"/>
        <family val="2"/>
        <charset val="1"/>
      </rPr>
      <t xml:space="preserve">DEF-083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修復後首次有真實備援呼叫才暴露；</t>
    </r>
    <r>
      <rPr>
        <sz val="11"/>
        <color theme="1"/>
        <rFont val="Calibri"/>
        <family val="2"/>
        <charset val="1"/>
      </rPr>
      <t xml:space="preserve">DEF-084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即存在（</t>
    </r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備註漏看）；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限制未測</t>
    </r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</si>
  <si>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</si>
  <si>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r>
      <rPr>
        <sz val="11"/>
        <color theme="1"/>
        <rFont val="Noto Sans CJK SC"/>
        <family val="2"/>
      </rPr>
      <t xml:space="preserve">否：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94/94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J-02 </t>
    </r>
    <r>
      <rPr>
        <sz val="11"/>
        <color theme="1"/>
        <rFont val="Noto Sans CJK SC"/>
        <family val="2"/>
      </rPr>
      <t xml:space="preserve">四情境與 </t>
    </r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J-03 </t>
    </r>
    <r>
      <rPr>
        <sz val="11"/>
        <color theme="1"/>
        <rFont val="Noto Sans CJK SC"/>
        <family val="2"/>
      </rPr>
      <t xml:space="preserve">六段逐字相同、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個匯出、</t>
    </r>
    <r>
      <rPr>
        <sz val="11"/>
        <color theme="1"/>
        <rFont val="Calibri"/>
        <family val="2"/>
        <charset val="1"/>
      </rPr>
      <t xml:space="preserve">390px 18 </t>
    </r>
    <r>
      <rPr>
        <sz val="11"/>
        <color theme="1"/>
        <rFont val="Noto Sans CJK SC"/>
        <family val="2"/>
      </rPr>
      <t xml:space="preserve">頁零溢位、閘門全綠＋守門變異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組皆攔）；</t>
    </r>
    <r>
      <rPr>
        <sz val="11"/>
        <color theme="1"/>
        <rFont val="Calibri"/>
        <family val="2"/>
        <charset val="1"/>
      </rPr>
      <t xml:space="preserve">R10 FAIL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本輪通過，其餘 </t>
    </r>
    <r>
      <rPr>
        <sz val="11"/>
        <color theme="1"/>
        <rFont val="Calibri"/>
        <family val="2"/>
        <charset val="1"/>
      </rPr>
      <t xml:space="preserve">117 </t>
    </r>
    <r>
      <rPr>
        <sz val="11"/>
        <color theme="1"/>
        <rFont val="Noto Sans CJK SC"/>
        <family val="2"/>
      </rPr>
      <t xml:space="preserve">題判定與 </t>
    </r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相同。驗證者另以修復前 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DEF-083 </t>
    </r>
    <r>
      <rPr>
        <sz val="11"/>
        <color theme="1"/>
        <rFont val="Noto Sans CJK SC"/>
        <family val="2"/>
      </rPr>
      <t xml:space="preserve">的嚴格假端點在修復前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被拒、修復後 </t>
    </r>
    <r>
      <rPr>
        <sz val="11"/>
        <color theme="1"/>
        <rFont val="Calibri"/>
        <family val="2"/>
        <charset val="1"/>
      </rPr>
      <t xml:space="preserve">7/7 </t>
    </r>
    <r>
      <rPr>
        <sz val="11"/>
        <color theme="1"/>
        <rFont val="Noto Sans CJK SC"/>
        <family val="2"/>
      </rPr>
      <t xml:space="preserve">通過</t>
    </r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</si>
  <si>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</si>
  <si>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</si>
  <si>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</si>
  <si>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</si>
  <si>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</si>
  <si>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</si>
  <si>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</si>
  <si>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</si>
  <si>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</si>
  <si>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</si>
  <si>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</si>
  <si>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</si>
  <si>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R11_START 2026-09-30 00:05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開跑前）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</si>
  <si>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</si>
  <si>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</si>
  <si>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</si>
  <si>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</si>
  <si>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</si>
  <si>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</si>
  <si>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</si>
  <si>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</si>
  <si>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</si>
  <si>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</si>
  <si>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</si>
  <si>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</si>
  <si>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</si>
  <si>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</si>
  <si>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</si>
  <si>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</si>
  <si>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</si>
  <si>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</si>
  <si>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</si>
  <si>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</si>
  <si>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</si>
  <si>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R11_START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</si>
  <si>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realized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個部位的股數、原始／調整均價、原始／調整成本與股利欄逐字相同；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的差異全部來自 </t>
    </r>
    <r>
      <rPr>
        <sz val="11"/>
        <color theme="1"/>
        <rFont val="Calibri"/>
        <family val="2"/>
        <charset val="1"/>
      </rPr>
      <t xml:space="preserve">E-01 </t>
    </r>
    <r>
      <rPr>
        <sz val="11"/>
        <color theme="1"/>
        <rFont val="Noto Sans CJK SC"/>
        <family val="2"/>
      </rPr>
      <t xml:space="preserve">依裁定更新的報價與匯率（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檔收盤 </t>
    </r>
    <r>
      <rPr>
        <sz val="11"/>
        <color theme="1"/>
        <rFont val="Calibri"/>
        <family val="2"/>
        <charset val="1"/>
      </rPr>
      <t xml:space="preserve">09-24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09-25→09-29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USD/MYR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USD/TWD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MYR/TWD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09-29</t>
    </r>
    <r>
      <rPr>
        <sz val="11"/>
        <color theme="1"/>
        <rFont val="Noto Sans CJK SC"/>
        <family val="2"/>
      </rPr>
      <t xml:space="preserve">；只動 </t>
    </r>
    <r>
      <rPr>
        <sz val="11"/>
        <color theme="1"/>
        <rFont val="Calibri"/>
        <family val="2"/>
        <charset val="1"/>
      </rPr>
      <t xml:space="preserve">market_price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market_value</t>
    </r>
    <r>
      <rPr>
        <sz val="11"/>
        <color theme="1"/>
        <rFont val="Noto Sans CJK SC"/>
        <family val="2"/>
      </rPr>
      <t xml:space="preserve">、未實現、權重與走勢）</t>
    </r>
  </si>
  <si>
    <r>
      <rPr>
        <sz val="11"/>
        <color theme="1"/>
        <rFont val="Noto Sans CJK SC"/>
        <family val="2"/>
      </rPr>
      <t xml:space="preserve">是（依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</si>
  <si>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</si>
  <si>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</si>
  <si>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</si>
  <si>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</si>
  <si>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reporting_total 25,287,197.02→25,320,250.90 </t>
    </r>
    <r>
      <rPr>
        <sz val="11"/>
        <color theme="1"/>
        <rFont val="Noto Sans CJK SC"/>
        <family val="2"/>
      </rPr>
      <t xml:space="preserve">的差異來自匯率更新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</si>
  <si>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</si>
  <si>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</si>
  <si>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</si>
  <si>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</si>
  <si>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批已提交（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#34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#41 </t>
    </r>
    <r>
      <rPr>
        <sz val="11"/>
        <color theme="1"/>
        <rFont val="Noto Sans CJK SC"/>
        <family val="2"/>
      </rPr>
      <t xml:space="preserve">皆已復原）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</si>
  <si>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</si>
  <si>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</si>
  <si>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</si>
  <si>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215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</si>
  <si>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封存、目標價皆空（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設定的目標價已清回）；任務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皆啟用，測試任務（</t>
    </r>
    <r>
      <rPr>
        <sz val="11"/>
        <color theme="1"/>
        <rFont val="Calibri"/>
        <family val="2"/>
        <charset val="1"/>
      </rPr>
      <t xml:space="preserve">G-01 #24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#25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的兩個）皆已刪除、排程設定雜湊不變；已忽略只剩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、期初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的資料：①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on_alert </t>
    </r>
    <r>
      <rPr>
        <sz val="11"/>
        <color theme="1"/>
        <rFont val="Noto Sans CJK SC"/>
        <family val="2"/>
      </rPr>
      <t xml:space="preserve">洞察卡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#252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#259</t>
    </r>
    <r>
      <rPr>
        <sz val="11"/>
        <color theme="1"/>
        <rFont val="Noto Sans CJK SC"/>
        <family val="2"/>
      </rPr>
      <t xml:space="preserve">，可見卡 </t>
    </r>
    <r>
      <rPr>
        <sz val="11"/>
        <color theme="1"/>
        <rFont val="Calibri"/>
        <family val="2"/>
        <charset val="1"/>
      </rPr>
      <t xml:space="preserve">215→223</t>
    </r>
    <r>
      <rPr>
        <sz val="11"/>
        <color theme="1"/>
        <rFont val="Noto Sans CJK SC"/>
        <family val="2"/>
      </rPr>
      <t xml:space="preserve">）；②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評分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戰績 </t>
    </r>
    <r>
      <rPr>
        <sz val="11"/>
        <color theme="1"/>
        <rFont val="Calibri"/>
        <family val="2"/>
        <charset val="1"/>
      </rPr>
      <t xml:space="preserve">n 104→112</t>
    </r>
    <r>
      <rPr>
        <sz val="11"/>
        <color theme="1"/>
        <rFont val="Noto Sans CJK SC"/>
        <family val="2"/>
      </rPr>
      <t xml:space="preserve">）；③收件匣 </t>
    </r>
    <r>
      <rPr>
        <sz val="11"/>
        <color theme="1"/>
        <rFont val="Calibri"/>
        <family val="2"/>
        <charset val="1"/>
      </rPr>
      <t xml:space="preserve">7→8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C-01</t>
    </r>
    <r>
      <rPr>
        <sz val="11"/>
        <color theme="1"/>
        <rFont val="Noto Sans CJK SC"/>
        <family val="2"/>
      </rPr>
      <t xml:space="preserve">「重新偵測」後由資料來源帶入 </t>
    </r>
    <r>
      <rPr>
        <sz val="11"/>
        <color theme="1"/>
        <rFont val="Calibri"/>
        <family val="2"/>
        <charset val="1"/>
      </rPr>
      <t xml:space="preserve">5225 2026-09-29 </t>
    </r>
    <r>
      <rPr>
        <sz val="11"/>
        <color theme="1"/>
        <rFont val="Noto Sans CJK SC"/>
        <family val="2"/>
      </rPr>
      <t xml:space="preserve">除息事件（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開跑前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；未確認入帳，股利帳本仍 </t>
    </r>
    <r>
      <rPr>
        <sz val="11"/>
        <color theme="1"/>
        <rFont val="Calibri"/>
        <family val="2"/>
        <charset val="1"/>
      </rPr>
      <t xml:space="preserve">23</t>
    </r>
    <r>
      <rPr>
        <sz val="11"/>
        <color theme="1"/>
        <rFont val="Noto Sans CJK SC"/>
        <family val="2"/>
      </rPr>
      <t xml:space="preserve">）；④</t>
    </r>
    <r>
      <rPr>
        <sz val="11"/>
        <color theme="1"/>
        <rFont val="Calibri"/>
        <family val="2"/>
        <charset val="1"/>
      </rPr>
      <t xml:space="preserve">H-03 </t>
    </r>
    <r>
      <rPr>
        <sz val="11"/>
        <color theme="1"/>
        <rFont val="Noto Sans CJK SC"/>
        <family val="2"/>
      </rPr>
      <t xml:space="preserve">「持倉週報策略」多出版本紀錄（內文已回復為原文）；⑤執行紀錄 </t>
    </r>
    <r>
      <rPr>
        <sz val="11"/>
        <color theme="1"/>
        <rFont val="Calibri"/>
        <family val="2"/>
        <charset val="1"/>
      </rPr>
      <t xml:space="preserve">job_runs #229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抽取失敗記錄 </t>
    </r>
    <r>
      <rPr>
        <sz val="11"/>
        <color theme="1"/>
        <rFont val="Calibri"/>
        <family val="2"/>
        <charset val="1"/>
      </rPr>
      <t xml:space="preserve">#522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#529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32 / 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llm-usage 28 </t>
    </r>
    <r>
      <rPr>
        <sz val="11"/>
        <color theme="1"/>
        <rFont val="Noto Sans CJK SC"/>
        <family val="2"/>
      </rPr>
      <t xml:space="preserve">列；⑥驗證者複驗 </t>
    </r>
    <r>
      <rPr>
        <sz val="11"/>
        <color theme="1"/>
        <rFont val="Calibri"/>
        <family val="2"/>
        <charset val="1"/>
      </rPr>
      <t xml:space="preserve">DEF-083 </t>
    </r>
    <r>
      <rPr>
        <sz val="11"/>
        <color theme="1"/>
        <rFont val="Noto Sans CJK SC"/>
        <family val="2"/>
      </rPr>
      <t xml:space="preserve">時的 </t>
    </r>
    <r>
      <rPr>
        <sz val="11"/>
        <color theme="1"/>
        <rFont val="Calibri"/>
        <family val="2"/>
        <charset val="1"/>
      </rPr>
      <t xml:space="preserve">llm-usage 2 </t>
    </r>
    <r>
      <rPr>
        <sz val="11"/>
        <color theme="1"/>
        <rFont val="Noto Sans CJK SC"/>
        <family val="2"/>
      </rPr>
      <t xml:space="preserve">列與測試任務（已刪除）。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輸入模型選單（瀏覽器偏好）已改回「自動」</t>
    </r>
  </si>
  <si>
    <r>
      <rPr>
        <sz val="11"/>
        <color theme="1"/>
        <rFont val="Noto Sans CJK SC"/>
        <family val="2"/>
      </rPr>
      <t xml:space="preserve">是（依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裁定）</t>
    </r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</si>
  <si>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</si>
  <si>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</si>
  <si>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</si>
  <si>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r>
      <rPr>
        <sz val="11"/>
        <color theme="1"/>
        <rFont val="Noto Sans CJK SC"/>
        <family val="2"/>
      </rPr>
      <t xml:space="preserve">剩餘額度 </t>
    </r>
    <r>
      <rPr>
        <sz val="11"/>
        <color theme="1"/>
        <rFont val="Calibri"/>
        <family val="2"/>
        <charset val="1"/>
      </rPr>
      <t xml:space="preserve">$3.1710579</t>
    </r>
    <r>
      <rPr>
        <sz val="11"/>
        <color theme="1"/>
        <rFont val="Noto Sans CJK SC"/>
        <family val="2"/>
      </rPr>
      <t xml:space="preserve">；低額度警示門檻 </t>
    </r>
    <r>
      <rPr>
        <sz val="11"/>
        <color theme="1"/>
        <rFont val="Calibri"/>
        <family val="2"/>
        <charset val="1"/>
      </rPr>
      <t xml:space="preserve">$1.00</t>
    </r>
  </si>
  <si>
    <r>
      <rPr>
        <sz val="11"/>
        <color theme="1"/>
        <rFont val="Noto Sans CJK SC"/>
        <family val="2"/>
      </rPr>
      <t xml:space="preserve">剩餘額度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、門檻 </t>
    </r>
    <r>
      <rPr>
        <sz val="11"/>
        <color theme="1"/>
        <rFont val="Calibri"/>
        <family val="2"/>
        <charset val="1"/>
      </rPr>
      <t xml:space="preserve">$1.00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花費 </t>
    </r>
    <r>
      <rPr>
        <sz val="11"/>
        <color theme="1"/>
        <rFont val="Calibri"/>
        <family val="2"/>
        <charset val="1"/>
      </rPr>
      <t xml:space="preserve">$0.0379424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llm-usage 28 </t>
    </r>
    <r>
      <rPr>
        <sz val="11"/>
        <color theme="1"/>
        <rFont val="Noto Sans CJK SC"/>
        <family val="2"/>
      </rPr>
      <t xml:space="preserve">列：</t>
    </r>
    <r>
      <rPr>
        <sz val="11"/>
        <color theme="1"/>
        <rFont val="Calibri"/>
        <family val="2"/>
        <charset val="1"/>
      </rPr>
      <t xml:space="preserve">insight_generate 14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0.0175957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G-09 8 </t>
    </r>
    <r>
      <rPr>
        <sz val="11"/>
        <color theme="1"/>
        <rFont val="Noto Sans CJK SC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0.0153415</t>
    </r>
    <r>
      <rPr>
        <sz val="11"/>
        <color theme="1"/>
        <rFont val="Noto Sans CJK SC"/>
        <family val="2"/>
      </rPr>
      <t xml:space="preserve">〔含 </t>
    </r>
    <r>
      <rPr>
        <sz val="11"/>
        <color theme="1"/>
        <rFont val="Calibri"/>
        <family val="2"/>
        <charset val="1"/>
      </rPr>
      <t xml:space="preserve">5225 </t>
    </r>
    <r>
      <rPr>
        <sz val="11"/>
        <color theme="1"/>
        <rFont val="Noto Sans CJK SC"/>
        <family val="2"/>
      </rPr>
      <t xml:space="preserve">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0.0104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H-04 0.0013051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G-01 0.0009491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ai_agents_input 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0.018015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F-04 0.009053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F-05 0.008962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haiku-4.5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master_score 10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0.0020194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評分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張）、</t>
    </r>
    <r>
      <rPr>
        <sz val="11"/>
        <color theme="1"/>
        <rFont val="Calibri"/>
        <family val="2"/>
        <charset val="1"/>
      </rPr>
      <t xml:space="preserve">ai_instrument_resolve 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0.0003123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</t>
    </r>
    <r>
      <rPr>
        <sz val="11"/>
        <color theme="1"/>
        <rFont val="Noto Sans CJK SC"/>
        <family val="2"/>
      </rPr>
      <t xml:space="preserve">）；與額度差逐位相同。開跑前驗證者複驗 </t>
    </r>
    <r>
      <rPr>
        <sz val="11"/>
        <color theme="1"/>
        <rFont val="Calibri"/>
        <family val="2"/>
        <charset val="1"/>
      </rPr>
      <t xml:space="preserve">DEF-083 </t>
    </r>
    <r>
      <rPr>
        <sz val="11"/>
        <color theme="1"/>
        <rFont val="Noto Sans CJK SC"/>
        <family val="2"/>
      </rPr>
      <t xml:space="preserve">另花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 </t>
    </r>
    <r>
      <rPr>
        <sz val="11"/>
        <color theme="1"/>
        <rFont val="Calibri"/>
        <family val="2"/>
        <charset val="1"/>
      </rPr>
      <t xml:space="preserve">0.008115</t>
    </r>
    <r>
      <rPr>
        <sz val="11"/>
        <color theme="1"/>
        <rFont val="Noto Sans CJK SC"/>
        <family val="2"/>
      </rPr>
      <t xml:space="preserve">、洞察卡 </t>
    </r>
    <r>
      <rPr>
        <sz val="11"/>
        <color theme="1"/>
        <rFont val="Calibri"/>
        <family val="2"/>
        <charset val="1"/>
      </rPr>
      <t xml:space="preserve">0.029194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3.2083669→3.1710579</t>
    </r>
    <r>
      <rPr>
        <sz val="11"/>
        <color theme="1"/>
        <rFont val="Noto Sans CJK SC"/>
        <family val="2"/>
      </rPr>
      <t xml:space="preserve">）</t>
    </r>
  </si>
  <si>
    <t xml:space="preserve">是（逐筆對帳）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</si>
  <si>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</si>
  <si>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</si>
  <si>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</si>
  <si>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</si>
  <si>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r>
      <rPr>
        <sz val="11"/>
        <color theme="1"/>
        <rFont val="Noto Sans CJK SC"/>
        <family val="2"/>
      </rPr>
      <t xml:space="preserve">是（</t>
    </r>
    <r>
      <rPr>
        <sz val="11"/>
        <color theme="1"/>
        <rFont val="Calibri"/>
        <family val="2"/>
        <charset val="1"/>
      </rPr>
      <t xml:space="preserve">R11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依手冊「僅記錄不判定」）；</t>
    </r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複驗通過改判 </t>
    </r>
    <r>
      <rPr>
        <sz val="11"/>
        <color theme="1"/>
        <rFont val="Calibri"/>
        <family val="2"/>
        <charset val="1"/>
      </rPr>
      <t xml:space="preserve">PASS</t>
    </r>
  </si>
  <si>
    <t xml:space="preserve">缺陷登記中沒有狀態為『修復中／待複驗／複驗未過』的列</t>
  </si>
  <si>
    <r>
      <rPr>
        <sz val="11"/>
        <color theme="1"/>
        <rFont val="Noto Sans CJK SC"/>
        <family val="2"/>
      </rPr>
      <t xml:space="preserve">是（</t>
    </r>
    <r>
      <rPr>
        <sz val="11"/>
        <color theme="1"/>
        <rFont val="Calibri"/>
        <family val="2"/>
        <charset val="1"/>
      </rPr>
      <t xml:space="preserve">R11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複驗通過結案；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張缺陷中 </t>
    </r>
    <r>
      <rPr>
        <sz val="11"/>
        <color theme="1"/>
        <rFont val="Calibri"/>
        <family val="2"/>
        <charset val="1"/>
      </rPr>
      <t xml:space="preserve">83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張非缺陷（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DEF-018</t>
    </r>
    <r>
      <rPr>
        <sz val="11"/>
        <color theme="1"/>
        <rFont val="Noto Sans CJK SC"/>
        <family val="2"/>
      </rPr>
      <t xml:space="preserve">），無修復中／待複驗／複驗未過</t>
    </r>
  </si>
  <si>
    <t xml:space="preserve">所有 `OBSERVE` 都有 owner 裁定，並已改判為 `PASS`／`N/A`／或轉為新功能待排期（後者需在簽核頁寫明不影響結案）</t>
  </si>
  <si>
    <r>
      <rPr>
        <sz val="11"/>
        <color theme="1"/>
        <rFont val="Noto Sans CJK SC"/>
        <family val="2"/>
      </rPr>
      <t xml:space="preserve">是：無未裁定的 </t>
    </r>
    <r>
      <rPr>
        <sz val="11"/>
        <color theme="1"/>
        <rFont val="Calibri"/>
        <family val="2"/>
        <charset val="1"/>
      </rPr>
      <t xml:space="preserve">OBSERVE——R1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皆已裁定並改判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R10 H-05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）經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修，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複驗通過改判 </t>
    </r>
    <r>
      <rPr>
        <sz val="11"/>
        <color theme="1"/>
        <rFont val="Calibri"/>
        <family val="2"/>
        <charset val="1"/>
      </rPr>
      <t xml:space="preserve">PASS</t>
    </r>
  </si>
  <si>
    <t xml:space="preserve">最後一輪的 J 組回歸快篩全過，且與上一輪相比零回歸</t>
  </si>
  <si>
    <r>
      <rPr>
        <sz val="11"/>
        <color theme="1"/>
        <rFont val="Noto Sans CJK SC"/>
        <family val="2"/>
      </rPr>
      <t xml:space="preserve">是：</t>
    </r>
    <r>
      <rPr>
        <sz val="11"/>
        <color theme="1"/>
        <rFont val="Calibri"/>
        <family val="2"/>
        <charset val="1"/>
      </rPr>
      <t xml:space="preserve">R11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91ec1b0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全過，與 </t>
    </r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相比零回歸（輪次彙總第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列）</t>
    </r>
  </si>
  <si>
    <t xml:space="preserve">還原檢查清單 R-1～R-10 全部相符（受測環境已回到基準）</t>
  </si>
  <si>
    <r>
      <rPr>
        <sz val="11"/>
        <color theme="1"/>
        <rFont val="Noto Sans CJK SC"/>
        <family val="2"/>
      </rPr>
      <t xml:space="preserve">是（依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裁定）：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相符——帳本列數、已實現、現金池與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個部位的股數／成本逐字相同；報價與匯率依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，留下的資料逐項列於還原檢查 </t>
    </r>
    <r>
      <rPr>
        <sz val="11"/>
        <color theme="1"/>
        <rFont val="Calibri"/>
        <family val="2"/>
        <charset val="1"/>
      </rPr>
      <t xml:space="preserve">R-9</t>
    </r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</si>
  <si>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</si>
  <si>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</si>
  <si>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</si>
  <si>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</si>
  <si>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</si>
  <si>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</si>
  <si>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</si>
  <si>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</si>
  <si>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</si>
  <si>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</si>
  <si>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</si>
  <si>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</si>
  <si>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</si>
  <si>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</si>
  <si>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</si>
  <si>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</si>
  <si>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</si>
  <si>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r>
      <rPr>
        <sz val="11"/>
        <color theme="1"/>
        <rFont val="Noto Sans CJK SC"/>
        <family val="2"/>
      </rPr>
      <t xml:space="preserve">同意結案（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重新簽署）。最終受測版本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085 </t>
    </r>
    <r>
      <rPr>
        <sz val="11"/>
        <color theme="1"/>
        <rFont val="Noto Sans CJK SC"/>
        <family val="2"/>
      </rPr>
      <t xml:space="preserve">複驗通過結案（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真實供應商＋本機嚴格假端點、修復前後對照、自做變異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組全攔）；整份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重跑一次跑完，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組全過、零回歸；還原檢查依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裁定相符。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張缺陷全數結案或非缺陷。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時的簽署於 </t>
    </r>
    <r>
      <rPr>
        <sz val="11"/>
        <color theme="1"/>
        <rFont val="Calibri"/>
        <family val="2"/>
        <charset val="1"/>
      </rPr>
      <t xml:space="preserve">2026-09-28 </t>
    </r>
    <r>
      <rPr>
        <sz val="11"/>
        <color theme="1"/>
        <rFont val="Noto Sans CJK SC"/>
        <family val="2"/>
      </rPr>
      <t xml:space="preserve">撤回，本列取代之</t>
    </r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</si>
  <si>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</si>
  <si>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</si>
  <si>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r>
      <rPr>
        <sz val="11"/>
        <color theme="1"/>
        <rFont val="Noto Sans CJK SC"/>
        <family val="2"/>
      </rPr>
      <t xml:space="preserve">同意結案。最終受測版本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已部署；</t>
    </r>
    <r>
      <rPr>
        <sz val="11"/>
        <color theme="1"/>
        <rFont val="Calibri"/>
        <family val="2"/>
        <charset val="1"/>
      </rPr>
      <t xml:space="preserve">prod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main </t>
    </r>
    <r>
      <rPr>
        <sz val="11"/>
        <color theme="1"/>
        <rFont val="Noto Sans CJK SC"/>
        <family val="2"/>
      </rPr>
      <t xml:space="preserve">未動）。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張缺陷中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張修復並經驗證者複驗結案，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DEF-018</t>
    </r>
    <r>
      <rPr>
        <sz val="11"/>
        <color theme="1"/>
        <rFont val="Noto Sans CJK SC"/>
        <family val="2"/>
      </rPr>
      <t xml:space="preserve">）依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裁定改判非缺陷；每張修復都附根因到檔案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行、同類掃描與變異測試證據，閘門全綠後才部署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交複驗。簽署前已自行由工作簿重算：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依手冊僅記錄）、缺陷結案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／非缺陷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、累計未結案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、還原檢查 </t>
    </r>
    <r>
      <rPr>
        <sz val="11"/>
        <color theme="1"/>
        <rFont val="Calibri"/>
        <family val="2"/>
        <charset val="1"/>
      </rPr>
      <t xml:space="preserve">R-1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R-10 </t>
    </r>
    <r>
      <rPr>
        <sz val="11"/>
        <color theme="1"/>
        <rFont val="Noto Sans CJK SC"/>
        <family val="2"/>
      </rPr>
      <t xml:space="preserve">全部相符。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之後只有文件提交（</t>
    </r>
    <r>
      <rPr>
        <sz val="11"/>
        <color theme="1"/>
        <rFont val="Calibri"/>
        <family val="2"/>
        <charset val="1"/>
      </rPr>
      <t xml:space="preserve">CHANGELOG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LESSONS_LEARNED</t>
    </r>
    <r>
      <rPr>
        <sz val="11"/>
        <color theme="1"/>
        <rFont val="Noto Sans CJK SC"/>
        <family val="2"/>
      </rPr>
      <t xml:space="preserve">、本工作簿），程式未再改動。驗證者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指出的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組邊界變異（已封存標的的名稱、兩字母單字、字母＋數字單字、只比完全相同）目前沒有測試釘住，現行行為已經驗證者黑箱驗證正確，不影響結案；若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要補，只加測試、不改程式，並依本頁規定重跑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組、在輪次彙總新增一列。請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在下一列簽署並填結案日期（第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列）</t>
    </r>
  </si>
  <si>
    <t xml:space="preserve">Owner</t>
  </si>
  <si>
    <t xml:space="preserve">HFL</t>
  </si>
  <si>
    <t xml:space="preserve">同意結案。</t>
  </si>
  <si>
    <t xml:space="preserve">最終受測版本（commit）</t>
  </si>
  <si>
    <t xml:space="preserve">v0.1.28 · 91ec1b0</t>
  </si>
  <si>
    <t xml:space="preserve">結案日期</t>
  </si>
  <si>
    <t xml:space="preserve">結論</t>
  </si>
  <si>
    <r>
      <rPr>
        <sz val="11"/>
        <color theme="1"/>
        <rFont val="Noto Sans CJK SC"/>
        <family val="2"/>
      </rPr>
      <t xml:space="preserve">檢驗方已於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重新簽署（結案條件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全部成立，最終受測版本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）。第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列修復方與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的簽署仍為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時依 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所簽，待兩方依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重新簽署、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填結案日期後即為結案</t>
    </r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</si>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</sst>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8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8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8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8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8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/>
      <c r="L9" s="18" t="s">
        <v>37</v>
      </c>
      <c r="M9" s="17" t="s">
        <v>37</v>
      </c>
      <c r="N9" s="16" t="s">
        <v>194</v>
      </c>
    </row>
    <row r="10" customFormat="false" ht="43.5" hidden="false" customHeight="true" outlineLevel="0" collapsed="false">
      <c r="A10" s="13" t="s">
        <v>195</v>
      </c>
      <c r="B10" s="14" t="s">
        <v>143</v>
      </c>
      <c r="C10" s="15" t="s">
        <v>196</v>
      </c>
      <c r="D10" s="14" t="s">
        <v>136</v>
      </c>
      <c r="E10" s="15" t="s">
        <v>197</v>
      </c>
      <c r="F10" s="15" t="s">
        <v>198</v>
      </c>
      <c r="G10" s="15" t="s">
        <v>175</v>
      </c>
      <c r="H10" s="15" t="s">
        <v>199</v>
      </c>
      <c r="I10" s="16" t="s">
        <v>200</v>
      </c>
      <c r="J10" s="17" t="s">
        <v>37</v>
      </c>
      <c r="K10" s="17"/>
      <c r="L10" s="18" t="s">
        <v>37</v>
      </c>
      <c r="M10" s="17" t="s">
        <v>37</v>
      </c>
      <c r="N10" s="17" t="s">
        <v>201</v>
      </c>
    </row>
    <row r="11" customFormat="false" ht="29.25" hidden="false" customHeight="true" outlineLevel="0" collapsed="false">
      <c r="A11" s="13" t="s">
        <v>202</v>
      </c>
      <c r="B11" s="14" t="s">
        <v>143</v>
      </c>
      <c r="C11" s="15" t="s">
        <v>203</v>
      </c>
      <c r="D11" s="14" t="s">
        <v>136</v>
      </c>
      <c r="E11" s="15" t="s">
        <v>204</v>
      </c>
      <c r="F11" s="15" t="s">
        <v>205</v>
      </c>
      <c r="G11" s="15" t="s">
        <v>175</v>
      </c>
      <c r="H11" s="15" t="s">
        <v>149</v>
      </c>
      <c r="I11" s="16" t="s">
        <v>206</v>
      </c>
      <c r="J11" s="17" t="s">
        <v>37</v>
      </c>
      <c r="K11" s="17"/>
      <c r="L11" s="18" t="s">
        <v>37</v>
      </c>
      <c r="M11" s="17" t="s">
        <v>37</v>
      </c>
      <c r="N11" s="17" t="s">
        <v>207</v>
      </c>
    </row>
    <row r="12" customFormat="false" ht="29.25" hidden="false" customHeight="true" outlineLevel="0" collapsed="false">
      <c r="A12" s="13" t="s">
        <v>208</v>
      </c>
      <c r="B12" s="14" t="s">
        <v>143</v>
      </c>
      <c r="C12" s="15" t="s">
        <v>209</v>
      </c>
      <c r="D12" s="14" t="s">
        <v>136</v>
      </c>
      <c r="E12" s="15" t="s">
        <v>210</v>
      </c>
      <c r="F12" s="15" t="s">
        <v>211</v>
      </c>
      <c r="G12" s="15" t="s">
        <v>175</v>
      </c>
      <c r="H12" s="15" t="s">
        <v>149</v>
      </c>
      <c r="I12" s="16" t="s">
        <v>212</v>
      </c>
      <c r="J12" s="17" t="s">
        <v>37</v>
      </c>
      <c r="K12" s="17"/>
      <c r="L12" s="18" t="s">
        <v>37</v>
      </c>
      <c r="M12" s="17" t="s">
        <v>37</v>
      </c>
      <c r="N12" s="17" t="s">
        <v>213</v>
      </c>
    </row>
    <row r="13" customFormat="false" ht="43.5" hidden="false" customHeight="true" outlineLevel="0" collapsed="false">
      <c r="A13" s="13" t="s">
        <v>214</v>
      </c>
      <c r="B13" s="14" t="s">
        <v>143</v>
      </c>
      <c r="C13" s="15" t="s">
        <v>215</v>
      </c>
      <c r="D13" s="14" t="s">
        <v>136</v>
      </c>
      <c r="E13" s="15" t="s">
        <v>216</v>
      </c>
      <c r="F13" s="15" t="s">
        <v>217</v>
      </c>
      <c r="G13" s="15" t="s">
        <v>175</v>
      </c>
      <c r="H13" s="15" t="s">
        <v>149</v>
      </c>
      <c r="I13" s="16" t="s">
        <v>218</v>
      </c>
      <c r="J13" s="17" t="s">
        <v>37</v>
      </c>
      <c r="K13" s="17"/>
      <c r="L13" s="18" t="s">
        <v>37</v>
      </c>
      <c r="M13" s="17" t="s">
        <v>37</v>
      </c>
      <c r="N13" s="16" t="s">
        <v>219</v>
      </c>
    </row>
    <row r="14" customFormat="false" ht="29.25" hidden="false" customHeight="true" outlineLevel="0" collapsed="false">
      <c r="A14" s="13" t="s">
        <v>220</v>
      </c>
      <c r="B14" s="14" t="s">
        <v>143</v>
      </c>
      <c r="C14" s="15" t="s">
        <v>221</v>
      </c>
      <c r="D14" s="15" t="s">
        <v>222</v>
      </c>
      <c r="E14" s="15" t="s">
        <v>223</v>
      </c>
      <c r="F14" s="15" t="s">
        <v>224</v>
      </c>
      <c r="G14" s="15" t="s">
        <v>225</v>
      </c>
      <c r="H14" s="15" t="s">
        <v>149</v>
      </c>
      <c r="I14" s="16" t="s">
        <v>226</v>
      </c>
      <c r="J14" s="17" t="s">
        <v>45</v>
      </c>
      <c r="K14" s="17" t="s">
        <v>227</v>
      </c>
      <c r="L14" s="18" t="s">
        <v>53</v>
      </c>
      <c r="M14" s="17" t="s">
        <v>37</v>
      </c>
      <c r="N14" s="16" t="s">
        <v>228</v>
      </c>
    </row>
    <row r="15" customFormat="false" ht="29.25" hidden="false" customHeight="true" outlineLevel="0" collapsed="false">
      <c r="A15" s="13" t="s">
        <v>229</v>
      </c>
      <c r="B15" s="14" t="s">
        <v>143</v>
      </c>
      <c r="C15" s="15" t="s">
        <v>230</v>
      </c>
      <c r="D15" s="14" t="s">
        <v>136</v>
      </c>
      <c r="E15" s="15" t="s">
        <v>231</v>
      </c>
      <c r="F15" s="15" t="s">
        <v>232</v>
      </c>
      <c r="G15" s="15" t="s">
        <v>233</v>
      </c>
      <c r="H15" s="15" t="s">
        <v>234</v>
      </c>
      <c r="I15" s="16" t="s">
        <v>235</v>
      </c>
      <c r="J15" s="17" t="s">
        <v>37</v>
      </c>
      <c r="K15" s="17"/>
      <c r="L15" s="18" t="s">
        <v>37</v>
      </c>
      <c r="M15" s="17" t="s">
        <v>37</v>
      </c>
      <c r="N15" s="16" t="s">
        <v>236</v>
      </c>
    </row>
    <row r="16" customFormat="false" ht="57.75" hidden="false" customHeight="true" outlineLevel="0" collapsed="false">
      <c r="A16" s="13" t="s">
        <v>237</v>
      </c>
      <c r="B16" s="14" t="s">
        <v>143</v>
      </c>
      <c r="C16" s="15" t="s">
        <v>238</v>
      </c>
      <c r="D16" s="15" t="s">
        <v>239</v>
      </c>
      <c r="E16" s="15" t="s">
        <v>240</v>
      </c>
      <c r="F16" s="14" t="s">
        <v>241</v>
      </c>
      <c r="G16" s="15" t="s">
        <v>242</v>
      </c>
      <c r="H16" s="15" t="s">
        <v>243</v>
      </c>
      <c r="I16" s="16" t="s">
        <v>244</v>
      </c>
      <c r="J16" s="17" t="s">
        <v>37</v>
      </c>
      <c r="K16" s="17"/>
      <c r="L16" s="18" t="s">
        <v>37</v>
      </c>
      <c r="M16" s="17" t="s">
        <v>37</v>
      </c>
      <c r="N16" s="17" t="s">
        <v>245</v>
      </c>
    </row>
    <row r="17" customFormat="false" ht="29.25" hidden="false" customHeight="true" outlineLevel="0" collapsed="false">
      <c r="A17" s="13" t="s">
        <v>246</v>
      </c>
      <c r="B17" s="14" t="s">
        <v>143</v>
      </c>
      <c r="C17" s="15" t="s">
        <v>247</v>
      </c>
      <c r="D17" s="14" t="s">
        <v>136</v>
      </c>
      <c r="E17" s="15" t="s">
        <v>248</v>
      </c>
      <c r="F17" s="15" t="s">
        <v>249</v>
      </c>
      <c r="G17" s="15" t="s">
        <v>250</v>
      </c>
      <c r="H17" s="15" t="s">
        <v>251</v>
      </c>
      <c r="I17" s="16" t="s">
        <v>252</v>
      </c>
      <c r="J17" s="17" t="s">
        <v>37</v>
      </c>
      <c r="K17" s="17"/>
      <c r="L17" s="18" t="s">
        <v>37</v>
      </c>
      <c r="M17" s="17" t="s">
        <v>37</v>
      </c>
      <c r="N17" s="16" t="s">
        <v>253</v>
      </c>
    </row>
    <row r="18" customFormat="false" ht="57.75" hidden="false" customHeight="true" outlineLevel="0" collapsed="false">
      <c r="A18" s="13" t="s">
        <v>254</v>
      </c>
      <c r="B18" s="14" t="s">
        <v>143</v>
      </c>
      <c r="C18" s="15" t="s">
        <v>255</v>
      </c>
      <c r="D18" s="15" t="s">
        <v>256</v>
      </c>
      <c r="E18" s="15" t="s">
        <v>257</v>
      </c>
      <c r="F18" s="15" t="s">
        <v>258</v>
      </c>
      <c r="G18" s="15" t="s">
        <v>250</v>
      </c>
      <c r="H18" s="15" t="s">
        <v>251</v>
      </c>
      <c r="I18" s="16" t="s">
        <v>259</v>
      </c>
      <c r="J18" s="17" t="s">
        <v>37</v>
      </c>
      <c r="K18" s="17"/>
      <c r="L18" s="18" t="s">
        <v>37</v>
      </c>
      <c r="M18" s="17" t="s">
        <v>37</v>
      </c>
      <c r="N18" s="16" t="s">
        <v>260</v>
      </c>
    </row>
    <row r="19" customFormat="false" ht="29.25" hidden="false" customHeight="true" outlineLevel="0" collapsed="false">
      <c r="A19" s="13" t="s">
        <v>261</v>
      </c>
      <c r="B19" s="14" t="s">
        <v>143</v>
      </c>
      <c r="C19" s="15" t="s">
        <v>262</v>
      </c>
      <c r="D19" s="15" t="s">
        <v>263</v>
      </c>
      <c r="E19" s="15" t="s">
        <v>264</v>
      </c>
      <c r="F19" s="15" t="s">
        <v>265</v>
      </c>
      <c r="G19" s="15" t="s">
        <v>266</v>
      </c>
      <c r="H19" s="15" t="s">
        <v>149</v>
      </c>
      <c r="I19" s="16" t="s">
        <v>267</v>
      </c>
      <c r="J19" s="17" t="s">
        <v>37</v>
      </c>
      <c r="K19" s="17" t="s">
        <v>268</v>
      </c>
      <c r="L19" s="18" t="s">
        <v>53</v>
      </c>
      <c r="M19" s="17" t="s">
        <v>37</v>
      </c>
      <c r="N19" s="16" t="s">
        <v>269</v>
      </c>
    </row>
    <row r="20" customFormat="false" ht="16.5" hidden="false" customHeight="true" outlineLevel="0" collapsed="false">
      <c r="A20" s="12" t="s">
        <v>270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271</v>
      </c>
      <c r="B21" s="14" t="s">
        <v>272</v>
      </c>
      <c r="C21" s="15" t="s">
        <v>273</v>
      </c>
      <c r="D21" s="15" t="s">
        <v>274</v>
      </c>
      <c r="E21" s="15" t="s">
        <v>275</v>
      </c>
      <c r="F21" s="15" t="s">
        <v>276</v>
      </c>
      <c r="G21" s="15" t="s">
        <v>277</v>
      </c>
      <c r="H21" s="15" t="s">
        <v>278</v>
      </c>
      <c r="I21" s="16" t="s">
        <v>279</v>
      </c>
      <c r="J21" s="17" t="s">
        <v>37</v>
      </c>
      <c r="K21" s="17"/>
      <c r="L21" s="18" t="s">
        <v>37</v>
      </c>
      <c r="M21" s="17" t="s">
        <v>37</v>
      </c>
      <c r="N21" s="17" t="s">
        <v>280</v>
      </c>
    </row>
    <row r="22" customFormat="false" ht="40.5" hidden="false" customHeight="true" outlineLevel="0" collapsed="false">
      <c r="A22" s="13" t="s">
        <v>281</v>
      </c>
      <c r="B22" s="14" t="s">
        <v>272</v>
      </c>
      <c r="C22" s="15" t="s">
        <v>282</v>
      </c>
      <c r="D22" s="15" t="s">
        <v>167</v>
      </c>
      <c r="E22" s="15" t="s">
        <v>283</v>
      </c>
      <c r="F22" s="15" t="s">
        <v>284</v>
      </c>
      <c r="G22" s="15" t="s">
        <v>175</v>
      </c>
      <c r="H22" s="15" t="s">
        <v>251</v>
      </c>
      <c r="I22" s="16" t="s">
        <v>285</v>
      </c>
      <c r="J22" s="17" t="s">
        <v>37</v>
      </c>
      <c r="K22" s="17"/>
      <c r="L22" s="18" t="s">
        <v>37</v>
      </c>
      <c r="M22" s="17" t="s">
        <v>37</v>
      </c>
      <c r="N22" s="16" t="s">
        <v>286</v>
      </c>
    </row>
    <row r="23" customFormat="false" ht="72" hidden="false" customHeight="true" outlineLevel="0" collapsed="false">
      <c r="A23" s="13" t="s">
        <v>287</v>
      </c>
      <c r="B23" s="14" t="s">
        <v>272</v>
      </c>
      <c r="C23" s="15" t="s">
        <v>288</v>
      </c>
      <c r="D23" s="15" t="s">
        <v>289</v>
      </c>
      <c r="E23" s="15" t="s">
        <v>290</v>
      </c>
      <c r="F23" s="15" t="s">
        <v>291</v>
      </c>
      <c r="G23" s="15" t="s">
        <v>292</v>
      </c>
      <c r="H23" s="15" t="s">
        <v>293</v>
      </c>
      <c r="I23" s="16" t="s">
        <v>294</v>
      </c>
      <c r="J23" s="17" t="s">
        <v>37</v>
      </c>
      <c r="K23" s="17"/>
      <c r="L23" s="18" t="s">
        <v>37</v>
      </c>
      <c r="M23" s="17" t="s">
        <v>37</v>
      </c>
      <c r="N23" s="17" t="s">
        <v>295</v>
      </c>
    </row>
    <row r="24" customFormat="false" ht="43.5" hidden="false" customHeight="true" outlineLevel="0" collapsed="false">
      <c r="A24" s="13" t="s">
        <v>296</v>
      </c>
      <c r="B24" s="14" t="s">
        <v>272</v>
      </c>
      <c r="C24" s="15" t="s">
        <v>297</v>
      </c>
      <c r="D24" s="15" t="s">
        <v>298</v>
      </c>
      <c r="E24" s="15" t="s">
        <v>299</v>
      </c>
      <c r="F24" s="15" t="s">
        <v>300</v>
      </c>
      <c r="G24" s="15" t="s">
        <v>301</v>
      </c>
      <c r="H24" s="15" t="s">
        <v>293</v>
      </c>
      <c r="I24" s="16" t="s">
        <v>302</v>
      </c>
      <c r="J24" s="17" t="s">
        <v>37</v>
      </c>
      <c r="K24" s="17"/>
      <c r="L24" s="18" t="s">
        <v>37</v>
      </c>
      <c r="M24" s="17" t="s">
        <v>37</v>
      </c>
      <c r="N24" s="17" t="s">
        <v>303</v>
      </c>
    </row>
    <row r="25" customFormat="false" ht="29.25" hidden="false" customHeight="true" outlineLevel="0" collapsed="false">
      <c r="A25" s="13" t="s">
        <v>304</v>
      </c>
      <c r="B25" s="14" t="s">
        <v>272</v>
      </c>
      <c r="C25" s="15" t="s">
        <v>305</v>
      </c>
      <c r="D25" s="14" t="s">
        <v>136</v>
      </c>
      <c r="E25" s="15" t="s">
        <v>306</v>
      </c>
      <c r="F25" s="15" t="s">
        <v>307</v>
      </c>
      <c r="G25" s="15" t="s">
        <v>308</v>
      </c>
      <c r="H25" s="15" t="s">
        <v>251</v>
      </c>
      <c r="I25" s="16" t="s">
        <v>309</v>
      </c>
      <c r="J25" s="17" t="s">
        <v>37</v>
      </c>
      <c r="K25" s="17"/>
      <c r="L25" s="18" t="s">
        <v>37</v>
      </c>
      <c r="M25" s="17" t="s">
        <v>37</v>
      </c>
      <c r="N25" s="17" t="s">
        <v>310</v>
      </c>
    </row>
    <row r="26" customFormat="false" ht="29.25" hidden="false" customHeight="true" outlineLevel="0" collapsed="false">
      <c r="A26" s="13" t="s">
        <v>311</v>
      </c>
      <c r="B26" s="14" t="s">
        <v>272</v>
      </c>
      <c r="C26" s="15" t="s">
        <v>312</v>
      </c>
      <c r="D26" s="15" t="s">
        <v>313</v>
      </c>
      <c r="E26" s="15" t="s">
        <v>314</v>
      </c>
      <c r="F26" s="14" t="s">
        <v>315</v>
      </c>
      <c r="G26" s="15" t="s">
        <v>175</v>
      </c>
      <c r="H26" s="15" t="s">
        <v>149</v>
      </c>
      <c r="I26" s="16" t="s">
        <v>316</v>
      </c>
      <c r="J26" s="17" t="s">
        <v>37</v>
      </c>
      <c r="K26" s="17"/>
      <c r="L26" s="18" t="s">
        <v>37</v>
      </c>
      <c r="M26" s="17" t="s">
        <v>37</v>
      </c>
      <c r="N26" s="16" t="s">
        <v>317</v>
      </c>
    </row>
    <row r="27" customFormat="false" ht="43.5" hidden="false" customHeight="true" outlineLevel="0" collapsed="false">
      <c r="A27" s="13" t="s">
        <v>318</v>
      </c>
      <c r="B27" s="14" t="s">
        <v>272</v>
      </c>
      <c r="C27" s="15" t="s">
        <v>319</v>
      </c>
      <c r="D27" s="15" t="s">
        <v>320</v>
      </c>
      <c r="E27" s="15" t="s">
        <v>321</v>
      </c>
      <c r="F27" s="15" t="s">
        <v>322</v>
      </c>
      <c r="G27" s="15" t="s">
        <v>175</v>
      </c>
      <c r="H27" s="15" t="s">
        <v>149</v>
      </c>
      <c r="I27" s="16" t="s">
        <v>323</v>
      </c>
      <c r="J27" s="17" t="s">
        <v>37</v>
      </c>
      <c r="K27" s="17"/>
      <c r="L27" s="18" t="s">
        <v>37</v>
      </c>
      <c r="M27" s="17" t="s">
        <v>37</v>
      </c>
      <c r="N27" s="17" t="s">
        <v>324</v>
      </c>
    </row>
    <row r="28" customFormat="false" ht="29.25" hidden="false" customHeight="true" outlineLevel="0" collapsed="false">
      <c r="A28" s="13" t="s">
        <v>325</v>
      </c>
      <c r="B28" s="14" t="s">
        <v>272</v>
      </c>
      <c r="C28" s="15" t="s">
        <v>326</v>
      </c>
      <c r="D28" s="15" t="s">
        <v>327</v>
      </c>
      <c r="E28" s="15" t="s">
        <v>328</v>
      </c>
      <c r="F28" s="15" t="s">
        <v>329</v>
      </c>
      <c r="G28" s="15" t="s">
        <v>175</v>
      </c>
      <c r="H28" s="15" t="s">
        <v>149</v>
      </c>
      <c r="I28" s="17" t="s">
        <v>330</v>
      </c>
      <c r="J28" s="17" t="s">
        <v>37</v>
      </c>
      <c r="K28" s="17"/>
      <c r="L28" s="18" t="s">
        <v>37</v>
      </c>
      <c r="M28" s="17" t="s">
        <v>37</v>
      </c>
      <c r="N28" s="17" t="s">
        <v>331</v>
      </c>
    </row>
    <row r="29" customFormat="false" ht="43.5" hidden="false" customHeight="true" outlineLevel="0" collapsed="false">
      <c r="A29" s="13" t="s">
        <v>332</v>
      </c>
      <c r="B29" s="14" t="s">
        <v>272</v>
      </c>
      <c r="C29" s="15" t="s">
        <v>333</v>
      </c>
      <c r="D29" s="15" t="s">
        <v>334</v>
      </c>
      <c r="E29" s="15" t="s">
        <v>335</v>
      </c>
      <c r="F29" s="15" t="s">
        <v>336</v>
      </c>
      <c r="G29" s="15" t="s">
        <v>337</v>
      </c>
      <c r="H29" s="15" t="s">
        <v>338</v>
      </c>
      <c r="I29" s="16" t="s">
        <v>339</v>
      </c>
      <c r="J29" s="17" t="s">
        <v>37</v>
      </c>
      <c r="K29" s="17"/>
      <c r="L29" s="18" t="s">
        <v>37</v>
      </c>
      <c r="M29" s="17" t="s">
        <v>37</v>
      </c>
      <c r="N29" s="16" t="s">
        <v>340</v>
      </c>
    </row>
    <row r="30" customFormat="false" ht="43.5" hidden="false" customHeight="true" outlineLevel="0" collapsed="false">
      <c r="A30" s="13" t="s">
        <v>341</v>
      </c>
      <c r="B30" s="14" t="s">
        <v>272</v>
      </c>
      <c r="C30" s="15" t="s">
        <v>342</v>
      </c>
      <c r="D30" s="14" t="s">
        <v>136</v>
      </c>
      <c r="E30" s="15" t="s">
        <v>343</v>
      </c>
      <c r="F30" s="15" t="s">
        <v>344</v>
      </c>
      <c r="G30" s="15" t="s">
        <v>301</v>
      </c>
      <c r="H30" s="15" t="s">
        <v>149</v>
      </c>
      <c r="I30" s="16" t="s">
        <v>345</v>
      </c>
      <c r="J30" s="17" t="s">
        <v>45</v>
      </c>
      <c r="K30" s="17" t="s">
        <v>346</v>
      </c>
      <c r="L30" s="18" t="s">
        <v>53</v>
      </c>
      <c r="M30" s="17" t="s">
        <v>37</v>
      </c>
      <c r="N30" s="16" t="s">
        <v>347</v>
      </c>
    </row>
    <row r="31" customFormat="false" ht="43.5" hidden="false" customHeight="true" outlineLevel="0" collapsed="false">
      <c r="A31" s="13" t="s">
        <v>348</v>
      </c>
      <c r="B31" s="14" t="s">
        <v>272</v>
      </c>
      <c r="C31" s="15" t="s">
        <v>349</v>
      </c>
      <c r="D31" s="15" t="s">
        <v>350</v>
      </c>
      <c r="E31" s="15" t="s">
        <v>351</v>
      </c>
      <c r="F31" s="15" t="s">
        <v>352</v>
      </c>
      <c r="G31" s="15" t="s">
        <v>353</v>
      </c>
      <c r="H31" s="15" t="s">
        <v>354</v>
      </c>
      <c r="I31" s="16" t="s">
        <v>355</v>
      </c>
      <c r="J31" s="17" t="s">
        <v>37</v>
      </c>
      <c r="K31" s="17"/>
      <c r="L31" s="18" t="s">
        <v>37</v>
      </c>
      <c r="M31" s="17" t="s">
        <v>37</v>
      </c>
      <c r="N31" s="16" t="s">
        <v>356</v>
      </c>
    </row>
    <row r="32" customFormat="false" ht="29.25" hidden="false" customHeight="true" outlineLevel="0" collapsed="false">
      <c r="A32" s="13" t="s">
        <v>357</v>
      </c>
      <c r="B32" s="14" t="s">
        <v>272</v>
      </c>
      <c r="C32" s="15" t="s">
        <v>358</v>
      </c>
      <c r="D32" s="15" t="s">
        <v>359</v>
      </c>
      <c r="E32" s="15" t="s">
        <v>360</v>
      </c>
      <c r="F32" s="15" t="s">
        <v>361</v>
      </c>
      <c r="G32" s="15" t="s">
        <v>301</v>
      </c>
      <c r="H32" s="15" t="s">
        <v>362</v>
      </c>
      <c r="I32" s="16" t="s">
        <v>363</v>
      </c>
      <c r="J32" s="17" t="s">
        <v>37</v>
      </c>
      <c r="K32" s="17"/>
      <c r="L32" s="18" t="s">
        <v>37</v>
      </c>
      <c r="M32" s="17" t="s">
        <v>37</v>
      </c>
      <c r="N32" s="16" t="s">
        <v>364</v>
      </c>
    </row>
    <row r="33" customFormat="false" ht="43.5" hidden="false" customHeight="true" outlineLevel="0" collapsed="false">
      <c r="A33" s="13" t="s">
        <v>365</v>
      </c>
      <c r="B33" s="14" t="s">
        <v>272</v>
      </c>
      <c r="C33" s="15" t="s">
        <v>366</v>
      </c>
      <c r="D33" s="15" t="s">
        <v>359</v>
      </c>
      <c r="E33" s="15" t="s">
        <v>367</v>
      </c>
      <c r="F33" s="15" t="s">
        <v>368</v>
      </c>
      <c r="G33" s="15" t="s">
        <v>369</v>
      </c>
      <c r="H33" s="15" t="s">
        <v>149</v>
      </c>
      <c r="I33" s="16" t="s">
        <v>370</v>
      </c>
      <c r="J33" s="17" t="s">
        <v>37</v>
      </c>
      <c r="K33" s="17"/>
      <c r="L33" s="18" t="s">
        <v>37</v>
      </c>
      <c r="M33" s="17" t="s">
        <v>37</v>
      </c>
      <c r="N33" s="17" t="s">
        <v>371</v>
      </c>
    </row>
    <row r="34" customFormat="false" ht="29.25" hidden="false" customHeight="true" outlineLevel="0" collapsed="false">
      <c r="A34" s="13" t="s">
        <v>372</v>
      </c>
      <c r="B34" s="14" t="s">
        <v>272</v>
      </c>
      <c r="C34" s="15" t="s">
        <v>373</v>
      </c>
      <c r="D34" s="14" t="s">
        <v>136</v>
      </c>
      <c r="E34" s="15" t="s">
        <v>374</v>
      </c>
      <c r="F34" s="15" t="s">
        <v>375</v>
      </c>
      <c r="G34" s="15" t="s">
        <v>376</v>
      </c>
      <c r="H34" s="15" t="s">
        <v>251</v>
      </c>
      <c r="I34" s="16" t="s">
        <v>377</v>
      </c>
      <c r="J34" s="17" t="s">
        <v>37</v>
      </c>
      <c r="K34" s="17"/>
      <c r="L34" s="18" t="s">
        <v>37</v>
      </c>
      <c r="M34" s="17" t="s">
        <v>37</v>
      </c>
      <c r="N34" s="16" t="s">
        <v>378</v>
      </c>
    </row>
    <row r="35" customFormat="false" ht="43.5" hidden="false" customHeight="true" outlineLevel="0" collapsed="false">
      <c r="A35" s="13" t="s">
        <v>379</v>
      </c>
      <c r="B35" s="14" t="s">
        <v>272</v>
      </c>
      <c r="C35" s="15" t="s">
        <v>380</v>
      </c>
      <c r="D35" s="15" t="s">
        <v>381</v>
      </c>
      <c r="E35" s="15" t="s">
        <v>382</v>
      </c>
      <c r="F35" s="15" t="s">
        <v>383</v>
      </c>
      <c r="G35" s="15" t="s">
        <v>233</v>
      </c>
      <c r="H35" s="15" t="s">
        <v>384</v>
      </c>
      <c r="I35" s="16" t="s">
        <v>385</v>
      </c>
      <c r="J35" s="17" t="s">
        <v>37</v>
      </c>
      <c r="K35" s="17"/>
      <c r="L35" s="18" t="s">
        <v>37</v>
      </c>
      <c r="M35" s="17" t="s">
        <v>37</v>
      </c>
      <c r="N35" s="17" t="s">
        <v>386</v>
      </c>
    </row>
    <row r="36" customFormat="false" ht="29.25" hidden="false" customHeight="true" outlineLevel="0" collapsed="false">
      <c r="A36" s="13" t="s">
        <v>387</v>
      </c>
      <c r="B36" s="14" t="s">
        <v>272</v>
      </c>
      <c r="C36" s="15" t="s">
        <v>388</v>
      </c>
      <c r="D36" s="14" t="s">
        <v>136</v>
      </c>
      <c r="E36" s="15" t="s">
        <v>389</v>
      </c>
      <c r="F36" s="15" t="s">
        <v>390</v>
      </c>
      <c r="G36" s="15" t="s">
        <v>233</v>
      </c>
      <c r="H36" s="15" t="s">
        <v>391</v>
      </c>
      <c r="I36" s="16" t="s">
        <v>392</v>
      </c>
      <c r="J36" s="17" t="s">
        <v>37</v>
      </c>
      <c r="K36" s="17" t="s">
        <v>393</v>
      </c>
      <c r="L36" s="18" t="s">
        <v>53</v>
      </c>
      <c r="M36" s="17" t="s">
        <v>37</v>
      </c>
      <c r="N36" s="16" t="s">
        <v>394</v>
      </c>
    </row>
    <row r="37" customFormat="false" ht="15" hidden="false" customHeight="true" outlineLevel="0" collapsed="false">
      <c r="A37" s="13" t="s">
        <v>395</v>
      </c>
      <c r="B37" s="14" t="s">
        <v>272</v>
      </c>
      <c r="C37" s="15" t="s">
        <v>396</v>
      </c>
      <c r="D37" s="14" t="s">
        <v>136</v>
      </c>
      <c r="E37" s="15" t="s">
        <v>397</v>
      </c>
      <c r="F37" s="15" t="s">
        <v>398</v>
      </c>
      <c r="G37" s="15" t="s">
        <v>399</v>
      </c>
      <c r="H37" s="15" t="s">
        <v>149</v>
      </c>
      <c r="I37" s="16" t="s">
        <v>400</v>
      </c>
      <c r="J37" s="17" t="s">
        <v>39</v>
      </c>
      <c r="K37" s="17" t="s">
        <v>401</v>
      </c>
      <c r="L37" s="18" t="s">
        <v>53</v>
      </c>
      <c r="M37" s="17" t="s">
        <v>37</v>
      </c>
      <c r="N37" s="17" t="s">
        <v>402</v>
      </c>
    </row>
    <row r="38" customFormat="false" ht="29.25" hidden="false" customHeight="true" outlineLevel="0" collapsed="false">
      <c r="A38" s="13" t="s">
        <v>403</v>
      </c>
      <c r="B38" s="14" t="s">
        <v>272</v>
      </c>
      <c r="C38" s="15" t="s">
        <v>404</v>
      </c>
      <c r="D38" s="14" t="s">
        <v>136</v>
      </c>
      <c r="E38" s="15" t="s">
        <v>405</v>
      </c>
      <c r="F38" s="15" t="s">
        <v>406</v>
      </c>
      <c r="G38" s="15" t="s">
        <v>407</v>
      </c>
      <c r="H38" s="15" t="s">
        <v>149</v>
      </c>
      <c r="I38" s="16" t="s">
        <v>408</v>
      </c>
      <c r="J38" s="17" t="s">
        <v>39</v>
      </c>
      <c r="K38" s="17" t="s">
        <v>409</v>
      </c>
      <c r="L38" s="18" t="s">
        <v>53</v>
      </c>
      <c r="M38" s="17" t="s">
        <v>37</v>
      </c>
      <c r="N38" s="16" t="s">
        <v>410</v>
      </c>
    </row>
    <row r="39" customFormat="false" ht="16.5" hidden="false" customHeight="true" outlineLevel="0" collapsed="false">
      <c r="A39" s="12" t="s">
        <v>411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412</v>
      </c>
      <c r="B40" s="14" t="s">
        <v>413</v>
      </c>
      <c r="C40" s="15" t="s">
        <v>414</v>
      </c>
      <c r="D40" s="15" t="s">
        <v>415</v>
      </c>
      <c r="E40" s="15" t="s">
        <v>416</v>
      </c>
      <c r="F40" s="15" t="s">
        <v>417</v>
      </c>
      <c r="G40" s="15" t="s">
        <v>418</v>
      </c>
      <c r="H40" s="15" t="s">
        <v>384</v>
      </c>
      <c r="I40" s="16" t="s">
        <v>419</v>
      </c>
      <c r="J40" s="17" t="s">
        <v>39</v>
      </c>
      <c r="K40" s="17" t="s">
        <v>420</v>
      </c>
      <c r="L40" s="18" t="s">
        <v>53</v>
      </c>
      <c r="M40" s="17" t="s">
        <v>37</v>
      </c>
      <c r="N40" s="17" t="s">
        <v>421</v>
      </c>
    </row>
    <row r="41" customFormat="false" ht="43.5" hidden="false" customHeight="true" outlineLevel="0" collapsed="false">
      <c r="A41" s="13" t="s">
        <v>422</v>
      </c>
      <c r="B41" s="14" t="s">
        <v>413</v>
      </c>
      <c r="C41" s="15" t="s">
        <v>423</v>
      </c>
      <c r="D41" s="15" t="s">
        <v>424</v>
      </c>
      <c r="E41" s="15" t="s">
        <v>425</v>
      </c>
      <c r="F41" s="15" t="s">
        <v>426</v>
      </c>
      <c r="G41" s="15" t="s">
        <v>427</v>
      </c>
      <c r="H41" s="15" t="s">
        <v>243</v>
      </c>
      <c r="I41" s="16" t="s">
        <v>428</v>
      </c>
      <c r="J41" s="17" t="s">
        <v>37</v>
      </c>
      <c r="K41" s="17" t="s">
        <v>429</v>
      </c>
      <c r="L41" s="18" t="s">
        <v>53</v>
      </c>
      <c r="M41" s="17" t="s">
        <v>37</v>
      </c>
      <c r="N41" s="16" t="s">
        <v>430</v>
      </c>
    </row>
    <row r="42" customFormat="false" ht="43.5" hidden="false" customHeight="true" outlineLevel="0" collapsed="false">
      <c r="A42" s="13" t="s">
        <v>431</v>
      </c>
      <c r="B42" s="14" t="s">
        <v>413</v>
      </c>
      <c r="C42" s="15" t="s">
        <v>432</v>
      </c>
      <c r="D42" s="15" t="s">
        <v>433</v>
      </c>
      <c r="E42" s="15" t="s">
        <v>434</v>
      </c>
      <c r="F42" s="14" t="s">
        <v>435</v>
      </c>
      <c r="G42" s="15" t="s">
        <v>436</v>
      </c>
      <c r="H42" s="15" t="s">
        <v>243</v>
      </c>
      <c r="I42" s="16" t="s">
        <v>437</v>
      </c>
      <c r="J42" s="17" t="s">
        <v>37</v>
      </c>
      <c r="K42" s="17"/>
      <c r="L42" s="18" t="s">
        <v>37</v>
      </c>
      <c r="M42" s="17" t="s">
        <v>37</v>
      </c>
      <c r="N42" s="16" t="s">
        <v>438</v>
      </c>
    </row>
    <row r="43" customFormat="false" ht="43.5" hidden="false" customHeight="true" outlineLevel="0" collapsed="false">
      <c r="A43" s="13" t="s">
        <v>439</v>
      </c>
      <c r="B43" s="14" t="s">
        <v>413</v>
      </c>
      <c r="C43" s="15" t="s">
        <v>440</v>
      </c>
      <c r="D43" s="15" t="s">
        <v>441</v>
      </c>
      <c r="E43" s="15" t="s">
        <v>442</v>
      </c>
      <c r="F43" s="15" t="s">
        <v>443</v>
      </c>
      <c r="G43" s="15" t="s">
        <v>444</v>
      </c>
      <c r="H43" s="15" t="s">
        <v>149</v>
      </c>
      <c r="I43" s="16" t="s">
        <v>445</v>
      </c>
      <c r="J43" s="17" t="s">
        <v>37</v>
      </c>
      <c r="K43" s="17" t="s">
        <v>446</v>
      </c>
      <c r="L43" s="18" t="s">
        <v>53</v>
      </c>
      <c r="M43" s="17" t="s">
        <v>37</v>
      </c>
      <c r="N43" s="16" t="s">
        <v>447</v>
      </c>
    </row>
    <row r="44" customFormat="false" ht="57.75" hidden="false" customHeight="true" outlineLevel="0" collapsed="false">
      <c r="A44" s="13" t="s">
        <v>448</v>
      </c>
      <c r="B44" s="14" t="s">
        <v>413</v>
      </c>
      <c r="C44" s="15" t="s">
        <v>449</v>
      </c>
      <c r="D44" s="15" t="s">
        <v>450</v>
      </c>
      <c r="E44" s="15" t="s">
        <v>451</v>
      </c>
      <c r="F44" s="15" t="s">
        <v>452</v>
      </c>
      <c r="G44" s="15" t="s">
        <v>453</v>
      </c>
      <c r="H44" s="15" t="s">
        <v>149</v>
      </c>
      <c r="I44" s="16" t="s">
        <v>454</v>
      </c>
      <c r="J44" s="17" t="s">
        <v>45</v>
      </c>
      <c r="K44" s="17" t="s">
        <v>455</v>
      </c>
      <c r="L44" s="18" t="s">
        <v>53</v>
      </c>
      <c r="M44" s="17" t="s">
        <v>37</v>
      </c>
      <c r="N44" s="16" t="s">
        <v>456</v>
      </c>
    </row>
    <row r="45" customFormat="false" ht="43.5" hidden="false" customHeight="true" outlineLevel="0" collapsed="false">
      <c r="A45" s="13" t="s">
        <v>457</v>
      </c>
      <c r="B45" s="14" t="s">
        <v>413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149</v>
      </c>
      <c r="I45" s="16" t="s">
        <v>463</v>
      </c>
      <c r="J45" s="17" t="s">
        <v>37</v>
      </c>
      <c r="K45" s="17"/>
      <c r="L45" s="18" t="s">
        <v>37</v>
      </c>
      <c r="M45" s="17" t="s">
        <v>37</v>
      </c>
      <c r="N45" s="16" t="s">
        <v>464</v>
      </c>
    </row>
    <row r="46" customFormat="false" ht="29.25" hidden="false" customHeight="true" outlineLevel="0" collapsed="false">
      <c r="A46" s="13" t="s">
        <v>465</v>
      </c>
      <c r="B46" s="14" t="s">
        <v>413</v>
      </c>
      <c r="C46" s="15" t="s">
        <v>466</v>
      </c>
      <c r="D46" s="15" t="s">
        <v>467</v>
      </c>
      <c r="E46" s="15" t="s">
        <v>468</v>
      </c>
      <c r="F46" s="15" t="s">
        <v>469</v>
      </c>
      <c r="G46" s="15" t="s">
        <v>470</v>
      </c>
      <c r="H46" s="15" t="s">
        <v>149</v>
      </c>
      <c r="I46" s="16" t="s">
        <v>471</v>
      </c>
      <c r="J46" s="17" t="s">
        <v>37</v>
      </c>
      <c r="K46" s="17"/>
      <c r="L46" s="18" t="s">
        <v>37</v>
      </c>
      <c r="M46" s="17" t="s">
        <v>37</v>
      </c>
      <c r="N46" s="17" t="s">
        <v>472</v>
      </c>
    </row>
    <row r="47" customFormat="false" ht="43.5" hidden="false" customHeight="true" outlineLevel="0" collapsed="false">
      <c r="A47" s="13" t="s">
        <v>473</v>
      </c>
      <c r="B47" s="14" t="s">
        <v>413</v>
      </c>
      <c r="C47" s="15" t="s">
        <v>474</v>
      </c>
      <c r="D47" s="15" t="s">
        <v>475</v>
      </c>
      <c r="E47" s="15" t="s">
        <v>476</v>
      </c>
      <c r="F47" s="15" t="s">
        <v>477</v>
      </c>
      <c r="G47" s="14" t="s">
        <v>478</v>
      </c>
      <c r="H47" s="15" t="s">
        <v>149</v>
      </c>
      <c r="I47" s="16" t="s">
        <v>479</v>
      </c>
      <c r="J47" s="17" t="s">
        <v>37</v>
      </c>
      <c r="K47" s="17"/>
      <c r="L47" s="18" t="s">
        <v>37</v>
      </c>
      <c r="M47" s="17" t="s">
        <v>37</v>
      </c>
      <c r="N47" s="16" t="s">
        <v>480</v>
      </c>
    </row>
    <row r="48" customFormat="false" ht="43.5" hidden="false" customHeight="true" outlineLevel="0" collapsed="false">
      <c r="A48" s="13" t="s">
        <v>481</v>
      </c>
      <c r="B48" s="14" t="s">
        <v>413</v>
      </c>
      <c r="C48" s="15" t="s">
        <v>482</v>
      </c>
      <c r="D48" s="15" t="s">
        <v>483</v>
      </c>
      <c r="E48" s="15" t="s">
        <v>484</v>
      </c>
      <c r="F48" s="15" t="s">
        <v>485</v>
      </c>
      <c r="G48" s="15" t="s">
        <v>233</v>
      </c>
      <c r="H48" s="15" t="s">
        <v>149</v>
      </c>
      <c r="I48" s="16" t="s">
        <v>486</v>
      </c>
      <c r="J48" s="17" t="s">
        <v>37</v>
      </c>
      <c r="K48" s="17"/>
      <c r="L48" s="18" t="s">
        <v>37</v>
      </c>
      <c r="M48" s="17" t="s">
        <v>37</v>
      </c>
      <c r="N48" s="16" t="s">
        <v>487</v>
      </c>
    </row>
    <row r="49" customFormat="false" ht="29.25" hidden="false" customHeight="true" outlineLevel="0" collapsed="false">
      <c r="A49" s="13" t="s">
        <v>488</v>
      </c>
      <c r="B49" s="14" t="s">
        <v>413</v>
      </c>
      <c r="C49" s="15" t="s">
        <v>489</v>
      </c>
      <c r="D49" s="14" t="s">
        <v>136</v>
      </c>
      <c r="E49" s="15" t="s">
        <v>490</v>
      </c>
      <c r="F49" s="15" t="s">
        <v>491</v>
      </c>
      <c r="G49" s="15" t="s">
        <v>233</v>
      </c>
      <c r="H49" s="15" t="s">
        <v>492</v>
      </c>
      <c r="I49" s="16" t="s">
        <v>493</v>
      </c>
      <c r="J49" s="17" t="s">
        <v>37</v>
      </c>
      <c r="K49" s="17"/>
      <c r="L49" s="18" t="s">
        <v>37</v>
      </c>
      <c r="M49" s="17" t="s">
        <v>37</v>
      </c>
      <c r="N49" s="17" t="s">
        <v>494</v>
      </c>
    </row>
    <row r="50" customFormat="false" ht="29.25" hidden="false" customHeight="true" outlineLevel="0" collapsed="false">
      <c r="A50" s="13" t="s">
        <v>495</v>
      </c>
      <c r="B50" s="14" t="s">
        <v>413</v>
      </c>
      <c r="C50" s="15" t="s">
        <v>496</v>
      </c>
      <c r="D50" s="15" t="s">
        <v>497</v>
      </c>
      <c r="E50" s="15" t="s">
        <v>498</v>
      </c>
      <c r="F50" s="15" t="s">
        <v>499</v>
      </c>
      <c r="G50" s="15" t="s">
        <v>301</v>
      </c>
      <c r="H50" s="15" t="s">
        <v>149</v>
      </c>
      <c r="I50" s="16" t="s">
        <v>500</v>
      </c>
      <c r="J50" s="17" t="s">
        <v>37</v>
      </c>
      <c r="K50" s="17"/>
      <c r="L50" s="18" t="s">
        <v>37</v>
      </c>
      <c r="M50" s="17" t="s">
        <v>37</v>
      </c>
      <c r="N50" s="16" t="s">
        <v>501</v>
      </c>
    </row>
    <row r="51" customFormat="false" ht="16.5" hidden="false" customHeight="true" outlineLevel="0" collapsed="false">
      <c r="A51" s="12" t="s">
        <v>502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503</v>
      </c>
      <c r="B52" s="14" t="s">
        <v>504</v>
      </c>
      <c r="C52" s="15" t="s">
        <v>505</v>
      </c>
      <c r="D52" s="15" t="s">
        <v>506</v>
      </c>
      <c r="E52" s="15" t="s">
        <v>507</v>
      </c>
      <c r="F52" s="15" t="s">
        <v>508</v>
      </c>
      <c r="G52" s="15" t="s">
        <v>509</v>
      </c>
      <c r="H52" s="15" t="s">
        <v>149</v>
      </c>
      <c r="I52" s="16" t="s">
        <v>510</v>
      </c>
      <c r="J52" s="17" t="s">
        <v>41</v>
      </c>
      <c r="K52" s="17" t="s">
        <v>511</v>
      </c>
      <c r="L52" s="18" t="s">
        <v>53</v>
      </c>
      <c r="M52" s="17" t="s">
        <v>37</v>
      </c>
      <c r="N52" s="16" t="s">
        <v>512</v>
      </c>
    </row>
    <row r="53" customFormat="false" ht="29.25" hidden="false" customHeight="true" outlineLevel="0" collapsed="false">
      <c r="A53" s="13" t="s">
        <v>513</v>
      </c>
      <c r="B53" s="14" t="s">
        <v>504</v>
      </c>
      <c r="C53" s="15" t="s">
        <v>514</v>
      </c>
      <c r="D53" s="14" t="s">
        <v>136</v>
      </c>
      <c r="E53" s="15" t="s">
        <v>515</v>
      </c>
      <c r="F53" s="15" t="s">
        <v>516</v>
      </c>
      <c r="G53" s="15" t="s">
        <v>233</v>
      </c>
      <c r="H53" s="15" t="s">
        <v>517</v>
      </c>
      <c r="I53" s="16" t="s">
        <v>518</v>
      </c>
      <c r="J53" s="17" t="s">
        <v>37</v>
      </c>
      <c r="K53" s="17"/>
      <c r="L53" s="18" t="s">
        <v>37</v>
      </c>
      <c r="M53" s="17" t="s">
        <v>37</v>
      </c>
      <c r="N53" s="16" t="s">
        <v>519</v>
      </c>
    </row>
    <row r="54" customFormat="false" ht="57.75" hidden="false" customHeight="true" outlineLevel="0" collapsed="false">
      <c r="A54" s="13" t="s">
        <v>520</v>
      </c>
      <c r="B54" s="14" t="s">
        <v>504</v>
      </c>
      <c r="C54" s="15" t="s">
        <v>521</v>
      </c>
      <c r="D54" s="15" t="s">
        <v>522</v>
      </c>
      <c r="E54" s="15" t="s">
        <v>523</v>
      </c>
      <c r="F54" s="15" t="s">
        <v>524</v>
      </c>
      <c r="G54" s="15" t="s">
        <v>525</v>
      </c>
      <c r="H54" s="15" t="s">
        <v>149</v>
      </c>
      <c r="I54" s="16" t="s">
        <v>526</v>
      </c>
      <c r="J54" s="17" t="s">
        <v>39</v>
      </c>
      <c r="K54" s="17" t="s">
        <v>527</v>
      </c>
      <c r="L54" s="18" t="s">
        <v>53</v>
      </c>
      <c r="M54" s="17" t="s">
        <v>37</v>
      </c>
      <c r="N54" s="16" t="s">
        <v>528</v>
      </c>
    </row>
    <row r="55" customFormat="false" ht="43.5" hidden="false" customHeight="true" outlineLevel="0" collapsed="false">
      <c r="A55" s="13" t="s">
        <v>529</v>
      </c>
      <c r="B55" s="14" t="s">
        <v>504</v>
      </c>
      <c r="C55" s="15" t="s">
        <v>530</v>
      </c>
      <c r="D55" s="15" t="s">
        <v>531</v>
      </c>
      <c r="E55" s="15" t="s">
        <v>532</v>
      </c>
      <c r="F55" s="15" t="s">
        <v>533</v>
      </c>
      <c r="G55" s="15" t="s">
        <v>534</v>
      </c>
      <c r="H55" s="15" t="s">
        <v>149</v>
      </c>
      <c r="I55" s="17" t="s">
        <v>535</v>
      </c>
      <c r="J55" s="17" t="s">
        <v>37</v>
      </c>
      <c r="K55" s="17"/>
      <c r="L55" s="18" t="s">
        <v>37</v>
      </c>
      <c r="M55" s="17" t="s">
        <v>37</v>
      </c>
      <c r="N55" s="16" t="s">
        <v>536</v>
      </c>
    </row>
    <row r="56" customFormat="false" ht="57.75" hidden="false" customHeight="true" outlineLevel="0" collapsed="false">
      <c r="A56" s="13" t="s">
        <v>537</v>
      </c>
      <c r="B56" s="14" t="s">
        <v>504</v>
      </c>
      <c r="C56" s="15" t="s">
        <v>538</v>
      </c>
      <c r="D56" s="15" t="s">
        <v>539</v>
      </c>
      <c r="E56" s="15" t="s">
        <v>540</v>
      </c>
      <c r="F56" s="15" t="s">
        <v>541</v>
      </c>
      <c r="G56" s="15" t="s">
        <v>542</v>
      </c>
      <c r="H56" s="15" t="s">
        <v>149</v>
      </c>
      <c r="I56" s="17" t="s">
        <v>543</v>
      </c>
      <c r="J56" s="17" t="s">
        <v>37</v>
      </c>
      <c r="K56" s="17"/>
      <c r="L56" s="18" t="s">
        <v>37</v>
      </c>
      <c r="M56" s="17" t="s">
        <v>37</v>
      </c>
      <c r="N56" s="16" t="s">
        <v>544</v>
      </c>
    </row>
    <row r="57" customFormat="false" ht="57.75" hidden="false" customHeight="true" outlineLevel="0" collapsed="false">
      <c r="A57" s="13" t="s">
        <v>545</v>
      </c>
      <c r="B57" s="14" t="s">
        <v>504</v>
      </c>
      <c r="C57" s="15" t="s">
        <v>546</v>
      </c>
      <c r="D57" s="15" t="s">
        <v>547</v>
      </c>
      <c r="E57" s="15" t="s">
        <v>548</v>
      </c>
      <c r="F57" s="15" t="s">
        <v>549</v>
      </c>
      <c r="G57" s="14" t="s">
        <v>550</v>
      </c>
      <c r="H57" s="15" t="s">
        <v>551</v>
      </c>
      <c r="I57" s="16" t="s">
        <v>552</v>
      </c>
      <c r="J57" s="17" t="s">
        <v>37</v>
      </c>
      <c r="K57" s="17"/>
      <c r="L57" s="18" t="s">
        <v>37</v>
      </c>
      <c r="M57" s="17" t="s">
        <v>37</v>
      </c>
      <c r="N57" s="16" t="s">
        <v>553</v>
      </c>
    </row>
    <row r="58" customFormat="false" ht="43.5" hidden="false" customHeight="true" outlineLevel="0" collapsed="false">
      <c r="A58" s="13" t="s">
        <v>554</v>
      </c>
      <c r="B58" s="14" t="s">
        <v>504</v>
      </c>
      <c r="C58" s="15" t="s">
        <v>555</v>
      </c>
      <c r="D58" s="15" t="s">
        <v>556</v>
      </c>
      <c r="E58" s="15" t="s">
        <v>557</v>
      </c>
      <c r="F58" s="15" t="s">
        <v>558</v>
      </c>
      <c r="G58" s="15" t="s">
        <v>559</v>
      </c>
      <c r="H58" s="15" t="s">
        <v>149</v>
      </c>
      <c r="I58" s="16" t="s">
        <v>560</v>
      </c>
      <c r="J58" s="17" t="s">
        <v>37</v>
      </c>
      <c r="K58" s="17"/>
      <c r="L58" s="18" t="s">
        <v>37</v>
      </c>
      <c r="M58" s="17" t="s">
        <v>37</v>
      </c>
      <c r="N58" s="17" t="s">
        <v>561</v>
      </c>
    </row>
    <row r="59" customFormat="false" ht="29.25" hidden="false" customHeight="true" outlineLevel="0" collapsed="false">
      <c r="A59" s="13" t="s">
        <v>562</v>
      </c>
      <c r="B59" s="14" t="s">
        <v>504</v>
      </c>
      <c r="C59" s="15" t="s">
        <v>563</v>
      </c>
      <c r="D59" s="15" t="s">
        <v>564</v>
      </c>
      <c r="E59" s="15" t="s">
        <v>565</v>
      </c>
      <c r="F59" s="15" t="s">
        <v>566</v>
      </c>
      <c r="G59" s="15" t="s">
        <v>167</v>
      </c>
      <c r="H59" s="15" t="s">
        <v>149</v>
      </c>
      <c r="I59" s="17" t="s">
        <v>567</v>
      </c>
      <c r="J59" s="17" t="s">
        <v>37</v>
      </c>
      <c r="K59" s="17"/>
      <c r="L59" s="18" t="s">
        <v>37</v>
      </c>
      <c r="M59" s="17" t="s">
        <v>37</v>
      </c>
      <c r="N59" s="16" t="s">
        <v>568</v>
      </c>
    </row>
    <row r="60" customFormat="false" ht="72" hidden="false" customHeight="true" outlineLevel="0" collapsed="false">
      <c r="A60" s="13" t="s">
        <v>569</v>
      </c>
      <c r="B60" s="14" t="s">
        <v>504</v>
      </c>
      <c r="C60" s="15" t="s">
        <v>570</v>
      </c>
      <c r="D60" s="15" t="s">
        <v>571</v>
      </c>
      <c r="E60" s="15" t="s">
        <v>572</v>
      </c>
      <c r="F60" s="14" t="s">
        <v>573</v>
      </c>
      <c r="G60" s="14" t="s">
        <v>574</v>
      </c>
      <c r="H60" s="15" t="s">
        <v>149</v>
      </c>
      <c r="I60" s="16" t="s">
        <v>575</v>
      </c>
      <c r="J60" s="17" t="s">
        <v>37</v>
      </c>
      <c r="K60" s="17"/>
      <c r="L60" s="18" t="s">
        <v>37</v>
      </c>
      <c r="M60" s="17" t="s">
        <v>37</v>
      </c>
      <c r="N60" s="16" t="s">
        <v>576</v>
      </c>
    </row>
    <row r="61" customFormat="false" ht="29.25" hidden="false" customHeight="true" outlineLevel="0" collapsed="false">
      <c r="A61" s="13" t="s">
        <v>577</v>
      </c>
      <c r="B61" s="14" t="s">
        <v>504</v>
      </c>
      <c r="C61" s="15" t="s">
        <v>578</v>
      </c>
      <c r="D61" s="15" t="s">
        <v>167</v>
      </c>
      <c r="E61" s="15" t="s">
        <v>579</v>
      </c>
      <c r="F61" s="15" t="s">
        <v>580</v>
      </c>
      <c r="G61" s="15" t="s">
        <v>581</v>
      </c>
      <c r="H61" s="15" t="s">
        <v>149</v>
      </c>
      <c r="I61" s="16" t="s">
        <v>582</v>
      </c>
      <c r="J61" s="17" t="s">
        <v>37</v>
      </c>
      <c r="K61" s="17"/>
      <c r="L61" s="18" t="s">
        <v>37</v>
      </c>
      <c r="M61" s="17" t="s">
        <v>37</v>
      </c>
      <c r="N61" s="16" t="s">
        <v>583</v>
      </c>
    </row>
    <row r="62" customFormat="false" ht="57.75" hidden="false" customHeight="true" outlineLevel="0" collapsed="false">
      <c r="A62" s="13" t="s">
        <v>584</v>
      </c>
      <c r="B62" s="14" t="s">
        <v>504</v>
      </c>
      <c r="C62" s="15" t="s">
        <v>585</v>
      </c>
      <c r="D62" s="15" t="s">
        <v>586</v>
      </c>
      <c r="E62" s="15" t="s">
        <v>587</v>
      </c>
      <c r="F62" s="15" t="s">
        <v>588</v>
      </c>
      <c r="G62" s="15" t="s">
        <v>559</v>
      </c>
      <c r="H62" s="15" t="s">
        <v>149</v>
      </c>
      <c r="I62" s="16" t="s">
        <v>589</v>
      </c>
      <c r="J62" s="17" t="s">
        <v>37</v>
      </c>
      <c r="K62" s="17"/>
      <c r="L62" s="18" t="s">
        <v>37</v>
      </c>
      <c r="M62" s="17" t="s">
        <v>37</v>
      </c>
      <c r="N62" s="17" t="s">
        <v>590</v>
      </c>
    </row>
    <row r="63" customFormat="false" ht="29.25" hidden="false" customHeight="true" outlineLevel="0" collapsed="false">
      <c r="A63" s="13" t="s">
        <v>591</v>
      </c>
      <c r="B63" s="14" t="s">
        <v>504</v>
      </c>
      <c r="C63" s="15" t="s">
        <v>592</v>
      </c>
      <c r="D63" s="15" t="s">
        <v>593</v>
      </c>
      <c r="E63" s="15" t="s">
        <v>594</v>
      </c>
      <c r="F63" s="15" t="s">
        <v>595</v>
      </c>
      <c r="G63" s="15" t="s">
        <v>596</v>
      </c>
      <c r="H63" s="15" t="s">
        <v>149</v>
      </c>
      <c r="I63" s="16" t="s">
        <v>597</v>
      </c>
      <c r="J63" s="17" t="s">
        <v>37</v>
      </c>
      <c r="K63" s="17"/>
      <c r="L63" s="18" t="s">
        <v>37</v>
      </c>
      <c r="M63" s="17" t="s">
        <v>37</v>
      </c>
      <c r="N63" s="17" t="s">
        <v>598</v>
      </c>
    </row>
    <row r="64" customFormat="false" ht="29.25" hidden="false" customHeight="true" outlineLevel="0" collapsed="false">
      <c r="A64" s="13" t="s">
        <v>599</v>
      </c>
      <c r="B64" s="14" t="s">
        <v>504</v>
      </c>
      <c r="C64" s="15" t="s">
        <v>600</v>
      </c>
      <c r="D64" s="15" t="s">
        <v>601</v>
      </c>
      <c r="E64" s="15" t="s">
        <v>602</v>
      </c>
      <c r="F64" s="15" t="s">
        <v>603</v>
      </c>
      <c r="G64" s="15" t="s">
        <v>604</v>
      </c>
      <c r="H64" s="15" t="s">
        <v>149</v>
      </c>
      <c r="I64" s="16" t="s">
        <v>605</v>
      </c>
      <c r="J64" s="17" t="s">
        <v>39</v>
      </c>
      <c r="K64" s="17" t="s">
        <v>606</v>
      </c>
      <c r="L64" s="18" t="s">
        <v>53</v>
      </c>
      <c r="M64" s="17" t="s">
        <v>37</v>
      </c>
      <c r="N64" s="16" t="s">
        <v>607</v>
      </c>
    </row>
    <row r="65" customFormat="false" ht="29.25" hidden="false" customHeight="true" outlineLevel="0" collapsed="false">
      <c r="A65" s="13" t="s">
        <v>608</v>
      </c>
      <c r="B65" s="14" t="s">
        <v>504</v>
      </c>
      <c r="C65" s="15" t="s">
        <v>609</v>
      </c>
      <c r="D65" s="14" t="s">
        <v>136</v>
      </c>
      <c r="E65" s="15" t="s">
        <v>610</v>
      </c>
      <c r="F65" s="15" t="s">
        <v>611</v>
      </c>
      <c r="G65" s="15" t="s">
        <v>233</v>
      </c>
      <c r="H65" s="15" t="s">
        <v>149</v>
      </c>
      <c r="I65" s="16" t="s">
        <v>612</v>
      </c>
      <c r="J65" s="17" t="s">
        <v>39</v>
      </c>
      <c r="K65" s="17" t="s">
        <v>613</v>
      </c>
      <c r="L65" s="18" t="s">
        <v>53</v>
      </c>
      <c r="M65" s="17" t="s">
        <v>37</v>
      </c>
      <c r="N65" s="16" t="s">
        <v>614</v>
      </c>
    </row>
    <row r="66" customFormat="false" ht="43.5" hidden="false" customHeight="true" outlineLevel="0" collapsed="false">
      <c r="A66" s="13" t="s">
        <v>615</v>
      </c>
      <c r="B66" s="14" t="s">
        <v>504</v>
      </c>
      <c r="C66" s="15" t="s">
        <v>616</v>
      </c>
      <c r="D66" s="15" t="s">
        <v>617</v>
      </c>
      <c r="E66" s="15" t="s">
        <v>618</v>
      </c>
      <c r="F66" s="15" t="s">
        <v>619</v>
      </c>
      <c r="G66" s="15" t="s">
        <v>399</v>
      </c>
      <c r="H66" s="15" t="s">
        <v>149</v>
      </c>
      <c r="I66" s="16" t="s">
        <v>620</v>
      </c>
      <c r="J66" s="17" t="s">
        <v>37</v>
      </c>
      <c r="K66" s="17"/>
      <c r="L66" s="18" t="s">
        <v>37</v>
      </c>
      <c r="M66" s="17" t="s">
        <v>37</v>
      </c>
      <c r="N66" s="16" t="s">
        <v>621</v>
      </c>
    </row>
    <row r="67" customFormat="false" ht="43.5" hidden="false" customHeight="true" outlineLevel="0" collapsed="false">
      <c r="A67" s="13" t="s">
        <v>622</v>
      </c>
      <c r="B67" s="14" t="s">
        <v>504</v>
      </c>
      <c r="C67" s="15" t="s">
        <v>623</v>
      </c>
      <c r="D67" s="15" t="s">
        <v>601</v>
      </c>
      <c r="E67" s="15" t="s">
        <v>624</v>
      </c>
      <c r="F67" s="15" t="s">
        <v>625</v>
      </c>
      <c r="G67" s="15" t="s">
        <v>233</v>
      </c>
      <c r="H67" s="15" t="s">
        <v>626</v>
      </c>
      <c r="I67" s="16" t="s">
        <v>627</v>
      </c>
      <c r="J67" s="17" t="s">
        <v>37</v>
      </c>
      <c r="K67" s="17"/>
      <c r="L67" s="18" t="s">
        <v>37</v>
      </c>
      <c r="M67" s="17" t="s">
        <v>37</v>
      </c>
      <c r="N67" s="16" t="s">
        <v>628</v>
      </c>
    </row>
    <row r="68" customFormat="false" ht="29.25" hidden="false" customHeight="true" outlineLevel="0" collapsed="false">
      <c r="A68" s="13" t="s">
        <v>629</v>
      </c>
      <c r="B68" s="14" t="s">
        <v>504</v>
      </c>
      <c r="C68" s="15" t="s">
        <v>630</v>
      </c>
      <c r="D68" s="15" t="s">
        <v>631</v>
      </c>
      <c r="E68" s="15" t="s">
        <v>632</v>
      </c>
      <c r="F68" s="15" t="s">
        <v>633</v>
      </c>
      <c r="G68" s="15" t="s">
        <v>233</v>
      </c>
      <c r="H68" s="15" t="s">
        <v>149</v>
      </c>
      <c r="I68" s="16" t="s">
        <v>634</v>
      </c>
      <c r="J68" s="17" t="s">
        <v>37</v>
      </c>
      <c r="K68" s="17"/>
      <c r="L68" s="18" t="s">
        <v>37</v>
      </c>
      <c r="M68" s="17" t="s">
        <v>37</v>
      </c>
      <c r="N68" s="16" t="s">
        <v>635</v>
      </c>
    </row>
    <row r="69" customFormat="false" ht="16.5" hidden="false" customHeight="true" outlineLevel="0" collapsed="false">
      <c r="A69" s="12" t="s">
        <v>636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637</v>
      </c>
      <c r="B70" s="14" t="s">
        <v>638</v>
      </c>
      <c r="C70" s="15" t="s">
        <v>639</v>
      </c>
      <c r="D70" s="15" t="s">
        <v>640</v>
      </c>
      <c r="E70" s="15" t="s">
        <v>641</v>
      </c>
      <c r="F70" s="15" t="s">
        <v>642</v>
      </c>
      <c r="G70" s="15" t="s">
        <v>643</v>
      </c>
      <c r="H70" s="15" t="s">
        <v>644</v>
      </c>
      <c r="I70" s="16" t="s">
        <v>645</v>
      </c>
      <c r="J70" s="17" t="s">
        <v>37</v>
      </c>
      <c r="K70" s="17" t="s">
        <v>646</v>
      </c>
      <c r="L70" s="18" t="s">
        <v>53</v>
      </c>
      <c r="M70" s="17" t="s">
        <v>37</v>
      </c>
      <c r="N70" s="16" t="s">
        <v>647</v>
      </c>
    </row>
    <row r="71" customFormat="false" ht="43.5" hidden="false" customHeight="true" outlineLevel="0" collapsed="false">
      <c r="A71" s="13" t="s">
        <v>648</v>
      </c>
      <c r="B71" s="14" t="s">
        <v>638</v>
      </c>
      <c r="C71" s="15" t="s">
        <v>649</v>
      </c>
      <c r="D71" s="15" t="s">
        <v>650</v>
      </c>
      <c r="E71" s="15" t="s">
        <v>651</v>
      </c>
      <c r="F71" s="15" t="s">
        <v>652</v>
      </c>
      <c r="G71" s="15" t="s">
        <v>653</v>
      </c>
      <c r="H71" s="15" t="s">
        <v>654</v>
      </c>
      <c r="I71" s="17" t="s">
        <v>655</v>
      </c>
      <c r="J71" s="17" t="s">
        <v>37</v>
      </c>
      <c r="K71" s="17"/>
      <c r="L71" s="18" t="s">
        <v>37</v>
      </c>
      <c r="M71" s="17" t="s">
        <v>37</v>
      </c>
      <c r="N71" s="17" t="s">
        <v>656</v>
      </c>
    </row>
    <row r="72" customFormat="false" ht="43.5" hidden="false" customHeight="true" outlineLevel="0" collapsed="false">
      <c r="A72" s="13" t="s">
        <v>657</v>
      </c>
      <c r="B72" s="14" t="s">
        <v>638</v>
      </c>
      <c r="C72" s="15" t="s">
        <v>658</v>
      </c>
      <c r="D72" s="14" t="s">
        <v>136</v>
      </c>
      <c r="E72" s="15" t="s">
        <v>659</v>
      </c>
      <c r="F72" s="14" t="s">
        <v>660</v>
      </c>
      <c r="G72" s="15" t="s">
        <v>233</v>
      </c>
      <c r="H72" s="15" t="s">
        <v>661</v>
      </c>
      <c r="I72" s="17" t="s">
        <v>662</v>
      </c>
      <c r="J72" s="17" t="s">
        <v>37</v>
      </c>
      <c r="K72" s="17"/>
      <c r="L72" s="18" t="s">
        <v>37</v>
      </c>
      <c r="M72" s="17" t="s">
        <v>37</v>
      </c>
      <c r="N72" s="16" t="s">
        <v>663</v>
      </c>
    </row>
    <row r="73" customFormat="false" ht="43.5" hidden="false" customHeight="true" outlineLevel="0" collapsed="false">
      <c r="A73" s="13" t="s">
        <v>664</v>
      </c>
      <c r="B73" s="14" t="s">
        <v>638</v>
      </c>
      <c r="C73" s="15" t="s">
        <v>665</v>
      </c>
      <c r="D73" s="15" t="s">
        <v>666</v>
      </c>
      <c r="E73" s="15" t="s">
        <v>667</v>
      </c>
      <c r="F73" s="14" t="s">
        <v>668</v>
      </c>
      <c r="G73" s="15" t="s">
        <v>233</v>
      </c>
      <c r="H73" s="15" t="s">
        <v>669</v>
      </c>
      <c r="I73" s="17" t="s">
        <v>670</v>
      </c>
      <c r="J73" s="17" t="s">
        <v>37</v>
      </c>
      <c r="K73" s="17"/>
      <c r="L73" s="18" t="s">
        <v>37</v>
      </c>
      <c r="M73" s="17" t="s">
        <v>37</v>
      </c>
      <c r="N73" s="17" t="s">
        <v>671</v>
      </c>
    </row>
    <row r="74" customFormat="false" ht="57.75" hidden="false" customHeight="true" outlineLevel="0" collapsed="false">
      <c r="A74" s="13" t="s">
        <v>672</v>
      </c>
      <c r="B74" s="14" t="s">
        <v>638</v>
      </c>
      <c r="C74" s="15" t="s">
        <v>673</v>
      </c>
      <c r="D74" s="14" t="s">
        <v>674</v>
      </c>
      <c r="E74" s="15" t="s">
        <v>675</v>
      </c>
      <c r="F74" s="14" t="s">
        <v>676</v>
      </c>
      <c r="G74" s="15" t="s">
        <v>677</v>
      </c>
      <c r="H74" s="15" t="s">
        <v>678</v>
      </c>
      <c r="I74" s="16" t="s">
        <v>679</v>
      </c>
      <c r="J74" s="17" t="s">
        <v>41</v>
      </c>
      <c r="K74" s="17" t="s">
        <v>680</v>
      </c>
      <c r="L74" s="18" t="s">
        <v>53</v>
      </c>
      <c r="M74" s="17" t="s">
        <v>37</v>
      </c>
      <c r="N74" s="16" t="s">
        <v>681</v>
      </c>
    </row>
    <row r="75" customFormat="false" ht="43.5" hidden="false" customHeight="true" outlineLevel="0" collapsed="false">
      <c r="A75" s="13" t="s">
        <v>682</v>
      </c>
      <c r="B75" s="14" t="s">
        <v>638</v>
      </c>
      <c r="C75" s="15" t="s">
        <v>683</v>
      </c>
      <c r="D75" s="14" t="s">
        <v>136</v>
      </c>
      <c r="E75" s="15" t="s">
        <v>684</v>
      </c>
      <c r="F75" s="15" t="s">
        <v>685</v>
      </c>
      <c r="G75" s="15" t="s">
        <v>233</v>
      </c>
      <c r="H75" s="15" t="s">
        <v>686</v>
      </c>
      <c r="I75" s="16" t="s">
        <v>687</v>
      </c>
      <c r="J75" s="17" t="s">
        <v>41</v>
      </c>
      <c r="K75" s="17"/>
      <c r="L75" s="18" t="s">
        <v>37</v>
      </c>
      <c r="M75" s="17" t="s">
        <v>37</v>
      </c>
      <c r="N75" s="16" t="s">
        <v>688</v>
      </c>
    </row>
    <row r="76" customFormat="false" ht="43.5" hidden="false" customHeight="true" outlineLevel="0" collapsed="false">
      <c r="A76" s="13" t="s">
        <v>689</v>
      </c>
      <c r="B76" s="14" t="s">
        <v>638</v>
      </c>
      <c r="C76" s="14" t="s">
        <v>690</v>
      </c>
      <c r="D76" s="15" t="s">
        <v>691</v>
      </c>
      <c r="E76" s="15" t="s">
        <v>692</v>
      </c>
      <c r="F76" s="15" t="s">
        <v>693</v>
      </c>
      <c r="G76" s="15" t="s">
        <v>233</v>
      </c>
      <c r="H76" s="15" t="s">
        <v>694</v>
      </c>
      <c r="I76" s="16" t="s">
        <v>695</v>
      </c>
      <c r="J76" s="17" t="s">
        <v>37</v>
      </c>
      <c r="K76" s="17"/>
      <c r="L76" s="18" t="s">
        <v>37</v>
      </c>
      <c r="M76" s="17" t="s">
        <v>37</v>
      </c>
      <c r="N76" s="16" t="s">
        <v>696</v>
      </c>
    </row>
    <row r="77" customFormat="false" ht="43.5" hidden="false" customHeight="true" outlineLevel="0" collapsed="false">
      <c r="A77" s="13" t="s">
        <v>697</v>
      </c>
      <c r="B77" s="14" t="s">
        <v>638</v>
      </c>
      <c r="C77" s="14" t="s">
        <v>698</v>
      </c>
      <c r="D77" s="14" t="s">
        <v>136</v>
      </c>
      <c r="E77" s="15" t="s">
        <v>699</v>
      </c>
      <c r="F77" s="15" t="s">
        <v>700</v>
      </c>
      <c r="G77" s="15" t="s">
        <v>233</v>
      </c>
      <c r="H77" s="15" t="s">
        <v>701</v>
      </c>
      <c r="I77" s="16" t="s">
        <v>702</v>
      </c>
      <c r="J77" s="17" t="s">
        <v>37</v>
      </c>
      <c r="K77" s="17"/>
      <c r="L77" s="18" t="s">
        <v>37</v>
      </c>
      <c r="M77" s="17" t="s">
        <v>37</v>
      </c>
      <c r="N77" s="16" t="s">
        <v>703</v>
      </c>
    </row>
    <row r="78" customFormat="false" ht="29.25" hidden="false" customHeight="true" outlineLevel="0" collapsed="false">
      <c r="A78" s="13" t="s">
        <v>704</v>
      </c>
      <c r="B78" s="14" t="s">
        <v>638</v>
      </c>
      <c r="C78" s="15" t="s">
        <v>705</v>
      </c>
      <c r="D78" s="14" t="s">
        <v>136</v>
      </c>
      <c r="E78" s="15" t="s">
        <v>706</v>
      </c>
      <c r="F78" s="15" t="s">
        <v>707</v>
      </c>
      <c r="G78" s="15" t="s">
        <v>233</v>
      </c>
      <c r="H78" s="15" t="s">
        <v>391</v>
      </c>
      <c r="I78" s="16" t="s">
        <v>708</v>
      </c>
      <c r="J78" s="17" t="s">
        <v>41</v>
      </c>
      <c r="K78" s="17"/>
      <c r="L78" s="18" t="s">
        <v>37</v>
      </c>
      <c r="M78" s="17" t="s">
        <v>37</v>
      </c>
      <c r="N78" s="16" t="s">
        <v>709</v>
      </c>
    </row>
    <row r="79" customFormat="false" ht="54.75" hidden="false" customHeight="true" outlineLevel="0" collapsed="false">
      <c r="A79" s="13" t="s">
        <v>710</v>
      </c>
      <c r="B79" s="14" t="s">
        <v>638</v>
      </c>
      <c r="C79" s="15" t="s">
        <v>711</v>
      </c>
      <c r="D79" s="15" t="s">
        <v>712</v>
      </c>
      <c r="E79" s="15" t="s">
        <v>713</v>
      </c>
      <c r="F79" s="15" t="s">
        <v>714</v>
      </c>
      <c r="G79" s="15" t="s">
        <v>715</v>
      </c>
      <c r="H79" s="15" t="s">
        <v>716</v>
      </c>
      <c r="I79" s="16" t="s">
        <v>717</v>
      </c>
      <c r="J79" s="17" t="s">
        <v>37</v>
      </c>
      <c r="K79" s="17"/>
      <c r="L79" s="18" t="s">
        <v>37</v>
      </c>
      <c r="M79" s="17" t="s">
        <v>37</v>
      </c>
      <c r="N79" s="16" t="s">
        <v>718</v>
      </c>
    </row>
    <row r="80" customFormat="false" ht="43.5" hidden="false" customHeight="true" outlineLevel="0" collapsed="false">
      <c r="A80" s="13" t="s">
        <v>719</v>
      </c>
      <c r="B80" s="14" t="s">
        <v>638</v>
      </c>
      <c r="C80" s="15" t="s">
        <v>720</v>
      </c>
      <c r="D80" s="15" t="s">
        <v>721</v>
      </c>
      <c r="E80" s="15" t="s">
        <v>651</v>
      </c>
      <c r="F80" s="15" t="s">
        <v>722</v>
      </c>
      <c r="G80" s="15" t="s">
        <v>723</v>
      </c>
      <c r="H80" s="15" t="s">
        <v>149</v>
      </c>
      <c r="I80" s="16" t="s">
        <v>724</v>
      </c>
      <c r="J80" s="17" t="s">
        <v>41</v>
      </c>
      <c r="K80" s="17" t="s">
        <v>725</v>
      </c>
      <c r="L80" s="18" t="s">
        <v>53</v>
      </c>
      <c r="M80" s="17" t="s">
        <v>37</v>
      </c>
      <c r="N80" s="17" t="s">
        <v>726</v>
      </c>
    </row>
    <row r="81" customFormat="false" ht="29.25" hidden="false" customHeight="true" outlineLevel="0" collapsed="false">
      <c r="A81" s="13" t="s">
        <v>727</v>
      </c>
      <c r="B81" s="14" t="s">
        <v>638</v>
      </c>
      <c r="C81" s="15" t="s">
        <v>728</v>
      </c>
      <c r="D81" s="15" t="s">
        <v>729</v>
      </c>
      <c r="E81" s="15" t="s">
        <v>730</v>
      </c>
      <c r="F81" s="15" t="s">
        <v>731</v>
      </c>
      <c r="G81" s="15" t="s">
        <v>233</v>
      </c>
      <c r="H81" s="15" t="s">
        <v>732</v>
      </c>
      <c r="I81" s="16" t="s">
        <v>733</v>
      </c>
      <c r="J81" s="17" t="s">
        <v>37</v>
      </c>
      <c r="K81" s="17"/>
      <c r="L81" s="18" t="s">
        <v>37</v>
      </c>
      <c r="M81" s="17" t="s">
        <v>37</v>
      </c>
      <c r="N81" s="17" t="s">
        <v>734</v>
      </c>
    </row>
    <row r="82" customFormat="false" ht="16.5" hidden="false" customHeight="true" outlineLevel="0" collapsed="false">
      <c r="A82" s="12" t="s">
        <v>735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736</v>
      </c>
      <c r="B83" s="14" t="s">
        <v>737</v>
      </c>
      <c r="C83" s="14" t="s">
        <v>738</v>
      </c>
      <c r="D83" s="15" t="s">
        <v>739</v>
      </c>
      <c r="E83" s="15" t="s">
        <v>740</v>
      </c>
      <c r="F83" s="15" t="s">
        <v>741</v>
      </c>
      <c r="G83" s="14" t="s">
        <v>742</v>
      </c>
      <c r="H83" s="15" t="s">
        <v>743</v>
      </c>
      <c r="I83" s="16" t="s">
        <v>744</v>
      </c>
      <c r="J83" s="17" t="s">
        <v>37</v>
      </c>
      <c r="K83" s="17"/>
      <c r="L83" s="18" t="s">
        <v>37</v>
      </c>
      <c r="M83" s="17" t="s">
        <v>37</v>
      </c>
      <c r="N83" s="16" t="s">
        <v>745</v>
      </c>
    </row>
    <row r="84" customFormat="false" ht="43.5" hidden="false" customHeight="true" outlineLevel="0" collapsed="false">
      <c r="A84" s="13" t="s">
        <v>746</v>
      </c>
      <c r="B84" s="14" t="s">
        <v>737</v>
      </c>
      <c r="C84" s="15" t="s">
        <v>747</v>
      </c>
      <c r="D84" s="14" t="s">
        <v>136</v>
      </c>
      <c r="E84" s="15" t="s">
        <v>748</v>
      </c>
      <c r="F84" s="15" t="s">
        <v>749</v>
      </c>
      <c r="G84" s="15" t="s">
        <v>750</v>
      </c>
      <c r="H84" s="15" t="s">
        <v>251</v>
      </c>
      <c r="I84" s="16" t="s">
        <v>751</v>
      </c>
      <c r="J84" s="17" t="s">
        <v>37</v>
      </c>
      <c r="K84" s="17"/>
      <c r="L84" s="18" t="s">
        <v>37</v>
      </c>
      <c r="M84" s="17" t="s">
        <v>37</v>
      </c>
      <c r="N84" s="17" t="s">
        <v>752</v>
      </c>
    </row>
    <row r="85" customFormat="false" ht="43.5" hidden="false" customHeight="true" outlineLevel="0" collapsed="false">
      <c r="A85" s="13" t="s">
        <v>753</v>
      </c>
      <c r="B85" s="14" t="s">
        <v>737</v>
      </c>
      <c r="C85" s="15" t="s">
        <v>754</v>
      </c>
      <c r="D85" s="15" t="s">
        <v>755</v>
      </c>
      <c r="E85" s="15" t="s">
        <v>756</v>
      </c>
      <c r="F85" s="15" t="s">
        <v>757</v>
      </c>
      <c r="G85" s="15" t="s">
        <v>758</v>
      </c>
      <c r="H85" s="15" t="s">
        <v>759</v>
      </c>
      <c r="I85" s="16" t="s">
        <v>760</v>
      </c>
      <c r="J85" s="17" t="s">
        <v>37</v>
      </c>
      <c r="K85" s="17" t="s">
        <v>761</v>
      </c>
      <c r="L85" s="18" t="s">
        <v>53</v>
      </c>
      <c r="M85" s="17" t="s">
        <v>37</v>
      </c>
      <c r="N85" s="16" t="s">
        <v>762</v>
      </c>
    </row>
    <row r="86" customFormat="false" ht="43.5" hidden="false" customHeight="true" outlineLevel="0" collapsed="false">
      <c r="A86" s="13" t="s">
        <v>763</v>
      </c>
      <c r="B86" s="14" t="s">
        <v>737</v>
      </c>
      <c r="C86" s="14" t="s">
        <v>764</v>
      </c>
      <c r="D86" s="15" t="s">
        <v>765</v>
      </c>
      <c r="E86" s="15" t="s">
        <v>766</v>
      </c>
      <c r="F86" s="15" t="s">
        <v>767</v>
      </c>
      <c r="G86" s="14" t="s">
        <v>768</v>
      </c>
      <c r="H86" s="15" t="s">
        <v>149</v>
      </c>
      <c r="I86" s="16" t="s">
        <v>769</v>
      </c>
      <c r="J86" s="17" t="s">
        <v>39</v>
      </c>
      <c r="K86" s="17" t="s">
        <v>770</v>
      </c>
      <c r="L86" s="18" t="s">
        <v>53</v>
      </c>
      <c r="M86" s="17" t="s">
        <v>37</v>
      </c>
      <c r="N86" s="17" t="s">
        <v>771</v>
      </c>
    </row>
    <row r="87" customFormat="false" ht="29.25" hidden="false" customHeight="true" outlineLevel="0" collapsed="false">
      <c r="A87" s="13" t="s">
        <v>772</v>
      </c>
      <c r="B87" s="14" t="s">
        <v>737</v>
      </c>
      <c r="C87" s="14" t="s">
        <v>773</v>
      </c>
      <c r="D87" s="15" t="s">
        <v>167</v>
      </c>
      <c r="E87" s="15" t="s">
        <v>774</v>
      </c>
      <c r="F87" s="15" t="s">
        <v>775</v>
      </c>
      <c r="G87" s="15" t="s">
        <v>399</v>
      </c>
      <c r="H87" s="15" t="s">
        <v>149</v>
      </c>
      <c r="I87" s="16" t="s">
        <v>776</v>
      </c>
      <c r="J87" s="17" t="s">
        <v>39</v>
      </c>
      <c r="K87" s="17" t="s">
        <v>777</v>
      </c>
      <c r="L87" s="18" t="s">
        <v>53</v>
      </c>
      <c r="M87" s="17" t="s">
        <v>37</v>
      </c>
      <c r="N87" s="16" t="s">
        <v>778</v>
      </c>
    </row>
    <row r="88" customFormat="false" ht="57.75" hidden="false" customHeight="true" outlineLevel="0" collapsed="false">
      <c r="A88" s="13" t="s">
        <v>779</v>
      </c>
      <c r="B88" s="14" t="s">
        <v>737</v>
      </c>
      <c r="C88" s="15" t="s">
        <v>780</v>
      </c>
      <c r="D88" s="15" t="s">
        <v>781</v>
      </c>
      <c r="E88" s="15" t="s">
        <v>782</v>
      </c>
      <c r="F88" s="15" t="s">
        <v>783</v>
      </c>
      <c r="G88" s="15" t="s">
        <v>750</v>
      </c>
      <c r="H88" s="15" t="s">
        <v>784</v>
      </c>
      <c r="I88" s="16" t="s">
        <v>785</v>
      </c>
      <c r="J88" s="17" t="s">
        <v>37</v>
      </c>
      <c r="K88" s="17"/>
      <c r="L88" s="18" t="s">
        <v>37</v>
      </c>
      <c r="M88" s="17" t="s">
        <v>37</v>
      </c>
      <c r="N88" s="16" t="s">
        <v>786</v>
      </c>
    </row>
    <row r="89" customFormat="false" ht="29.25" hidden="false" customHeight="true" outlineLevel="0" collapsed="false">
      <c r="A89" s="13" t="s">
        <v>787</v>
      </c>
      <c r="B89" s="14" t="s">
        <v>737</v>
      </c>
      <c r="C89" s="15" t="s">
        <v>788</v>
      </c>
      <c r="D89" s="15" t="s">
        <v>789</v>
      </c>
      <c r="E89" s="15" t="s">
        <v>790</v>
      </c>
      <c r="F89" s="15" t="s">
        <v>791</v>
      </c>
      <c r="G89" s="15" t="s">
        <v>792</v>
      </c>
      <c r="H89" s="15" t="s">
        <v>149</v>
      </c>
      <c r="I89" s="17" t="s">
        <v>793</v>
      </c>
      <c r="J89" s="17" t="s">
        <v>41</v>
      </c>
      <c r="K89" s="17"/>
      <c r="L89" s="18" t="s">
        <v>37</v>
      </c>
      <c r="M89" s="17" t="s">
        <v>37</v>
      </c>
      <c r="N89" s="16" t="s">
        <v>794</v>
      </c>
    </row>
    <row r="90" customFormat="false" ht="29.25" hidden="false" customHeight="true" outlineLevel="0" collapsed="false">
      <c r="A90" s="13" t="s">
        <v>795</v>
      </c>
      <c r="B90" s="14" t="s">
        <v>737</v>
      </c>
      <c r="C90" s="14" t="s">
        <v>796</v>
      </c>
      <c r="D90" s="15" t="s">
        <v>797</v>
      </c>
      <c r="E90" s="15" t="s">
        <v>798</v>
      </c>
      <c r="F90" s="15" t="s">
        <v>799</v>
      </c>
      <c r="G90" s="15" t="s">
        <v>233</v>
      </c>
      <c r="H90" s="15" t="s">
        <v>149</v>
      </c>
      <c r="I90" s="16" t="s">
        <v>800</v>
      </c>
      <c r="J90" s="17" t="s">
        <v>37</v>
      </c>
      <c r="K90" s="17" t="s">
        <v>801</v>
      </c>
      <c r="L90" s="18" t="s">
        <v>53</v>
      </c>
      <c r="M90" s="17" t="s">
        <v>37</v>
      </c>
      <c r="N90" s="16" t="s">
        <v>802</v>
      </c>
    </row>
    <row r="91" customFormat="false" ht="29.25" hidden="false" customHeight="true" outlineLevel="0" collapsed="false">
      <c r="A91" s="13" t="s">
        <v>803</v>
      </c>
      <c r="B91" s="14" t="s">
        <v>737</v>
      </c>
      <c r="C91" s="15" t="s">
        <v>804</v>
      </c>
      <c r="D91" s="14" t="s">
        <v>136</v>
      </c>
      <c r="E91" s="15" t="s">
        <v>805</v>
      </c>
      <c r="F91" s="15" t="s">
        <v>806</v>
      </c>
      <c r="G91" s="15" t="s">
        <v>233</v>
      </c>
      <c r="H91" s="15" t="s">
        <v>243</v>
      </c>
      <c r="I91" s="17" t="s">
        <v>807</v>
      </c>
      <c r="J91" s="17" t="s">
        <v>37</v>
      </c>
      <c r="K91" s="17"/>
      <c r="L91" s="18" t="s">
        <v>37</v>
      </c>
      <c r="M91" s="17" t="s">
        <v>37</v>
      </c>
      <c r="N91" s="17" t="s">
        <v>808</v>
      </c>
    </row>
    <row r="92" customFormat="false" ht="16.5" hidden="false" customHeight="true" outlineLevel="0" collapsed="false">
      <c r="A92" s="12" t="s">
        <v>809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810</v>
      </c>
      <c r="B93" s="14" t="s">
        <v>811</v>
      </c>
      <c r="C93" s="15" t="s">
        <v>812</v>
      </c>
      <c r="D93" s="15" t="s">
        <v>813</v>
      </c>
      <c r="E93" s="15" t="s">
        <v>814</v>
      </c>
      <c r="F93" s="15" t="s">
        <v>815</v>
      </c>
      <c r="G93" s="14" t="s">
        <v>816</v>
      </c>
      <c r="H93" s="15" t="s">
        <v>817</v>
      </c>
      <c r="I93" s="16" t="s">
        <v>818</v>
      </c>
      <c r="J93" s="17" t="s">
        <v>37</v>
      </c>
      <c r="K93" s="17"/>
      <c r="L93" s="18" t="s">
        <v>37</v>
      </c>
      <c r="M93" s="17" t="s">
        <v>37</v>
      </c>
      <c r="N93" s="16" t="s">
        <v>819</v>
      </c>
    </row>
    <row r="94" customFormat="false" ht="57.75" hidden="false" customHeight="true" outlineLevel="0" collapsed="false">
      <c r="A94" s="13" t="s">
        <v>820</v>
      </c>
      <c r="B94" s="14" t="s">
        <v>811</v>
      </c>
      <c r="C94" s="15" t="s">
        <v>821</v>
      </c>
      <c r="D94" s="14" t="s">
        <v>136</v>
      </c>
      <c r="E94" s="15" t="s">
        <v>822</v>
      </c>
      <c r="F94" s="15" t="s">
        <v>823</v>
      </c>
      <c r="G94" s="15" t="s">
        <v>233</v>
      </c>
      <c r="H94" s="15" t="s">
        <v>824</v>
      </c>
      <c r="I94" s="17" t="s">
        <v>825</v>
      </c>
      <c r="J94" s="17" t="s">
        <v>37</v>
      </c>
      <c r="K94" s="17"/>
      <c r="L94" s="18" t="s">
        <v>37</v>
      </c>
      <c r="M94" s="17" t="s">
        <v>37</v>
      </c>
      <c r="N94" s="17" t="s">
        <v>826</v>
      </c>
    </row>
    <row r="95" customFormat="false" ht="43.5" hidden="false" customHeight="true" outlineLevel="0" collapsed="false">
      <c r="A95" s="13" t="s">
        <v>827</v>
      </c>
      <c r="B95" s="14" t="s">
        <v>811</v>
      </c>
      <c r="C95" s="15" t="s">
        <v>828</v>
      </c>
      <c r="D95" s="14" t="s">
        <v>136</v>
      </c>
      <c r="E95" s="15" t="s">
        <v>829</v>
      </c>
      <c r="F95" s="15" t="s">
        <v>830</v>
      </c>
      <c r="G95" s="15" t="s">
        <v>233</v>
      </c>
      <c r="H95" s="15" t="s">
        <v>831</v>
      </c>
      <c r="I95" s="17" t="s">
        <v>832</v>
      </c>
      <c r="J95" s="17" t="s">
        <v>37</v>
      </c>
      <c r="K95" s="17"/>
      <c r="L95" s="18" t="s">
        <v>37</v>
      </c>
      <c r="M95" s="17" t="s">
        <v>37</v>
      </c>
      <c r="N95" s="17" t="s">
        <v>833</v>
      </c>
    </row>
    <row r="96" customFormat="false" ht="29.25" hidden="false" customHeight="true" outlineLevel="0" collapsed="false">
      <c r="A96" s="13" t="s">
        <v>834</v>
      </c>
      <c r="B96" s="14" t="s">
        <v>811</v>
      </c>
      <c r="C96" s="15" t="s">
        <v>835</v>
      </c>
      <c r="D96" s="14" t="s">
        <v>136</v>
      </c>
      <c r="E96" s="15" t="s">
        <v>836</v>
      </c>
      <c r="F96" s="15" t="s">
        <v>837</v>
      </c>
      <c r="G96" s="15" t="s">
        <v>233</v>
      </c>
      <c r="H96" s="15" t="s">
        <v>838</v>
      </c>
      <c r="I96" s="17" t="s">
        <v>839</v>
      </c>
      <c r="J96" s="17" t="s">
        <v>37</v>
      </c>
      <c r="K96" s="17" t="s">
        <v>840</v>
      </c>
      <c r="L96" s="18" t="s">
        <v>53</v>
      </c>
      <c r="M96" s="17" t="s">
        <v>37</v>
      </c>
      <c r="N96" s="17" t="s">
        <v>841</v>
      </c>
    </row>
    <row r="97" customFormat="false" ht="29.25" hidden="false" customHeight="true" outlineLevel="0" collapsed="false">
      <c r="A97" s="13" t="s">
        <v>842</v>
      </c>
      <c r="B97" s="14" t="s">
        <v>811</v>
      </c>
      <c r="C97" s="15" t="s">
        <v>843</v>
      </c>
      <c r="D97" s="14" t="s">
        <v>136</v>
      </c>
      <c r="E97" s="15" t="s">
        <v>844</v>
      </c>
      <c r="F97" s="15" t="s">
        <v>845</v>
      </c>
      <c r="G97" s="15" t="s">
        <v>233</v>
      </c>
      <c r="H97" s="15" t="s">
        <v>846</v>
      </c>
      <c r="I97" s="17" t="s">
        <v>847</v>
      </c>
      <c r="J97" s="17" t="s">
        <v>37</v>
      </c>
      <c r="K97" s="17"/>
      <c r="L97" s="18" t="s">
        <v>37</v>
      </c>
      <c r="M97" s="17" t="s">
        <v>37</v>
      </c>
      <c r="N97" s="17" t="s">
        <v>848</v>
      </c>
    </row>
    <row r="98" customFormat="false" ht="43.5" hidden="false" customHeight="true" outlineLevel="0" collapsed="false">
      <c r="A98" s="13" t="s">
        <v>849</v>
      </c>
      <c r="B98" s="14" t="s">
        <v>811</v>
      </c>
      <c r="C98" s="15" t="s">
        <v>850</v>
      </c>
      <c r="D98" s="14" t="s">
        <v>136</v>
      </c>
      <c r="E98" s="15" t="s">
        <v>851</v>
      </c>
      <c r="F98" s="15" t="s">
        <v>852</v>
      </c>
      <c r="G98" s="15" t="s">
        <v>233</v>
      </c>
      <c r="H98" s="15" t="s">
        <v>853</v>
      </c>
      <c r="I98" s="16" t="s">
        <v>854</v>
      </c>
      <c r="J98" s="17" t="s">
        <v>45</v>
      </c>
      <c r="K98" s="17" t="s">
        <v>855</v>
      </c>
      <c r="L98" s="18" t="s">
        <v>53</v>
      </c>
      <c r="M98" s="17" t="s">
        <v>37</v>
      </c>
      <c r="N98" s="17" t="s">
        <v>856</v>
      </c>
    </row>
    <row r="99" customFormat="false" ht="29.25" hidden="false" customHeight="true" outlineLevel="0" collapsed="false">
      <c r="A99" s="13" t="s">
        <v>857</v>
      </c>
      <c r="B99" s="14" t="s">
        <v>811</v>
      </c>
      <c r="C99" s="14" t="s">
        <v>858</v>
      </c>
      <c r="D99" s="15" t="s">
        <v>859</v>
      </c>
      <c r="E99" s="15" t="s">
        <v>860</v>
      </c>
      <c r="F99" s="15" t="s">
        <v>861</v>
      </c>
      <c r="G99" s="15" t="s">
        <v>862</v>
      </c>
      <c r="H99" s="15" t="s">
        <v>149</v>
      </c>
      <c r="I99" s="16" t="s">
        <v>863</v>
      </c>
      <c r="J99" s="17" t="s">
        <v>37</v>
      </c>
      <c r="K99" s="17"/>
      <c r="L99" s="18" t="s">
        <v>37</v>
      </c>
      <c r="M99" s="17" t="s">
        <v>37</v>
      </c>
      <c r="N99" s="16" t="s">
        <v>864</v>
      </c>
    </row>
    <row r="100" customFormat="false" ht="29.25" hidden="false" customHeight="true" outlineLevel="0" collapsed="false">
      <c r="A100" s="13" t="s">
        <v>865</v>
      </c>
      <c r="B100" s="14" t="s">
        <v>811</v>
      </c>
      <c r="C100" s="15" t="s">
        <v>866</v>
      </c>
      <c r="D100" s="15" t="s">
        <v>867</v>
      </c>
      <c r="E100" s="15" t="s">
        <v>868</v>
      </c>
      <c r="F100" s="14" t="s">
        <v>869</v>
      </c>
      <c r="G100" s="14" t="s">
        <v>870</v>
      </c>
      <c r="H100" s="15" t="s">
        <v>149</v>
      </c>
      <c r="I100" s="16" t="s">
        <v>871</v>
      </c>
      <c r="J100" s="17" t="s">
        <v>41</v>
      </c>
      <c r="K100" s="17" t="s">
        <v>872</v>
      </c>
      <c r="L100" s="18" t="s">
        <v>53</v>
      </c>
      <c r="M100" s="17" t="s">
        <v>37</v>
      </c>
      <c r="N100" s="16" t="s">
        <v>873</v>
      </c>
    </row>
    <row r="101" customFormat="false" ht="15" hidden="false" customHeight="true" outlineLevel="0" collapsed="false">
      <c r="A101" s="13" t="s">
        <v>874</v>
      </c>
      <c r="B101" s="14" t="s">
        <v>811</v>
      </c>
      <c r="C101" s="14" t="s">
        <v>875</v>
      </c>
      <c r="D101" s="15" t="s">
        <v>876</v>
      </c>
      <c r="E101" s="15" t="s">
        <v>877</v>
      </c>
      <c r="F101" s="15" t="s">
        <v>878</v>
      </c>
      <c r="G101" s="15" t="s">
        <v>879</v>
      </c>
      <c r="H101" s="15" t="s">
        <v>149</v>
      </c>
      <c r="I101" s="16" t="s">
        <v>880</v>
      </c>
      <c r="J101" s="17" t="s">
        <v>39</v>
      </c>
      <c r="K101" s="17" t="s">
        <v>881</v>
      </c>
      <c r="L101" s="18" t="s">
        <v>53</v>
      </c>
      <c r="M101" s="17" t="s">
        <v>37</v>
      </c>
      <c r="N101" s="17" t="s">
        <v>882</v>
      </c>
    </row>
    <row r="102" customFormat="false" ht="40.5" hidden="false" customHeight="true" outlineLevel="0" collapsed="false">
      <c r="A102" s="13" t="s">
        <v>883</v>
      </c>
      <c r="B102" s="14" t="s">
        <v>811</v>
      </c>
      <c r="C102" s="15" t="s">
        <v>884</v>
      </c>
      <c r="D102" s="14" t="s">
        <v>136</v>
      </c>
      <c r="E102" s="15" t="s">
        <v>885</v>
      </c>
      <c r="F102" s="14" t="s">
        <v>886</v>
      </c>
      <c r="G102" s="15" t="s">
        <v>233</v>
      </c>
      <c r="H102" s="15" t="s">
        <v>887</v>
      </c>
      <c r="I102" s="16" t="s">
        <v>888</v>
      </c>
      <c r="J102" s="17" t="s">
        <v>43</v>
      </c>
      <c r="K102" s="17"/>
      <c r="L102" s="18" t="s">
        <v>43</v>
      </c>
      <c r="M102" s="17" t="s">
        <v>43</v>
      </c>
      <c r="N102" s="16" t="s">
        <v>889</v>
      </c>
    </row>
    <row r="103" customFormat="false" ht="16.5" hidden="false" customHeight="true" outlineLevel="0" collapsed="false">
      <c r="A103" s="12" t="s">
        <v>890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891</v>
      </c>
      <c r="B104" s="14" t="s">
        <v>892</v>
      </c>
      <c r="C104" s="14" t="s">
        <v>893</v>
      </c>
      <c r="D104" s="14" t="s">
        <v>894</v>
      </c>
      <c r="E104" s="15" t="s">
        <v>895</v>
      </c>
      <c r="F104" s="15" t="s">
        <v>896</v>
      </c>
      <c r="G104" s="15" t="s">
        <v>897</v>
      </c>
      <c r="H104" s="15" t="s">
        <v>149</v>
      </c>
      <c r="I104" s="16" t="s">
        <v>898</v>
      </c>
      <c r="J104" s="17" t="s">
        <v>41</v>
      </c>
      <c r="K104" s="17" t="s">
        <v>899</v>
      </c>
      <c r="L104" s="18" t="s">
        <v>37</v>
      </c>
      <c r="M104" s="17" t="s">
        <v>37</v>
      </c>
      <c r="N104" s="16" t="s">
        <v>900</v>
      </c>
    </row>
    <row r="105" customFormat="false" ht="29.25" hidden="false" customHeight="true" outlineLevel="0" collapsed="false">
      <c r="A105" s="13" t="s">
        <v>901</v>
      </c>
      <c r="B105" s="14" t="s">
        <v>892</v>
      </c>
      <c r="C105" s="15" t="s">
        <v>902</v>
      </c>
      <c r="D105" s="15" t="s">
        <v>903</v>
      </c>
      <c r="E105" s="15" t="s">
        <v>904</v>
      </c>
      <c r="F105" s="15" t="s">
        <v>905</v>
      </c>
      <c r="G105" s="15" t="s">
        <v>879</v>
      </c>
      <c r="H105" s="15" t="s">
        <v>906</v>
      </c>
      <c r="I105" s="16" t="s">
        <v>907</v>
      </c>
      <c r="J105" s="17" t="s">
        <v>37</v>
      </c>
      <c r="K105" s="17"/>
      <c r="L105" s="18" t="s">
        <v>37</v>
      </c>
      <c r="M105" s="17" t="s">
        <v>37</v>
      </c>
      <c r="N105" s="17" t="s">
        <v>908</v>
      </c>
    </row>
    <row r="106" customFormat="false" ht="29.25" hidden="false" customHeight="true" outlineLevel="0" collapsed="false">
      <c r="A106" s="13" t="s">
        <v>909</v>
      </c>
      <c r="B106" s="14" t="s">
        <v>892</v>
      </c>
      <c r="C106" s="15" t="s">
        <v>910</v>
      </c>
      <c r="D106" s="15" t="s">
        <v>911</v>
      </c>
      <c r="E106" s="15" t="s">
        <v>912</v>
      </c>
      <c r="F106" s="15" t="s">
        <v>913</v>
      </c>
      <c r="G106" s="15" t="s">
        <v>897</v>
      </c>
      <c r="H106" s="15" t="s">
        <v>149</v>
      </c>
      <c r="I106" s="16" t="s">
        <v>914</v>
      </c>
      <c r="J106" s="17" t="s">
        <v>45</v>
      </c>
      <c r="K106" s="17" t="s">
        <v>915</v>
      </c>
      <c r="L106" s="18" t="s">
        <v>53</v>
      </c>
      <c r="M106" s="17" t="s">
        <v>37</v>
      </c>
      <c r="N106" s="17" t="s">
        <v>916</v>
      </c>
    </row>
    <row r="107" customFormat="false" ht="29.25" hidden="false" customHeight="true" outlineLevel="0" collapsed="false">
      <c r="A107" s="13" t="s">
        <v>917</v>
      </c>
      <c r="B107" s="14" t="s">
        <v>892</v>
      </c>
      <c r="C107" s="15" t="s">
        <v>918</v>
      </c>
      <c r="D107" s="15" t="s">
        <v>781</v>
      </c>
      <c r="E107" s="15" t="s">
        <v>919</v>
      </c>
      <c r="F107" s="15" t="s">
        <v>920</v>
      </c>
      <c r="G107" s="15" t="s">
        <v>921</v>
      </c>
      <c r="H107" s="15" t="s">
        <v>149</v>
      </c>
      <c r="I107" s="16" t="s">
        <v>922</v>
      </c>
      <c r="J107" s="17" t="s">
        <v>39</v>
      </c>
      <c r="K107" s="17" t="s">
        <v>923</v>
      </c>
      <c r="L107" s="18" t="s">
        <v>53</v>
      </c>
      <c r="M107" s="17" t="s">
        <v>37</v>
      </c>
      <c r="N107" s="16" t="s">
        <v>924</v>
      </c>
    </row>
    <row r="108" customFormat="false" ht="43.5" hidden="false" customHeight="true" outlineLevel="0" collapsed="false">
      <c r="A108" s="13" t="s">
        <v>925</v>
      </c>
      <c r="B108" s="14" t="s">
        <v>892</v>
      </c>
      <c r="C108" s="15" t="s">
        <v>926</v>
      </c>
      <c r="D108" s="15" t="s">
        <v>927</v>
      </c>
      <c r="E108" s="15" t="s">
        <v>928</v>
      </c>
      <c r="F108" s="15" t="s">
        <v>929</v>
      </c>
      <c r="G108" s="15" t="s">
        <v>930</v>
      </c>
      <c r="H108" s="15" t="s">
        <v>931</v>
      </c>
      <c r="I108" s="16" t="s">
        <v>932</v>
      </c>
      <c r="J108" s="17" t="s">
        <v>39</v>
      </c>
      <c r="K108" s="17" t="s">
        <v>933</v>
      </c>
      <c r="L108" s="18" t="s">
        <v>53</v>
      </c>
      <c r="M108" s="17" t="s">
        <v>37</v>
      </c>
      <c r="N108" s="16" t="s">
        <v>934</v>
      </c>
    </row>
    <row r="109" customFormat="false" ht="15" hidden="false" customHeight="true" outlineLevel="0" collapsed="false">
      <c r="A109" s="13" t="s">
        <v>935</v>
      </c>
      <c r="B109" s="14" t="s">
        <v>892</v>
      </c>
      <c r="C109" s="15" t="s">
        <v>936</v>
      </c>
      <c r="D109" s="15" t="s">
        <v>781</v>
      </c>
      <c r="E109" s="15" t="s">
        <v>937</v>
      </c>
      <c r="F109" s="15" t="s">
        <v>938</v>
      </c>
      <c r="G109" s="15" t="s">
        <v>939</v>
      </c>
      <c r="H109" s="15" t="s">
        <v>149</v>
      </c>
      <c r="I109" s="16" t="s">
        <v>940</v>
      </c>
      <c r="J109" s="17" t="s">
        <v>37</v>
      </c>
      <c r="K109" s="17"/>
      <c r="L109" s="18" t="s">
        <v>37</v>
      </c>
      <c r="M109" s="17" t="s">
        <v>37</v>
      </c>
      <c r="N109" s="16" t="s">
        <v>941</v>
      </c>
    </row>
    <row r="110" customFormat="false" ht="29.25" hidden="false" customHeight="true" outlineLevel="0" collapsed="false">
      <c r="A110" s="13" t="s">
        <v>942</v>
      </c>
      <c r="B110" s="14" t="s">
        <v>892</v>
      </c>
      <c r="C110" s="14" t="s">
        <v>943</v>
      </c>
      <c r="D110" s="14" t="s">
        <v>136</v>
      </c>
      <c r="E110" s="15" t="s">
        <v>944</v>
      </c>
      <c r="F110" s="15" t="s">
        <v>945</v>
      </c>
      <c r="G110" s="15" t="s">
        <v>233</v>
      </c>
      <c r="H110" s="15" t="s">
        <v>391</v>
      </c>
      <c r="I110" s="17" t="s">
        <v>946</v>
      </c>
      <c r="J110" s="17" t="s">
        <v>37</v>
      </c>
      <c r="K110" s="17" t="s">
        <v>947</v>
      </c>
      <c r="L110" s="18" t="s">
        <v>37</v>
      </c>
      <c r="M110" s="17" t="s">
        <v>37</v>
      </c>
      <c r="N110" s="17" t="s">
        <v>948</v>
      </c>
    </row>
    <row r="111" customFormat="false" ht="43.5" hidden="false" customHeight="true" outlineLevel="0" collapsed="false">
      <c r="A111" s="13" t="s">
        <v>949</v>
      </c>
      <c r="B111" s="14" t="s">
        <v>892</v>
      </c>
      <c r="C111" s="15" t="s">
        <v>950</v>
      </c>
      <c r="D111" s="14" t="s">
        <v>136</v>
      </c>
      <c r="E111" s="15" t="s">
        <v>951</v>
      </c>
      <c r="F111" s="14" t="s">
        <v>952</v>
      </c>
      <c r="G111" s="15" t="s">
        <v>233</v>
      </c>
      <c r="H111" s="15" t="s">
        <v>953</v>
      </c>
      <c r="I111" s="16" t="s">
        <v>954</v>
      </c>
      <c r="J111" s="17" t="s">
        <v>37</v>
      </c>
      <c r="K111" s="17"/>
      <c r="L111" s="18" t="s">
        <v>37</v>
      </c>
      <c r="M111" s="17" t="s">
        <v>37</v>
      </c>
      <c r="N111" s="16" t="s">
        <v>955</v>
      </c>
    </row>
    <row r="112" customFormat="false" ht="16.5" hidden="false" customHeight="true" outlineLevel="0" collapsed="false">
      <c r="A112" s="12" t="s">
        <v>956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957</v>
      </c>
      <c r="B113" s="14" t="s">
        <v>958</v>
      </c>
      <c r="C113" s="15" t="s">
        <v>959</v>
      </c>
      <c r="D113" s="14" t="s">
        <v>136</v>
      </c>
      <c r="E113" s="15" t="s">
        <v>960</v>
      </c>
      <c r="F113" s="15" t="s">
        <v>961</v>
      </c>
      <c r="G113" s="15" t="s">
        <v>233</v>
      </c>
      <c r="H113" s="15" t="s">
        <v>962</v>
      </c>
      <c r="I113" s="16" t="s">
        <v>963</v>
      </c>
      <c r="J113" s="17" t="s">
        <v>37</v>
      </c>
      <c r="K113" s="17"/>
      <c r="L113" s="18" t="s">
        <v>37</v>
      </c>
      <c r="M113" s="17" t="s">
        <v>37</v>
      </c>
      <c r="N113" s="17" t="s">
        <v>964</v>
      </c>
    </row>
    <row r="114" customFormat="false" ht="57.75" hidden="false" customHeight="true" outlineLevel="0" collapsed="false">
      <c r="A114" s="13" t="s">
        <v>965</v>
      </c>
      <c r="B114" s="14" t="s">
        <v>958</v>
      </c>
      <c r="C114" s="15" t="s">
        <v>966</v>
      </c>
      <c r="D114" s="14" t="s">
        <v>136</v>
      </c>
      <c r="E114" s="15" t="s">
        <v>967</v>
      </c>
      <c r="F114" s="15" t="s">
        <v>968</v>
      </c>
      <c r="G114" s="15" t="s">
        <v>233</v>
      </c>
      <c r="H114" s="15" t="s">
        <v>969</v>
      </c>
      <c r="I114" s="16" t="s">
        <v>970</v>
      </c>
      <c r="J114" s="17" t="s">
        <v>37</v>
      </c>
      <c r="K114" s="17"/>
      <c r="L114" s="18" t="s">
        <v>37</v>
      </c>
      <c r="M114" s="17" t="s">
        <v>37</v>
      </c>
      <c r="N114" s="17" t="s">
        <v>971</v>
      </c>
    </row>
    <row r="115" customFormat="false" ht="29.25" hidden="false" customHeight="true" outlineLevel="0" collapsed="false">
      <c r="A115" s="13" t="s">
        <v>972</v>
      </c>
      <c r="B115" s="14" t="s">
        <v>958</v>
      </c>
      <c r="C115" s="15" t="s">
        <v>973</v>
      </c>
      <c r="D115" s="14" t="s">
        <v>136</v>
      </c>
      <c r="E115" s="15" t="s">
        <v>974</v>
      </c>
      <c r="F115" s="15" t="s">
        <v>975</v>
      </c>
      <c r="G115" s="15" t="s">
        <v>233</v>
      </c>
      <c r="H115" s="15" t="s">
        <v>976</v>
      </c>
      <c r="I115" s="16" t="s">
        <v>977</v>
      </c>
      <c r="J115" s="17" t="s">
        <v>39</v>
      </c>
      <c r="K115" s="17" t="s">
        <v>978</v>
      </c>
      <c r="L115" s="18" t="s">
        <v>53</v>
      </c>
      <c r="M115" s="17" t="s">
        <v>37</v>
      </c>
      <c r="N115" s="17" t="s">
        <v>979</v>
      </c>
    </row>
    <row r="116" customFormat="false" ht="29.25" hidden="false" customHeight="true" outlineLevel="0" collapsed="false">
      <c r="A116" s="13" t="s">
        <v>980</v>
      </c>
      <c r="B116" s="14" t="s">
        <v>958</v>
      </c>
      <c r="C116" s="14" t="s">
        <v>981</v>
      </c>
      <c r="D116" s="15" t="s">
        <v>982</v>
      </c>
      <c r="E116" s="15" t="s">
        <v>983</v>
      </c>
      <c r="F116" s="15" t="s">
        <v>984</v>
      </c>
      <c r="G116" s="15" t="s">
        <v>233</v>
      </c>
      <c r="H116" s="15" t="s">
        <v>149</v>
      </c>
      <c r="I116" s="16" t="s">
        <v>985</v>
      </c>
      <c r="J116" s="17" t="s">
        <v>37</v>
      </c>
      <c r="K116" s="17" t="s">
        <v>986</v>
      </c>
      <c r="L116" s="18" t="s">
        <v>53</v>
      </c>
      <c r="M116" s="17" t="s">
        <v>37</v>
      </c>
      <c r="N116" s="16" t="s">
        <v>987</v>
      </c>
    </row>
    <row r="117" customFormat="false" ht="29.25" hidden="false" customHeight="true" outlineLevel="0" collapsed="false">
      <c r="A117" s="13" t="s">
        <v>988</v>
      </c>
      <c r="B117" s="14" t="s">
        <v>958</v>
      </c>
      <c r="C117" s="14" t="s">
        <v>989</v>
      </c>
      <c r="D117" s="15" t="s">
        <v>990</v>
      </c>
      <c r="E117" s="15" t="s">
        <v>991</v>
      </c>
      <c r="F117" s="15" t="s">
        <v>992</v>
      </c>
      <c r="G117" s="15" t="s">
        <v>399</v>
      </c>
      <c r="H117" s="15" t="s">
        <v>243</v>
      </c>
      <c r="I117" s="16" t="s">
        <v>993</v>
      </c>
      <c r="J117" s="17" t="s">
        <v>37</v>
      </c>
      <c r="K117" s="17"/>
      <c r="L117" s="18" t="s">
        <v>37</v>
      </c>
      <c r="M117" s="17" t="s">
        <v>37</v>
      </c>
      <c r="N117" s="16" t="s">
        <v>994</v>
      </c>
    </row>
    <row r="118" customFormat="false" ht="43.5" hidden="false" customHeight="true" outlineLevel="0" collapsed="false">
      <c r="A118" s="13" t="s">
        <v>995</v>
      </c>
      <c r="B118" s="14" t="s">
        <v>958</v>
      </c>
      <c r="C118" s="14" t="s">
        <v>996</v>
      </c>
      <c r="D118" s="15" t="s">
        <v>997</v>
      </c>
      <c r="E118" s="15" t="s">
        <v>998</v>
      </c>
      <c r="F118" s="15" t="s">
        <v>999</v>
      </c>
      <c r="G118" s="15" t="s">
        <v>399</v>
      </c>
      <c r="H118" s="15" t="s">
        <v>1000</v>
      </c>
      <c r="I118" s="16" t="s">
        <v>1001</v>
      </c>
      <c r="J118" s="17" t="s">
        <v>39</v>
      </c>
      <c r="K118" s="17" t="s">
        <v>1002</v>
      </c>
      <c r="L118" s="18" t="s">
        <v>53</v>
      </c>
      <c r="M118" s="17" t="s">
        <v>37</v>
      </c>
      <c r="N118" s="16" t="s">
        <v>1003</v>
      </c>
    </row>
    <row r="119" customFormat="false" ht="29.25" hidden="false" customHeight="true" outlineLevel="0" collapsed="false">
      <c r="A119" s="13" t="s">
        <v>1004</v>
      </c>
      <c r="B119" s="14" t="s">
        <v>958</v>
      </c>
      <c r="C119" s="14" t="s">
        <v>1005</v>
      </c>
      <c r="D119" s="15" t="s">
        <v>1006</v>
      </c>
      <c r="E119" s="15" t="s">
        <v>1007</v>
      </c>
      <c r="F119" s="14" t="s">
        <v>1008</v>
      </c>
      <c r="G119" s="14" t="s">
        <v>1009</v>
      </c>
      <c r="H119" s="15" t="s">
        <v>149</v>
      </c>
      <c r="I119" s="16" t="s">
        <v>1010</v>
      </c>
      <c r="J119" s="17" t="s">
        <v>37</v>
      </c>
      <c r="K119" s="17"/>
      <c r="L119" s="18" t="s">
        <v>37</v>
      </c>
      <c r="M119" s="17" t="s">
        <v>37</v>
      </c>
      <c r="N119" s="17" t="s">
        <v>1011</v>
      </c>
    </row>
    <row r="120" customFormat="false" ht="29.25" hidden="false" customHeight="true" outlineLevel="0" collapsed="false">
      <c r="A120" s="13" t="s">
        <v>1012</v>
      </c>
      <c r="B120" s="14" t="s">
        <v>958</v>
      </c>
      <c r="C120" s="15" t="s">
        <v>1013</v>
      </c>
      <c r="D120" s="15" t="s">
        <v>1014</v>
      </c>
      <c r="E120" s="15" t="s">
        <v>1015</v>
      </c>
      <c r="F120" s="15" t="s">
        <v>1016</v>
      </c>
      <c r="G120" s="15" t="s">
        <v>436</v>
      </c>
      <c r="H120" s="15" t="s">
        <v>149</v>
      </c>
      <c r="I120" s="16" t="s">
        <v>1017</v>
      </c>
      <c r="J120" s="17" t="s">
        <v>37</v>
      </c>
      <c r="K120" s="17" t="s">
        <v>1018</v>
      </c>
      <c r="L120" s="18" t="s">
        <v>53</v>
      </c>
      <c r="M120" s="17" t="s">
        <v>37</v>
      </c>
      <c r="N120" s="16" t="s">
        <v>1019</v>
      </c>
    </row>
    <row r="121" customFormat="false" ht="29.25" hidden="false" customHeight="true" outlineLevel="0" collapsed="false">
      <c r="A121" s="13" t="s">
        <v>1020</v>
      </c>
      <c r="B121" s="14" t="s">
        <v>958</v>
      </c>
      <c r="C121" s="15" t="s">
        <v>1021</v>
      </c>
      <c r="D121" s="15" t="s">
        <v>1014</v>
      </c>
      <c r="E121" s="15" t="s">
        <v>1022</v>
      </c>
      <c r="F121" s="15" t="s">
        <v>1023</v>
      </c>
      <c r="G121" s="15" t="s">
        <v>1024</v>
      </c>
      <c r="H121" s="15" t="s">
        <v>149</v>
      </c>
      <c r="I121" s="16" t="s">
        <v>1025</v>
      </c>
      <c r="J121" s="17" t="s">
        <v>37</v>
      </c>
      <c r="K121" s="17"/>
      <c r="L121" s="18" t="s">
        <v>37</v>
      </c>
      <c r="M121" s="17" t="s">
        <v>37</v>
      </c>
      <c r="N121" s="16" t="s">
        <v>1026</v>
      </c>
    </row>
    <row r="122" customFormat="false" ht="43.5" hidden="false" customHeight="true" outlineLevel="0" collapsed="false">
      <c r="A122" s="13" t="s">
        <v>1027</v>
      </c>
      <c r="B122" s="14" t="s">
        <v>958</v>
      </c>
      <c r="C122" s="15" t="s">
        <v>1028</v>
      </c>
      <c r="D122" s="15" t="s">
        <v>1029</v>
      </c>
      <c r="E122" s="15" t="s">
        <v>1030</v>
      </c>
      <c r="F122" s="15" t="s">
        <v>1031</v>
      </c>
      <c r="G122" s="14" t="s">
        <v>1032</v>
      </c>
      <c r="H122" s="15" t="s">
        <v>149</v>
      </c>
      <c r="I122" s="16" t="s">
        <v>1033</v>
      </c>
      <c r="J122" s="17" t="s">
        <v>39</v>
      </c>
      <c r="K122" s="17" t="s">
        <v>1034</v>
      </c>
      <c r="L122" s="18" t="s">
        <v>53</v>
      </c>
      <c r="M122" s="17" t="s">
        <v>37</v>
      </c>
      <c r="N122" s="16" t="s">
        <v>1035</v>
      </c>
    </row>
    <row r="123" customFormat="false" ht="29.25" hidden="false" customHeight="true" outlineLevel="0" collapsed="false">
      <c r="A123" s="13" t="s">
        <v>1036</v>
      </c>
      <c r="B123" s="14" t="s">
        <v>958</v>
      </c>
      <c r="C123" s="15" t="s">
        <v>1037</v>
      </c>
      <c r="D123" s="15" t="s">
        <v>167</v>
      </c>
      <c r="E123" s="15" t="s">
        <v>1038</v>
      </c>
      <c r="F123" s="15" t="s">
        <v>1039</v>
      </c>
      <c r="G123" s="15" t="s">
        <v>399</v>
      </c>
      <c r="H123" s="15" t="s">
        <v>149</v>
      </c>
      <c r="I123" s="16" t="s">
        <v>1040</v>
      </c>
      <c r="J123" s="17" t="s">
        <v>39</v>
      </c>
      <c r="K123" s="17" t="s">
        <v>1041</v>
      </c>
      <c r="L123" s="18" t="s">
        <v>53</v>
      </c>
      <c r="M123" s="17" t="s">
        <v>37</v>
      </c>
      <c r="N123" s="17" t="s">
        <v>1042</v>
      </c>
    </row>
    <row r="124" customFormat="false" ht="29.25" hidden="false" customHeight="true" outlineLevel="0" collapsed="false">
      <c r="A124" s="13" t="s">
        <v>1043</v>
      </c>
      <c r="B124" s="14" t="s">
        <v>958</v>
      </c>
      <c r="C124" s="15" t="s">
        <v>1044</v>
      </c>
      <c r="D124" s="15" t="s">
        <v>1014</v>
      </c>
      <c r="E124" s="15" t="s">
        <v>1045</v>
      </c>
      <c r="F124" s="15" t="s">
        <v>1046</v>
      </c>
      <c r="G124" s="15" t="s">
        <v>1047</v>
      </c>
      <c r="H124" s="15" t="s">
        <v>149</v>
      </c>
      <c r="I124" s="16" t="s">
        <v>1048</v>
      </c>
      <c r="J124" s="17" t="s">
        <v>37</v>
      </c>
      <c r="K124" s="17"/>
      <c r="L124" s="18" t="s">
        <v>37</v>
      </c>
      <c r="M124" s="17" t="s">
        <v>37</v>
      </c>
      <c r="N124" s="16" t="s">
        <v>1049</v>
      </c>
    </row>
    <row r="125" customFormat="false" ht="29.25" hidden="false" customHeight="true" outlineLevel="0" collapsed="false">
      <c r="A125" s="13" t="s">
        <v>1050</v>
      </c>
      <c r="B125" s="14" t="s">
        <v>958</v>
      </c>
      <c r="C125" s="15" t="s">
        <v>1051</v>
      </c>
      <c r="D125" s="14" t="s">
        <v>136</v>
      </c>
      <c r="E125" s="15" t="s">
        <v>1052</v>
      </c>
      <c r="F125" s="15" t="s">
        <v>1053</v>
      </c>
      <c r="G125" s="14" t="s">
        <v>1054</v>
      </c>
      <c r="H125" s="15" t="s">
        <v>149</v>
      </c>
      <c r="I125" s="16" t="s">
        <v>1055</v>
      </c>
      <c r="J125" s="17" t="s">
        <v>39</v>
      </c>
      <c r="K125" s="17" t="s">
        <v>1056</v>
      </c>
      <c r="L125" s="18" t="s">
        <v>53</v>
      </c>
      <c r="M125" s="17" t="s">
        <v>37</v>
      </c>
      <c r="N125" s="16" t="s">
        <v>1057</v>
      </c>
    </row>
    <row r="126" customFormat="false" ht="16.5" hidden="false" customHeight="true" outlineLevel="0" collapsed="false">
      <c r="A126" s="12" t="s">
        <v>1058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1059</v>
      </c>
      <c r="B127" s="14" t="s">
        <v>1060</v>
      </c>
      <c r="C127" s="15" t="s">
        <v>1061</v>
      </c>
      <c r="D127" s="14" t="s">
        <v>136</v>
      </c>
      <c r="E127" s="15" t="s">
        <v>1062</v>
      </c>
      <c r="F127" s="14" t="s">
        <v>1063</v>
      </c>
      <c r="G127" s="15" t="s">
        <v>233</v>
      </c>
      <c r="H127" s="15" t="s">
        <v>251</v>
      </c>
      <c r="I127" s="16" t="s">
        <v>1064</v>
      </c>
      <c r="J127" s="17" t="s">
        <v>37</v>
      </c>
      <c r="K127" s="17" t="s">
        <v>1065</v>
      </c>
      <c r="L127" s="18" t="s">
        <v>37</v>
      </c>
      <c r="M127" s="17" t="s">
        <v>37</v>
      </c>
      <c r="N127" s="16" t="s">
        <v>1066</v>
      </c>
    </row>
    <row r="128" customFormat="false" ht="29.25" hidden="false" customHeight="true" outlineLevel="0" collapsed="false">
      <c r="A128" s="13" t="s">
        <v>1067</v>
      </c>
      <c r="B128" s="14" t="s">
        <v>1060</v>
      </c>
      <c r="C128" s="15" t="s">
        <v>1068</v>
      </c>
      <c r="D128" s="14" t="s">
        <v>136</v>
      </c>
      <c r="E128" s="15" t="s">
        <v>1069</v>
      </c>
      <c r="F128" s="15" t="s">
        <v>1070</v>
      </c>
      <c r="G128" s="15" t="s">
        <v>233</v>
      </c>
      <c r="H128" s="15" t="s">
        <v>1071</v>
      </c>
      <c r="I128" s="16" t="s">
        <v>1072</v>
      </c>
      <c r="J128" s="17" t="s">
        <v>37</v>
      </c>
      <c r="K128" s="17"/>
      <c r="L128" s="18" t="s">
        <v>37</v>
      </c>
      <c r="M128" s="17" t="s">
        <v>37</v>
      </c>
      <c r="N128" s="17" t="s">
        <v>1073</v>
      </c>
    </row>
    <row r="129" customFormat="false" ht="29.25" hidden="false" customHeight="true" outlineLevel="0" collapsed="false">
      <c r="A129" s="13" t="s">
        <v>1074</v>
      </c>
      <c r="B129" s="14" t="s">
        <v>1060</v>
      </c>
      <c r="C129" s="15" t="s">
        <v>1075</v>
      </c>
      <c r="D129" s="15" t="s">
        <v>1076</v>
      </c>
      <c r="E129" s="15" t="s">
        <v>1077</v>
      </c>
      <c r="F129" s="15" t="s">
        <v>1078</v>
      </c>
      <c r="G129" s="15" t="s">
        <v>1079</v>
      </c>
      <c r="H129" s="15" t="s">
        <v>251</v>
      </c>
      <c r="I129" s="16" t="s">
        <v>1080</v>
      </c>
      <c r="J129" s="17" t="s">
        <v>37</v>
      </c>
      <c r="K129" s="17"/>
      <c r="L129" s="18" t="s">
        <v>37</v>
      </c>
      <c r="M129" s="17" t="s">
        <v>37</v>
      </c>
      <c r="N129" s="17" t="s">
        <v>1081</v>
      </c>
    </row>
    <row r="130" customFormat="false" ht="29.25" hidden="false" customHeight="true" outlineLevel="0" collapsed="false">
      <c r="A130" s="13" t="s">
        <v>1082</v>
      </c>
      <c r="B130" s="14" t="s">
        <v>1060</v>
      </c>
      <c r="C130" s="15" t="s">
        <v>1083</v>
      </c>
      <c r="D130" s="14" t="s">
        <v>136</v>
      </c>
      <c r="E130" s="15" t="s">
        <v>1084</v>
      </c>
      <c r="F130" s="15" t="s">
        <v>1085</v>
      </c>
      <c r="G130" s="15" t="s">
        <v>233</v>
      </c>
      <c r="H130" s="15" t="s">
        <v>251</v>
      </c>
      <c r="I130" s="16" t="s">
        <v>1086</v>
      </c>
      <c r="J130" s="17" t="s">
        <v>37</v>
      </c>
      <c r="K130" s="17" t="s">
        <v>1087</v>
      </c>
      <c r="L130" s="18" t="s">
        <v>37</v>
      </c>
      <c r="M130" s="17" t="s">
        <v>37</v>
      </c>
      <c r="N130" s="16" t="s">
        <v>1088</v>
      </c>
    </row>
    <row r="131" customFormat="false" ht="29.25" hidden="false" customHeight="true" outlineLevel="0" collapsed="false">
      <c r="A131" s="13" t="s">
        <v>1089</v>
      </c>
      <c r="B131" s="14" t="s">
        <v>1060</v>
      </c>
      <c r="C131" s="14" t="s">
        <v>1090</v>
      </c>
      <c r="D131" s="14" t="s">
        <v>136</v>
      </c>
      <c r="E131" s="14" t="s">
        <v>1091</v>
      </c>
      <c r="F131" s="14" t="s">
        <v>1092</v>
      </c>
      <c r="G131" s="15" t="s">
        <v>233</v>
      </c>
      <c r="H131" s="15" t="s">
        <v>251</v>
      </c>
      <c r="I131" s="17" t="s">
        <v>1093</v>
      </c>
      <c r="J131" s="17" t="s">
        <v>39</v>
      </c>
      <c r="K131" s="17" t="s">
        <v>1094</v>
      </c>
      <c r="L131" s="18" t="s">
        <v>53</v>
      </c>
      <c r="M131" s="17" t="s">
        <v>37</v>
      </c>
      <c r="N131" s="16" t="s">
        <v>1095</v>
      </c>
    </row>
    <row r="132" customFormat="false" ht="29.25" hidden="false" customHeight="true" outlineLevel="0" collapsed="false">
      <c r="A132" s="13" t="s">
        <v>1096</v>
      </c>
      <c r="B132" s="14" t="s">
        <v>1060</v>
      </c>
      <c r="C132" s="15" t="s">
        <v>1097</v>
      </c>
      <c r="D132" s="15" t="s">
        <v>1098</v>
      </c>
      <c r="E132" s="14" t="s">
        <v>1099</v>
      </c>
      <c r="F132" s="15" t="s">
        <v>1100</v>
      </c>
      <c r="G132" s="15" t="s">
        <v>233</v>
      </c>
      <c r="H132" s="15" t="s">
        <v>1101</v>
      </c>
      <c r="I132" s="16" t="s">
        <v>1102</v>
      </c>
      <c r="J132" s="17" t="s">
        <v>37</v>
      </c>
      <c r="K132" s="17" t="s">
        <v>1103</v>
      </c>
      <c r="L132" s="18" t="s">
        <v>37</v>
      </c>
      <c r="M132" s="17" t="s">
        <v>37</v>
      </c>
      <c r="N132" s="16" t="s">
        <v>1104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1105</v>
      </c>
      <c r="B1" s="9" t="s">
        <v>1106</v>
      </c>
      <c r="C1" s="9" t="s">
        <v>1107</v>
      </c>
      <c r="D1" s="9" t="s">
        <v>1108</v>
      </c>
      <c r="E1" s="9" t="s">
        <v>1109</v>
      </c>
      <c r="F1" s="9" t="s">
        <v>1110</v>
      </c>
      <c r="G1" s="9" t="s">
        <v>1111</v>
      </c>
      <c r="H1" s="9" t="s">
        <v>1112</v>
      </c>
      <c r="I1" s="9" t="s">
        <v>132</v>
      </c>
      <c r="J1" s="9" t="s">
        <v>1113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1114</v>
      </c>
      <c r="C2" s="10" t="s">
        <v>1115</v>
      </c>
      <c r="D2" s="10" t="s">
        <v>72</v>
      </c>
      <c r="E2" s="10" t="s">
        <v>75</v>
      </c>
      <c r="F2" s="11" t="s">
        <v>1116</v>
      </c>
      <c r="G2" s="10" t="s">
        <v>1117</v>
      </c>
      <c r="H2" s="11" t="s">
        <v>1118</v>
      </c>
      <c r="I2" s="10" t="s">
        <v>53</v>
      </c>
      <c r="J2" s="11" t="s">
        <v>1119</v>
      </c>
      <c r="K2" s="10" t="s">
        <v>1120</v>
      </c>
    </row>
    <row r="3" customFormat="false" ht="15" hidden="false" customHeight="true" outlineLevel="0" collapsed="false">
      <c r="A3" s="17" t="s">
        <v>978</v>
      </c>
      <c r="B3" s="17" t="s">
        <v>972</v>
      </c>
      <c r="C3" s="16" t="s">
        <v>1121</v>
      </c>
      <c r="D3" s="16" t="s">
        <v>70</v>
      </c>
      <c r="E3" s="16" t="s">
        <v>75</v>
      </c>
      <c r="F3" s="17" t="s">
        <v>1116</v>
      </c>
      <c r="G3" s="16" t="s">
        <v>1122</v>
      </c>
      <c r="H3" s="17" t="s">
        <v>1123</v>
      </c>
      <c r="I3" s="16" t="s">
        <v>53</v>
      </c>
      <c r="J3" s="17" t="s">
        <v>1119</v>
      </c>
      <c r="K3" s="17"/>
    </row>
    <row r="4" customFormat="false" ht="15" hidden="false" customHeight="true" outlineLevel="0" collapsed="false">
      <c r="A4" s="17" t="s">
        <v>1124</v>
      </c>
      <c r="B4" s="17" t="s">
        <v>1089</v>
      </c>
      <c r="C4" s="17" t="s">
        <v>1125</v>
      </c>
      <c r="D4" s="16" t="s">
        <v>72</v>
      </c>
      <c r="E4" s="16" t="s">
        <v>75</v>
      </c>
      <c r="F4" s="17" t="s">
        <v>1116</v>
      </c>
      <c r="G4" s="16" t="s">
        <v>1126</v>
      </c>
      <c r="H4" s="17" t="s">
        <v>1127</v>
      </c>
      <c r="I4" s="16" t="s">
        <v>53</v>
      </c>
      <c r="J4" s="17" t="s">
        <v>1119</v>
      </c>
      <c r="K4" s="17" t="s">
        <v>1128</v>
      </c>
    </row>
    <row r="5" customFormat="false" ht="15" hidden="false" customHeight="true" outlineLevel="0" collapsed="false">
      <c r="A5" s="17" t="s">
        <v>855</v>
      </c>
      <c r="B5" s="17" t="s">
        <v>849</v>
      </c>
      <c r="C5" s="16" t="s">
        <v>1129</v>
      </c>
      <c r="D5" s="16" t="s">
        <v>72</v>
      </c>
      <c r="E5" s="16" t="s">
        <v>81</v>
      </c>
      <c r="F5" s="17" t="s">
        <v>1116</v>
      </c>
      <c r="G5" s="17" t="s">
        <v>1130</v>
      </c>
      <c r="H5" s="17" t="s">
        <v>1131</v>
      </c>
      <c r="I5" s="16" t="s">
        <v>53</v>
      </c>
      <c r="J5" s="17" t="s">
        <v>1132</v>
      </c>
      <c r="K5" s="17" t="s">
        <v>1133</v>
      </c>
    </row>
    <row r="6" customFormat="false" ht="15" hidden="false" customHeight="true" outlineLevel="0" collapsed="false">
      <c r="A6" s="17" t="s">
        <v>986</v>
      </c>
      <c r="B6" s="17" t="s">
        <v>1134</v>
      </c>
      <c r="C6" s="17" t="s">
        <v>1135</v>
      </c>
      <c r="D6" s="16" t="s">
        <v>72</v>
      </c>
      <c r="E6" s="16" t="s">
        <v>75</v>
      </c>
      <c r="F6" s="17" t="s">
        <v>1116</v>
      </c>
      <c r="G6" s="16" t="s">
        <v>1136</v>
      </c>
      <c r="H6" s="17" t="s">
        <v>1137</v>
      </c>
      <c r="I6" s="16" t="s">
        <v>53</v>
      </c>
      <c r="J6" s="17" t="s">
        <v>1119</v>
      </c>
      <c r="K6" s="17" t="s">
        <v>1138</v>
      </c>
    </row>
    <row r="7" customFormat="false" ht="15" hidden="false" customHeight="true" outlineLevel="0" collapsed="false">
      <c r="A7" s="17" t="s">
        <v>527</v>
      </c>
      <c r="B7" s="17" t="s">
        <v>520</v>
      </c>
      <c r="C7" s="16" t="s">
        <v>1139</v>
      </c>
      <c r="D7" s="16" t="s">
        <v>70</v>
      </c>
      <c r="E7" s="16" t="s">
        <v>75</v>
      </c>
      <c r="F7" s="17" t="s">
        <v>1116</v>
      </c>
      <c r="G7" s="16" t="s">
        <v>1140</v>
      </c>
      <c r="H7" s="17" t="s">
        <v>1141</v>
      </c>
      <c r="I7" s="16" t="s">
        <v>53</v>
      </c>
      <c r="J7" s="17" t="s">
        <v>1119</v>
      </c>
      <c r="K7" s="17"/>
    </row>
    <row r="8" customFormat="false" ht="15" hidden="false" customHeight="true" outlineLevel="0" collapsed="false">
      <c r="A8" s="17" t="s">
        <v>151</v>
      </c>
      <c r="B8" s="17" t="s">
        <v>1142</v>
      </c>
      <c r="C8" s="16" t="s">
        <v>1143</v>
      </c>
      <c r="D8" s="16" t="s">
        <v>72</v>
      </c>
      <c r="E8" s="16" t="s">
        <v>81</v>
      </c>
      <c r="F8" s="17" t="s">
        <v>1116</v>
      </c>
      <c r="G8" s="16" t="s">
        <v>1144</v>
      </c>
      <c r="H8" s="17"/>
      <c r="I8" s="16" t="s">
        <v>83</v>
      </c>
      <c r="J8" s="17" t="s">
        <v>1119</v>
      </c>
      <c r="K8" s="17" t="s">
        <v>1145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1146</v>
      </c>
      <c r="D9" s="16" t="s">
        <v>70</v>
      </c>
      <c r="E9" s="16" t="s">
        <v>75</v>
      </c>
      <c r="F9" s="17" t="s">
        <v>1116</v>
      </c>
      <c r="G9" s="16" t="s">
        <v>1147</v>
      </c>
      <c r="H9" s="17" t="s">
        <v>1148</v>
      </c>
      <c r="I9" s="16" t="s">
        <v>53</v>
      </c>
      <c r="J9" s="17" t="s">
        <v>1119</v>
      </c>
      <c r="K9" s="17"/>
    </row>
    <row r="10" customFormat="false" ht="15" hidden="false" customHeight="true" outlineLevel="0" collapsed="false">
      <c r="A10" s="17" t="s">
        <v>185</v>
      </c>
      <c r="B10" s="17" t="s">
        <v>1149</v>
      </c>
      <c r="C10" s="16" t="s">
        <v>1150</v>
      </c>
      <c r="D10" s="16" t="s">
        <v>72</v>
      </c>
      <c r="E10" s="16" t="s">
        <v>75</v>
      </c>
      <c r="F10" s="17" t="s">
        <v>1116</v>
      </c>
      <c r="G10" s="16" t="s">
        <v>1151</v>
      </c>
      <c r="H10" s="17" t="s">
        <v>1152</v>
      </c>
      <c r="I10" s="16" t="s">
        <v>53</v>
      </c>
      <c r="J10" s="17" t="s">
        <v>1119</v>
      </c>
      <c r="K10" s="17"/>
    </row>
    <row r="11" customFormat="false" ht="15" hidden="false" customHeight="true" outlineLevel="0" collapsed="false">
      <c r="A11" s="17" t="s">
        <v>227</v>
      </c>
      <c r="B11" s="17" t="s">
        <v>220</v>
      </c>
      <c r="C11" s="16" t="s">
        <v>1153</v>
      </c>
      <c r="D11" s="16" t="s">
        <v>72</v>
      </c>
      <c r="E11" s="16" t="s">
        <v>81</v>
      </c>
      <c r="F11" s="17" t="s">
        <v>1116</v>
      </c>
      <c r="G11" s="16" t="s">
        <v>1154</v>
      </c>
      <c r="H11" s="17" t="s">
        <v>1155</v>
      </c>
      <c r="I11" s="16" t="s">
        <v>53</v>
      </c>
      <c r="J11" s="17" t="s">
        <v>1132</v>
      </c>
      <c r="K11" s="17" t="s">
        <v>1156</v>
      </c>
    </row>
    <row r="12" customFormat="false" ht="15" hidden="false" customHeight="true" outlineLevel="0" collapsed="false">
      <c r="A12" s="17" t="s">
        <v>1157</v>
      </c>
      <c r="B12" s="17" t="s">
        <v>1158</v>
      </c>
      <c r="C12" s="16" t="s">
        <v>1159</v>
      </c>
      <c r="D12" s="16" t="s">
        <v>72</v>
      </c>
      <c r="E12" s="16" t="s">
        <v>77</v>
      </c>
      <c r="F12" s="17" t="s">
        <v>1116</v>
      </c>
      <c r="G12" s="17" t="s">
        <v>1160</v>
      </c>
      <c r="H12" s="17" t="s">
        <v>1161</v>
      </c>
      <c r="I12" s="16" t="s">
        <v>53</v>
      </c>
      <c r="J12" s="17" t="s">
        <v>1132</v>
      </c>
      <c r="K12" s="17" t="s">
        <v>1162</v>
      </c>
    </row>
    <row r="13" customFormat="false" ht="15" hidden="false" customHeight="true" outlineLevel="0" collapsed="false">
      <c r="A13" s="17" t="s">
        <v>268</v>
      </c>
      <c r="B13" s="17" t="s">
        <v>1163</v>
      </c>
      <c r="C13" s="16" t="s">
        <v>1164</v>
      </c>
      <c r="D13" s="16" t="s">
        <v>70</v>
      </c>
      <c r="E13" s="16" t="s">
        <v>75</v>
      </c>
      <c r="F13" s="17" t="s">
        <v>1116</v>
      </c>
      <c r="G13" s="16" t="s">
        <v>1165</v>
      </c>
      <c r="H13" s="17" t="s">
        <v>1166</v>
      </c>
      <c r="I13" s="16" t="s">
        <v>53</v>
      </c>
      <c r="J13" s="17" t="s">
        <v>1119</v>
      </c>
      <c r="K13" s="17"/>
    </row>
    <row r="14" customFormat="false" ht="15" hidden="false" customHeight="true" outlineLevel="0" collapsed="false">
      <c r="A14" s="17" t="s">
        <v>409</v>
      </c>
      <c r="B14" s="17" t="s">
        <v>403</v>
      </c>
      <c r="C14" s="16" t="s">
        <v>1167</v>
      </c>
      <c r="D14" s="16" t="s">
        <v>68</v>
      </c>
      <c r="E14" s="16" t="s">
        <v>75</v>
      </c>
      <c r="F14" s="17" t="s">
        <v>1116</v>
      </c>
      <c r="G14" s="16" t="s">
        <v>1168</v>
      </c>
      <c r="H14" s="17" t="s">
        <v>1169</v>
      </c>
      <c r="I14" s="16" t="s">
        <v>53</v>
      </c>
      <c r="J14" s="17" t="s">
        <v>1119</v>
      </c>
      <c r="K14" s="17"/>
    </row>
    <row r="15" customFormat="false" ht="15" hidden="false" customHeight="true" outlineLevel="0" collapsed="false">
      <c r="A15" s="17" t="s">
        <v>346</v>
      </c>
      <c r="B15" s="17" t="s">
        <v>341</v>
      </c>
      <c r="C15" s="16" t="s">
        <v>1170</v>
      </c>
      <c r="D15" s="16" t="s">
        <v>72</v>
      </c>
      <c r="E15" s="16" t="s">
        <v>81</v>
      </c>
      <c r="F15" s="17" t="s">
        <v>1116</v>
      </c>
      <c r="G15" s="16" t="s">
        <v>1171</v>
      </c>
      <c r="H15" s="17" t="s">
        <v>1172</v>
      </c>
      <c r="I15" s="16" t="s">
        <v>53</v>
      </c>
      <c r="J15" s="17" t="s">
        <v>1132</v>
      </c>
      <c r="K15" s="17" t="s">
        <v>1173</v>
      </c>
    </row>
    <row r="16" customFormat="false" ht="15" hidden="false" customHeight="true" outlineLevel="0" collapsed="false">
      <c r="A16" s="17" t="s">
        <v>1174</v>
      </c>
      <c r="B16" s="17" t="s">
        <v>395</v>
      </c>
      <c r="C16" s="16" t="s">
        <v>1175</v>
      </c>
      <c r="D16" s="16" t="s">
        <v>70</v>
      </c>
      <c r="E16" s="16" t="s">
        <v>75</v>
      </c>
      <c r="F16" s="17" t="s">
        <v>1116</v>
      </c>
      <c r="G16" s="16" t="s">
        <v>1176</v>
      </c>
      <c r="H16" s="17" t="s">
        <v>1177</v>
      </c>
      <c r="I16" s="16" t="s">
        <v>53</v>
      </c>
      <c r="J16" s="17" t="s">
        <v>1119</v>
      </c>
      <c r="K16" s="17" t="s">
        <v>1178</v>
      </c>
    </row>
    <row r="17" customFormat="false" ht="15" hidden="false" customHeight="true" outlineLevel="0" collapsed="false">
      <c r="A17" s="17" t="s">
        <v>1179</v>
      </c>
      <c r="B17" s="17" t="s">
        <v>412</v>
      </c>
      <c r="C17" s="16" t="s">
        <v>1180</v>
      </c>
      <c r="D17" s="16" t="s">
        <v>72</v>
      </c>
      <c r="E17" s="16" t="s">
        <v>75</v>
      </c>
      <c r="F17" s="17" t="s">
        <v>1116</v>
      </c>
      <c r="G17" s="16" t="s">
        <v>1181</v>
      </c>
      <c r="H17" s="17" t="s">
        <v>1182</v>
      </c>
      <c r="I17" s="16" t="s">
        <v>53</v>
      </c>
      <c r="J17" s="17" t="s">
        <v>1119</v>
      </c>
      <c r="K17" s="17" t="s">
        <v>1183</v>
      </c>
    </row>
    <row r="18" customFormat="false" ht="15" hidden="false" customHeight="true" outlineLevel="0" collapsed="false">
      <c r="A18" s="17" t="s">
        <v>1184</v>
      </c>
      <c r="B18" s="17" t="s">
        <v>1185</v>
      </c>
      <c r="C18" s="16" t="s">
        <v>1186</v>
      </c>
      <c r="D18" s="16" t="s">
        <v>72</v>
      </c>
      <c r="E18" s="16" t="s">
        <v>81</v>
      </c>
      <c r="F18" s="17" t="s">
        <v>1116</v>
      </c>
      <c r="G18" s="16" t="s">
        <v>1187</v>
      </c>
      <c r="H18" s="17" t="s">
        <v>1188</v>
      </c>
      <c r="I18" s="16" t="s">
        <v>53</v>
      </c>
      <c r="J18" s="17" t="s">
        <v>1132</v>
      </c>
      <c r="K18" s="17" t="s">
        <v>1189</v>
      </c>
    </row>
    <row r="19" customFormat="false" ht="15" hidden="false" customHeight="true" outlineLevel="0" collapsed="false">
      <c r="A19" s="17" t="s">
        <v>446</v>
      </c>
      <c r="B19" s="17" t="s">
        <v>1190</v>
      </c>
      <c r="C19" s="16" t="s">
        <v>1191</v>
      </c>
      <c r="D19" s="16" t="s">
        <v>72</v>
      </c>
      <c r="E19" s="16" t="s">
        <v>75</v>
      </c>
      <c r="F19" s="17" t="s">
        <v>1116</v>
      </c>
      <c r="G19" s="16" t="s">
        <v>1192</v>
      </c>
      <c r="H19" s="17" t="s">
        <v>1193</v>
      </c>
      <c r="I19" s="16" t="s">
        <v>53</v>
      </c>
      <c r="J19" s="17" t="s">
        <v>1132</v>
      </c>
      <c r="K19" s="17" t="s">
        <v>1194</v>
      </c>
    </row>
    <row r="20" customFormat="false" ht="15" hidden="false" customHeight="true" outlineLevel="0" collapsed="false">
      <c r="A20" s="17" t="s">
        <v>1195</v>
      </c>
      <c r="B20" s="17" t="s">
        <v>448</v>
      </c>
      <c r="C20" s="17" t="s">
        <v>1196</v>
      </c>
      <c r="D20" s="16" t="s">
        <v>70</v>
      </c>
      <c r="E20" s="16" t="s">
        <v>81</v>
      </c>
      <c r="F20" s="17" t="s">
        <v>1116</v>
      </c>
      <c r="G20" s="16" t="s">
        <v>1197</v>
      </c>
      <c r="H20" s="17"/>
      <c r="I20" s="16" t="s">
        <v>83</v>
      </c>
      <c r="J20" s="17" t="s">
        <v>1119</v>
      </c>
      <c r="K20" s="17" t="s">
        <v>1198</v>
      </c>
    </row>
    <row r="21" customFormat="false" ht="15" hidden="false" customHeight="true" outlineLevel="0" collapsed="false">
      <c r="A21" s="17" t="s">
        <v>1199</v>
      </c>
      <c r="B21" s="17" t="s">
        <v>1200</v>
      </c>
      <c r="C21" s="16" t="s">
        <v>1201</v>
      </c>
      <c r="D21" s="16" t="s">
        <v>72</v>
      </c>
      <c r="E21" s="16" t="s">
        <v>75</v>
      </c>
      <c r="F21" s="17" t="s">
        <v>1116</v>
      </c>
      <c r="G21" s="16" t="s">
        <v>1202</v>
      </c>
      <c r="H21" s="17" t="s">
        <v>1203</v>
      </c>
      <c r="I21" s="16" t="s">
        <v>53</v>
      </c>
      <c r="J21" s="17" t="s">
        <v>1119</v>
      </c>
      <c r="K21" s="17"/>
    </row>
    <row r="22" customFormat="false" ht="15" hidden="false" customHeight="true" outlineLevel="0" collapsed="false">
      <c r="A22" s="17" t="s">
        <v>1204</v>
      </c>
      <c r="B22" s="17" t="s">
        <v>1205</v>
      </c>
      <c r="C22" s="16" t="s">
        <v>1206</v>
      </c>
      <c r="D22" s="16" t="s">
        <v>70</v>
      </c>
      <c r="E22" s="16" t="s">
        <v>75</v>
      </c>
      <c r="F22" s="17" t="s">
        <v>1116</v>
      </c>
      <c r="G22" s="16" t="s">
        <v>1207</v>
      </c>
      <c r="H22" s="17" t="s">
        <v>1208</v>
      </c>
      <c r="I22" s="16" t="s">
        <v>53</v>
      </c>
      <c r="J22" s="17" t="s">
        <v>1119</v>
      </c>
      <c r="K22" s="17" t="s">
        <v>1209</v>
      </c>
    </row>
    <row r="23" customFormat="false" ht="15" hidden="false" customHeight="true" outlineLevel="0" collapsed="false">
      <c r="A23" s="17" t="s">
        <v>1210</v>
      </c>
      <c r="B23" s="17" t="s">
        <v>1211</v>
      </c>
      <c r="C23" s="16" t="s">
        <v>1212</v>
      </c>
      <c r="D23" s="16" t="s">
        <v>70</v>
      </c>
      <c r="E23" s="16" t="s">
        <v>75</v>
      </c>
      <c r="F23" s="17" t="s">
        <v>1116</v>
      </c>
      <c r="G23" s="16" t="s">
        <v>1213</v>
      </c>
      <c r="H23" s="17" t="s">
        <v>1214</v>
      </c>
      <c r="I23" s="16" t="s">
        <v>53</v>
      </c>
      <c r="J23" s="17" t="s">
        <v>1119</v>
      </c>
      <c r="K23" s="17" t="s">
        <v>1215</v>
      </c>
    </row>
    <row r="24" customFormat="false" ht="15" hidden="false" customHeight="true" outlineLevel="0" collapsed="false">
      <c r="A24" s="17" t="s">
        <v>1216</v>
      </c>
      <c r="B24" s="17" t="s">
        <v>1217</v>
      </c>
      <c r="C24" s="16" t="s">
        <v>1218</v>
      </c>
      <c r="D24" s="16" t="s">
        <v>72</v>
      </c>
      <c r="E24" s="16" t="s">
        <v>75</v>
      </c>
      <c r="F24" s="17" t="s">
        <v>1116</v>
      </c>
      <c r="G24" s="16" t="s">
        <v>1219</v>
      </c>
      <c r="H24" s="17" t="s">
        <v>1220</v>
      </c>
      <c r="I24" s="16" t="s">
        <v>53</v>
      </c>
      <c r="J24" s="17" t="s">
        <v>1119</v>
      </c>
      <c r="K24" s="17"/>
    </row>
    <row r="25" customFormat="false" ht="15" hidden="false" customHeight="true" outlineLevel="0" collapsed="false">
      <c r="A25" s="17" t="s">
        <v>1221</v>
      </c>
      <c r="B25" s="17" t="s">
        <v>608</v>
      </c>
      <c r="C25" s="16" t="s">
        <v>1222</v>
      </c>
      <c r="D25" s="16" t="s">
        <v>70</v>
      </c>
      <c r="E25" s="16" t="s">
        <v>75</v>
      </c>
      <c r="F25" s="17" t="s">
        <v>1116</v>
      </c>
      <c r="G25" s="16" t="s">
        <v>1223</v>
      </c>
      <c r="H25" s="17" t="s">
        <v>1224</v>
      </c>
      <c r="I25" s="16" t="s">
        <v>53</v>
      </c>
      <c r="J25" s="17" t="s">
        <v>1132</v>
      </c>
      <c r="K25" s="17" t="s">
        <v>1225</v>
      </c>
    </row>
    <row r="26" customFormat="false" ht="15" hidden="false" customHeight="true" outlineLevel="0" collapsed="false">
      <c r="A26" s="17" t="s">
        <v>1226</v>
      </c>
      <c r="B26" s="17" t="s">
        <v>995</v>
      </c>
      <c r="C26" s="17" t="s">
        <v>1227</v>
      </c>
      <c r="D26" s="16" t="s">
        <v>70</v>
      </c>
      <c r="E26" s="16" t="s">
        <v>75</v>
      </c>
      <c r="F26" s="17" t="s">
        <v>1116</v>
      </c>
      <c r="G26" s="16" t="s">
        <v>1228</v>
      </c>
      <c r="H26" s="17" t="s">
        <v>1229</v>
      </c>
      <c r="I26" s="16" t="s">
        <v>53</v>
      </c>
      <c r="J26" s="17" t="s">
        <v>1119</v>
      </c>
      <c r="K26" s="17" t="s">
        <v>1230</v>
      </c>
    </row>
    <row r="27" customFormat="false" ht="15" hidden="false" customHeight="true" outlineLevel="0" collapsed="false">
      <c r="A27" s="17" t="s">
        <v>1231</v>
      </c>
      <c r="B27" s="17" t="s">
        <v>995</v>
      </c>
      <c r="C27" s="17" t="s">
        <v>1232</v>
      </c>
      <c r="D27" s="16" t="s">
        <v>70</v>
      </c>
      <c r="E27" s="16" t="s">
        <v>81</v>
      </c>
      <c r="F27" s="17" t="s">
        <v>1116</v>
      </c>
      <c r="G27" s="16" t="s">
        <v>1233</v>
      </c>
      <c r="H27" s="17" t="s">
        <v>1234</v>
      </c>
      <c r="I27" s="16" t="s">
        <v>53</v>
      </c>
      <c r="J27" s="17" t="s">
        <v>1132</v>
      </c>
      <c r="K27" s="17" t="s">
        <v>1235</v>
      </c>
    </row>
    <row r="28" customFormat="false" ht="15" hidden="false" customHeight="true" outlineLevel="0" collapsed="false">
      <c r="A28" s="17" t="s">
        <v>1056</v>
      </c>
      <c r="B28" s="17" t="s">
        <v>1050</v>
      </c>
      <c r="C28" s="16" t="s">
        <v>1236</v>
      </c>
      <c r="D28" s="16" t="s">
        <v>70</v>
      </c>
      <c r="E28" s="16" t="s">
        <v>75</v>
      </c>
      <c r="F28" s="17" t="s">
        <v>1116</v>
      </c>
      <c r="G28" s="16" t="s">
        <v>1237</v>
      </c>
      <c r="H28" s="17" t="s">
        <v>1238</v>
      </c>
      <c r="I28" s="16" t="s">
        <v>53</v>
      </c>
      <c r="J28" s="17" t="s">
        <v>1119</v>
      </c>
      <c r="K28" s="17" t="s">
        <v>1239</v>
      </c>
    </row>
    <row r="29" customFormat="false" ht="15" hidden="false" customHeight="true" outlineLevel="0" collapsed="false">
      <c r="A29" s="17" t="s">
        <v>1240</v>
      </c>
      <c r="B29" s="17" t="s">
        <v>1027</v>
      </c>
      <c r="C29" s="16" t="s">
        <v>1241</v>
      </c>
      <c r="D29" s="16" t="s">
        <v>68</v>
      </c>
      <c r="E29" s="16" t="s">
        <v>75</v>
      </c>
      <c r="F29" s="17" t="s">
        <v>1116</v>
      </c>
      <c r="G29" s="16" t="s">
        <v>1242</v>
      </c>
      <c r="H29" s="17" t="s">
        <v>1243</v>
      </c>
      <c r="I29" s="16" t="s">
        <v>53</v>
      </c>
      <c r="J29" s="17" t="s">
        <v>1119</v>
      </c>
      <c r="K29" s="17" t="s">
        <v>1244</v>
      </c>
    </row>
    <row r="30" customFormat="false" ht="15" hidden="false" customHeight="true" outlineLevel="0" collapsed="false">
      <c r="A30" s="17" t="s">
        <v>1245</v>
      </c>
      <c r="B30" s="17" t="s">
        <v>1027</v>
      </c>
      <c r="C30" s="16" t="s">
        <v>1246</v>
      </c>
      <c r="D30" s="16" t="s">
        <v>70</v>
      </c>
      <c r="E30" s="16" t="s">
        <v>75</v>
      </c>
      <c r="F30" s="17" t="s">
        <v>1116</v>
      </c>
      <c r="G30" s="16" t="s">
        <v>1247</v>
      </c>
      <c r="H30" s="17" t="s">
        <v>1248</v>
      </c>
      <c r="I30" s="16" t="s">
        <v>53</v>
      </c>
      <c r="J30" s="17" t="s">
        <v>1119</v>
      </c>
      <c r="K30" s="17"/>
    </row>
    <row r="31" customFormat="false" ht="15" hidden="false" customHeight="true" outlineLevel="0" collapsed="false">
      <c r="A31" s="17" t="s">
        <v>1041</v>
      </c>
      <c r="B31" s="17" t="s">
        <v>1036</v>
      </c>
      <c r="C31" s="16" t="s">
        <v>1249</v>
      </c>
      <c r="D31" s="16" t="s">
        <v>70</v>
      </c>
      <c r="E31" s="16" t="s">
        <v>75</v>
      </c>
      <c r="F31" s="17" t="s">
        <v>1116</v>
      </c>
      <c r="G31" s="16" t="s">
        <v>1250</v>
      </c>
      <c r="H31" s="17" t="s">
        <v>1251</v>
      </c>
      <c r="I31" s="16" t="s">
        <v>53</v>
      </c>
      <c r="J31" s="17" t="s">
        <v>1119</v>
      </c>
      <c r="K31" s="17"/>
    </row>
    <row r="32" customFormat="false" ht="15" hidden="false" customHeight="true" outlineLevel="0" collapsed="false">
      <c r="A32" s="17" t="s">
        <v>1252</v>
      </c>
      <c r="B32" s="17" t="s">
        <v>917</v>
      </c>
      <c r="C32" s="16" t="s">
        <v>1253</v>
      </c>
      <c r="D32" s="16" t="s">
        <v>70</v>
      </c>
      <c r="E32" s="16" t="s">
        <v>75</v>
      </c>
      <c r="F32" s="17" t="s">
        <v>1116</v>
      </c>
      <c r="G32" s="16" t="s">
        <v>1254</v>
      </c>
      <c r="H32" s="17" t="s">
        <v>1255</v>
      </c>
      <c r="I32" s="16" t="s">
        <v>53</v>
      </c>
      <c r="J32" s="17" t="s">
        <v>1119</v>
      </c>
      <c r="K32" s="17" t="s">
        <v>1256</v>
      </c>
    </row>
    <row r="33" customFormat="false" ht="15" hidden="false" customHeight="true" outlineLevel="0" collapsed="false">
      <c r="A33" s="17" t="s">
        <v>1257</v>
      </c>
      <c r="B33" s="17" t="s">
        <v>1258</v>
      </c>
      <c r="C33" s="16" t="s">
        <v>1259</v>
      </c>
      <c r="D33" s="16" t="s">
        <v>70</v>
      </c>
      <c r="E33" s="16" t="s">
        <v>75</v>
      </c>
      <c r="F33" s="17" t="s">
        <v>1116</v>
      </c>
      <c r="G33" s="16" t="s">
        <v>1260</v>
      </c>
      <c r="H33" s="17" t="s">
        <v>1261</v>
      </c>
      <c r="I33" s="16" t="s">
        <v>53</v>
      </c>
      <c r="J33" s="17" t="s">
        <v>1119</v>
      </c>
      <c r="K33" s="17"/>
    </row>
    <row r="34" customFormat="false" ht="15" hidden="false" customHeight="true" outlineLevel="0" collapsed="false">
      <c r="A34" s="17" t="s">
        <v>1262</v>
      </c>
      <c r="B34" s="17" t="s">
        <v>917</v>
      </c>
      <c r="C34" s="16" t="s">
        <v>1263</v>
      </c>
      <c r="D34" s="16" t="s">
        <v>72</v>
      </c>
      <c r="E34" s="16" t="s">
        <v>75</v>
      </c>
      <c r="F34" s="17" t="s">
        <v>1116</v>
      </c>
      <c r="G34" s="16" t="s">
        <v>1264</v>
      </c>
      <c r="H34" s="17" t="s">
        <v>1265</v>
      </c>
      <c r="I34" s="16" t="s">
        <v>53</v>
      </c>
      <c r="J34" s="17" t="s">
        <v>1119</v>
      </c>
      <c r="K34" s="17" t="s">
        <v>1266</v>
      </c>
    </row>
    <row r="35" customFormat="false" ht="15" hidden="false" customHeight="true" outlineLevel="0" collapsed="false">
      <c r="A35" s="17" t="s">
        <v>1267</v>
      </c>
      <c r="B35" s="17" t="s">
        <v>909</v>
      </c>
      <c r="C35" s="16" t="s">
        <v>1268</v>
      </c>
      <c r="D35" s="16" t="s">
        <v>70</v>
      </c>
      <c r="E35" s="16" t="s">
        <v>81</v>
      </c>
      <c r="F35" s="17" t="s">
        <v>1116</v>
      </c>
      <c r="G35" s="16" t="s">
        <v>1269</v>
      </c>
      <c r="H35" s="17" t="s">
        <v>1270</v>
      </c>
      <c r="I35" s="16" t="s">
        <v>53</v>
      </c>
      <c r="J35" s="17" t="s">
        <v>1132</v>
      </c>
      <c r="K35" s="17" t="s">
        <v>1271</v>
      </c>
    </row>
    <row r="36" customFormat="false" ht="15" hidden="false" customHeight="true" outlineLevel="0" collapsed="false">
      <c r="A36" s="17" t="s">
        <v>761</v>
      </c>
      <c r="B36" s="17" t="s">
        <v>753</v>
      </c>
      <c r="C36" s="16" t="s">
        <v>1272</v>
      </c>
      <c r="D36" s="16" t="s">
        <v>72</v>
      </c>
      <c r="E36" s="16" t="s">
        <v>75</v>
      </c>
      <c r="F36" s="17" t="s">
        <v>1116</v>
      </c>
      <c r="G36" s="16" t="s">
        <v>1273</v>
      </c>
      <c r="H36" s="17" t="s">
        <v>1274</v>
      </c>
      <c r="I36" s="16" t="s">
        <v>53</v>
      </c>
      <c r="J36" s="17" t="s">
        <v>1119</v>
      </c>
      <c r="K36" s="17"/>
    </row>
    <row r="37" customFormat="false" ht="15" hidden="false" customHeight="true" outlineLevel="0" collapsed="false">
      <c r="A37" s="17" t="s">
        <v>770</v>
      </c>
      <c r="B37" s="17" t="s">
        <v>763</v>
      </c>
      <c r="C37" s="17" t="s">
        <v>1275</v>
      </c>
      <c r="D37" s="16" t="s">
        <v>70</v>
      </c>
      <c r="E37" s="16" t="s">
        <v>75</v>
      </c>
      <c r="F37" s="17" t="s">
        <v>1116</v>
      </c>
      <c r="G37" s="16" t="s">
        <v>1276</v>
      </c>
      <c r="H37" s="17" t="s">
        <v>1277</v>
      </c>
      <c r="I37" s="16" t="s">
        <v>53</v>
      </c>
      <c r="J37" s="17" t="s">
        <v>1119</v>
      </c>
      <c r="K37" s="17"/>
    </row>
    <row r="38" customFormat="false" ht="15" hidden="false" customHeight="true" outlineLevel="0" collapsed="false">
      <c r="A38" s="17" t="s">
        <v>777</v>
      </c>
      <c r="B38" s="17" t="s">
        <v>772</v>
      </c>
      <c r="C38" s="17" t="s">
        <v>1278</v>
      </c>
      <c r="D38" s="16" t="s">
        <v>70</v>
      </c>
      <c r="E38" s="16" t="s">
        <v>75</v>
      </c>
      <c r="F38" s="17" t="s">
        <v>1116</v>
      </c>
      <c r="G38" s="16" t="s">
        <v>1279</v>
      </c>
      <c r="H38" s="17" t="s">
        <v>1280</v>
      </c>
      <c r="I38" s="16" t="s">
        <v>53</v>
      </c>
      <c r="J38" s="17" t="s">
        <v>1119</v>
      </c>
      <c r="K38" s="17"/>
    </row>
    <row r="39" customFormat="false" ht="15" hidden="false" customHeight="true" outlineLevel="0" collapsed="false">
      <c r="A39" s="17" t="s">
        <v>1281</v>
      </c>
      <c r="B39" s="17" t="s">
        <v>874</v>
      </c>
      <c r="C39" s="16" t="s">
        <v>1282</v>
      </c>
      <c r="D39" s="16" t="s">
        <v>70</v>
      </c>
      <c r="E39" s="16" t="s">
        <v>75</v>
      </c>
      <c r="F39" s="17" t="s">
        <v>1116</v>
      </c>
      <c r="G39" s="16" t="s">
        <v>1283</v>
      </c>
      <c r="H39" s="17" t="s">
        <v>1284</v>
      </c>
      <c r="I39" s="16" t="s">
        <v>53</v>
      </c>
      <c r="J39" s="17" t="s">
        <v>1119</v>
      </c>
      <c r="K39" s="17" t="s">
        <v>1285</v>
      </c>
    </row>
    <row r="40" customFormat="false" ht="15" hidden="false" customHeight="true" outlineLevel="0" collapsed="false">
      <c r="A40" s="17" t="s">
        <v>646</v>
      </c>
      <c r="B40" s="17" t="s">
        <v>1286</v>
      </c>
      <c r="C40" s="16" t="s">
        <v>1287</v>
      </c>
      <c r="D40" s="16" t="s">
        <v>72</v>
      </c>
      <c r="E40" s="16" t="s">
        <v>75</v>
      </c>
      <c r="F40" s="17" t="s">
        <v>1116</v>
      </c>
      <c r="G40" s="16" t="s">
        <v>1288</v>
      </c>
      <c r="H40" s="17" t="s">
        <v>1289</v>
      </c>
      <c r="I40" s="16" t="s">
        <v>53</v>
      </c>
      <c r="J40" s="17" t="s">
        <v>1119</v>
      </c>
      <c r="K40" s="17"/>
    </row>
    <row r="41" customFormat="false" ht="15" hidden="false" customHeight="true" outlineLevel="0" collapsed="false">
      <c r="A41" s="17" t="s">
        <v>1290</v>
      </c>
      <c r="B41" s="17" t="s">
        <v>1291</v>
      </c>
      <c r="C41" s="16" t="s">
        <v>1292</v>
      </c>
      <c r="D41" s="16" t="s">
        <v>72</v>
      </c>
      <c r="E41" s="16" t="s">
        <v>75</v>
      </c>
      <c r="F41" s="17" t="s">
        <v>1119</v>
      </c>
      <c r="G41" s="16" t="s">
        <v>1293</v>
      </c>
      <c r="H41" s="17" t="s">
        <v>1294</v>
      </c>
      <c r="I41" s="16" t="s">
        <v>53</v>
      </c>
      <c r="J41" s="17" t="s">
        <v>1132</v>
      </c>
      <c r="K41" s="17" t="s">
        <v>1295</v>
      </c>
    </row>
    <row r="42" customFormat="false" ht="15" hidden="false" customHeight="true" outlineLevel="0" collapsed="false">
      <c r="A42" s="17" t="s">
        <v>1296</v>
      </c>
      <c r="B42" s="17" t="s">
        <v>1297</v>
      </c>
      <c r="C42" s="16" t="s">
        <v>1298</v>
      </c>
      <c r="D42" s="16" t="s">
        <v>72</v>
      </c>
      <c r="E42" s="16" t="s">
        <v>81</v>
      </c>
      <c r="F42" s="17" t="s">
        <v>1119</v>
      </c>
      <c r="G42" s="16" t="s">
        <v>1299</v>
      </c>
      <c r="H42" s="17" t="s">
        <v>1300</v>
      </c>
      <c r="I42" s="16" t="s">
        <v>53</v>
      </c>
      <c r="J42" s="17" t="s">
        <v>1301</v>
      </c>
      <c r="K42" s="17" t="s">
        <v>1302</v>
      </c>
    </row>
    <row r="43" customFormat="false" ht="15" hidden="false" customHeight="true" outlineLevel="0" collapsed="false">
      <c r="A43" s="17" t="s">
        <v>1303</v>
      </c>
      <c r="B43" s="17" t="s">
        <v>1304</v>
      </c>
      <c r="C43" s="16" t="s">
        <v>1305</v>
      </c>
      <c r="D43" s="16" t="s">
        <v>72</v>
      </c>
      <c r="E43" s="16" t="s">
        <v>81</v>
      </c>
      <c r="F43" s="17" t="s">
        <v>1119</v>
      </c>
      <c r="G43" s="16" t="s">
        <v>1306</v>
      </c>
      <c r="H43" s="17" t="s">
        <v>1307</v>
      </c>
      <c r="I43" s="16" t="s">
        <v>53</v>
      </c>
      <c r="J43" s="17" t="s">
        <v>1132</v>
      </c>
      <c r="K43" s="17" t="s">
        <v>1308</v>
      </c>
    </row>
    <row r="44" customFormat="false" ht="15" hidden="false" customHeight="true" outlineLevel="0" collapsed="false">
      <c r="A44" s="17" t="s">
        <v>1309</v>
      </c>
      <c r="B44" s="17" t="s">
        <v>1310</v>
      </c>
      <c r="C44" s="16" t="s">
        <v>1311</v>
      </c>
      <c r="D44" s="16" t="s">
        <v>70</v>
      </c>
      <c r="E44" s="16" t="s">
        <v>81</v>
      </c>
      <c r="F44" s="17" t="s">
        <v>1119</v>
      </c>
      <c r="G44" s="16" t="s">
        <v>1312</v>
      </c>
      <c r="H44" s="17" t="s">
        <v>1313</v>
      </c>
      <c r="I44" s="16" t="s">
        <v>53</v>
      </c>
      <c r="J44" s="17" t="s">
        <v>1132</v>
      </c>
      <c r="K44" s="17" t="s">
        <v>1314</v>
      </c>
    </row>
    <row r="45" customFormat="false" ht="15" hidden="false" customHeight="true" outlineLevel="0" collapsed="false">
      <c r="A45" s="17" t="s">
        <v>1315</v>
      </c>
      <c r="B45" s="17" t="s">
        <v>1316</v>
      </c>
      <c r="C45" s="16" t="s">
        <v>1317</v>
      </c>
      <c r="D45" s="16" t="s">
        <v>72</v>
      </c>
      <c r="E45" s="16" t="s">
        <v>75</v>
      </c>
      <c r="F45" s="17" t="s">
        <v>1119</v>
      </c>
      <c r="G45" s="16" t="s">
        <v>1318</v>
      </c>
      <c r="H45" s="17" t="s">
        <v>1319</v>
      </c>
      <c r="I45" s="16" t="s">
        <v>53</v>
      </c>
      <c r="J45" s="17" t="s">
        <v>1132</v>
      </c>
      <c r="K45" s="16" t="s">
        <v>1320</v>
      </c>
    </row>
    <row r="46" customFormat="false" ht="15" hidden="false" customHeight="true" outlineLevel="0" collapsed="false">
      <c r="A46" s="17" t="s">
        <v>1321</v>
      </c>
      <c r="B46" s="17" t="s">
        <v>1322</v>
      </c>
      <c r="C46" s="16" t="s">
        <v>1323</v>
      </c>
      <c r="D46" s="16" t="s">
        <v>72</v>
      </c>
      <c r="E46" s="16" t="s">
        <v>75</v>
      </c>
      <c r="F46" s="17" t="s">
        <v>1119</v>
      </c>
      <c r="G46" s="16" t="s">
        <v>1324</v>
      </c>
      <c r="H46" s="17" t="s">
        <v>1325</v>
      </c>
      <c r="I46" s="16" t="s">
        <v>53</v>
      </c>
      <c r="J46" s="17" t="s">
        <v>1132</v>
      </c>
      <c r="K46" s="16" t="s">
        <v>1326</v>
      </c>
    </row>
    <row r="47" customFormat="false" ht="15" hidden="false" customHeight="true" outlineLevel="0" collapsed="false">
      <c r="A47" s="17" t="s">
        <v>1087</v>
      </c>
      <c r="B47" s="17" t="s">
        <v>1327</v>
      </c>
      <c r="C47" s="16" t="s">
        <v>1328</v>
      </c>
      <c r="D47" s="16" t="s">
        <v>72</v>
      </c>
      <c r="E47" s="16" t="s">
        <v>75</v>
      </c>
      <c r="F47" s="17" t="s">
        <v>1119</v>
      </c>
      <c r="G47" s="16" t="s">
        <v>1329</v>
      </c>
      <c r="H47" s="17" t="s">
        <v>1330</v>
      </c>
      <c r="I47" s="16" t="s">
        <v>53</v>
      </c>
      <c r="J47" s="17" t="s">
        <v>1132</v>
      </c>
      <c r="K47" s="16" t="s">
        <v>1331</v>
      </c>
    </row>
    <row r="48" customFormat="false" ht="15" hidden="false" customHeight="true" outlineLevel="0" collapsed="false">
      <c r="A48" s="17" t="s">
        <v>1332</v>
      </c>
      <c r="B48" s="17" t="s">
        <v>1333</v>
      </c>
      <c r="C48" s="17" t="s">
        <v>1334</v>
      </c>
      <c r="D48" s="16" t="s">
        <v>72</v>
      </c>
      <c r="E48" s="16" t="s">
        <v>77</v>
      </c>
      <c r="F48" s="17" t="s">
        <v>1119</v>
      </c>
      <c r="G48" s="17" t="s">
        <v>1335</v>
      </c>
      <c r="H48" s="16" t="s">
        <v>1336</v>
      </c>
      <c r="I48" s="16" t="s">
        <v>53</v>
      </c>
      <c r="J48" s="17" t="s">
        <v>1132</v>
      </c>
      <c r="K48" s="17" t="s">
        <v>1337</v>
      </c>
    </row>
    <row r="49" customFormat="false" ht="15" hidden="false" customHeight="true" outlineLevel="0" collapsed="false">
      <c r="A49" s="17" t="s">
        <v>1338</v>
      </c>
      <c r="B49" s="17" t="s">
        <v>1339</v>
      </c>
      <c r="C49" s="16" t="s">
        <v>1340</v>
      </c>
      <c r="D49" s="16" t="s">
        <v>72</v>
      </c>
      <c r="E49" s="16" t="s">
        <v>81</v>
      </c>
      <c r="F49" s="17" t="s">
        <v>1119</v>
      </c>
      <c r="G49" s="16" t="s">
        <v>1341</v>
      </c>
      <c r="H49" s="17" t="s">
        <v>1342</v>
      </c>
      <c r="I49" s="16" t="s">
        <v>53</v>
      </c>
      <c r="J49" s="17" t="s">
        <v>1132</v>
      </c>
      <c r="K49" s="17" t="s">
        <v>1343</v>
      </c>
    </row>
    <row r="50" customFormat="false" ht="15" hidden="false" customHeight="true" outlineLevel="0" collapsed="false">
      <c r="A50" s="17" t="s">
        <v>1344</v>
      </c>
      <c r="B50" s="17" t="s">
        <v>1345</v>
      </c>
      <c r="C50" s="16" t="s">
        <v>1346</v>
      </c>
      <c r="D50" s="16" t="s">
        <v>72</v>
      </c>
      <c r="E50" s="16" t="s">
        <v>81</v>
      </c>
      <c r="F50" s="17" t="s">
        <v>1119</v>
      </c>
      <c r="G50" s="16" t="s">
        <v>1347</v>
      </c>
      <c r="H50" s="17" t="s">
        <v>1348</v>
      </c>
      <c r="I50" s="16" t="s">
        <v>53</v>
      </c>
      <c r="J50" s="17" t="s">
        <v>1132</v>
      </c>
      <c r="K50" s="17" t="s">
        <v>1349</v>
      </c>
    </row>
    <row r="51" customFormat="false" ht="15" hidden="false" customHeight="true" outlineLevel="0" collapsed="false">
      <c r="A51" s="17" t="s">
        <v>1350</v>
      </c>
      <c r="B51" s="17" t="s">
        <v>1351</v>
      </c>
      <c r="C51" s="16" t="s">
        <v>1352</v>
      </c>
      <c r="D51" s="16" t="s">
        <v>70</v>
      </c>
      <c r="E51" s="16" t="s">
        <v>75</v>
      </c>
      <c r="F51" s="17" t="s">
        <v>1132</v>
      </c>
      <c r="G51" s="17" t="s">
        <v>1353</v>
      </c>
      <c r="H51" s="17" t="s">
        <v>1354</v>
      </c>
      <c r="I51" s="16" t="s">
        <v>53</v>
      </c>
      <c r="J51" s="17" t="s">
        <v>1301</v>
      </c>
      <c r="K51" s="17" t="s">
        <v>1355</v>
      </c>
    </row>
    <row r="52" customFormat="false" ht="15" hidden="false" customHeight="true" outlineLevel="0" collapsed="false">
      <c r="A52" s="17" t="s">
        <v>1356</v>
      </c>
      <c r="B52" s="17" t="s">
        <v>1357</v>
      </c>
      <c r="C52" s="16" t="s">
        <v>1358</v>
      </c>
      <c r="D52" s="16" t="s">
        <v>72</v>
      </c>
      <c r="E52" s="16" t="s">
        <v>75</v>
      </c>
      <c r="F52" s="17" t="s">
        <v>1132</v>
      </c>
      <c r="G52" s="16" t="s">
        <v>1359</v>
      </c>
      <c r="H52" s="17" t="s">
        <v>1360</v>
      </c>
      <c r="I52" s="16" t="s">
        <v>53</v>
      </c>
      <c r="J52" s="17" t="s">
        <v>1301</v>
      </c>
      <c r="K52" s="16" t="s">
        <v>1361</v>
      </c>
    </row>
    <row r="53" customFormat="false" ht="15" hidden="false" customHeight="true" outlineLevel="0" collapsed="false">
      <c r="A53" s="17" t="s">
        <v>1362</v>
      </c>
      <c r="B53" s="17" t="s">
        <v>1363</v>
      </c>
      <c r="C53" s="16" t="s">
        <v>1364</v>
      </c>
      <c r="D53" s="16" t="s">
        <v>72</v>
      </c>
      <c r="E53" s="16" t="s">
        <v>75</v>
      </c>
      <c r="F53" s="17" t="s">
        <v>1132</v>
      </c>
      <c r="G53" s="16" t="s">
        <v>1365</v>
      </c>
      <c r="H53" s="17" t="s">
        <v>1366</v>
      </c>
      <c r="I53" s="16" t="s">
        <v>53</v>
      </c>
      <c r="J53" s="17" t="s">
        <v>1301</v>
      </c>
      <c r="K53" s="16" t="s">
        <v>1367</v>
      </c>
    </row>
    <row r="54" customFormat="false" ht="15" hidden="false" customHeight="true" outlineLevel="0" collapsed="false">
      <c r="A54" s="17" t="s">
        <v>1368</v>
      </c>
      <c r="B54" s="17" t="s">
        <v>1369</v>
      </c>
      <c r="C54" s="16" t="s">
        <v>1370</v>
      </c>
      <c r="D54" s="16" t="s">
        <v>72</v>
      </c>
      <c r="E54" s="16" t="s">
        <v>75</v>
      </c>
      <c r="F54" s="17" t="s">
        <v>1132</v>
      </c>
      <c r="G54" s="16" t="s">
        <v>1371</v>
      </c>
      <c r="H54" s="17" t="s">
        <v>1372</v>
      </c>
      <c r="I54" s="16" t="s">
        <v>53</v>
      </c>
      <c r="J54" s="17" t="s">
        <v>1301</v>
      </c>
      <c r="K54" s="16" t="s">
        <v>1373</v>
      </c>
    </row>
    <row r="55" customFormat="false" ht="15" hidden="false" customHeight="true" outlineLevel="0" collapsed="false">
      <c r="A55" s="17" t="s">
        <v>1374</v>
      </c>
      <c r="B55" s="17" t="s">
        <v>1363</v>
      </c>
      <c r="C55" s="16" t="s">
        <v>1375</v>
      </c>
      <c r="D55" s="16" t="s">
        <v>72</v>
      </c>
      <c r="E55" s="16" t="s">
        <v>75</v>
      </c>
      <c r="F55" s="17" t="s">
        <v>1132</v>
      </c>
      <c r="G55" s="16" t="s">
        <v>1376</v>
      </c>
      <c r="H55" s="17" t="s">
        <v>1377</v>
      </c>
      <c r="I55" s="16" t="s">
        <v>53</v>
      </c>
      <c r="J55" s="17" t="s">
        <v>1301</v>
      </c>
      <c r="K55" s="16" t="s">
        <v>1378</v>
      </c>
    </row>
    <row r="56" customFormat="false" ht="15" hidden="false" customHeight="true" outlineLevel="0" collapsed="false">
      <c r="A56" s="17" t="s">
        <v>1379</v>
      </c>
      <c r="B56" s="17" t="s">
        <v>1333</v>
      </c>
      <c r="C56" s="16" t="s">
        <v>1380</v>
      </c>
      <c r="D56" s="16" t="s">
        <v>72</v>
      </c>
      <c r="E56" s="16" t="s">
        <v>77</v>
      </c>
      <c r="F56" s="17" t="s">
        <v>1132</v>
      </c>
      <c r="G56" s="16" t="s">
        <v>1381</v>
      </c>
      <c r="H56" s="16" t="s">
        <v>1382</v>
      </c>
      <c r="I56" s="16" t="s">
        <v>53</v>
      </c>
      <c r="J56" s="17" t="s">
        <v>1301</v>
      </c>
      <c r="K56" s="17" t="s">
        <v>1383</v>
      </c>
    </row>
    <row r="57" customFormat="false" ht="15" hidden="false" customHeight="true" outlineLevel="0" collapsed="false">
      <c r="A57" s="17" t="s">
        <v>1384</v>
      </c>
      <c r="B57" s="17" t="s">
        <v>1385</v>
      </c>
      <c r="C57" s="17" t="s">
        <v>1386</v>
      </c>
      <c r="D57" s="16" t="s">
        <v>72</v>
      </c>
      <c r="E57" s="16" t="s">
        <v>77</v>
      </c>
      <c r="F57" s="17" t="s">
        <v>1132</v>
      </c>
      <c r="G57" s="16" t="s">
        <v>1387</v>
      </c>
      <c r="H57" s="17" t="s">
        <v>1388</v>
      </c>
      <c r="I57" s="16" t="s">
        <v>53</v>
      </c>
      <c r="J57" s="17" t="s">
        <v>1301</v>
      </c>
      <c r="K57" s="17" t="s">
        <v>1389</v>
      </c>
    </row>
    <row r="58" customFormat="false" ht="15" hidden="false" customHeight="true" outlineLevel="0" collapsed="false">
      <c r="A58" s="17" t="s">
        <v>1390</v>
      </c>
      <c r="B58" s="17" t="s">
        <v>1345</v>
      </c>
      <c r="C58" s="16" t="s">
        <v>1391</v>
      </c>
      <c r="D58" s="16" t="s">
        <v>72</v>
      </c>
      <c r="E58" s="16" t="s">
        <v>81</v>
      </c>
      <c r="F58" s="17" t="s">
        <v>1132</v>
      </c>
      <c r="G58" s="16" t="s">
        <v>1392</v>
      </c>
      <c r="H58" s="17" t="s">
        <v>1393</v>
      </c>
      <c r="I58" s="16" t="s">
        <v>53</v>
      </c>
      <c r="J58" s="17" t="s">
        <v>1394</v>
      </c>
      <c r="K58" s="17" t="s">
        <v>1395</v>
      </c>
    </row>
    <row r="59" customFormat="false" ht="15" hidden="false" customHeight="true" outlineLevel="0" collapsed="false">
      <c r="A59" s="17" t="s">
        <v>1396</v>
      </c>
      <c r="B59" s="17" t="s">
        <v>1397</v>
      </c>
      <c r="C59" s="16" t="s">
        <v>1398</v>
      </c>
      <c r="D59" s="16" t="s">
        <v>70</v>
      </c>
      <c r="E59" s="16" t="s">
        <v>81</v>
      </c>
      <c r="F59" s="17" t="s">
        <v>1132</v>
      </c>
      <c r="G59" s="16" t="s">
        <v>1399</v>
      </c>
      <c r="H59" s="17" t="s">
        <v>1400</v>
      </c>
      <c r="I59" s="16" t="s">
        <v>53</v>
      </c>
      <c r="J59" s="17" t="s">
        <v>1301</v>
      </c>
      <c r="K59" s="17" t="s">
        <v>1401</v>
      </c>
    </row>
    <row r="60" customFormat="false" ht="15" hidden="false" customHeight="true" outlineLevel="0" collapsed="false">
      <c r="A60" s="17" t="s">
        <v>1402</v>
      </c>
      <c r="B60" s="17" t="s">
        <v>1363</v>
      </c>
      <c r="C60" s="16" t="s">
        <v>1403</v>
      </c>
      <c r="D60" s="16" t="s">
        <v>72</v>
      </c>
      <c r="E60" s="16" t="s">
        <v>75</v>
      </c>
      <c r="F60" s="17" t="s">
        <v>1132</v>
      </c>
      <c r="G60" s="16" t="s">
        <v>1404</v>
      </c>
      <c r="H60" s="17" t="s">
        <v>1405</v>
      </c>
      <c r="I60" s="16" t="s">
        <v>53</v>
      </c>
      <c r="J60" s="17" t="s">
        <v>1301</v>
      </c>
      <c r="K60" s="16" t="s">
        <v>1406</v>
      </c>
    </row>
    <row r="61" customFormat="false" ht="15" hidden="false" customHeight="true" outlineLevel="0" collapsed="false">
      <c r="A61" s="17" t="s">
        <v>1407</v>
      </c>
      <c r="B61" s="17" t="s">
        <v>1363</v>
      </c>
      <c r="C61" s="16" t="s">
        <v>1408</v>
      </c>
      <c r="D61" s="16" t="s">
        <v>72</v>
      </c>
      <c r="E61" s="16" t="s">
        <v>81</v>
      </c>
      <c r="F61" s="17" t="s">
        <v>1132</v>
      </c>
      <c r="G61" s="16" t="s">
        <v>1409</v>
      </c>
      <c r="H61" s="17" t="s">
        <v>1410</v>
      </c>
      <c r="I61" s="16" t="s">
        <v>53</v>
      </c>
      <c r="J61" s="17" t="s">
        <v>1301</v>
      </c>
      <c r="K61" s="17" t="s">
        <v>1411</v>
      </c>
    </row>
    <row r="62" customFormat="false" ht="15" hidden="false" customHeight="true" outlineLevel="0" collapsed="false">
      <c r="A62" s="17" t="s">
        <v>1412</v>
      </c>
      <c r="B62" s="17" t="s">
        <v>1369</v>
      </c>
      <c r="C62" s="16" t="s">
        <v>1413</v>
      </c>
      <c r="D62" s="16" t="s">
        <v>72</v>
      </c>
      <c r="E62" s="16" t="s">
        <v>81</v>
      </c>
      <c r="F62" s="17" t="s">
        <v>1132</v>
      </c>
      <c r="G62" s="16" t="s">
        <v>1414</v>
      </c>
      <c r="H62" s="17" t="s">
        <v>1415</v>
      </c>
      <c r="I62" s="16" t="s">
        <v>53</v>
      </c>
      <c r="J62" s="17" t="s">
        <v>1301</v>
      </c>
      <c r="K62" s="17" t="s">
        <v>1416</v>
      </c>
    </row>
    <row r="63" customFormat="false" ht="15" hidden="false" customHeight="true" outlineLevel="0" collapsed="false">
      <c r="A63" s="17" t="s">
        <v>1417</v>
      </c>
      <c r="B63" s="17" t="s">
        <v>1418</v>
      </c>
      <c r="C63" s="16" t="s">
        <v>1419</v>
      </c>
      <c r="D63" s="16" t="s">
        <v>72</v>
      </c>
      <c r="E63" s="16" t="s">
        <v>75</v>
      </c>
      <c r="F63" s="17" t="s">
        <v>1132</v>
      </c>
      <c r="G63" s="16" t="s">
        <v>1420</v>
      </c>
      <c r="H63" s="17" t="s">
        <v>1421</v>
      </c>
      <c r="I63" s="16" t="s">
        <v>53</v>
      </c>
      <c r="J63" s="17" t="s">
        <v>1301</v>
      </c>
      <c r="K63" s="17" t="s">
        <v>1422</v>
      </c>
    </row>
    <row r="64" customFormat="false" ht="15" hidden="false" customHeight="true" outlineLevel="0" collapsed="false">
      <c r="A64" s="17" t="s">
        <v>1423</v>
      </c>
      <c r="B64" s="17" t="s">
        <v>1363</v>
      </c>
      <c r="C64" s="16" t="s">
        <v>1424</v>
      </c>
      <c r="D64" s="16" t="s">
        <v>72</v>
      </c>
      <c r="E64" s="16" t="s">
        <v>75</v>
      </c>
      <c r="F64" s="17" t="s">
        <v>1301</v>
      </c>
      <c r="G64" s="16" t="s">
        <v>1425</v>
      </c>
      <c r="H64" s="17" t="s">
        <v>1426</v>
      </c>
      <c r="I64" s="16" t="s">
        <v>53</v>
      </c>
      <c r="J64" s="17" t="s">
        <v>1394</v>
      </c>
      <c r="K64" s="16" t="s">
        <v>1427</v>
      </c>
    </row>
    <row r="65" customFormat="false" ht="15" hidden="false" customHeight="true" outlineLevel="0" collapsed="false">
      <c r="A65" s="17" t="s">
        <v>1428</v>
      </c>
      <c r="B65" s="17" t="s">
        <v>1369</v>
      </c>
      <c r="C65" s="17" t="s">
        <v>1429</v>
      </c>
      <c r="D65" s="16" t="s">
        <v>72</v>
      </c>
      <c r="E65" s="16" t="s">
        <v>77</v>
      </c>
      <c r="F65" s="17" t="s">
        <v>1301</v>
      </c>
      <c r="G65" s="16" t="s">
        <v>1430</v>
      </c>
      <c r="H65" s="16" t="s">
        <v>1431</v>
      </c>
      <c r="I65" s="16" t="s">
        <v>53</v>
      </c>
      <c r="J65" s="17" t="s">
        <v>1394</v>
      </c>
      <c r="K65" s="17" t="s">
        <v>1432</v>
      </c>
    </row>
    <row r="66" customFormat="false" ht="15" hidden="false" customHeight="true" outlineLevel="0" collapsed="false">
      <c r="A66" s="17" t="s">
        <v>1433</v>
      </c>
      <c r="B66" s="17" t="s">
        <v>1363</v>
      </c>
      <c r="C66" s="16" t="s">
        <v>1434</v>
      </c>
      <c r="D66" s="16" t="s">
        <v>72</v>
      </c>
      <c r="E66" s="16" t="s">
        <v>81</v>
      </c>
      <c r="F66" s="17" t="s">
        <v>1301</v>
      </c>
      <c r="G66" s="16" t="s">
        <v>1435</v>
      </c>
      <c r="H66" s="17" t="s">
        <v>1436</v>
      </c>
      <c r="I66" s="16" t="s">
        <v>53</v>
      </c>
      <c r="J66" s="17" t="s">
        <v>1394</v>
      </c>
      <c r="K66" s="17" t="s">
        <v>1437</v>
      </c>
    </row>
    <row r="67" customFormat="false" ht="15" hidden="false" customHeight="true" outlineLevel="0" collapsed="false">
      <c r="A67" s="17" t="s">
        <v>1103</v>
      </c>
      <c r="B67" s="17" t="s">
        <v>1438</v>
      </c>
      <c r="C67" s="17" t="s">
        <v>1439</v>
      </c>
      <c r="D67" s="16" t="s">
        <v>72</v>
      </c>
      <c r="E67" s="16" t="s">
        <v>75</v>
      </c>
      <c r="F67" s="17" t="s">
        <v>1301</v>
      </c>
      <c r="G67" s="17" t="s">
        <v>1440</v>
      </c>
      <c r="H67" s="17" t="s">
        <v>1441</v>
      </c>
      <c r="I67" s="16" t="s">
        <v>53</v>
      </c>
      <c r="J67" s="17" t="s">
        <v>1394</v>
      </c>
      <c r="K67" s="16" t="s">
        <v>1442</v>
      </c>
    </row>
    <row r="68" customFormat="false" ht="15" hidden="false" customHeight="true" outlineLevel="0" collapsed="false">
      <c r="A68" s="17" t="s">
        <v>1443</v>
      </c>
      <c r="B68" s="17" t="s">
        <v>1444</v>
      </c>
      <c r="C68" s="17" t="s">
        <v>1445</v>
      </c>
      <c r="D68" s="16" t="s">
        <v>70</v>
      </c>
      <c r="E68" s="16" t="s">
        <v>75</v>
      </c>
      <c r="F68" s="17" t="s">
        <v>1394</v>
      </c>
      <c r="G68" s="17" t="s">
        <v>1446</v>
      </c>
      <c r="H68" s="17" t="s">
        <v>1447</v>
      </c>
      <c r="I68" s="16" t="s">
        <v>53</v>
      </c>
      <c r="J68" s="17" t="s">
        <v>1448</v>
      </c>
      <c r="K68" s="16" t="s">
        <v>1449</v>
      </c>
    </row>
    <row r="69" customFormat="false" ht="15" hidden="false" customHeight="true" outlineLevel="0" collapsed="false">
      <c r="A69" s="17" t="s">
        <v>1450</v>
      </c>
      <c r="B69" s="17" t="s">
        <v>672</v>
      </c>
      <c r="C69" s="17" t="s">
        <v>1451</v>
      </c>
      <c r="D69" s="16" t="s">
        <v>70</v>
      </c>
      <c r="E69" s="16" t="s">
        <v>75</v>
      </c>
      <c r="F69" s="17" t="s">
        <v>1394</v>
      </c>
      <c r="G69" s="16" t="s">
        <v>1452</v>
      </c>
      <c r="H69" s="17" t="s">
        <v>1453</v>
      </c>
      <c r="I69" s="16" t="s">
        <v>53</v>
      </c>
      <c r="J69" s="17" t="s">
        <v>1448</v>
      </c>
      <c r="K69" s="16" t="s">
        <v>1454</v>
      </c>
    </row>
    <row r="70" customFormat="false" ht="15" hidden="false" customHeight="true" outlineLevel="0" collapsed="false">
      <c r="A70" s="17" t="s">
        <v>725</v>
      </c>
      <c r="B70" s="17" t="s">
        <v>719</v>
      </c>
      <c r="C70" s="16" t="s">
        <v>1455</v>
      </c>
      <c r="D70" s="16" t="s">
        <v>72</v>
      </c>
      <c r="E70" s="16" t="s">
        <v>75</v>
      </c>
      <c r="F70" s="17" t="s">
        <v>1394</v>
      </c>
      <c r="G70" s="16" t="s">
        <v>1456</v>
      </c>
      <c r="H70" s="17" t="s">
        <v>1457</v>
      </c>
      <c r="I70" s="16" t="s">
        <v>53</v>
      </c>
      <c r="J70" s="17" t="s">
        <v>1448</v>
      </c>
      <c r="K70" s="16" t="s">
        <v>1458</v>
      </c>
    </row>
    <row r="71" customFormat="false" ht="15" hidden="false" customHeight="true" outlineLevel="0" collapsed="false">
      <c r="A71" s="17" t="s">
        <v>1459</v>
      </c>
      <c r="B71" s="17" t="s">
        <v>865</v>
      </c>
      <c r="C71" s="16" t="s">
        <v>1460</v>
      </c>
      <c r="D71" s="16" t="s">
        <v>70</v>
      </c>
      <c r="E71" s="16" t="s">
        <v>75</v>
      </c>
      <c r="F71" s="17" t="s">
        <v>1394</v>
      </c>
      <c r="G71" s="16" t="s">
        <v>1461</v>
      </c>
      <c r="H71" s="17" t="s">
        <v>1462</v>
      </c>
      <c r="I71" s="16" t="s">
        <v>53</v>
      </c>
      <c r="J71" s="17" t="s">
        <v>1448</v>
      </c>
      <c r="K71" s="16" t="s">
        <v>1463</v>
      </c>
    </row>
    <row r="72" customFormat="false" ht="15" hidden="false" customHeight="true" outlineLevel="0" collapsed="false">
      <c r="A72" s="17" t="s">
        <v>1464</v>
      </c>
      <c r="B72" s="17" t="s">
        <v>865</v>
      </c>
      <c r="C72" s="16" t="s">
        <v>1465</v>
      </c>
      <c r="D72" s="16" t="s">
        <v>70</v>
      </c>
      <c r="E72" s="16" t="s">
        <v>75</v>
      </c>
      <c r="F72" s="17" t="s">
        <v>1394</v>
      </c>
      <c r="G72" s="16" t="s">
        <v>1466</v>
      </c>
      <c r="H72" s="17" t="s">
        <v>1467</v>
      </c>
      <c r="I72" s="16" t="s">
        <v>53</v>
      </c>
      <c r="J72" s="17" t="s">
        <v>1448</v>
      </c>
      <c r="K72" s="16" t="s">
        <v>1468</v>
      </c>
    </row>
    <row r="73" customFormat="false" ht="15" hidden="false" customHeight="true" outlineLevel="0" collapsed="false">
      <c r="A73" s="17" t="s">
        <v>1469</v>
      </c>
      <c r="B73" s="17" t="s">
        <v>865</v>
      </c>
      <c r="C73" s="16" t="s">
        <v>1470</v>
      </c>
      <c r="D73" s="16" t="s">
        <v>70</v>
      </c>
      <c r="E73" s="16" t="s">
        <v>75</v>
      </c>
      <c r="F73" s="17" t="s">
        <v>1394</v>
      </c>
      <c r="G73" s="16" t="s">
        <v>1471</v>
      </c>
      <c r="H73" s="17" t="s">
        <v>1472</v>
      </c>
      <c r="I73" s="16" t="s">
        <v>53</v>
      </c>
      <c r="J73" s="17" t="s">
        <v>1448</v>
      </c>
      <c r="K73" s="16" t="s">
        <v>1473</v>
      </c>
    </row>
    <row r="74" customFormat="false" ht="15" hidden="false" customHeight="true" outlineLevel="0" collapsed="false">
      <c r="A74" s="17" t="s">
        <v>511</v>
      </c>
      <c r="B74" s="17" t="s">
        <v>503</v>
      </c>
      <c r="C74" s="16" t="s">
        <v>1474</v>
      </c>
      <c r="D74" s="16" t="s">
        <v>72</v>
      </c>
      <c r="E74" s="16" t="s">
        <v>75</v>
      </c>
      <c r="F74" s="17" t="s">
        <v>1394</v>
      </c>
      <c r="G74" s="16" t="s">
        <v>1475</v>
      </c>
      <c r="H74" s="17" t="s">
        <v>1476</v>
      </c>
      <c r="I74" s="16" t="s">
        <v>53</v>
      </c>
      <c r="J74" s="17" t="s">
        <v>1448</v>
      </c>
      <c r="K74" s="16" t="s">
        <v>1477</v>
      </c>
    </row>
    <row r="75" customFormat="false" ht="15" hidden="false" customHeight="true" outlineLevel="0" collapsed="false">
      <c r="A75" s="17" t="s">
        <v>1478</v>
      </c>
      <c r="B75" s="17" t="s">
        <v>672</v>
      </c>
      <c r="C75" s="16" t="s">
        <v>1479</v>
      </c>
      <c r="D75" s="16" t="s">
        <v>72</v>
      </c>
      <c r="E75" s="16" t="s">
        <v>75</v>
      </c>
      <c r="F75" s="17" t="s">
        <v>1394</v>
      </c>
      <c r="G75" s="17" t="s">
        <v>1480</v>
      </c>
      <c r="H75" s="17" t="s">
        <v>1481</v>
      </c>
      <c r="I75" s="16" t="s">
        <v>53</v>
      </c>
      <c r="J75" s="17" t="s">
        <v>1448</v>
      </c>
      <c r="K75" s="16" t="s">
        <v>1482</v>
      </c>
    </row>
    <row r="76" customFormat="false" ht="15" hidden="false" customHeight="true" outlineLevel="0" collapsed="false">
      <c r="A76" s="17" t="s">
        <v>1483</v>
      </c>
      <c r="B76" s="17" t="s">
        <v>1363</v>
      </c>
      <c r="C76" s="16" t="s">
        <v>1484</v>
      </c>
      <c r="D76" s="16" t="s">
        <v>72</v>
      </c>
      <c r="E76" s="16" t="s">
        <v>81</v>
      </c>
      <c r="F76" s="17" t="s">
        <v>1394</v>
      </c>
      <c r="G76" s="16" t="s">
        <v>1485</v>
      </c>
      <c r="H76" s="17" t="s">
        <v>1486</v>
      </c>
      <c r="I76" s="16" t="s">
        <v>53</v>
      </c>
      <c r="J76" s="17" t="s">
        <v>1448</v>
      </c>
      <c r="K76" s="17" t="s">
        <v>1487</v>
      </c>
    </row>
    <row r="77" customFormat="false" ht="15" hidden="false" customHeight="true" outlineLevel="0" collapsed="false">
      <c r="A77" s="17" t="s">
        <v>1488</v>
      </c>
      <c r="B77" s="17" t="s">
        <v>1363</v>
      </c>
      <c r="C77" s="16" t="s">
        <v>1489</v>
      </c>
      <c r="D77" s="16" t="s">
        <v>72</v>
      </c>
      <c r="E77" s="16" t="s">
        <v>75</v>
      </c>
      <c r="F77" s="17" t="s">
        <v>1394</v>
      </c>
      <c r="G77" s="16" t="s">
        <v>1490</v>
      </c>
      <c r="H77" s="17" t="s">
        <v>1491</v>
      </c>
      <c r="I77" s="16" t="s">
        <v>53</v>
      </c>
      <c r="J77" s="17" t="s">
        <v>1448</v>
      </c>
      <c r="K77" s="16" t="s">
        <v>1492</v>
      </c>
    </row>
    <row r="78" customFormat="false" ht="15" hidden="false" customHeight="true" outlineLevel="0" collapsed="false">
      <c r="A78" s="17" t="s">
        <v>1493</v>
      </c>
      <c r="B78" s="17" t="s">
        <v>1363</v>
      </c>
      <c r="C78" s="17" t="s">
        <v>1494</v>
      </c>
      <c r="D78" s="16" t="s">
        <v>72</v>
      </c>
      <c r="E78" s="16" t="s">
        <v>81</v>
      </c>
      <c r="F78" s="17" t="s">
        <v>1394</v>
      </c>
      <c r="G78" s="16" t="s">
        <v>1495</v>
      </c>
      <c r="H78" s="17" t="s">
        <v>1496</v>
      </c>
      <c r="I78" s="16" t="s">
        <v>53</v>
      </c>
      <c r="J78" s="17" t="s">
        <v>1448</v>
      </c>
      <c r="K78" s="17" t="s">
        <v>1497</v>
      </c>
    </row>
    <row r="79" customFormat="false" ht="15" hidden="false" customHeight="true" outlineLevel="0" collapsed="false">
      <c r="A79" s="17" t="s">
        <v>1065</v>
      </c>
      <c r="B79" s="17" t="s">
        <v>1498</v>
      </c>
      <c r="C79" s="16" t="s">
        <v>1499</v>
      </c>
      <c r="D79" s="16" t="s">
        <v>72</v>
      </c>
      <c r="E79" s="16" t="s">
        <v>75</v>
      </c>
      <c r="F79" s="17" t="s">
        <v>1394</v>
      </c>
      <c r="G79" s="17" t="s">
        <v>1500</v>
      </c>
      <c r="H79" s="17" t="s">
        <v>1501</v>
      </c>
      <c r="I79" s="16" t="s">
        <v>53</v>
      </c>
      <c r="J79" s="17" t="s">
        <v>1502</v>
      </c>
      <c r="K79" s="16" t="s">
        <v>1503</v>
      </c>
    </row>
    <row r="80" customFormat="false" ht="15" hidden="false" customHeight="true" outlineLevel="0" collapsed="false">
      <c r="A80" s="17" t="s">
        <v>899</v>
      </c>
      <c r="B80" s="17" t="s">
        <v>1504</v>
      </c>
      <c r="C80" s="17" t="s">
        <v>1505</v>
      </c>
      <c r="D80" s="16" t="s">
        <v>72</v>
      </c>
      <c r="E80" s="16" t="s">
        <v>81</v>
      </c>
      <c r="F80" s="17" t="s">
        <v>1394</v>
      </c>
      <c r="G80" s="16" t="s">
        <v>1506</v>
      </c>
      <c r="H80" s="17" t="s">
        <v>1507</v>
      </c>
      <c r="I80" s="16" t="s">
        <v>53</v>
      </c>
      <c r="J80" s="17" t="s">
        <v>1448</v>
      </c>
      <c r="K80" s="16" t="s">
        <v>1508</v>
      </c>
    </row>
    <row r="81" customFormat="false" ht="15" hidden="false" customHeight="true" outlineLevel="0" collapsed="false">
      <c r="A81" s="17" t="s">
        <v>1509</v>
      </c>
      <c r="B81" s="17" t="s">
        <v>1510</v>
      </c>
      <c r="C81" s="16" t="s">
        <v>1511</v>
      </c>
      <c r="D81" s="16" t="s">
        <v>70</v>
      </c>
      <c r="E81" s="16" t="s">
        <v>75</v>
      </c>
      <c r="F81" s="17" t="s">
        <v>1448</v>
      </c>
      <c r="G81" s="16" t="s">
        <v>1512</v>
      </c>
      <c r="H81" s="17" t="s">
        <v>1513</v>
      </c>
      <c r="I81" s="16" t="s">
        <v>53</v>
      </c>
      <c r="J81" s="17" t="s">
        <v>1448</v>
      </c>
      <c r="K81" s="16" t="s">
        <v>1514</v>
      </c>
    </row>
    <row r="82" customFormat="false" ht="15" hidden="false" customHeight="true" outlineLevel="0" collapsed="false">
      <c r="A82" s="17" t="s">
        <v>1515</v>
      </c>
      <c r="B82" s="17" t="s">
        <v>1510</v>
      </c>
      <c r="C82" s="16" t="s">
        <v>1516</v>
      </c>
      <c r="D82" s="16" t="s">
        <v>72</v>
      </c>
      <c r="E82" s="16" t="s">
        <v>75</v>
      </c>
      <c r="F82" s="17" t="s">
        <v>1448</v>
      </c>
      <c r="G82" s="16" t="s">
        <v>1517</v>
      </c>
      <c r="H82" s="17" t="s">
        <v>1518</v>
      </c>
      <c r="I82" s="16" t="s">
        <v>53</v>
      </c>
      <c r="J82" s="17" t="s">
        <v>1448</v>
      </c>
      <c r="K82" s="16" t="s">
        <v>1514</v>
      </c>
    </row>
    <row r="83" customFormat="false" ht="15" hidden="false" customHeight="true" outlineLevel="0" collapsed="false">
      <c r="A83" s="17" t="s">
        <v>947</v>
      </c>
      <c r="B83" s="17" t="s">
        <v>1519</v>
      </c>
      <c r="C83" s="17" t="s">
        <v>1520</v>
      </c>
      <c r="D83" s="16" t="s">
        <v>72</v>
      </c>
      <c r="E83" s="16" t="s">
        <v>75</v>
      </c>
      <c r="F83" s="17" t="s">
        <v>1502</v>
      </c>
      <c r="G83" s="16" t="s">
        <v>1521</v>
      </c>
      <c r="H83" s="17" t="s">
        <v>1522</v>
      </c>
      <c r="I83" s="16" t="s">
        <v>53</v>
      </c>
      <c r="J83" s="17" t="s">
        <v>1502</v>
      </c>
      <c r="K83" s="16" t="s">
        <v>1523</v>
      </c>
    </row>
    <row r="84" customFormat="false" ht="15" hidden="false" customHeight="true" outlineLevel="0" collapsed="false">
      <c r="A84" s="17" t="s">
        <v>840</v>
      </c>
      <c r="B84" s="17" t="s">
        <v>834</v>
      </c>
      <c r="C84" s="17" t="s">
        <v>1524</v>
      </c>
      <c r="D84" s="16" t="s">
        <v>72</v>
      </c>
      <c r="E84" s="16" t="s">
        <v>75</v>
      </c>
      <c r="F84" s="17" t="s">
        <v>1525</v>
      </c>
      <c r="G84" s="17" t="s">
        <v>1526</v>
      </c>
      <c r="H84" s="17" t="s">
        <v>1527</v>
      </c>
      <c r="I84" s="16" t="s">
        <v>53</v>
      </c>
      <c r="J84" s="17" t="s">
        <v>1528</v>
      </c>
      <c r="K84" s="16" t="s">
        <v>1529</v>
      </c>
    </row>
    <row r="85" customFormat="false" ht="15" hidden="false" customHeight="true" outlineLevel="0" collapsed="false">
      <c r="A85" s="17" t="s">
        <v>1530</v>
      </c>
      <c r="B85" s="17" t="s">
        <v>874</v>
      </c>
      <c r="C85" s="16" t="s">
        <v>1531</v>
      </c>
      <c r="D85" s="16" t="s">
        <v>70</v>
      </c>
      <c r="E85" s="16" t="s">
        <v>75</v>
      </c>
      <c r="F85" s="17" t="s">
        <v>1532</v>
      </c>
      <c r="G85" s="17" t="s">
        <v>1533</v>
      </c>
      <c r="H85" s="17" t="s">
        <v>1534</v>
      </c>
      <c r="I85" s="16" t="s">
        <v>53</v>
      </c>
      <c r="J85" s="17" t="s">
        <v>1535</v>
      </c>
      <c r="K85" s="16" t="s">
        <v>1536</v>
      </c>
    </row>
    <row r="86" customFormat="false" ht="15" hidden="false" customHeight="true" outlineLevel="0" collapsed="false">
      <c r="A86" s="17" t="s">
        <v>801</v>
      </c>
      <c r="B86" s="17" t="s">
        <v>795</v>
      </c>
      <c r="C86" s="17" t="s">
        <v>1537</v>
      </c>
      <c r="D86" s="16" t="s">
        <v>72</v>
      </c>
      <c r="E86" s="16" t="s">
        <v>75</v>
      </c>
      <c r="F86" s="17" t="s">
        <v>1532</v>
      </c>
      <c r="G86" s="17" t="s">
        <v>1538</v>
      </c>
      <c r="H86" s="17" t="s">
        <v>1539</v>
      </c>
      <c r="I86" s="16" t="s">
        <v>53</v>
      </c>
      <c r="J86" s="17" t="s">
        <v>1535</v>
      </c>
      <c r="K86" s="16" t="s">
        <v>1540</v>
      </c>
    </row>
    <row r="87" customFormat="false" ht="15" hidden="false" customHeight="true" outlineLevel="0" collapsed="false">
      <c r="A87" s="17" t="s">
        <v>1541</v>
      </c>
      <c r="B87" s="17" t="s">
        <v>925</v>
      </c>
      <c r="C87" s="16" t="s">
        <v>1542</v>
      </c>
      <c r="D87" s="16" t="s">
        <v>72</v>
      </c>
      <c r="E87" s="16" t="s">
        <v>75</v>
      </c>
      <c r="F87" s="17" t="s">
        <v>1532</v>
      </c>
      <c r="G87" s="16" t="s">
        <v>1543</v>
      </c>
      <c r="H87" s="17" t="s">
        <v>1544</v>
      </c>
      <c r="I87" s="16" t="s">
        <v>53</v>
      </c>
      <c r="J87" s="17" t="s">
        <v>1535</v>
      </c>
      <c r="K87" s="16" t="s">
        <v>1545</v>
      </c>
    </row>
  </sheetData>
  <dataValidations count="4">
    <dataValidation allowBlank="true" errorStyle="stop" operator="between" showDropDown="false" showErrorMessage="false" showInputMessage="false" sqref="D3:D90" type="list">
      <formula1>"高,中,低"</formula1>
      <formula2>0</formula2>
    </dataValidation>
    <dataValidation allowBlank="true" errorStyle="stop" operator="between" showDropDown="false" showErrorMessage="false" showInputMessage="false" sqref="E3:E9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9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90 J3:J90" type="list">
      <formula1>"R1,R2,R3,R4,R5,R6,R7,R8,R9,R10,R11"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9" t="s">
        <v>1546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31.5" hidden="false" customHeight="true" outlineLevel="0" collapsed="false">
      <c r="A2" s="9" t="s">
        <v>1547</v>
      </c>
      <c r="B2" s="9" t="s">
        <v>1105</v>
      </c>
      <c r="C2" s="9" t="s">
        <v>1106</v>
      </c>
      <c r="D2" s="9" t="s">
        <v>1548</v>
      </c>
      <c r="E2" s="20" t="s">
        <v>1549</v>
      </c>
      <c r="F2" s="20" t="s">
        <v>1550</v>
      </c>
      <c r="G2" s="20" t="s">
        <v>1551</v>
      </c>
      <c r="H2" s="20" t="s">
        <v>1552</v>
      </c>
      <c r="I2" s="20" t="s">
        <v>1553</v>
      </c>
      <c r="J2" s="20" t="s">
        <v>1554</v>
      </c>
      <c r="K2" s="20" t="s">
        <v>1555</v>
      </c>
      <c r="L2" s="20" t="s">
        <v>1556</v>
      </c>
      <c r="M2" s="21" t="s">
        <v>1557</v>
      </c>
      <c r="N2" s="21" t="s">
        <v>1558</v>
      </c>
      <c r="O2" s="21" t="s">
        <v>1559</v>
      </c>
      <c r="P2" s="21" t="s">
        <v>1560</v>
      </c>
      <c r="Q2" s="21" t="s">
        <v>1561</v>
      </c>
      <c r="R2" s="21" t="s">
        <v>1562</v>
      </c>
    </row>
    <row r="3" customFormat="false" ht="86.25" hidden="false" customHeight="true" outlineLevel="0" collapsed="false">
      <c r="A3" s="11" t="s">
        <v>1116</v>
      </c>
      <c r="B3" s="11" t="s">
        <v>139</v>
      </c>
      <c r="C3" s="11" t="s">
        <v>379</v>
      </c>
      <c r="D3" s="11" t="s">
        <v>1563</v>
      </c>
      <c r="E3" s="10" t="s">
        <v>1564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1565</v>
      </c>
      <c r="N3" s="10" t="s">
        <v>1566</v>
      </c>
      <c r="O3" s="11" t="s">
        <v>1567</v>
      </c>
      <c r="P3" s="11" t="s">
        <v>39</v>
      </c>
      <c r="Q3" s="10" t="s">
        <v>1568</v>
      </c>
      <c r="R3" s="10" t="s">
        <v>1569</v>
      </c>
    </row>
    <row r="4" customFormat="false" ht="86.25" hidden="false" customHeight="true" outlineLevel="0" collapsed="false">
      <c r="A4" s="11" t="s">
        <v>1119</v>
      </c>
      <c r="B4" s="11" t="s">
        <v>139</v>
      </c>
      <c r="C4" s="11" t="s">
        <v>379</v>
      </c>
      <c r="D4" s="11" t="s">
        <v>1563</v>
      </c>
      <c r="E4" s="10" t="s">
        <v>1570</v>
      </c>
      <c r="F4" s="11" t="s">
        <v>1571</v>
      </c>
      <c r="G4" s="10" t="s">
        <v>1572</v>
      </c>
      <c r="H4" s="11" t="s">
        <v>1573</v>
      </c>
      <c r="I4" s="10" t="s">
        <v>1574</v>
      </c>
      <c r="J4" s="10" t="s">
        <v>1575</v>
      </c>
      <c r="K4" s="11" t="s">
        <v>1576</v>
      </c>
      <c r="L4" s="11" t="s">
        <v>1577</v>
      </c>
      <c r="M4" s="10" t="s">
        <v>1578</v>
      </c>
      <c r="N4" s="10" t="s">
        <v>1579</v>
      </c>
      <c r="O4" s="10" t="s">
        <v>1580</v>
      </c>
      <c r="P4" s="10" t="s">
        <v>1581</v>
      </c>
      <c r="Q4" s="10" t="s">
        <v>1582</v>
      </c>
      <c r="R4" s="10" t="s">
        <v>1569</v>
      </c>
    </row>
    <row r="5" customFormat="false" ht="15" hidden="false" customHeight="true" outlineLevel="0" collapsed="false">
      <c r="A5" s="17" t="s">
        <v>1116</v>
      </c>
      <c r="B5" s="17" t="s">
        <v>978</v>
      </c>
      <c r="C5" s="17" t="s">
        <v>972</v>
      </c>
      <c r="D5" s="17" t="s">
        <v>1583</v>
      </c>
      <c r="E5" s="22" t="s">
        <v>1564</v>
      </c>
      <c r="F5" s="23" t="s">
        <v>136</v>
      </c>
      <c r="G5" s="23" t="s">
        <v>136</v>
      </c>
      <c r="H5" s="23" t="s">
        <v>136</v>
      </c>
      <c r="I5" s="23" t="s">
        <v>136</v>
      </c>
      <c r="J5" s="23" t="s">
        <v>136</v>
      </c>
      <c r="K5" s="23" t="s">
        <v>136</v>
      </c>
      <c r="L5" s="23" t="s">
        <v>136</v>
      </c>
      <c r="M5" s="24" t="s">
        <v>1584</v>
      </c>
      <c r="N5" s="24" t="s">
        <v>1585</v>
      </c>
      <c r="O5" s="24" t="s">
        <v>1586</v>
      </c>
      <c r="P5" s="25" t="s">
        <v>39</v>
      </c>
      <c r="Q5" s="24" t="s">
        <v>1587</v>
      </c>
      <c r="R5" s="24" t="s">
        <v>1588</v>
      </c>
    </row>
    <row r="6" customFormat="false" ht="15" hidden="false" customHeight="true" outlineLevel="0" collapsed="false">
      <c r="A6" s="17" t="s">
        <v>1116</v>
      </c>
      <c r="B6" s="17" t="s">
        <v>1124</v>
      </c>
      <c r="C6" s="17" t="s">
        <v>1089</v>
      </c>
      <c r="D6" s="17" t="s">
        <v>1583</v>
      </c>
      <c r="E6" s="22" t="s">
        <v>1564</v>
      </c>
      <c r="F6" s="23" t="s">
        <v>136</v>
      </c>
      <c r="G6" s="23" t="s">
        <v>136</v>
      </c>
      <c r="H6" s="23" t="s">
        <v>136</v>
      </c>
      <c r="I6" s="23" t="s">
        <v>136</v>
      </c>
      <c r="J6" s="23" t="s">
        <v>136</v>
      </c>
      <c r="K6" s="23" t="s">
        <v>136</v>
      </c>
      <c r="L6" s="23" t="s">
        <v>136</v>
      </c>
      <c r="M6" s="24" t="s">
        <v>1589</v>
      </c>
      <c r="N6" s="24" t="s">
        <v>1590</v>
      </c>
      <c r="O6" s="24" t="s">
        <v>1591</v>
      </c>
      <c r="P6" s="25" t="s">
        <v>39</v>
      </c>
      <c r="Q6" s="24" t="s">
        <v>1592</v>
      </c>
      <c r="R6" s="24" t="s">
        <v>1588</v>
      </c>
    </row>
    <row r="7" customFormat="false" ht="15" hidden="false" customHeight="true" outlineLevel="0" collapsed="false">
      <c r="A7" s="17" t="s">
        <v>1116</v>
      </c>
      <c r="B7" s="17" t="s">
        <v>855</v>
      </c>
      <c r="C7" s="17" t="s">
        <v>849</v>
      </c>
      <c r="D7" s="17" t="s">
        <v>1583</v>
      </c>
      <c r="E7" s="22" t="s">
        <v>1564</v>
      </c>
      <c r="F7" s="23" t="s">
        <v>136</v>
      </c>
      <c r="G7" s="23" t="s">
        <v>136</v>
      </c>
      <c r="H7" s="23" t="s">
        <v>136</v>
      </c>
      <c r="I7" s="23" t="s">
        <v>136</v>
      </c>
      <c r="J7" s="23" t="s">
        <v>136</v>
      </c>
      <c r="K7" s="23" t="s">
        <v>136</v>
      </c>
      <c r="L7" s="23" t="s">
        <v>136</v>
      </c>
      <c r="M7" s="24" t="s">
        <v>1593</v>
      </c>
      <c r="N7" s="24" t="s">
        <v>1594</v>
      </c>
      <c r="O7" s="25" t="s">
        <v>1595</v>
      </c>
      <c r="P7" s="24" t="s">
        <v>1596</v>
      </c>
      <c r="Q7" s="24" t="s">
        <v>1597</v>
      </c>
      <c r="R7" s="24" t="s">
        <v>1588</v>
      </c>
    </row>
    <row r="8" customFormat="false" ht="15" hidden="false" customHeight="true" outlineLevel="0" collapsed="false">
      <c r="A8" s="17" t="s">
        <v>1116</v>
      </c>
      <c r="B8" s="17" t="s">
        <v>986</v>
      </c>
      <c r="C8" s="17" t="s">
        <v>980</v>
      </c>
      <c r="D8" s="17" t="s">
        <v>1583</v>
      </c>
      <c r="E8" s="22" t="s">
        <v>1564</v>
      </c>
      <c r="F8" s="23" t="s">
        <v>136</v>
      </c>
      <c r="G8" s="23" t="s">
        <v>136</v>
      </c>
      <c r="H8" s="23" t="s">
        <v>136</v>
      </c>
      <c r="I8" s="23" t="s">
        <v>136</v>
      </c>
      <c r="J8" s="23" t="s">
        <v>136</v>
      </c>
      <c r="K8" s="23" t="s">
        <v>136</v>
      </c>
      <c r="L8" s="23" t="s">
        <v>136</v>
      </c>
      <c r="M8" s="24" t="s">
        <v>1598</v>
      </c>
      <c r="N8" s="24" t="s">
        <v>1599</v>
      </c>
      <c r="O8" s="24" t="s">
        <v>1600</v>
      </c>
      <c r="P8" s="25" t="s">
        <v>39</v>
      </c>
      <c r="Q8" s="24" t="s">
        <v>1601</v>
      </c>
      <c r="R8" s="24" t="s">
        <v>1588</v>
      </c>
    </row>
    <row r="9" customFormat="false" ht="15" hidden="false" customHeight="true" outlineLevel="0" collapsed="false">
      <c r="A9" s="17" t="s">
        <v>1116</v>
      </c>
      <c r="B9" s="17" t="s">
        <v>527</v>
      </c>
      <c r="C9" s="17" t="s">
        <v>520</v>
      </c>
      <c r="D9" s="17" t="s">
        <v>1583</v>
      </c>
      <c r="E9" s="22" t="s">
        <v>1564</v>
      </c>
      <c r="F9" s="23" t="s">
        <v>136</v>
      </c>
      <c r="G9" s="23" t="s">
        <v>136</v>
      </c>
      <c r="H9" s="23" t="s">
        <v>136</v>
      </c>
      <c r="I9" s="23" t="s">
        <v>136</v>
      </c>
      <c r="J9" s="23" t="s">
        <v>136</v>
      </c>
      <c r="K9" s="23" t="s">
        <v>136</v>
      </c>
      <c r="L9" s="23" t="s">
        <v>136</v>
      </c>
      <c r="M9" s="24" t="s">
        <v>1602</v>
      </c>
      <c r="N9" s="24" t="s">
        <v>1603</v>
      </c>
      <c r="O9" s="24" t="s">
        <v>1604</v>
      </c>
      <c r="P9" s="25" t="s">
        <v>39</v>
      </c>
      <c r="Q9" s="24" t="s">
        <v>1605</v>
      </c>
      <c r="R9" s="24" t="s">
        <v>1588</v>
      </c>
    </row>
    <row r="10" customFormat="false" ht="15" hidden="false" customHeight="true" outlineLevel="0" collapsed="false">
      <c r="A10" s="17" t="s">
        <v>1116</v>
      </c>
      <c r="B10" s="17" t="s">
        <v>151</v>
      </c>
      <c r="C10" s="17" t="s">
        <v>142</v>
      </c>
      <c r="D10" s="17" t="s">
        <v>1583</v>
      </c>
      <c r="E10" s="22" t="s">
        <v>1564</v>
      </c>
      <c r="F10" s="23" t="s">
        <v>136</v>
      </c>
      <c r="G10" s="23" t="s">
        <v>136</v>
      </c>
      <c r="H10" s="23" t="s">
        <v>136</v>
      </c>
      <c r="I10" s="23" t="s">
        <v>136</v>
      </c>
      <c r="J10" s="23" t="s">
        <v>136</v>
      </c>
      <c r="K10" s="23" t="s">
        <v>136</v>
      </c>
      <c r="L10" s="23" t="s">
        <v>136</v>
      </c>
      <c r="M10" s="24" t="s">
        <v>1606</v>
      </c>
      <c r="N10" s="24" t="s">
        <v>1607</v>
      </c>
      <c r="O10" s="24" t="s">
        <v>1608</v>
      </c>
      <c r="P10" s="24" t="s">
        <v>1596</v>
      </c>
      <c r="Q10" s="24" t="s">
        <v>1609</v>
      </c>
      <c r="R10" s="24" t="s">
        <v>1588</v>
      </c>
    </row>
    <row r="11" customFormat="false" ht="15" hidden="false" customHeight="true" outlineLevel="0" collapsed="false">
      <c r="A11" s="17" t="s">
        <v>1116</v>
      </c>
      <c r="B11" s="17" t="s">
        <v>160</v>
      </c>
      <c r="C11" s="17" t="s">
        <v>153</v>
      </c>
      <c r="D11" s="17" t="s">
        <v>1583</v>
      </c>
      <c r="E11" s="22" t="s">
        <v>1564</v>
      </c>
      <c r="F11" s="23" t="s">
        <v>136</v>
      </c>
      <c r="G11" s="23" t="s">
        <v>136</v>
      </c>
      <c r="H11" s="23" t="s">
        <v>136</v>
      </c>
      <c r="I11" s="23" t="s">
        <v>136</v>
      </c>
      <c r="J11" s="23" t="s">
        <v>136</v>
      </c>
      <c r="K11" s="23" t="s">
        <v>136</v>
      </c>
      <c r="L11" s="23" t="s">
        <v>136</v>
      </c>
      <c r="M11" s="24" t="s">
        <v>1610</v>
      </c>
      <c r="N11" s="24" t="s">
        <v>1611</v>
      </c>
      <c r="O11" s="24" t="s">
        <v>1612</v>
      </c>
      <c r="P11" s="25" t="s">
        <v>39</v>
      </c>
      <c r="Q11" s="24" t="s">
        <v>1613</v>
      </c>
      <c r="R11" s="24" t="s">
        <v>1588</v>
      </c>
    </row>
    <row r="12" customFormat="false" ht="15" hidden="false" customHeight="true" outlineLevel="0" collapsed="false">
      <c r="A12" s="17" t="s">
        <v>1116</v>
      </c>
      <c r="B12" s="17" t="s">
        <v>185</v>
      </c>
      <c r="C12" s="17" t="s">
        <v>178</v>
      </c>
      <c r="D12" s="17" t="s">
        <v>1583</v>
      </c>
      <c r="E12" s="22" t="s">
        <v>1564</v>
      </c>
      <c r="F12" s="23" t="s">
        <v>136</v>
      </c>
      <c r="G12" s="23" t="s">
        <v>136</v>
      </c>
      <c r="H12" s="23" t="s">
        <v>136</v>
      </c>
      <c r="I12" s="23" t="s">
        <v>136</v>
      </c>
      <c r="J12" s="23" t="s">
        <v>136</v>
      </c>
      <c r="K12" s="23" t="s">
        <v>136</v>
      </c>
      <c r="L12" s="23" t="s">
        <v>136</v>
      </c>
      <c r="M12" s="24" t="s">
        <v>1614</v>
      </c>
      <c r="N12" s="24" t="s">
        <v>1615</v>
      </c>
      <c r="O12" s="24" t="s">
        <v>1616</v>
      </c>
      <c r="P12" s="25" t="s">
        <v>39</v>
      </c>
      <c r="Q12" s="24" t="s">
        <v>1617</v>
      </c>
      <c r="R12" s="24" t="s">
        <v>1588</v>
      </c>
    </row>
    <row r="13" customFormat="false" ht="15" hidden="false" customHeight="true" outlineLevel="0" collapsed="false">
      <c r="A13" s="17" t="s">
        <v>1116</v>
      </c>
      <c r="B13" s="17" t="s">
        <v>227</v>
      </c>
      <c r="C13" s="17" t="s">
        <v>220</v>
      </c>
      <c r="D13" s="17" t="s">
        <v>1583</v>
      </c>
      <c r="E13" s="22" t="s">
        <v>1564</v>
      </c>
      <c r="F13" s="23" t="s">
        <v>136</v>
      </c>
      <c r="G13" s="23" t="s">
        <v>136</v>
      </c>
      <c r="H13" s="23" t="s">
        <v>136</v>
      </c>
      <c r="I13" s="23" t="s">
        <v>136</v>
      </c>
      <c r="J13" s="23" t="s">
        <v>136</v>
      </c>
      <c r="K13" s="23" t="s">
        <v>136</v>
      </c>
      <c r="L13" s="23" t="s">
        <v>136</v>
      </c>
      <c r="M13" s="24" t="s">
        <v>1618</v>
      </c>
      <c r="N13" s="24" t="s">
        <v>1619</v>
      </c>
      <c r="O13" s="24" t="s">
        <v>1620</v>
      </c>
      <c r="P13" s="24" t="s">
        <v>1596</v>
      </c>
      <c r="Q13" s="24" t="s">
        <v>1621</v>
      </c>
      <c r="R13" s="24" t="s">
        <v>1588</v>
      </c>
    </row>
    <row r="14" customFormat="false" ht="15" hidden="false" customHeight="true" outlineLevel="0" collapsed="false">
      <c r="A14" s="17" t="s">
        <v>1116</v>
      </c>
      <c r="B14" s="17" t="s">
        <v>1157</v>
      </c>
      <c r="C14" s="17" t="s">
        <v>387</v>
      </c>
      <c r="D14" s="17" t="s">
        <v>1583</v>
      </c>
      <c r="E14" s="22" t="s">
        <v>1564</v>
      </c>
      <c r="F14" s="23" t="s">
        <v>136</v>
      </c>
      <c r="G14" s="23" t="s">
        <v>136</v>
      </c>
      <c r="H14" s="23" t="s">
        <v>136</v>
      </c>
      <c r="I14" s="23" t="s">
        <v>136</v>
      </c>
      <c r="J14" s="23" t="s">
        <v>136</v>
      </c>
      <c r="K14" s="23" t="s">
        <v>136</v>
      </c>
      <c r="L14" s="23" t="s">
        <v>136</v>
      </c>
      <c r="M14" s="24" t="s">
        <v>1622</v>
      </c>
      <c r="N14" s="24" t="s">
        <v>1623</v>
      </c>
      <c r="O14" s="25" t="s">
        <v>1624</v>
      </c>
      <c r="P14" s="24" t="s">
        <v>1596</v>
      </c>
      <c r="Q14" s="24" t="s">
        <v>1625</v>
      </c>
      <c r="R14" s="24" t="s">
        <v>1588</v>
      </c>
    </row>
    <row r="15" customFormat="false" ht="15" hidden="false" customHeight="true" outlineLevel="0" collapsed="false">
      <c r="A15" s="17" t="s">
        <v>1116</v>
      </c>
      <c r="B15" s="17" t="s">
        <v>268</v>
      </c>
      <c r="C15" s="17" t="s">
        <v>261</v>
      </c>
      <c r="D15" s="17" t="s">
        <v>1583</v>
      </c>
      <c r="E15" s="22" t="s">
        <v>1564</v>
      </c>
      <c r="F15" s="23" t="s">
        <v>136</v>
      </c>
      <c r="G15" s="23" t="s">
        <v>136</v>
      </c>
      <c r="H15" s="23" t="s">
        <v>136</v>
      </c>
      <c r="I15" s="23" t="s">
        <v>136</v>
      </c>
      <c r="J15" s="23" t="s">
        <v>136</v>
      </c>
      <c r="K15" s="23" t="s">
        <v>136</v>
      </c>
      <c r="L15" s="23" t="s">
        <v>136</v>
      </c>
      <c r="M15" s="24" t="s">
        <v>1626</v>
      </c>
      <c r="N15" s="24" t="s">
        <v>1627</v>
      </c>
      <c r="O15" s="25" t="s">
        <v>1628</v>
      </c>
      <c r="P15" s="25" t="s">
        <v>39</v>
      </c>
      <c r="Q15" s="24" t="s">
        <v>1629</v>
      </c>
      <c r="R15" s="24" t="s">
        <v>1588</v>
      </c>
    </row>
    <row r="16" customFormat="false" ht="15" hidden="false" customHeight="true" outlineLevel="0" collapsed="false">
      <c r="A16" s="17" t="s">
        <v>1116</v>
      </c>
      <c r="B16" s="17" t="s">
        <v>409</v>
      </c>
      <c r="C16" s="17" t="s">
        <v>403</v>
      </c>
      <c r="D16" s="17" t="s">
        <v>1583</v>
      </c>
      <c r="E16" s="22" t="s">
        <v>1564</v>
      </c>
      <c r="F16" s="23" t="s">
        <v>136</v>
      </c>
      <c r="G16" s="23" t="s">
        <v>136</v>
      </c>
      <c r="H16" s="23" t="s">
        <v>136</v>
      </c>
      <c r="I16" s="23" t="s">
        <v>136</v>
      </c>
      <c r="J16" s="23" t="s">
        <v>136</v>
      </c>
      <c r="K16" s="23" t="s">
        <v>136</v>
      </c>
      <c r="L16" s="23" t="s">
        <v>136</v>
      </c>
      <c r="M16" s="24" t="s">
        <v>1630</v>
      </c>
      <c r="N16" s="24" t="s">
        <v>1631</v>
      </c>
      <c r="O16" s="24" t="s">
        <v>1632</v>
      </c>
      <c r="P16" s="25" t="s">
        <v>39</v>
      </c>
      <c r="Q16" s="24" t="s">
        <v>1633</v>
      </c>
      <c r="R16" s="24" t="s">
        <v>1588</v>
      </c>
    </row>
    <row r="17" customFormat="false" ht="15" hidden="false" customHeight="true" outlineLevel="0" collapsed="false">
      <c r="A17" s="17" t="s">
        <v>1116</v>
      </c>
      <c r="B17" s="17" t="s">
        <v>346</v>
      </c>
      <c r="C17" s="17" t="s">
        <v>341</v>
      </c>
      <c r="D17" s="17" t="s">
        <v>1583</v>
      </c>
      <c r="E17" s="22" t="s">
        <v>1564</v>
      </c>
      <c r="F17" s="23" t="s">
        <v>136</v>
      </c>
      <c r="G17" s="23" t="s">
        <v>136</v>
      </c>
      <c r="H17" s="23" t="s">
        <v>136</v>
      </c>
      <c r="I17" s="23" t="s">
        <v>136</v>
      </c>
      <c r="J17" s="23" t="s">
        <v>136</v>
      </c>
      <c r="K17" s="23" t="s">
        <v>136</v>
      </c>
      <c r="L17" s="23" t="s">
        <v>136</v>
      </c>
      <c r="M17" s="24" t="s">
        <v>1634</v>
      </c>
      <c r="N17" s="24" t="s">
        <v>1635</v>
      </c>
      <c r="O17" s="25" t="s">
        <v>1636</v>
      </c>
      <c r="P17" s="24" t="s">
        <v>1596</v>
      </c>
      <c r="Q17" s="24" t="s">
        <v>1637</v>
      </c>
      <c r="R17" s="24" t="s">
        <v>1588</v>
      </c>
    </row>
    <row r="18" customFormat="false" ht="15" hidden="false" customHeight="true" outlineLevel="0" collapsed="false">
      <c r="A18" s="17" t="s">
        <v>1116</v>
      </c>
      <c r="B18" s="17" t="s">
        <v>1174</v>
      </c>
      <c r="C18" s="17" t="s">
        <v>395</v>
      </c>
      <c r="D18" s="17" t="s">
        <v>1583</v>
      </c>
      <c r="E18" s="22" t="s">
        <v>1564</v>
      </c>
      <c r="F18" s="23" t="s">
        <v>136</v>
      </c>
      <c r="G18" s="23" t="s">
        <v>136</v>
      </c>
      <c r="H18" s="23" t="s">
        <v>136</v>
      </c>
      <c r="I18" s="23" t="s">
        <v>136</v>
      </c>
      <c r="J18" s="23" t="s">
        <v>136</v>
      </c>
      <c r="K18" s="23" t="s">
        <v>136</v>
      </c>
      <c r="L18" s="23" t="s">
        <v>136</v>
      </c>
      <c r="M18" s="24" t="s">
        <v>1638</v>
      </c>
      <c r="N18" s="24" t="s">
        <v>1639</v>
      </c>
      <c r="O18" s="24" t="s">
        <v>1640</v>
      </c>
      <c r="P18" s="25" t="s">
        <v>39</v>
      </c>
      <c r="Q18" s="24" t="s">
        <v>1641</v>
      </c>
      <c r="R18" s="24" t="s">
        <v>1588</v>
      </c>
    </row>
    <row r="19" customFormat="false" ht="15" hidden="false" customHeight="true" outlineLevel="0" collapsed="false">
      <c r="A19" s="17" t="s">
        <v>1116</v>
      </c>
      <c r="B19" s="17" t="s">
        <v>1179</v>
      </c>
      <c r="C19" s="17" t="s">
        <v>412</v>
      </c>
      <c r="D19" s="17" t="s">
        <v>1583</v>
      </c>
      <c r="E19" s="22" t="s">
        <v>1564</v>
      </c>
      <c r="F19" s="23" t="s">
        <v>136</v>
      </c>
      <c r="G19" s="23" t="s">
        <v>136</v>
      </c>
      <c r="H19" s="23" t="s">
        <v>136</v>
      </c>
      <c r="I19" s="23" t="s">
        <v>136</v>
      </c>
      <c r="J19" s="23" t="s">
        <v>136</v>
      </c>
      <c r="K19" s="23" t="s">
        <v>136</v>
      </c>
      <c r="L19" s="23" t="s">
        <v>136</v>
      </c>
      <c r="M19" s="24" t="s">
        <v>1642</v>
      </c>
      <c r="N19" s="24" t="s">
        <v>1643</v>
      </c>
      <c r="O19" s="25" t="s">
        <v>1644</v>
      </c>
      <c r="P19" s="25" t="s">
        <v>39</v>
      </c>
      <c r="Q19" s="24" t="s">
        <v>1645</v>
      </c>
      <c r="R19" s="24" t="s">
        <v>1588</v>
      </c>
    </row>
    <row r="20" customFormat="false" ht="15" hidden="false" customHeight="true" outlineLevel="0" collapsed="false">
      <c r="A20" s="17" t="s">
        <v>1116</v>
      </c>
      <c r="B20" s="17" t="s">
        <v>1184</v>
      </c>
      <c r="C20" s="17" t="s">
        <v>422</v>
      </c>
      <c r="D20" s="17" t="s">
        <v>1583</v>
      </c>
      <c r="E20" s="22" t="s">
        <v>1564</v>
      </c>
      <c r="F20" s="23" t="s">
        <v>136</v>
      </c>
      <c r="G20" s="23" t="s">
        <v>136</v>
      </c>
      <c r="H20" s="23" t="s">
        <v>136</v>
      </c>
      <c r="I20" s="23" t="s">
        <v>136</v>
      </c>
      <c r="J20" s="23" t="s">
        <v>136</v>
      </c>
      <c r="K20" s="23" t="s">
        <v>136</v>
      </c>
      <c r="L20" s="23" t="s">
        <v>136</v>
      </c>
      <c r="M20" s="24" t="s">
        <v>1646</v>
      </c>
      <c r="N20" s="24" t="s">
        <v>1647</v>
      </c>
      <c r="O20" s="25" t="s">
        <v>1648</v>
      </c>
      <c r="P20" s="24" t="s">
        <v>1596</v>
      </c>
      <c r="Q20" s="24" t="s">
        <v>1649</v>
      </c>
      <c r="R20" s="24" t="s">
        <v>1588</v>
      </c>
    </row>
    <row r="21" customFormat="false" ht="15" hidden="false" customHeight="true" outlineLevel="0" collapsed="false">
      <c r="A21" s="17" t="s">
        <v>1116</v>
      </c>
      <c r="B21" s="17" t="s">
        <v>446</v>
      </c>
      <c r="C21" s="17" t="s">
        <v>439</v>
      </c>
      <c r="D21" s="17" t="s">
        <v>1583</v>
      </c>
      <c r="E21" s="22" t="s">
        <v>1564</v>
      </c>
      <c r="F21" s="23" t="s">
        <v>136</v>
      </c>
      <c r="G21" s="23" t="s">
        <v>136</v>
      </c>
      <c r="H21" s="23" t="s">
        <v>136</v>
      </c>
      <c r="I21" s="23" t="s">
        <v>136</v>
      </c>
      <c r="J21" s="23" t="s">
        <v>136</v>
      </c>
      <c r="K21" s="23" t="s">
        <v>136</v>
      </c>
      <c r="L21" s="23" t="s">
        <v>136</v>
      </c>
      <c r="M21" s="24" t="s">
        <v>1650</v>
      </c>
      <c r="N21" s="24" t="s">
        <v>1651</v>
      </c>
      <c r="O21" s="24" t="s">
        <v>1652</v>
      </c>
      <c r="P21" s="25" t="s">
        <v>39</v>
      </c>
      <c r="Q21" s="24" t="s">
        <v>1653</v>
      </c>
      <c r="R21" s="24" t="s">
        <v>1588</v>
      </c>
    </row>
    <row r="22" customFormat="false" ht="15" hidden="false" customHeight="true" outlineLevel="0" collapsed="false">
      <c r="A22" s="17" t="s">
        <v>1116</v>
      </c>
      <c r="B22" s="17" t="s">
        <v>1195</v>
      </c>
      <c r="C22" s="17" t="s">
        <v>448</v>
      </c>
      <c r="D22" s="17" t="s">
        <v>1583</v>
      </c>
      <c r="E22" s="22" t="s">
        <v>1564</v>
      </c>
      <c r="F22" s="23" t="s">
        <v>136</v>
      </c>
      <c r="G22" s="23" t="s">
        <v>136</v>
      </c>
      <c r="H22" s="23" t="s">
        <v>136</v>
      </c>
      <c r="I22" s="23" t="s">
        <v>136</v>
      </c>
      <c r="J22" s="23" t="s">
        <v>136</v>
      </c>
      <c r="K22" s="23" t="s">
        <v>136</v>
      </c>
      <c r="L22" s="23" t="s">
        <v>136</v>
      </c>
      <c r="M22" s="24" t="s">
        <v>1654</v>
      </c>
      <c r="N22" s="24" t="s">
        <v>1655</v>
      </c>
      <c r="O22" s="25" t="s">
        <v>1656</v>
      </c>
      <c r="P22" s="24" t="s">
        <v>1596</v>
      </c>
      <c r="Q22" s="24" t="s">
        <v>1657</v>
      </c>
      <c r="R22" s="24" t="s">
        <v>1588</v>
      </c>
    </row>
    <row r="23" customFormat="false" ht="15" hidden="false" customHeight="true" outlineLevel="0" collapsed="false">
      <c r="A23" s="17" t="s">
        <v>1116</v>
      </c>
      <c r="B23" s="17" t="s">
        <v>1199</v>
      </c>
      <c r="C23" s="17" t="s">
        <v>1658</v>
      </c>
      <c r="D23" s="17" t="s">
        <v>1583</v>
      </c>
      <c r="E23" s="22" t="s">
        <v>1564</v>
      </c>
      <c r="F23" s="23" t="s">
        <v>136</v>
      </c>
      <c r="G23" s="23" t="s">
        <v>136</v>
      </c>
      <c r="H23" s="23" t="s">
        <v>136</v>
      </c>
      <c r="I23" s="23" t="s">
        <v>136</v>
      </c>
      <c r="J23" s="23" t="s">
        <v>136</v>
      </c>
      <c r="K23" s="23" t="s">
        <v>136</v>
      </c>
      <c r="L23" s="23" t="s">
        <v>136</v>
      </c>
      <c r="M23" s="24" t="s">
        <v>1659</v>
      </c>
      <c r="N23" s="24" t="s">
        <v>1660</v>
      </c>
      <c r="O23" s="24" t="s">
        <v>1661</v>
      </c>
      <c r="P23" s="25" t="s">
        <v>39</v>
      </c>
      <c r="Q23" s="24" t="s">
        <v>1662</v>
      </c>
      <c r="R23" s="24" t="s">
        <v>1588</v>
      </c>
    </row>
    <row r="24" customFormat="false" ht="15" hidden="false" customHeight="true" outlineLevel="0" collapsed="false">
      <c r="A24" s="17" t="s">
        <v>1116</v>
      </c>
      <c r="B24" s="17" t="s">
        <v>1204</v>
      </c>
      <c r="C24" s="17" t="s">
        <v>599</v>
      </c>
      <c r="D24" s="17" t="s">
        <v>1583</v>
      </c>
      <c r="E24" s="22" t="s">
        <v>1564</v>
      </c>
      <c r="F24" s="23" t="s">
        <v>136</v>
      </c>
      <c r="G24" s="23" t="s">
        <v>136</v>
      </c>
      <c r="H24" s="23" t="s">
        <v>136</v>
      </c>
      <c r="I24" s="23" t="s">
        <v>136</v>
      </c>
      <c r="J24" s="23" t="s">
        <v>136</v>
      </c>
      <c r="K24" s="23" t="s">
        <v>136</v>
      </c>
      <c r="L24" s="23" t="s">
        <v>136</v>
      </c>
      <c r="M24" s="24" t="s">
        <v>1663</v>
      </c>
      <c r="N24" s="24" t="s">
        <v>1664</v>
      </c>
      <c r="O24" s="24" t="s">
        <v>1665</v>
      </c>
      <c r="P24" s="25" t="s">
        <v>39</v>
      </c>
      <c r="Q24" s="24" t="s">
        <v>1666</v>
      </c>
      <c r="R24" s="24" t="s">
        <v>1588</v>
      </c>
    </row>
    <row r="25" customFormat="false" ht="15" hidden="false" customHeight="true" outlineLevel="0" collapsed="false">
      <c r="A25" s="17" t="s">
        <v>1116</v>
      </c>
      <c r="B25" s="17" t="s">
        <v>1210</v>
      </c>
      <c r="C25" s="17" t="s">
        <v>599</v>
      </c>
      <c r="D25" s="17" t="s">
        <v>1583</v>
      </c>
      <c r="E25" s="22" t="s">
        <v>1564</v>
      </c>
      <c r="F25" s="23" t="s">
        <v>136</v>
      </c>
      <c r="G25" s="23" t="s">
        <v>136</v>
      </c>
      <c r="H25" s="23" t="s">
        <v>136</v>
      </c>
      <c r="I25" s="23" t="s">
        <v>136</v>
      </c>
      <c r="J25" s="23" t="s">
        <v>136</v>
      </c>
      <c r="K25" s="23" t="s">
        <v>136</v>
      </c>
      <c r="L25" s="23" t="s">
        <v>136</v>
      </c>
      <c r="M25" s="24" t="s">
        <v>1667</v>
      </c>
      <c r="N25" s="24" t="s">
        <v>1668</v>
      </c>
      <c r="O25" s="24" t="s">
        <v>1669</v>
      </c>
      <c r="P25" s="25" t="s">
        <v>39</v>
      </c>
      <c r="Q25" s="24" t="s">
        <v>1670</v>
      </c>
      <c r="R25" s="24" t="s">
        <v>1588</v>
      </c>
    </row>
    <row r="26" customFormat="false" ht="15" hidden="false" customHeight="true" outlineLevel="0" collapsed="false">
      <c r="A26" s="17" t="s">
        <v>1116</v>
      </c>
      <c r="B26" s="17" t="s">
        <v>1216</v>
      </c>
      <c r="C26" s="17" t="s">
        <v>608</v>
      </c>
      <c r="D26" s="17" t="s">
        <v>1583</v>
      </c>
      <c r="E26" s="22" t="s">
        <v>1564</v>
      </c>
      <c r="F26" s="23" t="s">
        <v>136</v>
      </c>
      <c r="G26" s="23" t="s">
        <v>136</v>
      </c>
      <c r="H26" s="23" t="s">
        <v>136</v>
      </c>
      <c r="I26" s="23" t="s">
        <v>136</v>
      </c>
      <c r="J26" s="23" t="s">
        <v>136</v>
      </c>
      <c r="K26" s="23" t="s">
        <v>136</v>
      </c>
      <c r="L26" s="23" t="s">
        <v>136</v>
      </c>
      <c r="M26" s="24" t="s">
        <v>1671</v>
      </c>
      <c r="N26" s="24" t="s">
        <v>1672</v>
      </c>
      <c r="O26" s="24" t="s">
        <v>1673</v>
      </c>
      <c r="P26" s="25" t="s">
        <v>39</v>
      </c>
      <c r="Q26" s="24" t="s">
        <v>1674</v>
      </c>
      <c r="R26" s="24" t="s">
        <v>1588</v>
      </c>
    </row>
    <row r="27" customFormat="false" ht="15" hidden="false" customHeight="true" outlineLevel="0" collapsed="false">
      <c r="A27" s="17" t="s">
        <v>1116</v>
      </c>
      <c r="B27" s="17" t="s">
        <v>1221</v>
      </c>
      <c r="C27" s="17" t="s">
        <v>608</v>
      </c>
      <c r="D27" s="17" t="s">
        <v>1583</v>
      </c>
      <c r="E27" s="22" t="s">
        <v>1564</v>
      </c>
      <c r="F27" s="23" t="s">
        <v>136</v>
      </c>
      <c r="G27" s="23" t="s">
        <v>136</v>
      </c>
      <c r="H27" s="23" t="s">
        <v>136</v>
      </c>
      <c r="I27" s="23" t="s">
        <v>136</v>
      </c>
      <c r="J27" s="23" t="s">
        <v>136</v>
      </c>
      <c r="K27" s="23" t="s">
        <v>136</v>
      </c>
      <c r="L27" s="23" t="s">
        <v>136</v>
      </c>
      <c r="M27" s="24" t="s">
        <v>1675</v>
      </c>
      <c r="N27" s="24" t="s">
        <v>1676</v>
      </c>
      <c r="O27" s="24" t="s">
        <v>1677</v>
      </c>
      <c r="P27" s="25" t="s">
        <v>39</v>
      </c>
      <c r="Q27" s="24" t="s">
        <v>1678</v>
      </c>
      <c r="R27" s="24" t="s">
        <v>1588</v>
      </c>
    </row>
    <row r="28" customFormat="false" ht="15" hidden="false" customHeight="true" outlineLevel="0" collapsed="false">
      <c r="A28" s="17" t="s">
        <v>1116</v>
      </c>
      <c r="B28" s="17" t="s">
        <v>1226</v>
      </c>
      <c r="C28" s="17" t="s">
        <v>995</v>
      </c>
      <c r="D28" s="17" t="s">
        <v>1583</v>
      </c>
      <c r="E28" s="22" t="s">
        <v>1564</v>
      </c>
      <c r="F28" s="23" t="s">
        <v>136</v>
      </c>
      <c r="G28" s="23" t="s">
        <v>136</v>
      </c>
      <c r="H28" s="23" t="s">
        <v>136</v>
      </c>
      <c r="I28" s="23" t="s">
        <v>136</v>
      </c>
      <c r="J28" s="23" t="s">
        <v>136</v>
      </c>
      <c r="K28" s="23" t="s">
        <v>136</v>
      </c>
      <c r="L28" s="23" t="s">
        <v>136</v>
      </c>
      <c r="M28" s="24" t="s">
        <v>1679</v>
      </c>
      <c r="N28" s="24" t="s">
        <v>1680</v>
      </c>
      <c r="O28" s="24" t="s">
        <v>1681</v>
      </c>
      <c r="P28" s="25" t="s">
        <v>39</v>
      </c>
      <c r="Q28" s="24" t="s">
        <v>1682</v>
      </c>
      <c r="R28" s="24" t="s">
        <v>1588</v>
      </c>
    </row>
    <row r="29" customFormat="false" ht="15" hidden="false" customHeight="true" outlineLevel="0" collapsed="false">
      <c r="A29" s="17" t="s">
        <v>1116</v>
      </c>
      <c r="B29" s="17" t="s">
        <v>1231</v>
      </c>
      <c r="C29" s="17" t="s">
        <v>995</v>
      </c>
      <c r="D29" s="17" t="s">
        <v>1583</v>
      </c>
      <c r="E29" s="22" t="s">
        <v>1564</v>
      </c>
      <c r="F29" s="23" t="s">
        <v>136</v>
      </c>
      <c r="G29" s="23" t="s">
        <v>136</v>
      </c>
      <c r="H29" s="23" t="s">
        <v>136</v>
      </c>
      <c r="I29" s="23" t="s">
        <v>136</v>
      </c>
      <c r="J29" s="23" t="s">
        <v>136</v>
      </c>
      <c r="K29" s="23" t="s">
        <v>136</v>
      </c>
      <c r="L29" s="23" t="s">
        <v>136</v>
      </c>
      <c r="M29" s="24" t="s">
        <v>1683</v>
      </c>
      <c r="N29" s="24" t="s">
        <v>1684</v>
      </c>
      <c r="O29" s="24" t="s">
        <v>1685</v>
      </c>
      <c r="P29" s="24" t="s">
        <v>1596</v>
      </c>
      <c r="Q29" s="24" t="s">
        <v>1686</v>
      </c>
      <c r="R29" s="24" t="s">
        <v>1588</v>
      </c>
    </row>
    <row r="30" customFormat="false" ht="15" hidden="false" customHeight="true" outlineLevel="0" collapsed="false">
      <c r="A30" s="17" t="s">
        <v>1116</v>
      </c>
      <c r="B30" s="17" t="s">
        <v>1056</v>
      </c>
      <c r="C30" s="17" t="s">
        <v>1050</v>
      </c>
      <c r="D30" s="17" t="s">
        <v>1583</v>
      </c>
      <c r="E30" s="22" t="s">
        <v>1564</v>
      </c>
      <c r="F30" s="23" t="s">
        <v>136</v>
      </c>
      <c r="G30" s="23" t="s">
        <v>136</v>
      </c>
      <c r="H30" s="23" t="s">
        <v>136</v>
      </c>
      <c r="I30" s="23" t="s">
        <v>136</v>
      </c>
      <c r="J30" s="23" t="s">
        <v>136</v>
      </c>
      <c r="K30" s="23" t="s">
        <v>136</v>
      </c>
      <c r="L30" s="23" t="s">
        <v>136</v>
      </c>
      <c r="M30" s="24" t="s">
        <v>1687</v>
      </c>
      <c r="N30" s="24" t="s">
        <v>1688</v>
      </c>
      <c r="O30" s="24" t="s">
        <v>1689</v>
      </c>
      <c r="P30" s="25" t="s">
        <v>39</v>
      </c>
      <c r="Q30" s="24" t="s">
        <v>1690</v>
      </c>
      <c r="R30" s="24" t="s">
        <v>1588</v>
      </c>
    </row>
    <row r="31" customFormat="false" ht="15" hidden="false" customHeight="true" outlineLevel="0" collapsed="false">
      <c r="A31" s="17" t="s">
        <v>1116</v>
      </c>
      <c r="B31" s="17" t="s">
        <v>1240</v>
      </c>
      <c r="C31" s="17" t="s">
        <v>1027</v>
      </c>
      <c r="D31" s="17" t="s">
        <v>1583</v>
      </c>
      <c r="E31" s="22" t="s">
        <v>1564</v>
      </c>
      <c r="F31" s="23" t="s">
        <v>136</v>
      </c>
      <c r="G31" s="23" t="s">
        <v>136</v>
      </c>
      <c r="H31" s="23" t="s">
        <v>136</v>
      </c>
      <c r="I31" s="23" t="s">
        <v>136</v>
      </c>
      <c r="J31" s="23" t="s">
        <v>136</v>
      </c>
      <c r="K31" s="23" t="s">
        <v>136</v>
      </c>
      <c r="L31" s="23" t="s">
        <v>136</v>
      </c>
      <c r="M31" s="24" t="s">
        <v>1691</v>
      </c>
      <c r="N31" s="24" t="s">
        <v>1692</v>
      </c>
      <c r="O31" s="24" t="s">
        <v>1693</v>
      </c>
      <c r="P31" s="25" t="s">
        <v>39</v>
      </c>
      <c r="Q31" s="24" t="s">
        <v>1694</v>
      </c>
      <c r="R31" s="24" t="s">
        <v>1588</v>
      </c>
    </row>
    <row r="32" customFormat="false" ht="15" hidden="false" customHeight="true" outlineLevel="0" collapsed="false">
      <c r="A32" s="17" t="s">
        <v>1116</v>
      </c>
      <c r="B32" s="17" t="s">
        <v>1245</v>
      </c>
      <c r="C32" s="17" t="s">
        <v>1027</v>
      </c>
      <c r="D32" s="17" t="s">
        <v>1583</v>
      </c>
      <c r="E32" s="22" t="s">
        <v>1564</v>
      </c>
      <c r="F32" s="23" t="s">
        <v>136</v>
      </c>
      <c r="G32" s="23" t="s">
        <v>136</v>
      </c>
      <c r="H32" s="23" t="s">
        <v>136</v>
      </c>
      <c r="I32" s="23" t="s">
        <v>136</v>
      </c>
      <c r="J32" s="23" t="s">
        <v>136</v>
      </c>
      <c r="K32" s="23" t="s">
        <v>136</v>
      </c>
      <c r="L32" s="23" t="s">
        <v>136</v>
      </c>
      <c r="M32" s="24" t="s">
        <v>1695</v>
      </c>
      <c r="N32" s="24" t="s">
        <v>1696</v>
      </c>
      <c r="O32" s="24" t="s">
        <v>1697</v>
      </c>
      <c r="P32" s="25" t="s">
        <v>39</v>
      </c>
      <c r="Q32" s="24" t="s">
        <v>1698</v>
      </c>
      <c r="R32" s="24" t="s">
        <v>1588</v>
      </c>
    </row>
    <row r="33" customFormat="false" ht="15" hidden="false" customHeight="true" outlineLevel="0" collapsed="false">
      <c r="A33" s="17" t="s">
        <v>1116</v>
      </c>
      <c r="B33" s="17" t="s">
        <v>1041</v>
      </c>
      <c r="C33" s="17" t="s">
        <v>1036</v>
      </c>
      <c r="D33" s="17" t="s">
        <v>1583</v>
      </c>
      <c r="E33" s="22" t="s">
        <v>1564</v>
      </c>
      <c r="F33" s="23" t="s">
        <v>136</v>
      </c>
      <c r="G33" s="23" t="s">
        <v>136</v>
      </c>
      <c r="H33" s="23" t="s">
        <v>136</v>
      </c>
      <c r="I33" s="23" t="s">
        <v>136</v>
      </c>
      <c r="J33" s="23" t="s">
        <v>136</v>
      </c>
      <c r="K33" s="23" t="s">
        <v>136</v>
      </c>
      <c r="L33" s="23" t="s">
        <v>136</v>
      </c>
      <c r="M33" s="24" t="s">
        <v>1699</v>
      </c>
      <c r="N33" s="24" t="s">
        <v>1700</v>
      </c>
      <c r="O33" s="24" t="s">
        <v>1701</v>
      </c>
      <c r="P33" s="25" t="s">
        <v>39</v>
      </c>
      <c r="Q33" s="24" t="s">
        <v>1702</v>
      </c>
      <c r="R33" s="24" t="s">
        <v>1588</v>
      </c>
    </row>
    <row r="34" customFormat="false" ht="15" hidden="false" customHeight="true" outlineLevel="0" collapsed="false">
      <c r="A34" s="17" t="s">
        <v>1116</v>
      </c>
      <c r="B34" s="17" t="s">
        <v>1252</v>
      </c>
      <c r="C34" s="17" t="s">
        <v>917</v>
      </c>
      <c r="D34" s="17" t="s">
        <v>1583</v>
      </c>
      <c r="E34" s="22" t="s">
        <v>1564</v>
      </c>
      <c r="F34" s="23" t="s">
        <v>136</v>
      </c>
      <c r="G34" s="23" t="s">
        <v>136</v>
      </c>
      <c r="H34" s="23" t="s">
        <v>136</v>
      </c>
      <c r="I34" s="23" t="s">
        <v>136</v>
      </c>
      <c r="J34" s="23" t="s">
        <v>136</v>
      </c>
      <c r="K34" s="23" t="s">
        <v>136</v>
      </c>
      <c r="L34" s="23" t="s">
        <v>136</v>
      </c>
      <c r="M34" s="24" t="s">
        <v>1703</v>
      </c>
      <c r="N34" s="24" t="s">
        <v>1704</v>
      </c>
      <c r="O34" s="25" t="s">
        <v>1705</v>
      </c>
      <c r="P34" s="25" t="s">
        <v>39</v>
      </c>
      <c r="Q34" s="24" t="s">
        <v>1706</v>
      </c>
      <c r="R34" s="24" t="s">
        <v>1588</v>
      </c>
    </row>
    <row r="35" customFormat="false" ht="15" hidden="false" customHeight="true" outlineLevel="0" collapsed="false">
      <c r="A35" s="17" t="s">
        <v>1116</v>
      </c>
      <c r="B35" s="17" t="s">
        <v>1257</v>
      </c>
      <c r="C35" s="17" t="s">
        <v>1258</v>
      </c>
      <c r="D35" s="17" t="s">
        <v>1583</v>
      </c>
      <c r="E35" s="22" t="s">
        <v>1564</v>
      </c>
      <c r="F35" s="23" t="s">
        <v>136</v>
      </c>
      <c r="G35" s="23" t="s">
        <v>136</v>
      </c>
      <c r="H35" s="23" t="s">
        <v>136</v>
      </c>
      <c r="I35" s="23" t="s">
        <v>136</v>
      </c>
      <c r="J35" s="23" t="s">
        <v>136</v>
      </c>
      <c r="K35" s="23" t="s">
        <v>136</v>
      </c>
      <c r="L35" s="23" t="s">
        <v>136</v>
      </c>
      <c r="M35" s="24" t="s">
        <v>1707</v>
      </c>
      <c r="N35" s="24" t="s">
        <v>1708</v>
      </c>
      <c r="O35" s="24" t="s">
        <v>1709</v>
      </c>
      <c r="P35" s="25" t="s">
        <v>39</v>
      </c>
      <c r="Q35" s="24" t="s">
        <v>1710</v>
      </c>
      <c r="R35" s="24" t="s">
        <v>1588</v>
      </c>
    </row>
    <row r="36" customFormat="false" ht="15" hidden="false" customHeight="true" outlineLevel="0" collapsed="false">
      <c r="A36" s="17" t="s">
        <v>1116</v>
      </c>
      <c r="B36" s="17" t="s">
        <v>1262</v>
      </c>
      <c r="C36" s="17" t="s">
        <v>917</v>
      </c>
      <c r="D36" s="17" t="s">
        <v>1583</v>
      </c>
      <c r="E36" s="22" t="s">
        <v>1564</v>
      </c>
      <c r="F36" s="23" t="s">
        <v>136</v>
      </c>
      <c r="G36" s="23" t="s">
        <v>136</v>
      </c>
      <c r="H36" s="23" t="s">
        <v>136</v>
      </c>
      <c r="I36" s="23" t="s">
        <v>136</v>
      </c>
      <c r="J36" s="23" t="s">
        <v>136</v>
      </c>
      <c r="K36" s="23" t="s">
        <v>136</v>
      </c>
      <c r="L36" s="23" t="s">
        <v>136</v>
      </c>
      <c r="M36" s="24" t="s">
        <v>1711</v>
      </c>
      <c r="N36" s="24" t="s">
        <v>1712</v>
      </c>
      <c r="O36" s="24" t="s">
        <v>1713</v>
      </c>
      <c r="P36" s="25" t="s">
        <v>39</v>
      </c>
      <c r="Q36" s="24" t="s">
        <v>1714</v>
      </c>
      <c r="R36" s="24" t="s">
        <v>1588</v>
      </c>
    </row>
    <row r="37" customFormat="false" ht="15" hidden="false" customHeight="true" outlineLevel="0" collapsed="false">
      <c r="A37" s="17" t="s">
        <v>1116</v>
      </c>
      <c r="B37" s="17" t="s">
        <v>1267</v>
      </c>
      <c r="C37" s="17" t="s">
        <v>909</v>
      </c>
      <c r="D37" s="17" t="s">
        <v>1583</v>
      </c>
      <c r="E37" s="22" t="s">
        <v>1564</v>
      </c>
      <c r="F37" s="23" t="s">
        <v>136</v>
      </c>
      <c r="G37" s="23" t="s">
        <v>136</v>
      </c>
      <c r="H37" s="23" t="s">
        <v>136</v>
      </c>
      <c r="I37" s="23" t="s">
        <v>136</v>
      </c>
      <c r="J37" s="23" t="s">
        <v>136</v>
      </c>
      <c r="K37" s="23" t="s">
        <v>136</v>
      </c>
      <c r="L37" s="23" t="s">
        <v>136</v>
      </c>
      <c r="M37" s="24" t="s">
        <v>1715</v>
      </c>
      <c r="N37" s="24" t="s">
        <v>1716</v>
      </c>
      <c r="O37" s="24" t="s">
        <v>1717</v>
      </c>
      <c r="P37" s="24" t="s">
        <v>1596</v>
      </c>
      <c r="Q37" s="24" t="s">
        <v>1718</v>
      </c>
      <c r="R37" s="24" t="s">
        <v>1588</v>
      </c>
    </row>
    <row r="38" customFormat="false" ht="15" hidden="false" customHeight="true" outlineLevel="0" collapsed="false">
      <c r="A38" s="17" t="s">
        <v>1116</v>
      </c>
      <c r="B38" s="17" t="s">
        <v>761</v>
      </c>
      <c r="C38" s="17" t="s">
        <v>753</v>
      </c>
      <c r="D38" s="17" t="s">
        <v>1583</v>
      </c>
      <c r="E38" s="22" t="s">
        <v>1564</v>
      </c>
      <c r="F38" s="23" t="s">
        <v>136</v>
      </c>
      <c r="G38" s="23" t="s">
        <v>136</v>
      </c>
      <c r="H38" s="23" t="s">
        <v>136</v>
      </c>
      <c r="I38" s="23" t="s">
        <v>136</v>
      </c>
      <c r="J38" s="23" t="s">
        <v>136</v>
      </c>
      <c r="K38" s="23" t="s">
        <v>136</v>
      </c>
      <c r="L38" s="23" t="s">
        <v>136</v>
      </c>
      <c r="M38" s="24" t="s">
        <v>1719</v>
      </c>
      <c r="N38" s="24" t="s">
        <v>1720</v>
      </c>
      <c r="O38" s="24" t="s">
        <v>1721</v>
      </c>
      <c r="P38" s="25" t="s">
        <v>39</v>
      </c>
      <c r="Q38" s="24" t="s">
        <v>1722</v>
      </c>
      <c r="R38" s="24" t="s">
        <v>1588</v>
      </c>
    </row>
    <row r="39" customFormat="false" ht="15" hidden="false" customHeight="true" outlineLevel="0" collapsed="false">
      <c r="A39" s="17" t="s">
        <v>1116</v>
      </c>
      <c r="B39" s="17" t="s">
        <v>770</v>
      </c>
      <c r="C39" s="17" t="s">
        <v>763</v>
      </c>
      <c r="D39" s="17" t="s">
        <v>1583</v>
      </c>
      <c r="E39" s="22" t="s">
        <v>1564</v>
      </c>
      <c r="F39" s="23" t="s">
        <v>136</v>
      </c>
      <c r="G39" s="23" t="s">
        <v>136</v>
      </c>
      <c r="H39" s="23" t="s">
        <v>136</v>
      </c>
      <c r="I39" s="23" t="s">
        <v>136</v>
      </c>
      <c r="J39" s="23" t="s">
        <v>136</v>
      </c>
      <c r="K39" s="23" t="s">
        <v>136</v>
      </c>
      <c r="L39" s="23" t="s">
        <v>136</v>
      </c>
      <c r="M39" s="24" t="s">
        <v>1723</v>
      </c>
      <c r="N39" s="24" t="s">
        <v>1724</v>
      </c>
      <c r="O39" s="24" t="s">
        <v>1725</v>
      </c>
      <c r="P39" s="25" t="s">
        <v>39</v>
      </c>
      <c r="Q39" s="24" t="s">
        <v>1726</v>
      </c>
      <c r="R39" s="24" t="s">
        <v>1588</v>
      </c>
    </row>
    <row r="40" customFormat="false" ht="15" hidden="false" customHeight="true" outlineLevel="0" collapsed="false">
      <c r="A40" s="17" t="s">
        <v>1116</v>
      </c>
      <c r="B40" s="17" t="s">
        <v>777</v>
      </c>
      <c r="C40" s="17" t="s">
        <v>772</v>
      </c>
      <c r="D40" s="17" t="s">
        <v>1583</v>
      </c>
      <c r="E40" s="22" t="s">
        <v>1564</v>
      </c>
      <c r="F40" s="23" t="s">
        <v>136</v>
      </c>
      <c r="G40" s="23" t="s">
        <v>136</v>
      </c>
      <c r="H40" s="23" t="s">
        <v>136</v>
      </c>
      <c r="I40" s="23" t="s">
        <v>136</v>
      </c>
      <c r="J40" s="23" t="s">
        <v>136</v>
      </c>
      <c r="K40" s="23" t="s">
        <v>136</v>
      </c>
      <c r="L40" s="23" t="s">
        <v>136</v>
      </c>
      <c r="M40" s="24" t="s">
        <v>1727</v>
      </c>
      <c r="N40" s="24" t="s">
        <v>1728</v>
      </c>
      <c r="O40" s="24" t="s">
        <v>1729</v>
      </c>
      <c r="P40" s="25" t="s">
        <v>39</v>
      </c>
      <c r="Q40" s="24" t="s">
        <v>1730</v>
      </c>
      <c r="R40" s="24" t="s">
        <v>1588</v>
      </c>
    </row>
    <row r="41" customFormat="false" ht="15" hidden="false" customHeight="true" outlineLevel="0" collapsed="false">
      <c r="A41" s="17" t="s">
        <v>1116</v>
      </c>
      <c r="B41" s="17" t="s">
        <v>1281</v>
      </c>
      <c r="C41" s="17" t="s">
        <v>874</v>
      </c>
      <c r="D41" s="17" t="s">
        <v>1583</v>
      </c>
      <c r="E41" s="22" t="s">
        <v>1564</v>
      </c>
      <c r="F41" s="23" t="s">
        <v>136</v>
      </c>
      <c r="G41" s="23" t="s">
        <v>136</v>
      </c>
      <c r="H41" s="23" t="s">
        <v>136</v>
      </c>
      <c r="I41" s="23" t="s">
        <v>136</v>
      </c>
      <c r="J41" s="23" t="s">
        <v>136</v>
      </c>
      <c r="K41" s="23" t="s">
        <v>136</v>
      </c>
      <c r="L41" s="23" t="s">
        <v>136</v>
      </c>
      <c r="M41" s="24" t="s">
        <v>1731</v>
      </c>
      <c r="N41" s="24" t="s">
        <v>1732</v>
      </c>
      <c r="O41" s="24" t="s">
        <v>1733</v>
      </c>
      <c r="P41" s="25" t="s">
        <v>39</v>
      </c>
      <c r="Q41" s="24" t="s">
        <v>1734</v>
      </c>
      <c r="R41" s="24" t="s">
        <v>1588</v>
      </c>
    </row>
    <row r="42" customFormat="false" ht="15" hidden="false" customHeight="true" outlineLevel="0" collapsed="false">
      <c r="A42" s="17" t="s">
        <v>1116</v>
      </c>
      <c r="B42" s="17" t="s">
        <v>646</v>
      </c>
      <c r="C42" s="17" t="s">
        <v>637</v>
      </c>
      <c r="D42" s="17" t="s">
        <v>1583</v>
      </c>
      <c r="E42" s="22" t="s">
        <v>1564</v>
      </c>
      <c r="F42" s="23" t="s">
        <v>136</v>
      </c>
      <c r="G42" s="23" t="s">
        <v>136</v>
      </c>
      <c r="H42" s="23" t="s">
        <v>136</v>
      </c>
      <c r="I42" s="23" t="s">
        <v>136</v>
      </c>
      <c r="J42" s="23" t="s">
        <v>136</v>
      </c>
      <c r="K42" s="23" t="s">
        <v>136</v>
      </c>
      <c r="L42" s="23" t="s">
        <v>136</v>
      </c>
      <c r="M42" s="24" t="s">
        <v>1735</v>
      </c>
      <c r="N42" s="24" t="s">
        <v>1736</v>
      </c>
      <c r="O42" s="25" t="s">
        <v>1737</v>
      </c>
      <c r="P42" s="25" t="s">
        <v>39</v>
      </c>
      <c r="Q42" s="24" t="s">
        <v>1738</v>
      </c>
      <c r="R42" s="24" t="s">
        <v>1588</v>
      </c>
    </row>
    <row r="43" customFormat="false" ht="219.75" hidden="false" customHeight="true" outlineLevel="0" collapsed="false">
      <c r="A43" s="17" t="s">
        <v>1119</v>
      </c>
      <c r="B43" s="17" t="s">
        <v>409</v>
      </c>
      <c r="C43" s="17" t="s">
        <v>403</v>
      </c>
      <c r="D43" s="17" t="s">
        <v>1583</v>
      </c>
      <c r="E43" s="22" t="s">
        <v>1739</v>
      </c>
      <c r="F43" s="23" t="s">
        <v>1740</v>
      </c>
      <c r="G43" s="22" t="s">
        <v>1741</v>
      </c>
      <c r="H43" s="22" t="s">
        <v>1742</v>
      </c>
      <c r="I43" s="22" t="s">
        <v>1743</v>
      </c>
      <c r="J43" s="22" t="s">
        <v>1744</v>
      </c>
      <c r="K43" s="23" t="s">
        <v>1745</v>
      </c>
      <c r="L43" s="22" t="s">
        <v>1746</v>
      </c>
      <c r="M43" s="24" t="s">
        <v>1747</v>
      </c>
      <c r="N43" s="24" t="s">
        <v>1748</v>
      </c>
      <c r="O43" s="24" t="s">
        <v>1749</v>
      </c>
      <c r="P43" s="24" t="s">
        <v>1581</v>
      </c>
      <c r="Q43" s="24" t="s">
        <v>1582</v>
      </c>
      <c r="R43" s="24" t="s">
        <v>1750</v>
      </c>
    </row>
    <row r="44" customFormat="false" ht="219.75" hidden="false" customHeight="true" outlineLevel="0" collapsed="false">
      <c r="A44" s="17" t="s">
        <v>1119</v>
      </c>
      <c r="B44" s="17" t="s">
        <v>1174</v>
      </c>
      <c r="C44" s="17" t="s">
        <v>395</v>
      </c>
      <c r="D44" s="17" t="s">
        <v>1583</v>
      </c>
      <c r="E44" s="22" t="s">
        <v>1751</v>
      </c>
      <c r="F44" s="23" t="s">
        <v>1752</v>
      </c>
      <c r="G44" s="22" t="s">
        <v>1753</v>
      </c>
      <c r="H44" s="22" t="s">
        <v>1754</v>
      </c>
      <c r="I44" s="22" t="s">
        <v>1755</v>
      </c>
      <c r="J44" s="22" t="s">
        <v>1756</v>
      </c>
      <c r="K44" s="23" t="s">
        <v>1745</v>
      </c>
      <c r="L44" s="22" t="s">
        <v>1746</v>
      </c>
      <c r="M44" s="24" t="s">
        <v>1757</v>
      </c>
      <c r="N44" s="24" t="s">
        <v>1758</v>
      </c>
      <c r="O44" s="24" t="s">
        <v>1759</v>
      </c>
      <c r="P44" s="24" t="s">
        <v>1581</v>
      </c>
      <c r="Q44" s="24" t="s">
        <v>1760</v>
      </c>
      <c r="R44" s="24" t="s">
        <v>1750</v>
      </c>
    </row>
    <row r="45" customFormat="false" ht="219.75" hidden="false" customHeight="true" outlineLevel="0" collapsed="false">
      <c r="A45" s="17" t="s">
        <v>1119</v>
      </c>
      <c r="B45" s="17" t="s">
        <v>1226</v>
      </c>
      <c r="C45" s="17" t="s">
        <v>995</v>
      </c>
      <c r="D45" s="17" t="s">
        <v>1583</v>
      </c>
      <c r="E45" s="22" t="s">
        <v>1761</v>
      </c>
      <c r="F45" s="23" t="s">
        <v>1762</v>
      </c>
      <c r="G45" s="23" t="s">
        <v>1763</v>
      </c>
      <c r="H45" s="22" t="s">
        <v>1764</v>
      </c>
      <c r="I45" s="22" t="s">
        <v>1765</v>
      </c>
      <c r="J45" s="22" t="s">
        <v>1766</v>
      </c>
      <c r="K45" s="23" t="s">
        <v>1745</v>
      </c>
      <c r="L45" s="22" t="s">
        <v>1746</v>
      </c>
      <c r="M45" s="24" t="s">
        <v>1767</v>
      </c>
      <c r="N45" s="24" t="s">
        <v>1768</v>
      </c>
      <c r="O45" s="25" t="s">
        <v>1769</v>
      </c>
      <c r="P45" s="24" t="s">
        <v>1581</v>
      </c>
      <c r="Q45" s="24" t="s">
        <v>1770</v>
      </c>
      <c r="R45" s="24" t="s">
        <v>1750</v>
      </c>
    </row>
    <row r="46" customFormat="false" ht="219.75" hidden="false" customHeight="true" outlineLevel="0" collapsed="false">
      <c r="A46" s="17" t="s">
        <v>1119</v>
      </c>
      <c r="B46" s="17" t="s">
        <v>1221</v>
      </c>
      <c r="C46" s="17" t="s">
        <v>608</v>
      </c>
      <c r="D46" s="17" t="s">
        <v>1583</v>
      </c>
      <c r="E46" s="22" t="s">
        <v>1771</v>
      </c>
      <c r="F46" s="23" t="s">
        <v>1772</v>
      </c>
      <c r="G46" s="23" t="s">
        <v>1773</v>
      </c>
      <c r="H46" s="22" t="s">
        <v>1774</v>
      </c>
      <c r="I46" s="22" t="s">
        <v>1775</v>
      </c>
      <c r="J46" s="22" t="s">
        <v>1776</v>
      </c>
      <c r="K46" s="23" t="s">
        <v>1745</v>
      </c>
      <c r="L46" s="22" t="s">
        <v>1746</v>
      </c>
      <c r="M46" s="24" t="s">
        <v>1777</v>
      </c>
      <c r="N46" s="24" t="s">
        <v>1778</v>
      </c>
      <c r="O46" s="25" t="s">
        <v>1779</v>
      </c>
      <c r="P46" s="24" t="s">
        <v>51</v>
      </c>
      <c r="Q46" s="24" t="s">
        <v>1780</v>
      </c>
      <c r="R46" s="24" t="s">
        <v>1750</v>
      </c>
    </row>
    <row r="47" customFormat="false" ht="219.75" hidden="false" customHeight="true" outlineLevel="0" collapsed="false">
      <c r="A47" s="17" t="s">
        <v>1119</v>
      </c>
      <c r="B47" s="17" t="s">
        <v>527</v>
      </c>
      <c r="C47" s="17" t="s">
        <v>520</v>
      </c>
      <c r="D47" s="17" t="s">
        <v>1583</v>
      </c>
      <c r="E47" s="22" t="s">
        <v>1781</v>
      </c>
      <c r="F47" s="23" t="s">
        <v>1782</v>
      </c>
      <c r="G47" s="22" t="s">
        <v>1783</v>
      </c>
      <c r="H47" s="23" t="s">
        <v>1784</v>
      </c>
      <c r="I47" s="23" t="s">
        <v>1785</v>
      </c>
      <c r="J47" s="22" t="s">
        <v>1786</v>
      </c>
      <c r="K47" s="23" t="s">
        <v>1745</v>
      </c>
      <c r="L47" s="22" t="s">
        <v>1746</v>
      </c>
      <c r="M47" s="24" t="s">
        <v>1787</v>
      </c>
      <c r="N47" s="24" t="s">
        <v>1788</v>
      </c>
      <c r="O47" s="25" t="s">
        <v>1789</v>
      </c>
      <c r="P47" s="24" t="s">
        <v>1581</v>
      </c>
      <c r="Q47" s="24" t="s">
        <v>1582</v>
      </c>
      <c r="R47" s="24" t="s">
        <v>1750</v>
      </c>
    </row>
    <row r="48" customFormat="false" ht="219.75" hidden="false" customHeight="true" outlineLevel="0" collapsed="false">
      <c r="A48" s="17" t="s">
        <v>1119</v>
      </c>
      <c r="B48" s="17" t="s">
        <v>1204</v>
      </c>
      <c r="C48" s="17" t="s">
        <v>599</v>
      </c>
      <c r="D48" s="17" t="s">
        <v>1583</v>
      </c>
      <c r="E48" s="22" t="s">
        <v>1790</v>
      </c>
      <c r="F48" s="23" t="s">
        <v>1791</v>
      </c>
      <c r="G48" s="22" t="s">
        <v>1792</v>
      </c>
      <c r="H48" s="23" t="s">
        <v>1793</v>
      </c>
      <c r="I48" s="22" t="s">
        <v>1794</v>
      </c>
      <c r="J48" s="22" t="s">
        <v>1795</v>
      </c>
      <c r="K48" s="23" t="s">
        <v>1745</v>
      </c>
      <c r="L48" s="22" t="s">
        <v>1746</v>
      </c>
      <c r="M48" s="24" t="s">
        <v>1796</v>
      </c>
      <c r="N48" s="24" t="s">
        <v>1797</v>
      </c>
      <c r="O48" s="24" t="s">
        <v>1798</v>
      </c>
      <c r="P48" s="24" t="s">
        <v>1581</v>
      </c>
      <c r="Q48" s="24" t="s">
        <v>1799</v>
      </c>
      <c r="R48" s="24" t="s">
        <v>1750</v>
      </c>
    </row>
    <row r="49" customFormat="false" ht="219.75" hidden="false" customHeight="true" outlineLevel="0" collapsed="false">
      <c r="A49" s="17" t="s">
        <v>1119</v>
      </c>
      <c r="B49" s="17" t="s">
        <v>1210</v>
      </c>
      <c r="C49" s="17" t="s">
        <v>599</v>
      </c>
      <c r="D49" s="17" t="s">
        <v>1583</v>
      </c>
      <c r="E49" s="22" t="s">
        <v>1800</v>
      </c>
      <c r="F49" s="23" t="s">
        <v>1801</v>
      </c>
      <c r="G49" s="23" t="s">
        <v>1802</v>
      </c>
      <c r="H49" s="22" t="s">
        <v>1803</v>
      </c>
      <c r="I49" s="23" t="s">
        <v>1804</v>
      </c>
      <c r="J49" s="22" t="s">
        <v>1805</v>
      </c>
      <c r="K49" s="23" t="s">
        <v>1745</v>
      </c>
      <c r="L49" s="22" t="s">
        <v>1746</v>
      </c>
      <c r="M49" s="24" t="s">
        <v>1806</v>
      </c>
      <c r="N49" s="24" t="s">
        <v>1807</v>
      </c>
      <c r="O49" s="24" t="s">
        <v>1808</v>
      </c>
      <c r="P49" s="24" t="s">
        <v>1581</v>
      </c>
      <c r="Q49" s="24" t="s">
        <v>1809</v>
      </c>
      <c r="R49" s="24" t="s">
        <v>1750</v>
      </c>
    </row>
    <row r="50" customFormat="false" ht="219.75" hidden="false" customHeight="true" outlineLevel="0" collapsed="false">
      <c r="A50" s="17" t="s">
        <v>1119</v>
      </c>
      <c r="B50" s="17" t="s">
        <v>1216</v>
      </c>
      <c r="C50" s="17" t="s">
        <v>608</v>
      </c>
      <c r="D50" s="17" t="s">
        <v>1583</v>
      </c>
      <c r="E50" s="22" t="s">
        <v>1810</v>
      </c>
      <c r="F50" s="23" t="s">
        <v>1811</v>
      </c>
      <c r="G50" s="23" t="s">
        <v>1812</v>
      </c>
      <c r="H50" s="23" t="s">
        <v>1813</v>
      </c>
      <c r="I50" s="22" t="s">
        <v>1814</v>
      </c>
      <c r="J50" s="22" t="s">
        <v>1815</v>
      </c>
      <c r="K50" s="23" t="s">
        <v>1745</v>
      </c>
      <c r="L50" s="22" t="s">
        <v>1746</v>
      </c>
      <c r="M50" s="24" t="s">
        <v>1816</v>
      </c>
      <c r="N50" s="24" t="s">
        <v>1817</v>
      </c>
      <c r="O50" s="25" t="s">
        <v>1818</v>
      </c>
      <c r="P50" s="24" t="s">
        <v>1581</v>
      </c>
      <c r="Q50" s="24" t="s">
        <v>1582</v>
      </c>
      <c r="R50" s="24" t="s">
        <v>1750</v>
      </c>
    </row>
    <row r="51" customFormat="false" ht="219.75" hidden="false" customHeight="true" outlineLevel="0" collapsed="false">
      <c r="A51" s="17" t="s">
        <v>1119</v>
      </c>
      <c r="B51" s="17" t="s">
        <v>1240</v>
      </c>
      <c r="C51" s="17" t="s">
        <v>1027</v>
      </c>
      <c r="D51" s="17" t="s">
        <v>1583</v>
      </c>
      <c r="E51" s="22" t="s">
        <v>1819</v>
      </c>
      <c r="F51" s="23" t="s">
        <v>1820</v>
      </c>
      <c r="G51" s="23" t="s">
        <v>1821</v>
      </c>
      <c r="H51" s="23" t="s">
        <v>1822</v>
      </c>
      <c r="I51" s="22" t="s">
        <v>1823</v>
      </c>
      <c r="J51" s="22" t="s">
        <v>1824</v>
      </c>
      <c r="K51" s="23" t="s">
        <v>1745</v>
      </c>
      <c r="L51" s="22" t="s">
        <v>1746</v>
      </c>
      <c r="M51" s="24" t="s">
        <v>1825</v>
      </c>
      <c r="N51" s="24" t="s">
        <v>1826</v>
      </c>
      <c r="O51" s="24" t="s">
        <v>1827</v>
      </c>
      <c r="P51" s="24" t="s">
        <v>1581</v>
      </c>
      <c r="Q51" s="24" t="s">
        <v>1828</v>
      </c>
      <c r="R51" s="24" t="s">
        <v>1750</v>
      </c>
    </row>
    <row r="52" customFormat="false" ht="219.75" hidden="false" customHeight="true" outlineLevel="0" collapsed="false">
      <c r="A52" s="17" t="s">
        <v>1119</v>
      </c>
      <c r="B52" s="17" t="s">
        <v>1245</v>
      </c>
      <c r="C52" s="17" t="s">
        <v>1027</v>
      </c>
      <c r="D52" s="17" t="s">
        <v>1583</v>
      </c>
      <c r="E52" s="22" t="s">
        <v>1829</v>
      </c>
      <c r="F52" s="23" t="s">
        <v>1830</v>
      </c>
      <c r="G52" s="23" t="s">
        <v>1831</v>
      </c>
      <c r="H52" s="22" t="s">
        <v>1832</v>
      </c>
      <c r="I52" s="22" t="s">
        <v>1833</v>
      </c>
      <c r="J52" s="23" t="s">
        <v>1834</v>
      </c>
      <c r="K52" s="23" t="s">
        <v>1745</v>
      </c>
      <c r="L52" s="22" t="s">
        <v>1746</v>
      </c>
      <c r="M52" s="24" t="s">
        <v>1835</v>
      </c>
      <c r="N52" s="24" t="s">
        <v>1836</v>
      </c>
      <c r="O52" s="25" t="s">
        <v>1837</v>
      </c>
      <c r="P52" s="24" t="s">
        <v>1581</v>
      </c>
      <c r="Q52" s="24" t="s">
        <v>1582</v>
      </c>
      <c r="R52" s="24" t="s">
        <v>1750</v>
      </c>
    </row>
    <row r="53" customFormat="false" ht="219.75" hidden="false" customHeight="true" outlineLevel="0" collapsed="false">
      <c r="A53" s="17" t="s">
        <v>1119</v>
      </c>
      <c r="B53" s="17" t="s">
        <v>1041</v>
      </c>
      <c r="C53" s="17" t="s">
        <v>1036</v>
      </c>
      <c r="D53" s="17" t="s">
        <v>1583</v>
      </c>
      <c r="E53" s="22" t="s">
        <v>1829</v>
      </c>
      <c r="F53" s="23" t="s">
        <v>1838</v>
      </c>
      <c r="G53" s="23" t="s">
        <v>1839</v>
      </c>
      <c r="H53" s="23" t="s">
        <v>1840</v>
      </c>
      <c r="I53" s="22" t="s">
        <v>1841</v>
      </c>
      <c r="J53" s="23" t="s">
        <v>1842</v>
      </c>
      <c r="K53" s="23" t="s">
        <v>1745</v>
      </c>
      <c r="L53" s="22" t="s">
        <v>1746</v>
      </c>
      <c r="M53" s="24" t="s">
        <v>1843</v>
      </c>
      <c r="N53" s="24" t="s">
        <v>1844</v>
      </c>
      <c r="O53" s="24" t="s">
        <v>1845</v>
      </c>
      <c r="P53" s="24" t="s">
        <v>1581</v>
      </c>
      <c r="Q53" s="24" t="s">
        <v>1582</v>
      </c>
      <c r="R53" s="24" t="s">
        <v>1750</v>
      </c>
    </row>
    <row r="54" customFormat="false" ht="219.75" hidden="false" customHeight="true" outlineLevel="0" collapsed="false">
      <c r="A54" s="17" t="s">
        <v>1119</v>
      </c>
      <c r="B54" s="17" t="s">
        <v>978</v>
      </c>
      <c r="C54" s="17" t="s">
        <v>972</v>
      </c>
      <c r="D54" s="17" t="s">
        <v>1583</v>
      </c>
      <c r="E54" s="22" t="s">
        <v>1846</v>
      </c>
      <c r="F54" s="23" t="s">
        <v>1847</v>
      </c>
      <c r="G54" s="23" t="s">
        <v>1848</v>
      </c>
      <c r="H54" s="22" t="s">
        <v>1849</v>
      </c>
      <c r="I54" s="22" t="s">
        <v>1850</v>
      </c>
      <c r="J54" s="22" t="s">
        <v>1851</v>
      </c>
      <c r="K54" s="23" t="s">
        <v>1745</v>
      </c>
      <c r="L54" s="22" t="s">
        <v>1746</v>
      </c>
      <c r="M54" s="24" t="s">
        <v>1852</v>
      </c>
      <c r="N54" s="24" t="s">
        <v>1853</v>
      </c>
      <c r="O54" s="24" t="s">
        <v>1854</v>
      </c>
      <c r="P54" s="24" t="s">
        <v>1581</v>
      </c>
      <c r="Q54" s="24" t="s">
        <v>1582</v>
      </c>
      <c r="R54" s="24" t="s">
        <v>1750</v>
      </c>
    </row>
    <row r="55" customFormat="false" ht="219.75" hidden="false" customHeight="true" outlineLevel="0" collapsed="false">
      <c r="A55" s="17" t="s">
        <v>1119</v>
      </c>
      <c r="B55" s="17" t="s">
        <v>1056</v>
      </c>
      <c r="C55" s="17" t="s">
        <v>1050</v>
      </c>
      <c r="D55" s="17" t="s">
        <v>1583</v>
      </c>
      <c r="E55" s="22" t="s">
        <v>1855</v>
      </c>
      <c r="F55" s="23" t="s">
        <v>1856</v>
      </c>
      <c r="G55" s="23" t="s">
        <v>1857</v>
      </c>
      <c r="H55" s="23" t="s">
        <v>1858</v>
      </c>
      <c r="I55" s="22" t="s">
        <v>1859</v>
      </c>
      <c r="J55" s="22" t="s">
        <v>1860</v>
      </c>
      <c r="K55" s="23" t="s">
        <v>1745</v>
      </c>
      <c r="L55" s="22" t="s">
        <v>1746</v>
      </c>
      <c r="M55" s="24" t="s">
        <v>1861</v>
      </c>
      <c r="N55" s="24" t="s">
        <v>1862</v>
      </c>
      <c r="O55" s="24" t="s">
        <v>1863</v>
      </c>
      <c r="P55" s="24" t="s">
        <v>1581</v>
      </c>
      <c r="Q55" s="25" t="s">
        <v>1864</v>
      </c>
      <c r="R55" s="24" t="s">
        <v>1750</v>
      </c>
    </row>
    <row r="56" customFormat="false" ht="219.75" hidden="false" customHeight="true" outlineLevel="0" collapsed="false">
      <c r="A56" s="17" t="s">
        <v>1119</v>
      </c>
      <c r="B56" s="17" t="s">
        <v>986</v>
      </c>
      <c r="C56" s="17" t="s">
        <v>980</v>
      </c>
      <c r="D56" s="17" t="s">
        <v>1583</v>
      </c>
      <c r="E56" s="22" t="s">
        <v>1865</v>
      </c>
      <c r="F56" s="23" t="s">
        <v>1866</v>
      </c>
      <c r="G56" s="23" t="s">
        <v>1867</v>
      </c>
      <c r="H56" s="23" t="s">
        <v>1868</v>
      </c>
      <c r="I56" s="23" t="s">
        <v>1869</v>
      </c>
      <c r="J56" s="22" t="s">
        <v>1870</v>
      </c>
      <c r="K56" s="23" t="s">
        <v>1745</v>
      </c>
      <c r="L56" s="22" t="s">
        <v>1746</v>
      </c>
      <c r="M56" s="24" t="s">
        <v>1871</v>
      </c>
      <c r="N56" s="24" t="s">
        <v>1872</v>
      </c>
      <c r="O56" s="25" t="s">
        <v>1873</v>
      </c>
      <c r="P56" s="24" t="s">
        <v>1581</v>
      </c>
      <c r="Q56" s="24" t="s">
        <v>1874</v>
      </c>
      <c r="R56" s="24" t="s">
        <v>1750</v>
      </c>
    </row>
    <row r="57" customFormat="false" ht="219.75" hidden="false" customHeight="true" outlineLevel="0" collapsed="false">
      <c r="A57" s="17" t="s">
        <v>1119</v>
      </c>
      <c r="B57" s="17" t="s">
        <v>1199</v>
      </c>
      <c r="C57" s="17" t="s">
        <v>1658</v>
      </c>
      <c r="D57" s="17" t="s">
        <v>1583</v>
      </c>
      <c r="E57" s="22" t="s">
        <v>1875</v>
      </c>
      <c r="F57" s="23" t="s">
        <v>1876</v>
      </c>
      <c r="G57" s="22" t="s">
        <v>1877</v>
      </c>
      <c r="H57" s="22" t="s">
        <v>1878</v>
      </c>
      <c r="I57" s="23" t="s">
        <v>1879</v>
      </c>
      <c r="J57" s="22" t="s">
        <v>1880</v>
      </c>
      <c r="K57" s="23" t="s">
        <v>1745</v>
      </c>
      <c r="L57" s="22" t="s">
        <v>1746</v>
      </c>
      <c r="M57" s="24" t="s">
        <v>1881</v>
      </c>
      <c r="N57" s="24" t="s">
        <v>1882</v>
      </c>
      <c r="O57" s="24" t="s">
        <v>1883</v>
      </c>
      <c r="P57" s="24" t="s">
        <v>1581</v>
      </c>
      <c r="Q57" s="24" t="s">
        <v>1582</v>
      </c>
      <c r="R57" s="24" t="s">
        <v>1750</v>
      </c>
    </row>
    <row r="58" customFormat="false" ht="219.75" hidden="false" customHeight="true" outlineLevel="0" collapsed="false">
      <c r="A58" s="17" t="s">
        <v>1119</v>
      </c>
      <c r="B58" s="17" t="s">
        <v>770</v>
      </c>
      <c r="C58" s="17" t="s">
        <v>763</v>
      </c>
      <c r="D58" s="17" t="s">
        <v>1583</v>
      </c>
      <c r="E58" s="22" t="s">
        <v>1829</v>
      </c>
      <c r="F58" s="23" t="s">
        <v>1884</v>
      </c>
      <c r="G58" s="23" t="s">
        <v>1885</v>
      </c>
      <c r="H58" s="22" t="s">
        <v>1886</v>
      </c>
      <c r="I58" s="22" t="s">
        <v>1887</v>
      </c>
      <c r="J58" s="23" t="s">
        <v>1888</v>
      </c>
      <c r="K58" s="23" t="s">
        <v>1745</v>
      </c>
      <c r="L58" s="22" t="s">
        <v>1746</v>
      </c>
      <c r="M58" s="24" t="s">
        <v>1889</v>
      </c>
      <c r="N58" s="24" t="s">
        <v>1890</v>
      </c>
      <c r="O58" s="24" t="s">
        <v>1891</v>
      </c>
      <c r="P58" s="24" t="s">
        <v>1581</v>
      </c>
      <c r="Q58" s="24" t="s">
        <v>1582</v>
      </c>
      <c r="R58" s="24" t="s">
        <v>1750</v>
      </c>
    </row>
    <row r="59" customFormat="false" ht="219.75" hidden="false" customHeight="true" outlineLevel="0" collapsed="false">
      <c r="A59" s="17" t="s">
        <v>1119</v>
      </c>
      <c r="B59" s="17" t="s">
        <v>777</v>
      </c>
      <c r="C59" s="17" t="s">
        <v>772</v>
      </c>
      <c r="D59" s="17" t="s">
        <v>1583</v>
      </c>
      <c r="E59" s="22" t="s">
        <v>1829</v>
      </c>
      <c r="F59" s="23" t="s">
        <v>1892</v>
      </c>
      <c r="G59" s="22" t="s">
        <v>1893</v>
      </c>
      <c r="H59" s="23" t="s">
        <v>1894</v>
      </c>
      <c r="I59" s="22" t="s">
        <v>1895</v>
      </c>
      <c r="J59" s="22" t="s">
        <v>1896</v>
      </c>
      <c r="K59" s="23" t="s">
        <v>1745</v>
      </c>
      <c r="L59" s="22" t="s">
        <v>1746</v>
      </c>
      <c r="M59" s="24" t="s">
        <v>1897</v>
      </c>
      <c r="N59" s="24" t="s">
        <v>1898</v>
      </c>
      <c r="O59" s="24" t="s">
        <v>1899</v>
      </c>
      <c r="P59" s="24" t="s">
        <v>1581</v>
      </c>
      <c r="Q59" s="24" t="s">
        <v>1582</v>
      </c>
      <c r="R59" s="24" t="s">
        <v>1750</v>
      </c>
    </row>
    <row r="60" customFormat="false" ht="219.75" hidden="false" customHeight="true" outlineLevel="0" collapsed="false">
      <c r="A60" s="17" t="s">
        <v>1119</v>
      </c>
      <c r="B60" s="17" t="s">
        <v>160</v>
      </c>
      <c r="C60" s="17" t="s">
        <v>153</v>
      </c>
      <c r="D60" s="17" t="s">
        <v>1583</v>
      </c>
      <c r="E60" s="22" t="s">
        <v>1900</v>
      </c>
      <c r="F60" s="23" t="s">
        <v>1901</v>
      </c>
      <c r="G60" s="22" t="s">
        <v>1902</v>
      </c>
      <c r="H60" s="23" t="s">
        <v>1903</v>
      </c>
      <c r="I60" s="23" t="s">
        <v>1904</v>
      </c>
      <c r="J60" s="22" t="s">
        <v>1905</v>
      </c>
      <c r="K60" s="23" t="s">
        <v>1745</v>
      </c>
      <c r="L60" s="22" t="s">
        <v>1746</v>
      </c>
      <c r="M60" s="24" t="s">
        <v>1906</v>
      </c>
      <c r="N60" s="24" t="s">
        <v>1907</v>
      </c>
      <c r="O60" s="24" t="s">
        <v>1908</v>
      </c>
      <c r="P60" s="24" t="s">
        <v>1581</v>
      </c>
      <c r="Q60" s="24" t="s">
        <v>1582</v>
      </c>
      <c r="R60" s="24" t="s">
        <v>1750</v>
      </c>
    </row>
    <row r="61" customFormat="false" ht="219.75" hidden="false" customHeight="true" outlineLevel="0" collapsed="false">
      <c r="A61" s="17" t="s">
        <v>1119</v>
      </c>
      <c r="B61" s="17" t="s">
        <v>185</v>
      </c>
      <c r="C61" s="17" t="s">
        <v>1909</v>
      </c>
      <c r="D61" s="17" t="s">
        <v>1583</v>
      </c>
      <c r="E61" s="22" t="s">
        <v>1910</v>
      </c>
      <c r="F61" s="23" t="s">
        <v>1911</v>
      </c>
      <c r="G61" s="23" t="s">
        <v>1912</v>
      </c>
      <c r="H61" s="22" t="s">
        <v>1913</v>
      </c>
      <c r="I61" s="22" t="s">
        <v>1914</v>
      </c>
      <c r="J61" s="22" t="s">
        <v>1915</v>
      </c>
      <c r="K61" s="23" t="s">
        <v>1745</v>
      </c>
      <c r="L61" s="22" t="s">
        <v>1746</v>
      </c>
      <c r="M61" s="24" t="s">
        <v>1916</v>
      </c>
      <c r="N61" s="24" t="s">
        <v>1917</v>
      </c>
      <c r="O61" s="24" t="s">
        <v>1918</v>
      </c>
      <c r="P61" s="24" t="s">
        <v>1581</v>
      </c>
      <c r="Q61" s="24" t="s">
        <v>1582</v>
      </c>
      <c r="R61" s="24" t="s">
        <v>1750</v>
      </c>
    </row>
    <row r="62" customFormat="false" ht="219.75" hidden="false" customHeight="true" outlineLevel="0" collapsed="false">
      <c r="A62" s="17" t="s">
        <v>1119</v>
      </c>
      <c r="B62" s="17" t="s">
        <v>268</v>
      </c>
      <c r="C62" s="17" t="s">
        <v>261</v>
      </c>
      <c r="D62" s="17" t="s">
        <v>1583</v>
      </c>
      <c r="E62" s="22" t="s">
        <v>1919</v>
      </c>
      <c r="F62" s="23" t="s">
        <v>1920</v>
      </c>
      <c r="G62" s="22" t="s">
        <v>1921</v>
      </c>
      <c r="H62" s="22" t="s">
        <v>1922</v>
      </c>
      <c r="I62" s="22" t="s">
        <v>1923</v>
      </c>
      <c r="J62" s="22" t="s">
        <v>1924</v>
      </c>
      <c r="K62" s="23" t="s">
        <v>1745</v>
      </c>
      <c r="L62" s="22" t="s">
        <v>1746</v>
      </c>
      <c r="M62" s="24" t="s">
        <v>1925</v>
      </c>
      <c r="N62" s="24" t="s">
        <v>1926</v>
      </c>
      <c r="O62" s="24" t="s">
        <v>1927</v>
      </c>
      <c r="P62" s="24" t="s">
        <v>1581</v>
      </c>
      <c r="Q62" s="24" t="s">
        <v>1582</v>
      </c>
      <c r="R62" s="24" t="s">
        <v>1750</v>
      </c>
    </row>
    <row r="63" customFormat="false" ht="219.75" hidden="false" customHeight="true" outlineLevel="0" collapsed="false">
      <c r="A63" s="17" t="s">
        <v>1119</v>
      </c>
      <c r="B63" s="17" t="s">
        <v>1179</v>
      </c>
      <c r="C63" s="17" t="s">
        <v>412</v>
      </c>
      <c r="D63" s="17" t="s">
        <v>1583</v>
      </c>
      <c r="E63" s="22" t="s">
        <v>1829</v>
      </c>
      <c r="F63" s="23" t="s">
        <v>1928</v>
      </c>
      <c r="G63" s="23" t="s">
        <v>1929</v>
      </c>
      <c r="H63" s="23" t="s">
        <v>1930</v>
      </c>
      <c r="I63" s="22" t="s">
        <v>1931</v>
      </c>
      <c r="J63" s="22" t="s">
        <v>1932</v>
      </c>
      <c r="K63" s="23" t="s">
        <v>1745</v>
      </c>
      <c r="L63" s="22" t="s">
        <v>1746</v>
      </c>
      <c r="M63" s="24" t="s">
        <v>1933</v>
      </c>
      <c r="N63" s="24" t="s">
        <v>1934</v>
      </c>
      <c r="O63" s="25" t="s">
        <v>1935</v>
      </c>
      <c r="P63" s="24" t="s">
        <v>1581</v>
      </c>
      <c r="Q63" s="24" t="s">
        <v>1936</v>
      </c>
      <c r="R63" s="24" t="s">
        <v>1750</v>
      </c>
    </row>
    <row r="64" customFormat="false" ht="219.75" hidden="false" customHeight="true" outlineLevel="0" collapsed="false">
      <c r="A64" s="17" t="s">
        <v>1119</v>
      </c>
      <c r="B64" s="17" t="s">
        <v>446</v>
      </c>
      <c r="C64" s="17" t="s">
        <v>439</v>
      </c>
      <c r="D64" s="17" t="s">
        <v>1583</v>
      </c>
      <c r="E64" s="22" t="s">
        <v>1937</v>
      </c>
      <c r="F64" s="23" t="s">
        <v>1938</v>
      </c>
      <c r="G64" s="23" t="s">
        <v>1939</v>
      </c>
      <c r="H64" s="22" t="s">
        <v>1940</v>
      </c>
      <c r="I64" s="22" t="s">
        <v>1941</v>
      </c>
      <c r="J64" s="22" t="s">
        <v>1942</v>
      </c>
      <c r="K64" s="23" t="s">
        <v>1745</v>
      </c>
      <c r="L64" s="22" t="s">
        <v>1746</v>
      </c>
      <c r="M64" s="24" t="s">
        <v>1943</v>
      </c>
      <c r="N64" s="24" t="s">
        <v>1944</v>
      </c>
      <c r="O64" s="25" t="s">
        <v>1945</v>
      </c>
      <c r="P64" s="24" t="s">
        <v>1946</v>
      </c>
      <c r="Q64" s="24" t="s">
        <v>1947</v>
      </c>
      <c r="R64" s="24" t="s">
        <v>1750</v>
      </c>
    </row>
    <row r="65" customFormat="false" ht="219.75" hidden="false" customHeight="true" outlineLevel="0" collapsed="false">
      <c r="A65" s="17" t="s">
        <v>1119</v>
      </c>
      <c r="B65" s="17" t="s">
        <v>1124</v>
      </c>
      <c r="C65" s="17" t="s">
        <v>1089</v>
      </c>
      <c r="D65" s="17" t="s">
        <v>1583</v>
      </c>
      <c r="E65" s="22" t="s">
        <v>1948</v>
      </c>
      <c r="F65" s="23" t="s">
        <v>1949</v>
      </c>
      <c r="G65" s="22" t="s">
        <v>1950</v>
      </c>
      <c r="H65" s="22" t="s">
        <v>1951</v>
      </c>
      <c r="I65" s="22" t="s">
        <v>1952</v>
      </c>
      <c r="J65" s="22" t="s">
        <v>1953</v>
      </c>
      <c r="K65" s="23" t="s">
        <v>1745</v>
      </c>
      <c r="L65" s="22" t="s">
        <v>1746</v>
      </c>
      <c r="M65" s="24" t="s">
        <v>1954</v>
      </c>
      <c r="N65" s="24" t="s">
        <v>1955</v>
      </c>
      <c r="O65" s="25" t="s">
        <v>1956</v>
      </c>
      <c r="P65" s="24" t="s">
        <v>1581</v>
      </c>
      <c r="Q65" s="24" t="s">
        <v>1957</v>
      </c>
      <c r="R65" s="24" t="s">
        <v>1750</v>
      </c>
    </row>
    <row r="66" customFormat="false" ht="219.75" hidden="false" customHeight="true" outlineLevel="0" collapsed="false">
      <c r="A66" s="17" t="s">
        <v>1119</v>
      </c>
      <c r="B66" s="17" t="s">
        <v>1257</v>
      </c>
      <c r="C66" s="17" t="s">
        <v>1258</v>
      </c>
      <c r="D66" s="17" t="s">
        <v>1583</v>
      </c>
      <c r="E66" s="22" t="s">
        <v>1958</v>
      </c>
      <c r="F66" s="23" t="s">
        <v>1959</v>
      </c>
      <c r="G66" s="22" t="s">
        <v>1960</v>
      </c>
      <c r="H66" s="23" t="s">
        <v>1961</v>
      </c>
      <c r="I66" s="23" t="s">
        <v>1962</v>
      </c>
      <c r="J66" s="22" t="s">
        <v>1963</v>
      </c>
      <c r="K66" s="23" t="s">
        <v>1745</v>
      </c>
      <c r="L66" s="22" t="s">
        <v>1746</v>
      </c>
      <c r="M66" s="24" t="s">
        <v>1964</v>
      </c>
      <c r="N66" s="24" t="s">
        <v>1965</v>
      </c>
      <c r="O66" s="24" t="s">
        <v>1966</v>
      </c>
      <c r="P66" s="24" t="s">
        <v>1581</v>
      </c>
      <c r="Q66" s="24" t="s">
        <v>1582</v>
      </c>
      <c r="R66" s="24" t="s">
        <v>1750</v>
      </c>
    </row>
    <row r="67" customFormat="false" ht="219.75" hidden="false" customHeight="true" outlineLevel="0" collapsed="false">
      <c r="A67" s="17" t="s">
        <v>1119</v>
      </c>
      <c r="B67" s="17" t="s">
        <v>1262</v>
      </c>
      <c r="C67" s="17" t="s">
        <v>917</v>
      </c>
      <c r="D67" s="17" t="s">
        <v>1583</v>
      </c>
      <c r="E67" s="22" t="s">
        <v>1967</v>
      </c>
      <c r="F67" s="23" t="s">
        <v>1968</v>
      </c>
      <c r="G67" s="23" t="s">
        <v>1969</v>
      </c>
      <c r="H67" s="23" t="s">
        <v>1970</v>
      </c>
      <c r="I67" s="22" t="s">
        <v>1971</v>
      </c>
      <c r="J67" s="22" t="s">
        <v>1972</v>
      </c>
      <c r="K67" s="23" t="s">
        <v>1745</v>
      </c>
      <c r="L67" s="22" t="s">
        <v>1746</v>
      </c>
      <c r="M67" s="24" t="s">
        <v>1973</v>
      </c>
      <c r="N67" s="24" t="s">
        <v>1974</v>
      </c>
      <c r="O67" s="25" t="s">
        <v>1975</v>
      </c>
      <c r="P67" s="24" t="s">
        <v>1581</v>
      </c>
      <c r="Q67" s="24" t="s">
        <v>1976</v>
      </c>
      <c r="R67" s="24" t="s">
        <v>1750</v>
      </c>
    </row>
    <row r="68" customFormat="false" ht="219.75" hidden="false" customHeight="true" outlineLevel="0" collapsed="false">
      <c r="A68" s="17" t="s">
        <v>1119</v>
      </c>
      <c r="B68" s="17" t="s">
        <v>761</v>
      </c>
      <c r="C68" s="17" t="s">
        <v>753</v>
      </c>
      <c r="D68" s="17" t="s">
        <v>1583</v>
      </c>
      <c r="E68" s="22" t="s">
        <v>1977</v>
      </c>
      <c r="F68" s="23" t="s">
        <v>1978</v>
      </c>
      <c r="G68" s="22" t="s">
        <v>1979</v>
      </c>
      <c r="H68" s="22" t="s">
        <v>1980</v>
      </c>
      <c r="I68" s="22" t="s">
        <v>1981</v>
      </c>
      <c r="J68" s="22" t="s">
        <v>1982</v>
      </c>
      <c r="K68" s="23" t="s">
        <v>1745</v>
      </c>
      <c r="L68" s="22" t="s">
        <v>1746</v>
      </c>
      <c r="M68" s="24" t="s">
        <v>1983</v>
      </c>
      <c r="N68" s="24" t="s">
        <v>1984</v>
      </c>
      <c r="O68" s="24" t="s">
        <v>1985</v>
      </c>
      <c r="P68" s="24" t="s">
        <v>1581</v>
      </c>
      <c r="Q68" s="24" t="s">
        <v>1582</v>
      </c>
      <c r="R68" s="24" t="s">
        <v>1750</v>
      </c>
    </row>
    <row r="69" customFormat="false" ht="219.75" hidden="false" customHeight="true" outlineLevel="0" collapsed="false">
      <c r="A69" s="17" t="s">
        <v>1119</v>
      </c>
      <c r="B69" s="17" t="s">
        <v>646</v>
      </c>
      <c r="C69" s="17" t="s">
        <v>637</v>
      </c>
      <c r="D69" s="17" t="s">
        <v>1583</v>
      </c>
      <c r="E69" s="22" t="s">
        <v>1986</v>
      </c>
      <c r="F69" s="23" t="s">
        <v>1987</v>
      </c>
      <c r="G69" s="22" t="s">
        <v>1988</v>
      </c>
      <c r="H69" s="23" t="s">
        <v>1989</v>
      </c>
      <c r="I69" s="22" t="s">
        <v>1990</v>
      </c>
      <c r="J69" s="22" t="s">
        <v>1991</v>
      </c>
      <c r="K69" s="23" t="s">
        <v>1745</v>
      </c>
      <c r="L69" s="22" t="s">
        <v>1746</v>
      </c>
      <c r="M69" s="24" t="s">
        <v>1992</v>
      </c>
      <c r="N69" s="24" t="s">
        <v>1993</v>
      </c>
      <c r="O69" s="25" t="s">
        <v>1994</v>
      </c>
      <c r="P69" s="24" t="s">
        <v>1581</v>
      </c>
      <c r="Q69" s="24" t="s">
        <v>1582</v>
      </c>
      <c r="R69" s="24" t="s">
        <v>1750</v>
      </c>
    </row>
    <row r="70" customFormat="false" ht="219.75" hidden="false" customHeight="true" outlineLevel="0" collapsed="false">
      <c r="A70" s="17" t="s">
        <v>1119</v>
      </c>
      <c r="B70" s="17" t="s">
        <v>1252</v>
      </c>
      <c r="C70" s="17" t="s">
        <v>917</v>
      </c>
      <c r="D70" s="17" t="s">
        <v>1583</v>
      </c>
      <c r="E70" s="22" t="s">
        <v>1995</v>
      </c>
      <c r="F70" s="23" t="s">
        <v>1996</v>
      </c>
      <c r="G70" s="23" t="s">
        <v>1997</v>
      </c>
      <c r="H70" s="23" t="s">
        <v>1998</v>
      </c>
      <c r="I70" s="22" t="s">
        <v>1999</v>
      </c>
      <c r="J70" s="22" t="s">
        <v>2000</v>
      </c>
      <c r="K70" s="23" t="s">
        <v>1745</v>
      </c>
      <c r="L70" s="22" t="s">
        <v>1746</v>
      </c>
      <c r="M70" s="24" t="s">
        <v>2001</v>
      </c>
      <c r="N70" s="24" t="s">
        <v>2002</v>
      </c>
      <c r="O70" s="24" t="s">
        <v>2003</v>
      </c>
      <c r="P70" s="24" t="s">
        <v>1581</v>
      </c>
      <c r="Q70" s="24" t="s">
        <v>2004</v>
      </c>
      <c r="R70" s="24" t="s">
        <v>1750</v>
      </c>
    </row>
    <row r="71" customFormat="false" ht="219.75" hidden="false" customHeight="true" outlineLevel="0" collapsed="false">
      <c r="A71" s="17" t="s">
        <v>1119</v>
      </c>
      <c r="B71" s="17" t="s">
        <v>1281</v>
      </c>
      <c r="C71" s="17" t="s">
        <v>874</v>
      </c>
      <c r="D71" s="17" t="s">
        <v>1583</v>
      </c>
      <c r="E71" s="22" t="s">
        <v>2005</v>
      </c>
      <c r="F71" s="23" t="s">
        <v>2006</v>
      </c>
      <c r="G71" s="23" t="s">
        <v>2007</v>
      </c>
      <c r="H71" s="22" t="s">
        <v>2008</v>
      </c>
      <c r="I71" s="22" t="s">
        <v>2009</v>
      </c>
      <c r="J71" s="22" t="s">
        <v>2010</v>
      </c>
      <c r="K71" s="23" t="s">
        <v>1745</v>
      </c>
      <c r="L71" s="22" t="s">
        <v>1746</v>
      </c>
      <c r="M71" s="24" t="s">
        <v>2011</v>
      </c>
      <c r="N71" s="24" t="s">
        <v>2012</v>
      </c>
      <c r="O71" s="24" t="s">
        <v>2013</v>
      </c>
      <c r="P71" s="24" t="s">
        <v>1581</v>
      </c>
      <c r="Q71" s="25" t="s">
        <v>2014</v>
      </c>
      <c r="R71" s="24" t="s">
        <v>1750</v>
      </c>
    </row>
    <row r="72" customFormat="false" ht="15" hidden="false" customHeight="true" outlineLevel="0" collapsed="false">
      <c r="A72" s="17" t="s">
        <v>1119</v>
      </c>
      <c r="B72" s="17" t="s">
        <v>855</v>
      </c>
      <c r="C72" s="17" t="s">
        <v>849</v>
      </c>
      <c r="D72" s="17" t="s">
        <v>2015</v>
      </c>
      <c r="E72" s="22" t="s">
        <v>2016</v>
      </c>
      <c r="F72" s="23" t="s">
        <v>136</v>
      </c>
      <c r="G72" s="23" t="s">
        <v>136</v>
      </c>
      <c r="H72" s="23" t="s">
        <v>136</v>
      </c>
      <c r="I72" s="23" t="s">
        <v>136</v>
      </c>
      <c r="J72" s="23" t="s">
        <v>136</v>
      </c>
      <c r="K72" s="23" t="s">
        <v>136</v>
      </c>
      <c r="L72" s="23" t="s">
        <v>136</v>
      </c>
      <c r="M72" s="24" t="s">
        <v>2017</v>
      </c>
      <c r="N72" s="24" t="s">
        <v>2018</v>
      </c>
      <c r="O72" s="24" t="s">
        <v>2019</v>
      </c>
      <c r="P72" s="25" t="s">
        <v>39</v>
      </c>
      <c r="Q72" s="24" t="s">
        <v>2020</v>
      </c>
      <c r="R72" s="24" t="s">
        <v>1750</v>
      </c>
    </row>
    <row r="73" customFormat="false" ht="15" hidden="false" customHeight="true" outlineLevel="0" collapsed="false">
      <c r="A73" s="17" t="s">
        <v>1119</v>
      </c>
      <c r="B73" s="17" t="s">
        <v>151</v>
      </c>
      <c r="C73" s="17" t="s">
        <v>142</v>
      </c>
      <c r="D73" s="17" t="s">
        <v>2015</v>
      </c>
      <c r="E73" s="22" t="s">
        <v>2016</v>
      </c>
      <c r="F73" s="23" t="s">
        <v>136</v>
      </c>
      <c r="G73" s="23" t="s">
        <v>136</v>
      </c>
      <c r="H73" s="23" t="s">
        <v>136</v>
      </c>
      <c r="I73" s="23" t="s">
        <v>136</v>
      </c>
      <c r="J73" s="23" t="s">
        <v>136</v>
      </c>
      <c r="K73" s="23" t="s">
        <v>136</v>
      </c>
      <c r="L73" s="23" t="s">
        <v>136</v>
      </c>
      <c r="M73" s="24" t="s">
        <v>2017</v>
      </c>
      <c r="N73" s="24" t="s">
        <v>2021</v>
      </c>
      <c r="O73" s="24" t="s">
        <v>2022</v>
      </c>
      <c r="P73" s="24" t="s">
        <v>1581</v>
      </c>
      <c r="Q73" s="24" t="s">
        <v>2023</v>
      </c>
      <c r="R73" s="24" t="s">
        <v>1750</v>
      </c>
    </row>
    <row r="74" customFormat="false" ht="15" hidden="false" customHeight="true" outlineLevel="0" collapsed="false">
      <c r="A74" s="17" t="s">
        <v>1119</v>
      </c>
      <c r="B74" s="17" t="s">
        <v>227</v>
      </c>
      <c r="C74" s="17" t="s">
        <v>220</v>
      </c>
      <c r="D74" s="17" t="s">
        <v>2015</v>
      </c>
      <c r="E74" s="22" t="s">
        <v>2016</v>
      </c>
      <c r="F74" s="23" t="s">
        <v>136</v>
      </c>
      <c r="G74" s="23" t="s">
        <v>136</v>
      </c>
      <c r="H74" s="23" t="s">
        <v>136</v>
      </c>
      <c r="I74" s="23" t="s">
        <v>136</v>
      </c>
      <c r="J74" s="23" t="s">
        <v>136</v>
      </c>
      <c r="K74" s="23" t="s">
        <v>136</v>
      </c>
      <c r="L74" s="23" t="s">
        <v>136</v>
      </c>
      <c r="M74" s="24" t="s">
        <v>2017</v>
      </c>
      <c r="N74" s="24" t="s">
        <v>2024</v>
      </c>
      <c r="O74" s="24" t="s">
        <v>2025</v>
      </c>
      <c r="P74" s="25" t="s">
        <v>39</v>
      </c>
      <c r="Q74" s="24" t="s">
        <v>2020</v>
      </c>
      <c r="R74" s="24" t="s">
        <v>1750</v>
      </c>
    </row>
    <row r="75" customFormat="false" ht="15" hidden="false" customHeight="true" outlineLevel="0" collapsed="false">
      <c r="A75" s="17" t="s">
        <v>1119</v>
      </c>
      <c r="B75" s="17" t="s">
        <v>1157</v>
      </c>
      <c r="C75" s="17" t="s">
        <v>387</v>
      </c>
      <c r="D75" s="17" t="s">
        <v>2015</v>
      </c>
      <c r="E75" s="22" t="s">
        <v>2016</v>
      </c>
      <c r="F75" s="23" t="s">
        <v>136</v>
      </c>
      <c r="G75" s="23" t="s">
        <v>136</v>
      </c>
      <c r="H75" s="23" t="s">
        <v>136</v>
      </c>
      <c r="I75" s="23" t="s">
        <v>136</v>
      </c>
      <c r="J75" s="23" t="s">
        <v>136</v>
      </c>
      <c r="K75" s="23" t="s">
        <v>136</v>
      </c>
      <c r="L75" s="23" t="s">
        <v>136</v>
      </c>
      <c r="M75" s="24" t="s">
        <v>2017</v>
      </c>
      <c r="N75" s="24" t="s">
        <v>2026</v>
      </c>
      <c r="O75" s="24" t="s">
        <v>2027</v>
      </c>
      <c r="P75" s="25" t="s">
        <v>39</v>
      </c>
      <c r="Q75" s="24" t="s">
        <v>2020</v>
      </c>
      <c r="R75" s="24" t="s">
        <v>1750</v>
      </c>
    </row>
    <row r="76" customFormat="false" ht="15" hidden="false" customHeight="true" outlineLevel="0" collapsed="false">
      <c r="A76" s="17" t="s">
        <v>1119</v>
      </c>
      <c r="B76" s="17" t="s">
        <v>346</v>
      </c>
      <c r="C76" s="17" t="s">
        <v>341</v>
      </c>
      <c r="D76" s="17" t="s">
        <v>2015</v>
      </c>
      <c r="E76" s="22" t="s">
        <v>2016</v>
      </c>
      <c r="F76" s="23" t="s">
        <v>136</v>
      </c>
      <c r="G76" s="23" t="s">
        <v>136</v>
      </c>
      <c r="H76" s="23" t="s">
        <v>136</v>
      </c>
      <c r="I76" s="23" t="s">
        <v>136</v>
      </c>
      <c r="J76" s="23" t="s">
        <v>136</v>
      </c>
      <c r="K76" s="23" t="s">
        <v>136</v>
      </c>
      <c r="L76" s="23" t="s">
        <v>136</v>
      </c>
      <c r="M76" s="24" t="s">
        <v>2017</v>
      </c>
      <c r="N76" s="24" t="s">
        <v>2028</v>
      </c>
      <c r="O76" s="24" t="s">
        <v>2029</v>
      </c>
      <c r="P76" s="25" t="s">
        <v>39</v>
      </c>
      <c r="Q76" s="24" t="s">
        <v>2020</v>
      </c>
      <c r="R76" s="24" t="s">
        <v>1750</v>
      </c>
    </row>
    <row r="77" customFormat="false" ht="15" hidden="false" customHeight="true" outlineLevel="0" collapsed="false">
      <c r="A77" s="17" t="s">
        <v>1119</v>
      </c>
      <c r="B77" s="17" t="s">
        <v>1184</v>
      </c>
      <c r="C77" s="17" t="s">
        <v>422</v>
      </c>
      <c r="D77" s="17" t="s">
        <v>2015</v>
      </c>
      <c r="E77" s="22" t="s">
        <v>2016</v>
      </c>
      <c r="F77" s="23" t="s">
        <v>136</v>
      </c>
      <c r="G77" s="23" t="s">
        <v>136</v>
      </c>
      <c r="H77" s="23" t="s">
        <v>136</v>
      </c>
      <c r="I77" s="23" t="s">
        <v>136</v>
      </c>
      <c r="J77" s="23" t="s">
        <v>136</v>
      </c>
      <c r="K77" s="23" t="s">
        <v>136</v>
      </c>
      <c r="L77" s="23" t="s">
        <v>136</v>
      </c>
      <c r="M77" s="24" t="s">
        <v>2017</v>
      </c>
      <c r="N77" s="24" t="s">
        <v>2030</v>
      </c>
      <c r="O77" s="24" t="s">
        <v>2031</v>
      </c>
      <c r="P77" s="25" t="s">
        <v>39</v>
      </c>
      <c r="Q77" s="24" t="s">
        <v>2020</v>
      </c>
      <c r="R77" s="24" t="s">
        <v>1750</v>
      </c>
    </row>
    <row r="78" customFormat="false" ht="15" hidden="false" customHeight="true" outlineLevel="0" collapsed="false">
      <c r="A78" s="17" t="s">
        <v>1119</v>
      </c>
      <c r="B78" s="17" t="s">
        <v>1195</v>
      </c>
      <c r="C78" s="17" t="s">
        <v>448</v>
      </c>
      <c r="D78" s="17" t="s">
        <v>2015</v>
      </c>
      <c r="E78" s="22" t="s">
        <v>2016</v>
      </c>
      <c r="F78" s="23" t="s">
        <v>136</v>
      </c>
      <c r="G78" s="23" t="s">
        <v>136</v>
      </c>
      <c r="H78" s="23" t="s">
        <v>136</v>
      </c>
      <c r="I78" s="23" t="s">
        <v>136</v>
      </c>
      <c r="J78" s="23" t="s">
        <v>136</v>
      </c>
      <c r="K78" s="23" t="s">
        <v>136</v>
      </c>
      <c r="L78" s="23" t="s">
        <v>136</v>
      </c>
      <c r="M78" s="24" t="s">
        <v>2017</v>
      </c>
      <c r="N78" s="24" t="s">
        <v>2032</v>
      </c>
      <c r="O78" s="24" t="s">
        <v>2033</v>
      </c>
      <c r="P78" s="24" t="s">
        <v>1581</v>
      </c>
      <c r="Q78" s="24" t="s">
        <v>2023</v>
      </c>
      <c r="R78" s="24" t="s">
        <v>1750</v>
      </c>
    </row>
    <row r="79" customFormat="false" ht="15" hidden="false" customHeight="true" outlineLevel="0" collapsed="false">
      <c r="A79" s="17" t="s">
        <v>1119</v>
      </c>
      <c r="B79" s="17" t="s">
        <v>1231</v>
      </c>
      <c r="C79" s="17" t="s">
        <v>995</v>
      </c>
      <c r="D79" s="17" t="s">
        <v>2015</v>
      </c>
      <c r="E79" s="22" t="s">
        <v>2016</v>
      </c>
      <c r="F79" s="23" t="s">
        <v>136</v>
      </c>
      <c r="G79" s="23" t="s">
        <v>136</v>
      </c>
      <c r="H79" s="23" t="s">
        <v>136</v>
      </c>
      <c r="I79" s="23" t="s">
        <v>136</v>
      </c>
      <c r="J79" s="23" t="s">
        <v>136</v>
      </c>
      <c r="K79" s="23" t="s">
        <v>136</v>
      </c>
      <c r="L79" s="23" t="s">
        <v>136</v>
      </c>
      <c r="M79" s="24" t="s">
        <v>2017</v>
      </c>
      <c r="N79" s="24" t="s">
        <v>2034</v>
      </c>
      <c r="O79" s="24" t="s">
        <v>2035</v>
      </c>
      <c r="P79" s="25" t="s">
        <v>39</v>
      </c>
      <c r="Q79" s="24" t="s">
        <v>2020</v>
      </c>
      <c r="R79" s="24" t="s">
        <v>1750</v>
      </c>
    </row>
    <row r="80" customFormat="false" ht="15" hidden="false" customHeight="true" outlineLevel="0" collapsed="false">
      <c r="A80" s="17" t="s">
        <v>1119</v>
      </c>
      <c r="B80" s="17" t="s">
        <v>1267</v>
      </c>
      <c r="C80" s="17" t="s">
        <v>909</v>
      </c>
      <c r="D80" s="17" t="s">
        <v>2015</v>
      </c>
      <c r="E80" s="22" t="s">
        <v>2016</v>
      </c>
      <c r="F80" s="23" t="s">
        <v>136</v>
      </c>
      <c r="G80" s="23" t="s">
        <v>136</v>
      </c>
      <c r="H80" s="23" t="s">
        <v>136</v>
      </c>
      <c r="I80" s="23" t="s">
        <v>136</v>
      </c>
      <c r="J80" s="23" t="s">
        <v>136</v>
      </c>
      <c r="K80" s="23" t="s">
        <v>136</v>
      </c>
      <c r="L80" s="23" t="s">
        <v>136</v>
      </c>
      <c r="M80" s="24" t="s">
        <v>2017</v>
      </c>
      <c r="N80" s="24" t="s">
        <v>2036</v>
      </c>
      <c r="O80" s="24" t="s">
        <v>2037</v>
      </c>
      <c r="P80" s="25" t="s">
        <v>39</v>
      </c>
      <c r="Q80" s="24" t="s">
        <v>2020</v>
      </c>
      <c r="R80" s="24" t="s">
        <v>1750</v>
      </c>
    </row>
    <row r="81" customFormat="false" ht="15" hidden="false" customHeight="true" outlineLevel="0" collapsed="false">
      <c r="A81" s="17" t="s">
        <v>1119</v>
      </c>
      <c r="B81" s="17" t="s">
        <v>1290</v>
      </c>
      <c r="C81" s="17" t="s">
        <v>1027</v>
      </c>
      <c r="D81" s="17" t="s">
        <v>2015</v>
      </c>
      <c r="E81" s="22" t="s">
        <v>2038</v>
      </c>
      <c r="F81" s="23" t="s">
        <v>136</v>
      </c>
      <c r="G81" s="23" t="s">
        <v>136</v>
      </c>
      <c r="H81" s="23" t="s">
        <v>136</v>
      </c>
      <c r="I81" s="23" t="s">
        <v>136</v>
      </c>
      <c r="J81" s="23" t="s">
        <v>136</v>
      </c>
      <c r="K81" s="23" t="s">
        <v>136</v>
      </c>
      <c r="L81" s="23" t="s">
        <v>136</v>
      </c>
      <c r="M81" s="24" t="s">
        <v>2039</v>
      </c>
      <c r="N81" s="24" t="s">
        <v>2040</v>
      </c>
      <c r="O81" s="24" t="s">
        <v>2041</v>
      </c>
      <c r="P81" s="25" t="s">
        <v>39</v>
      </c>
      <c r="Q81" s="24" t="s">
        <v>2042</v>
      </c>
      <c r="R81" s="24" t="s">
        <v>1750</v>
      </c>
    </row>
    <row r="82" customFormat="false" ht="15" hidden="false" customHeight="true" outlineLevel="0" collapsed="false">
      <c r="A82" s="17" t="s">
        <v>1119</v>
      </c>
      <c r="B82" s="17" t="s">
        <v>1296</v>
      </c>
      <c r="C82" s="17" t="s">
        <v>599</v>
      </c>
      <c r="D82" s="17" t="s">
        <v>2015</v>
      </c>
      <c r="E82" s="22" t="s">
        <v>2038</v>
      </c>
      <c r="F82" s="23" t="s">
        <v>136</v>
      </c>
      <c r="G82" s="23" t="s">
        <v>136</v>
      </c>
      <c r="H82" s="23" t="s">
        <v>136</v>
      </c>
      <c r="I82" s="23" t="s">
        <v>136</v>
      </c>
      <c r="J82" s="23" t="s">
        <v>136</v>
      </c>
      <c r="K82" s="23" t="s">
        <v>136</v>
      </c>
      <c r="L82" s="23" t="s">
        <v>136</v>
      </c>
      <c r="M82" s="24" t="s">
        <v>2043</v>
      </c>
      <c r="N82" s="25" t="s">
        <v>2044</v>
      </c>
      <c r="O82" s="25" t="s">
        <v>136</v>
      </c>
      <c r="P82" s="25" t="s">
        <v>39</v>
      </c>
      <c r="Q82" s="24" t="s">
        <v>2045</v>
      </c>
      <c r="R82" s="24" t="s">
        <v>1750</v>
      </c>
    </row>
    <row r="83" customFormat="false" ht="15" hidden="false" customHeight="true" outlineLevel="0" collapsed="false">
      <c r="A83" s="17" t="s">
        <v>1119</v>
      </c>
      <c r="B83" s="17" t="s">
        <v>1303</v>
      </c>
      <c r="C83" s="17" t="s">
        <v>874</v>
      </c>
      <c r="D83" s="17" t="s">
        <v>2015</v>
      </c>
      <c r="E83" s="22" t="s">
        <v>2038</v>
      </c>
      <c r="F83" s="23" t="s">
        <v>136</v>
      </c>
      <c r="G83" s="23" t="s">
        <v>136</v>
      </c>
      <c r="H83" s="23" t="s">
        <v>136</v>
      </c>
      <c r="I83" s="23" t="s">
        <v>136</v>
      </c>
      <c r="J83" s="23" t="s">
        <v>136</v>
      </c>
      <c r="K83" s="23" t="s">
        <v>136</v>
      </c>
      <c r="L83" s="23" t="s">
        <v>136</v>
      </c>
      <c r="M83" s="25" t="s">
        <v>2046</v>
      </c>
      <c r="N83" s="24" t="s">
        <v>2047</v>
      </c>
      <c r="O83" s="25" t="s">
        <v>2048</v>
      </c>
      <c r="P83" s="25" t="s">
        <v>39</v>
      </c>
      <c r="Q83" s="24" t="s">
        <v>2049</v>
      </c>
      <c r="R83" s="24" t="s">
        <v>1750</v>
      </c>
    </row>
    <row r="84" customFormat="false" ht="15" hidden="false" customHeight="true" outlineLevel="0" collapsed="false">
      <c r="A84" s="17" t="s">
        <v>1119</v>
      </c>
      <c r="B84" s="17" t="s">
        <v>1309</v>
      </c>
      <c r="C84" s="17" t="s">
        <v>395</v>
      </c>
      <c r="D84" s="17" t="s">
        <v>2015</v>
      </c>
      <c r="E84" s="22" t="s">
        <v>2038</v>
      </c>
      <c r="F84" s="23" t="s">
        <v>136</v>
      </c>
      <c r="G84" s="23" t="s">
        <v>136</v>
      </c>
      <c r="H84" s="23" t="s">
        <v>136</v>
      </c>
      <c r="I84" s="23" t="s">
        <v>136</v>
      </c>
      <c r="J84" s="23" t="s">
        <v>136</v>
      </c>
      <c r="K84" s="23" t="s">
        <v>136</v>
      </c>
      <c r="L84" s="23" t="s">
        <v>136</v>
      </c>
      <c r="M84" s="24" t="s">
        <v>2050</v>
      </c>
      <c r="N84" s="24" t="s">
        <v>2051</v>
      </c>
      <c r="O84" s="24" t="s">
        <v>2052</v>
      </c>
      <c r="P84" s="25" t="s">
        <v>39</v>
      </c>
      <c r="Q84" s="24" t="s">
        <v>2053</v>
      </c>
      <c r="R84" s="24" t="s">
        <v>1750</v>
      </c>
    </row>
    <row r="85" customFormat="false" ht="15" hidden="false" customHeight="true" outlineLevel="0" collapsed="false">
      <c r="A85" s="17" t="s">
        <v>1119</v>
      </c>
      <c r="B85" s="17" t="s">
        <v>1315</v>
      </c>
      <c r="C85" s="17" t="s">
        <v>925</v>
      </c>
      <c r="D85" s="17" t="s">
        <v>2015</v>
      </c>
      <c r="E85" s="22" t="s">
        <v>2038</v>
      </c>
      <c r="F85" s="23" t="s">
        <v>136</v>
      </c>
      <c r="G85" s="23" t="s">
        <v>136</v>
      </c>
      <c r="H85" s="23" t="s">
        <v>136</v>
      </c>
      <c r="I85" s="23" t="s">
        <v>136</v>
      </c>
      <c r="J85" s="23" t="s">
        <v>136</v>
      </c>
      <c r="K85" s="23" t="s">
        <v>136</v>
      </c>
      <c r="L85" s="23" t="s">
        <v>136</v>
      </c>
      <c r="M85" s="24" t="s">
        <v>2054</v>
      </c>
      <c r="N85" s="24" t="s">
        <v>2055</v>
      </c>
      <c r="O85" s="24" t="s">
        <v>2056</v>
      </c>
      <c r="P85" s="25" t="s">
        <v>39</v>
      </c>
      <c r="Q85" s="24" t="s">
        <v>2057</v>
      </c>
      <c r="R85" s="24" t="s">
        <v>1750</v>
      </c>
    </row>
    <row r="86" customFormat="false" ht="15" hidden="false" customHeight="true" outlineLevel="0" collapsed="false">
      <c r="A86" s="17" t="s">
        <v>1119</v>
      </c>
      <c r="B86" s="17" t="s">
        <v>1321</v>
      </c>
      <c r="C86" s="17" t="s">
        <v>874</v>
      </c>
      <c r="D86" s="17" t="s">
        <v>2015</v>
      </c>
      <c r="E86" s="22" t="s">
        <v>2038</v>
      </c>
      <c r="F86" s="23" t="s">
        <v>136</v>
      </c>
      <c r="G86" s="23" t="s">
        <v>136</v>
      </c>
      <c r="H86" s="23" t="s">
        <v>136</v>
      </c>
      <c r="I86" s="23" t="s">
        <v>136</v>
      </c>
      <c r="J86" s="23" t="s">
        <v>136</v>
      </c>
      <c r="K86" s="23" t="s">
        <v>136</v>
      </c>
      <c r="L86" s="23" t="s">
        <v>136</v>
      </c>
      <c r="M86" s="24" t="s">
        <v>2058</v>
      </c>
      <c r="N86" s="24" t="s">
        <v>2059</v>
      </c>
      <c r="O86" s="25" t="s">
        <v>2060</v>
      </c>
      <c r="P86" s="25" t="s">
        <v>39</v>
      </c>
      <c r="Q86" s="24" t="s">
        <v>2061</v>
      </c>
      <c r="R86" s="24" t="s">
        <v>1750</v>
      </c>
    </row>
    <row r="87" customFormat="false" ht="15" hidden="false" customHeight="true" outlineLevel="0" collapsed="false">
      <c r="A87" s="17" t="s">
        <v>1119</v>
      </c>
      <c r="B87" s="17" t="s">
        <v>1087</v>
      </c>
      <c r="C87" s="17" t="s">
        <v>1082</v>
      </c>
      <c r="D87" s="17" t="s">
        <v>2015</v>
      </c>
      <c r="E87" s="22" t="s">
        <v>2038</v>
      </c>
      <c r="F87" s="23" t="s">
        <v>136</v>
      </c>
      <c r="G87" s="23" t="s">
        <v>136</v>
      </c>
      <c r="H87" s="23" t="s">
        <v>136</v>
      </c>
      <c r="I87" s="23" t="s">
        <v>136</v>
      </c>
      <c r="J87" s="23" t="s">
        <v>136</v>
      </c>
      <c r="K87" s="23" t="s">
        <v>136</v>
      </c>
      <c r="L87" s="23" t="s">
        <v>136</v>
      </c>
      <c r="M87" s="24" t="s">
        <v>2062</v>
      </c>
      <c r="N87" s="24" t="s">
        <v>2063</v>
      </c>
      <c r="O87" s="24" t="s">
        <v>2064</v>
      </c>
      <c r="P87" s="25" t="s">
        <v>39</v>
      </c>
      <c r="Q87" s="24" t="s">
        <v>2065</v>
      </c>
      <c r="R87" s="24" t="s">
        <v>1750</v>
      </c>
    </row>
    <row r="88" customFormat="false" ht="15" hidden="false" customHeight="true" outlineLevel="0" collapsed="false">
      <c r="A88" s="17" t="s">
        <v>1119</v>
      </c>
      <c r="B88" s="17" t="s">
        <v>1332</v>
      </c>
      <c r="C88" s="17" t="s">
        <v>874</v>
      </c>
      <c r="D88" s="17" t="s">
        <v>2015</v>
      </c>
      <c r="E88" s="22" t="s">
        <v>2038</v>
      </c>
      <c r="F88" s="23" t="s">
        <v>136</v>
      </c>
      <c r="G88" s="23" t="s">
        <v>136</v>
      </c>
      <c r="H88" s="23" t="s">
        <v>136</v>
      </c>
      <c r="I88" s="23" t="s">
        <v>136</v>
      </c>
      <c r="J88" s="23" t="s">
        <v>136</v>
      </c>
      <c r="K88" s="23" t="s">
        <v>136</v>
      </c>
      <c r="L88" s="23" t="s">
        <v>136</v>
      </c>
      <c r="M88" s="24" t="s">
        <v>2066</v>
      </c>
      <c r="N88" s="24" t="s">
        <v>2067</v>
      </c>
      <c r="O88" s="24" t="s">
        <v>2068</v>
      </c>
      <c r="P88" s="24" t="s">
        <v>1596</v>
      </c>
      <c r="Q88" s="24" t="s">
        <v>2069</v>
      </c>
      <c r="R88" s="24" t="s">
        <v>1750</v>
      </c>
    </row>
    <row r="89" customFormat="false" ht="15" hidden="false" customHeight="true" outlineLevel="0" collapsed="false">
      <c r="A89" s="17" t="s">
        <v>1119</v>
      </c>
      <c r="B89" s="17" t="s">
        <v>1338</v>
      </c>
      <c r="C89" s="17" t="s">
        <v>412</v>
      </c>
      <c r="D89" s="17" t="s">
        <v>2015</v>
      </c>
      <c r="E89" s="22" t="s">
        <v>2038</v>
      </c>
      <c r="F89" s="23" t="s">
        <v>136</v>
      </c>
      <c r="G89" s="23" t="s">
        <v>136</v>
      </c>
      <c r="H89" s="23" t="s">
        <v>136</v>
      </c>
      <c r="I89" s="23" t="s">
        <v>136</v>
      </c>
      <c r="J89" s="23" t="s">
        <v>136</v>
      </c>
      <c r="K89" s="23" t="s">
        <v>136</v>
      </c>
      <c r="L89" s="23" t="s">
        <v>136</v>
      </c>
      <c r="M89" s="24" t="s">
        <v>2070</v>
      </c>
      <c r="N89" s="24" t="s">
        <v>2071</v>
      </c>
      <c r="O89" s="25" t="s">
        <v>2072</v>
      </c>
      <c r="P89" s="24" t="s">
        <v>1596</v>
      </c>
      <c r="Q89" s="24" t="s">
        <v>2073</v>
      </c>
      <c r="R89" s="24" t="s">
        <v>1750</v>
      </c>
    </row>
    <row r="90" customFormat="false" ht="15" hidden="false" customHeight="true" outlineLevel="0" collapsed="false">
      <c r="A90" s="17" t="s">
        <v>1119</v>
      </c>
      <c r="B90" s="17" t="s">
        <v>1344</v>
      </c>
      <c r="C90" s="17" t="s">
        <v>395</v>
      </c>
      <c r="D90" s="17" t="s">
        <v>2015</v>
      </c>
      <c r="E90" s="22" t="s">
        <v>2038</v>
      </c>
      <c r="F90" s="23" t="s">
        <v>136</v>
      </c>
      <c r="G90" s="23" t="s">
        <v>136</v>
      </c>
      <c r="H90" s="23" t="s">
        <v>136</v>
      </c>
      <c r="I90" s="23" t="s">
        <v>136</v>
      </c>
      <c r="J90" s="23" t="s">
        <v>136</v>
      </c>
      <c r="K90" s="23" t="s">
        <v>136</v>
      </c>
      <c r="L90" s="23" t="s">
        <v>136</v>
      </c>
      <c r="M90" s="24" t="s">
        <v>2074</v>
      </c>
      <c r="N90" s="24" t="s">
        <v>2075</v>
      </c>
      <c r="O90" s="24" t="s">
        <v>2076</v>
      </c>
      <c r="P90" s="24" t="s">
        <v>1596</v>
      </c>
      <c r="Q90" s="24" t="s">
        <v>2077</v>
      </c>
      <c r="R90" s="24" t="s">
        <v>1750</v>
      </c>
    </row>
    <row r="91" customFormat="false" ht="219.75" hidden="false" customHeight="true" outlineLevel="0" collapsed="false">
      <c r="A91" s="17" t="s">
        <v>1132</v>
      </c>
      <c r="B91" s="17" t="s">
        <v>1221</v>
      </c>
      <c r="C91" s="17" t="s">
        <v>608</v>
      </c>
      <c r="D91" s="17" t="s">
        <v>2015</v>
      </c>
      <c r="E91" s="22" t="s">
        <v>2078</v>
      </c>
      <c r="F91" s="23" t="s">
        <v>2079</v>
      </c>
      <c r="G91" s="23" t="s">
        <v>2080</v>
      </c>
      <c r="H91" s="23" t="s">
        <v>2081</v>
      </c>
      <c r="I91" s="22" t="s">
        <v>2082</v>
      </c>
      <c r="J91" s="22" t="s">
        <v>2083</v>
      </c>
      <c r="K91" s="23" t="s">
        <v>2084</v>
      </c>
      <c r="L91" s="22" t="s">
        <v>2085</v>
      </c>
      <c r="M91" s="24" t="s">
        <v>2086</v>
      </c>
      <c r="N91" s="24" t="s">
        <v>2087</v>
      </c>
      <c r="O91" s="24" t="s">
        <v>2088</v>
      </c>
      <c r="P91" s="24" t="s">
        <v>1581</v>
      </c>
      <c r="Q91" s="24" t="s">
        <v>1582</v>
      </c>
      <c r="R91" s="24" t="s">
        <v>1750</v>
      </c>
    </row>
    <row r="92" customFormat="false" ht="219.75" hidden="false" customHeight="true" outlineLevel="0" collapsed="false">
      <c r="A92" s="17" t="s">
        <v>1132</v>
      </c>
      <c r="B92" s="17" t="s">
        <v>446</v>
      </c>
      <c r="C92" s="17" t="s">
        <v>439</v>
      </c>
      <c r="D92" s="17" t="s">
        <v>2015</v>
      </c>
      <c r="E92" s="22" t="s">
        <v>2089</v>
      </c>
      <c r="F92" s="23" t="s">
        <v>2090</v>
      </c>
      <c r="G92" s="23" t="s">
        <v>2091</v>
      </c>
      <c r="H92" s="22" t="s">
        <v>2092</v>
      </c>
      <c r="I92" s="22" t="s">
        <v>2093</v>
      </c>
      <c r="J92" s="22" t="s">
        <v>2094</v>
      </c>
      <c r="K92" s="23" t="s">
        <v>2084</v>
      </c>
      <c r="L92" s="22" t="s">
        <v>2085</v>
      </c>
      <c r="M92" s="24" t="s">
        <v>2095</v>
      </c>
      <c r="N92" s="24" t="s">
        <v>2096</v>
      </c>
      <c r="O92" s="24" t="s">
        <v>2097</v>
      </c>
      <c r="P92" s="24" t="s">
        <v>1581</v>
      </c>
      <c r="Q92" s="24" t="s">
        <v>1582</v>
      </c>
      <c r="R92" s="24" t="s">
        <v>1750</v>
      </c>
    </row>
    <row r="93" customFormat="false" ht="219.75" hidden="false" customHeight="true" outlineLevel="0" collapsed="false">
      <c r="A93" s="17" t="s">
        <v>1132</v>
      </c>
      <c r="B93" s="17" t="s">
        <v>1231</v>
      </c>
      <c r="C93" s="17" t="s">
        <v>995</v>
      </c>
      <c r="D93" s="17" t="s">
        <v>2015</v>
      </c>
      <c r="E93" s="22" t="s">
        <v>2098</v>
      </c>
      <c r="F93" s="23" t="s">
        <v>2099</v>
      </c>
      <c r="G93" s="23" t="s">
        <v>2100</v>
      </c>
      <c r="H93" s="22" t="s">
        <v>2101</v>
      </c>
      <c r="I93" s="22" t="s">
        <v>2102</v>
      </c>
      <c r="J93" s="22" t="s">
        <v>2103</v>
      </c>
      <c r="K93" s="23" t="s">
        <v>2084</v>
      </c>
      <c r="L93" s="22" t="s">
        <v>2085</v>
      </c>
      <c r="M93" s="24" t="s">
        <v>2104</v>
      </c>
      <c r="N93" s="24" t="s">
        <v>2105</v>
      </c>
      <c r="O93" s="25" t="s">
        <v>2106</v>
      </c>
      <c r="P93" s="24" t="s">
        <v>1581</v>
      </c>
      <c r="Q93" s="25" t="s">
        <v>2107</v>
      </c>
      <c r="R93" s="24" t="s">
        <v>1750</v>
      </c>
    </row>
    <row r="94" customFormat="false" ht="219.75" hidden="false" customHeight="true" outlineLevel="0" collapsed="false">
      <c r="A94" s="17" t="s">
        <v>1132</v>
      </c>
      <c r="B94" s="17" t="s">
        <v>1267</v>
      </c>
      <c r="C94" s="17" t="s">
        <v>909</v>
      </c>
      <c r="D94" s="17" t="s">
        <v>2015</v>
      </c>
      <c r="E94" s="22" t="s">
        <v>2108</v>
      </c>
      <c r="F94" s="23" t="s">
        <v>2109</v>
      </c>
      <c r="G94" s="22" t="s">
        <v>2110</v>
      </c>
      <c r="H94" s="22" t="s">
        <v>2111</v>
      </c>
      <c r="I94" s="22" t="s">
        <v>2112</v>
      </c>
      <c r="J94" s="22" t="s">
        <v>2113</v>
      </c>
      <c r="K94" s="23" t="s">
        <v>2084</v>
      </c>
      <c r="L94" s="22" t="s">
        <v>2085</v>
      </c>
      <c r="M94" s="24" t="s">
        <v>2114</v>
      </c>
      <c r="N94" s="24" t="s">
        <v>2115</v>
      </c>
      <c r="O94" s="24" t="s">
        <v>2116</v>
      </c>
      <c r="P94" s="24" t="s">
        <v>1581</v>
      </c>
      <c r="Q94" s="24" t="s">
        <v>2117</v>
      </c>
      <c r="R94" s="24" t="s">
        <v>1750</v>
      </c>
    </row>
    <row r="95" customFormat="false" ht="219.75" hidden="false" customHeight="true" outlineLevel="0" collapsed="false">
      <c r="A95" s="17" t="s">
        <v>1132</v>
      </c>
      <c r="B95" s="17" t="s">
        <v>1309</v>
      </c>
      <c r="C95" s="17" t="s">
        <v>395</v>
      </c>
      <c r="D95" s="17" t="s">
        <v>2015</v>
      </c>
      <c r="E95" s="22" t="s">
        <v>2118</v>
      </c>
      <c r="F95" s="23" t="s">
        <v>2119</v>
      </c>
      <c r="G95" s="23" t="s">
        <v>2120</v>
      </c>
      <c r="H95" s="23" t="s">
        <v>2121</v>
      </c>
      <c r="I95" s="22" t="s">
        <v>2122</v>
      </c>
      <c r="J95" s="22" t="s">
        <v>2123</v>
      </c>
      <c r="K95" s="23" t="s">
        <v>2084</v>
      </c>
      <c r="L95" s="22" t="s">
        <v>2085</v>
      </c>
      <c r="M95" s="24" t="s">
        <v>2124</v>
      </c>
      <c r="N95" s="24" t="s">
        <v>2125</v>
      </c>
      <c r="O95" s="24" t="s">
        <v>2126</v>
      </c>
      <c r="P95" s="24" t="s">
        <v>1581</v>
      </c>
      <c r="Q95" s="24" t="s">
        <v>2127</v>
      </c>
      <c r="R95" s="24" t="s">
        <v>1750</v>
      </c>
    </row>
    <row r="96" customFormat="false" ht="219.75" hidden="false" customHeight="true" outlineLevel="0" collapsed="false">
      <c r="A96" s="17" t="s">
        <v>1132</v>
      </c>
      <c r="B96" s="17" t="s">
        <v>855</v>
      </c>
      <c r="C96" s="17" t="s">
        <v>849</v>
      </c>
      <c r="D96" s="17" t="s">
        <v>2015</v>
      </c>
      <c r="E96" s="22" t="s">
        <v>2128</v>
      </c>
      <c r="F96" s="23" t="s">
        <v>2129</v>
      </c>
      <c r="G96" s="22" t="s">
        <v>2130</v>
      </c>
      <c r="H96" s="22" t="s">
        <v>2131</v>
      </c>
      <c r="I96" s="22" t="s">
        <v>2132</v>
      </c>
      <c r="J96" s="22" t="s">
        <v>2133</v>
      </c>
      <c r="K96" s="23" t="s">
        <v>2084</v>
      </c>
      <c r="L96" s="22" t="s">
        <v>2085</v>
      </c>
      <c r="M96" s="24" t="s">
        <v>2134</v>
      </c>
      <c r="N96" s="24" t="s">
        <v>2135</v>
      </c>
      <c r="O96" s="24" t="s">
        <v>2136</v>
      </c>
      <c r="P96" s="24" t="s">
        <v>1581</v>
      </c>
      <c r="Q96" s="24" t="s">
        <v>1582</v>
      </c>
      <c r="R96" s="24" t="s">
        <v>1750</v>
      </c>
    </row>
    <row r="97" customFormat="false" ht="219.75" hidden="false" customHeight="true" outlineLevel="0" collapsed="false">
      <c r="A97" s="17" t="s">
        <v>1132</v>
      </c>
      <c r="B97" s="17" t="s">
        <v>227</v>
      </c>
      <c r="C97" s="17" t="s">
        <v>220</v>
      </c>
      <c r="D97" s="17" t="s">
        <v>2015</v>
      </c>
      <c r="E97" s="22" t="s">
        <v>2137</v>
      </c>
      <c r="F97" s="23" t="s">
        <v>2138</v>
      </c>
      <c r="G97" s="22" t="s">
        <v>2139</v>
      </c>
      <c r="H97" s="22" t="s">
        <v>2140</v>
      </c>
      <c r="I97" s="22" t="s">
        <v>2141</v>
      </c>
      <c r="J97" s="22" t="s">
        <v>2142</v>
      </c>
      <c r="K97" s="23" t="s">
        <v>2084</v>
      </c>
      <c r="L97" s="22" t="s">
        <v>2085</v>
      </c>
      <c r="M97" s="24" t="s">
        <v>2143</v>
      </c>
      <c r="N97" s="24" t="s">
        <v>2144</v>
      </c>
      <c r="O97" s="24" t="s">
        <v>2145</v>
      </c>
      <c r="P97" s="24" t="s">
        <v>1581</v>
      </c>
      <c r="Q97" s="25" t="s">
        <v>2146</v>
      </c>
      <c r="R97" s="24" t="s">
        <v>1750</v>
      </c>
    </row>
    <row r="98" customFormat="false" ht="219.75" hidden="false" customHeight="true" outlineLevel="0" collapsed="false">
      <c r="A98" s="17" t="s">
        <v>1132</v>
      </c>
      <c r="B98" s="17" t="s">
        <v>1157</v>
      </c>
      <c r="C98" s="17" t="s">
        <v>387</v>
      </c>
      <c r="D98" s="17" t="s">
        <v>2015</v>
      </c>
      <c r="E98" s="22" t="s">
        <v>2147</v>
      </c>
      <c r="F98" s="23" t="s">
        <v>2148</v>
      </c>
      <c r="G98" s="23" t="s">
        <v>2149</v>
      </c>
      <c r="H98" s="23" t="s">
        <v>2150</v>
      </c>
      <c r="I98" s="22" t="s">
        <v>2151</v>
      </c>
      <c r="J98" s="22" t="s">
        <v>2152</v>
      </c>
      <c r="K98" s="23" t="s">
        <v>2084</v>
      </c>
      <c r="L98" s="22" t="s">
        <v>2085</v>
      </c>
      <c r="M98" s="24" t="s">
        <v>2153</v>
      </c>
      <c r="N98" s="24" t="s">
        <v>2154</v>
      </c>
      <c r="O98" s="24" t="s">
        <v>2155</v>
      </c>
      <c r="P98" s="24" t="s">
        <v>1581</v>
      </c>
      <c r="Q98" s="25" t="s">
        <v>2156</v>
      </c>
      <c r="R98" s="24" t="s">
        <v>1750</v>
      </c>
    </row>
    <row r="99" customFormat="false" ht="219.75" hidden="false" customHeight="true" outlineLevel="0" collapsed="false">
      <c r="A99" s="17" t="s">
        <v>1132</v>
      </c>
      <c r="B99" s="17" t="s">
        <v>346</v>
      </c>
      <c r="C99" s="17" t="s">
        <v>341</v>
      </c>
      <c r="D99" s="17" t="s">
        <v>2015</v>
      </c>
      <c r="E99" s="22" t="s">
        <v>2157</v>
      </c>
      <c r="F99" s="23" t="s">
        <v>2158</v>
      </c>
      <c r="G99" s="22" t="s">
        <v>2159</v>
      </c>
      <c r="H99" s="22" t="s">
        <v>2160</v>
      </c>
      <c r="I99" s="22" t="s">
        <v>2161</v>
      </c>
      <c r="J99" s="22" t="s">
        <v>2162</v>
      </c>
      <c r="K99" s="23" t="s">
        <v>2084</v>
      </c>
      <c r="L99" s="22" t="s">
        <v>2085</v>
      </c>
      <c r="M99" s="24" t="s">
        <v>2163</v>
      </c>
      <c r="N99" s="24" t="s">
        <v>2164</v>
      </c>
      <c r="O99" s="24" t="s">
        <v>2165</v>
      </c>
      <c r="P99" s="24" t="s">
        <v>1581</v>
      </c>
      <c r="Q99" s="24" t="s">
        <v>1582</v>
      </c>
      <c r="R99" s="24" t="s">
        <v>1750</v>
      </c>
    </row>
    <row r="100" customFormat="false" ht="219.75" hidden="false" customHeight="true" outlineLevel="0" collapsed="false">
      <c r="A100" s="17" t="s">
        <v>1132</v>
      </c>
      <c r="B100" s="17" t="s">
        <v>1184</v>
      </c>
      <c r="C100" s="17" t="s">
        <v>422</v>
      </c>
      <c r="D100" s="17" t="s">
        <v>2015</v>
      </c>
      <c r="E100" s="22" t="s">
        <v>2166</v>
      </c>
      <c r="F100" s="23" t="s">
        <v>2167</v>
      </c>
      <c r="G100" s="22" t="s">
        <v>2168</v>
      </c>
      <c r="H100" s="22" t="s">
        <v>2169</v>
      </c>
      <c r="I100" s="22" t="s">
        <v>2170</v>
      </c>
      <c r="J100" s="22" t="s">
        <v>2171</v>
      </c>
      <c r="K100" s="23" t="s">
        <v>2084</v>
      </c>
      <c r="L100" s="22" t="s">
        <v>2085</v>
      </c>
      <c r="M100" s="24" t="s">
        <v>2172</v>
      </c>
      <c r="N100" s="24" t="s">
        <v>2173</v>
      </c>
      <c r="O100" s="24" t="s">
        <v>2174</v>
      </c>
      <c r="P100" s="24" t="s">
        <v>1581</v>
      </c>
      <c r="Q100" s="24" t="s">
        <v>2175</v>
      </c>
      <c r="R100" s="24" t="s">
        <v>1750</v>
      </c>
    </row>
    <row r="101" customFormat="false" ht="219.75" hidden="false" customHeight="true" outlineLevel="0" collapsed="false">
      <c r="A101" s="17" t="s">
        <v>1132</v>
      </c>
      <c r="B101" s="17" t="s">
        <v>1290</v>
      </c>
      <c r="C101" s="17" t="s">
        <v>1027</v>
      </c>
      <c r="D101" s="17" t="s">
        <v>2015</v>
      </c>
      <c r="E101" s="22" t="s">
        <v>1829</v>
      </c>
      <c r="F101" s="23" t="s">
        <v>2176</v>
      </c>
      <c r="G101" s="22" t="s">
        <v>2177</v>
      </c>
      <c r="H101" s="22" t="s">
        <v>2178</v>
      </c>
      <c r="I101" s="22" t="s">
        <v>2179</v>
      </c>
      <c r="J101" s="22" t="s">
        <v>2180</v>
      </c>
      <c r="K101" s="23" t="s">
        <v>2084</v>
      </c>
      <c r="L101" s="22" t="s">
        <v>2085</v>
      </c>
      <c r="M101" s="24" t="s">
        <v>2181</v>
      </c>
      <c r="N101" s="24" t="s">
        <v>2182</v>
      </c>
      <c r="O101" s="24" t="s">
        <v>2183</v>
      </c>
      <c r="P101" s="24" t="s">
        <v>1581</v>
      </c>
      <c r="Q101" s="24" t="s">
        <v>1582</v>
      </c>
      <c r="R101" s="24" t="s">
        <v>1750</v>
      </c>
    </row>
    <row r="102" customFormat="false" ht="219.75" hidden="false" customHeight="true" outlineLevel="0" collapsed="false">
      <c r="A102" s="17" t="s">
        <v>1132</v>
      </c>
      <c r="B102" s="17" t="s">
        <v>1296</v>
      </c>
      <c r="C102" s="17" t="s">
        <v>599</v>
      </c>
      <c r="D102" s="17" t="s">
        <v>2015</v>
      </c>
      <c r="E102" s="22" t="s">
        <v>2184</v>
      </c>
      <c r="F102" s="23" t="s">
        <v>2185</v>
      </c>
      <c r="G102" s="22" t="s">
        <v>2186</v>
      </c>
      <c r="H102" s="22" t="s">
        <v>2187</v>
      </c>
      <c r="I102" s="22" t="s">
        <v>2188</v>
      </c>
      <c r="J102" s="22" t="s">
        <v>2189</v>
      </c>
      <c r="K102" s="23" t="s">
        <v>2084</v>
      </c>
      <c r="L102" s="22" t="s">
        <v>2085</v>
      </c>
      <c r="M102" s="24" t="s">
        <v>2190</v>
      </c>
      <c r="N102" s="24" t="s">
        <v>2191</v>
      </c>
      <c r="O102" s="24" t="s">
        <v>2192</v>
      </c>
      <c r="P102" s="24" t="s">
        <v>1946</v>
      </c>
      <c r="Q102" s="24" t="s">
        <v>2193</v>
      </c>
      <c r="R102" s="24" t="s">
        <v>1750</v>
      </c>
    </row>
    <row r="103" customFormat="false" ht="219.75" hidden="false" customHeight="true" outlineLevel="0" collapsed="false">
      <c r="A103" s="17" t="s">
        <v>1132</v>
      </c>
      <c r="B103" s="17" t="s">
        <v>1303</v>
      </c>
      <c r="C103" s="17" t="s">
        <v>874</v>
      </c>
      <c r="D103" s="17" t="s">
        <v>2015</v>
      </c>
      <c r="E103" s="22" t="s">
        <v>2194</v>
      </c>
      <c r="F103" s="23" t="s">
        <v>2195</v>
      </c>
      <c r="G103" s="22" t="s">
        <v>2196</v>
      </c>
      <c r="H103" s="22" t="s">
        <v>2197</v>
      </c>
      <c r="I103" s="22" t="s">
        <v>2198</v>
      </c>
      <c r="J103" s="22" t="s">
        <v>2199</v>
      </c>
      <c r="K103" s="23" t="s">
        <v>2084</v>
      </c>
      <c r="L103" s="22" t="s">
        <v>2085</v>
      </c>
      <c r="M103" s="24" t="s">
        <v>2200</v>
      </c>
      <c r="N103" s="24" t="s">
        <v>2201</v>
      </c>
      <c r="O103" s="24" t="s">
        <v>2202</v>
      </c>
      <c r="P103" s="24" t="s">
        <v>1581</v>
      </c>
      <c r="Q103" s="25" t="s">
        <v>2203</v>
      </c>
      <c r="R103" s="24" t="s">
        <v>1750</v>
      </c>
    </row>
    <row r="104" customFormat="false" ht="219.75" hidden="false" customHeight="true" outlineLevel="0" collapsed="false">
      <c r="A104" s="17" t="s">
        <v>1132</v>
      </c>
      <c r="B104" s="17" t="s">
        <v>1315</v>
      </c>
      <c r="C104" s="17" t="s">
        <v>925</v>
      </c>
      <c r="D104" s="17" t="s">
        <v>2015</v>
      </c>
      <c r="E104" s="22" t="s">
        <v>2204</v>
      </c>
      <c r="F104" s="23" t="s">
        <v>2205</v>
      </c>
      <c r="G104" s="23" t="s">
        <v>2206</v>
      </c>
      <c r="H104" s="23" t="s">
        <v>2207</v>
      </c>
      <c r="I104" s="22" t="s">
        <v>2208</v>
      </c>
      <c r="J104" s="22" t="s">
        <v>2209</v>
      </c>
      <c r="K104" s="23" t="s">
        <v>2084</v>
      </c>
      <c r="L104" s="22" t="s">
        <v>2085</v>
      </c>
      <c r="M104" s="24" t="s">
        <v>2210</v>
      </c>
      <c r="N104" s="24" t="s">
        <v>2211</v>
      </c>
      <c r="O104" s="24" t="s">
        <v>2212</v>
      </c>
      <c r="P104" s="24" t="s">
        <v>1581</v>
      </c>
      <c r="Q104" s="24" t="s">
        <v>2213</v>
      </c>
      <c r="R104" s="24" t="s">
        <v>1750</v>
      </c>
    </row>
    <row r="105" customFormat="false" ht="219.75" hidden="false" customHeight="true" outlineLevel="0" collapsed="false">
      <c r="A105" s="17" t="s">
        <v>1132</v>
      </c>
      <c r="B105" s="17" t="s">
        <v>1321</v>
      </c>
      <c r="C105" s="17" t="s">
        <v>2214</v>
      </c>
      <c r="D105" s="17" t="s">
        <v>2015</v>
      </c>
      <c r="E105" s="22" t="s">
        <v>2215</v>
      </c>
      <c r="F105" s="23" t="s">
        <v>2216</v>
      </c>
      <c r="G105" s="22" t="s">
        <v>2217</v>
      </c>
      <c r="H105" s="23" t="s">
        <v>2218</v>
      </c>
      <c r="I105" s="22" t="s">
        <v>2219</v>
      </c>
      <c r="J105" s="22" t="s">
        <v>2220</v>
      </c>
      <c r="K105" s="23" t="s">
        <v>2084</v>
      </c>
      <c r="L105" s="22" t="s">
        <v>2085</v>
      </c>
      <c r="M105" s="24" t="s">
        <v>2221</v>
      </c>
      <c r="N105" s="24" t="s">
        <v>2222</v>
      </c>
      <c r="O105" s="24" t="s">
        <v>2223</v>
      </c>
      <c r="P105" s="24" t="s">
        <v>1581</v>
      </c>
      <c r="Q105" s="24" t="s">
        <v>1582</v>
      </c>
      <c r="R105" s="24" t="s">
        <v>1750</v>
      </c>
    </row>
    <row r="106" customFormat="false" ht="219.75" hidden="false" customHeight="true" outlineLevel="0" collapsed="false">
      <c r="A106" s="17" t="s">
        <v>1132</v>
      </c>
      <c r="B106" s="17" t="s">
        <v>1087</v>
      </c>
      <c r="C106" s="17" t="s">
        <v>2224</v>
      </c>
      <c r="D106" s="17" t="s">
        <v>2015</v>
      </c>
      <c r="E106" s="22" t="s">
        <v>2225</v>
      </c>
      <c r="F106" s="23" t="s">
        <v>2226</v>
      </c>
      <c r="G106" s="23" t="s">
        <v>2227</v>
      </c>
      <c r="H106" s="23" t="s">
        <v>2228</v>
      </c>
      <c r="I106" s="23" t="s">
        <v>2229</v>
      </c>
      <c r="J106" s="22" t="s">
        <v>2230</v>
      </c>
      <c r="K106" s="23" t="s">
        <v>2084</v>
      </c>
      <c r="L106" s="22" t="s">
        <v>2085</v>
      </c>
      <c r="M106" s="24" t="s">
        <v>2231</v>
      </c>
      <c r="N106" s="24" t="s">
        <v>2232</v>
      </c>
      <c r="O106" s="24" t="s">
        <v>2233</v>
      </c>
      <c r="P106" s="24" t="s">
        <v>1581</v>
      </c>
      <c r="Q106" s="24" t="s">
        <v>1582</v>
      </c>
      <c r="R106" s="24" t="s">
        <v>1750</v>
      </c>
    </row>
    <row r="107" customFormat="false" ht="219.75" hidden="false" customHeight="true" outlineLevel="0" collapsed="false">
      <c r="A107" s="17" t="s">
        <v>1132</v>
      </c>
      <c r="B107" s="17" t="s">
        <v>1332</v>
      </c>
      <c r="C107" s="17" t="s">
        <v>874</v>
      </c>
      <c r="D107" s="17" t="s">
        <v>2015</v>
      </c>
      <c r="E107" s="22" t="s">
        <v>2234</v>
      </c>
      <c r="F107" s="22" t="s">
        <v>2235</v>
      </c>
      <c r="G107" s="22" t="s">
        <v>2236</v>
      </c>
      <c r="H107" s="22" t="s">
        <v>2237</v>
      </c>
      <c r="I107" s="22" t="s">
        <v>2238</v>
      </c>
      <c r="J107" s="22" t="s">
        <v>2239</v>
      </c>
      <c r="K107" s="23" t="s">
        <v>2084</v>
      </c>
      <c r="L107" s="22" t="s">
        <v>2085</v>
      </c>
      <c r="M107" s="24" t="s">
        <v>2240</v>
      </c>
      <c r="N107" s="24" t="s">
        <v>2241</v>
      </c>
      <c r="O107" s="25" t="s">
        <v>2242</v>
      </c>
      <c r="P107" s="24" t="s">
        <v>1581</v>
      </c>
      <c r="Q107" s="24" t="s">
        <v>2243</v>
      </c>
      <c r="R107" s="24" t="s">
        <v>1750</v>
      </c>
    </row>
    <row r="108" customFormat="false" ht="219.75" hidden="false" customHeight="true" outlineLevel="0" collapsed="false">
      <c r="A108" s="17" t="s">
        <v>1132</v>
      </c>
      <c r="B108" s="17" t="s">
        <v>1338</v>
      </c>
      <c r="C108" s="17" t="s">
        <v>412</v>
      </c>
      <c r="D108" s="17" t="s">
        <v>2015</v>
      </c>
      <c r="E108" s="22" t="s">
        <v>2244</v>
      </c>
      <c r="F108" s="23" t="s">
        <v>2245</v>
      </c>
      <c r="G108" s="23" t="s">
        <v>2246</v>
      </c>
      <c r="H108" s="23" t="s">
        <v>2247</v>
      </c>
      <c r="I108" s="22" t="s">
        <v>2248</v>
      </c>
      <c r="J108" s="22" t="s">
        <v>2249</v>
      </c>
      <c r="K108" s="23" t="s">
        <v>2084</v>
      </c>
      <c r="L108" s="22" t="s">
        <v>2085</v>
      </c>
      <c r="M108" s="24" t="s">
        <v>2250</v>
      </c>
      <c r="N108" s="24" t="s">
        <v>2251</v>
      </c>
      <c r="O108" s="24" t="s">
        <v>2252</v>
      </c>
      <c r="P108" s="24" t="s">
        <v>1581</v>
      </c>
      <c r="Q108" s="25" t="s">
        <v>2253</v>
      </c>
      <c r="R108" s="24" t="s">
        <v>1750</v>
      </c>
    </row>
    <row r="109" customFormat="false" ht="219.75" hidden="false" customHeight="true" outlineLevel="0" collapsed="false">
      <c r="A109" s="17" t="s">
        <v>1132</v>
      </c>
      <c r="B109" s="17" t="s">
        <v>1344</v>
      </c>
      <c r="C109" s="17" t="s">
        <v>395</v>
      </c>
      <c r="D109" s="17" t="s">
        <v>2015</v>
      </c>
      <c r="E109" s="22" t="s">
        <v>2254</v>
      </c>
      <c r="F109" s="23" t="s">
        <v>2255</v>
      </c>
      <c r="G109" s="23" t="s">
        <v>2256</v>
      </c>
      <c r="H109" s="22" t="s">
        <v>2257</v>
      </c>
      <c r="I109" s="22" t="s">
        <v>2258</v>
      </c>
      <c r="J109" s="22" t="s">
        <v>2259</v>
      </c>
      <c r="K109" s="23" t="s">
        <v>2084</v>
      </c>
      <c r="L109" s="22" t="s">
        <v>2085</v>
      </c>
      <c r="M109" s="24" t="s">
        <v>2260</v>
      </c>
      <c r="N109" s="24" t="s">
        <v>2261</v>
      </c>
      <c r="O109" s="24" t="s">
        <v>2262</v>
      </c>
      <c r="P109" s="24" t="s">
        <v>1581</v>
      </c>
      <c r="Q109" s="24" t="s">
        <v>1582</v>
      </c>
      <c r="R109" s="24" t="s">
        <v>1750</v>
      </c>
    </row>
    <row r="110" customFormat="false" ht="15" hidden="false" customHeight="true" outlineLevel="0" collapsed="false">
      <c r="A110" s="17" t="s">
        <v>1132</v>
      </c>
      <c r="B110" s="17" t="s">
        <v>1350</v>
      </c>
      <c r="C110" s="17" t="s">
        <v>1012</v>
      </c>
      <c r="D110" s="17" t="s">
        <v>2015</v>
      </c>
      <c r="E110" s="22" t="s">
        <v>2038</v>
      </c>
      <c r="F110" s="23" t="s">
        <v>136</v>
      </c>
      <c r="G110" s="23" t="s">
        <v>136</v>
      </c>
      <c r="H110" s="23" t="s">
        <v>136</v>
      </c>
      <c r="I110" s="23" t="s">
        <v>136</v>
      </c>
      <c r="J110" s="23" t="s">
        <v>136</v>
      </c>
      <c r="K110" s="23" t="s">
        <v>136</v>
      </c>
      <c r="L110" s="23" t="s">
        <v>136</v>
      </c>
      <c r="M110" s="24" t="s">
        <v>2263</v>
      </c>
      <c r="N110" s="24" t="s">
        <v>2264</v>
      </c>
      <c r="O110" s="24" t="s">
        <v>2265</v>
      </c>
      <c r="P110" s="25" t="s">
        <v>39</v>
      </c>
      <c r="Q110" s="24" t="s">
        <v>2266</v>
      </c>
      <c r="R110" s="24" t="s">
        <v>1750</v>
      </c>
    </row>
    <row r="111" customFormat="false" ht="15" hidden="false" customHeight="true" outlineLevel="0" collapsed="false">
      <c r="A111" s="17" t="s">
        <v>1132</v>
      </c>
      <c r="B111" s="17" t="s">
        <v>1356</v>
      </c>
      <c r="C111" s="17" t="s">
        <v>1089</v>
      </c>
      <c r="D111" s="17" t="s">
        <v>2015</v>
      </c>
      <c r="E111" s="22" t="s">
        <v>2038</v>
      </c>
      <c r="F111" s="23" t="s">
        <v>136</v>
      </c>
      <c r="G111" s="23" t="s">
        <v>136</v>
      </c>
      <c r="H111" s="23" t="s">
        <v>136</v>
      </c>
      <c r="I111" s="23" t="s">
        <v>136</v>
      </c>
      <c r="J111" s="23" t="s">
        <v>136</v>
      </c>
      <c r="K111" s="23" t="s">
        <v>136</v>
      </c>
      <c r="L111" s="23" t="s">
        <v>136</v>
      </c>
      <c r="M111" s="25" t="s">
        <v>2267</v>
      </c>
      <c r="N111" s="24" t="s">
        <v>2268</v>
      </c>
      <c r="O111" s="25" t="s">
        <v>2269</v>
      </c>
      <c r="P111" s="25" t="s">
        <v>39</v>
      </c>
      <c r="Q111" s="24" t="s">
        <v>2270</v>
      </c>
      <c r="R111" s="24" t="s">
        <v>1750</v>
      </c>
    </row>
    <row r="112" customFormat="false" ht="15" hidden="false" customHeight="true" outlineLevel="0" collapsed="false">
      <c r="A112" s="17" t="s">
        <v>1132</v>
      </c>
      <c r="B112" s="17" t="s">
        <v>1362</v>
      </c>
      <c r="C112" s="17" t="s">
        <v>917</v>
      </c>
      <c r="D112" s="17" t="s">
        <v>2015</v>
      </c>
      <c r="E112" s="22" t="s">
        <v>2038</v>
      </c>
      <c r="F112" s="23" t="s">
        <v>136</v>
      </c>
      <c r="G112" s="23" t="s">
        <v>136</v>
      </c>
      <c r="H112" s="23" t="s">
        <v>136</v>
      </c>
      <c r="I112" s="23" t="s">
        <v>136</v>
      </c>
      <c r="J112" s="23" t="s">
        <v>136</v>
      </c>
      <c r="K112" s="23" t="s">
        <v>136</v>
      </c>
      <c r="L112" s="23" t="s">
        <v>136</v>
      </c>
      <c r="M112" s="24" t="s">
        <v>2271</v>
      </c>
      <c r="N112" s="24" t="s">
        <v>2272</v>
      </c>
      <c r="O112" s="25" t="s">
        <v>2273</v>
      </c>
      <c r="P112" s="25" t="s">
        <v>39</v>
      </c>
      <c r="Q112" s="24" t="s">
        <v>2274</v>
      </c>
      <c r="R112" s="24" t="s">
        <v>1750</v>
      </c>
    </row>
    <row r="113" customFormat="false" ht="15" hidden="false" customHeight="true" outlineLevel="0" collapsed="false">
      <c r="A113" s="17" t="s">
        <v>1132</v>
      </c>
      <c r="B113" s="17" t="s">
        <v>1368</v>
      </c>
      <c r="C113" s="17" t="s">
        <v>599</v>
      </c>
      <c r="D113" s="17" t="s">
        <v>2015</v>
      </c>
      <c r="E113" s="22" t="s">
        <v>2038</v>
      </c>
      <c r="F113" s="23" t="s">
        <v>136</v>
      </c>
      <c r="G113" s="23" t="s">
        <v>136</v>
      </c>
      <c r="H113" s="23" t="s">
        <v>136</v>
      </c>
      <c r="I113" s="23" t="s">
        <v>136</v>
      </c>
      <c r="J113" s="23" t="s">
        <v>136</v>
      </c>
      <c r="K113" s="23" t="s">
        <v>136</v>
      </c>
      <c r="L113" s="23" t="s">
        <v>136</v>
      </c>
      <c r="M113" s="25" t="s">
        <v>2275</v>
      </c>
      <c r="N113" s="24" t="s">
        <v>2276</v>
      </c>
      <c r="O113" s="25" t="s">
        <v>2277</v>
      </c>
      <c r="P113" s="25" t="s">
        <v>39</v>
      </c>
      <c r="Q113" s="24" t="s">
        <v>2278</v>
      </c>
      <c r="R113" s="24" t="s">
        <v>1750</v>
      </c>
    </row>
    <row r="114" customFormat="false" ht="15" hidden="false" customHeight="true" outlineLevel="0" collapsed="false">
      <c r="A114" s="17" t="s">
        <v>1132</v>
      </c>
      <c r="B114" s="17" t="s">
        <v>1374</v>
      </c>
      <c r="C114" s="17" t="s">
        <v>917</v>
      </c>
      <c r="D114" s="17" t="s">
        <v>2015</v>
      </c>
      <c r="E114" s="22" t="s">
        <v>2038</v>
      </c>
      <c r="F114" s="23" t="s">
        <v>136</v>
      </c>
      <c r="G114" s="23" t="s">
        <v>136</v>
      </c>
      <c r="H114" s="23" t="s">
        <v>136</v>
      </c>
      <c r="I114" s="23" t="s">
        <v>136</v>
      </c>
      <c r="J114" s="23" t="s">
        <v>136</v>
      </c>
      <c r="K114" s="23" t="s">
        <v>136</v>
      </c>
      <c r="L114" s="23" t="s">
        <v>136</v>
      </c>
      <c r="M114" s="24" t="s">
        <v>2279</v>
      </c>
      <c r="N114" s="24" t="s">
        <v>2280</v>
      </c>
      <c r="O114" s="24" t="s">
        <v>2281</v>
      </c>
      <c r="P114" s="25" t="s">
        <v>39</v>
      </c>
      <c r="Q114" s="24" t="s">
        <v>2282</v>
      </c>
      <c r="R114" s="24" t="s">
        <v>1750</v>
      </c>
    </row>
    <row r="115" customFormat="false" ht="15" hidden="false" customHeight="true" outlineLevel="0" collapsed="false">
      <c r="A115" s="17" t="s">
        <v>1132</v>
      </c>
      <c r="B115" s="17" t="s">
        <v>1379</v>
      </c>
      <c r="C115" s="17" t="s">
        <v>874</v>
      </c>
      <c r="D115" s="17" t="s">
        <v>2015</v>
      </c>
      <c r="E115" s="22" t="s">
        <v>2038</v>
      </c>
      <c r="F115" s="23" t="s">
        <v>136</v>
      </c>
      <c r="G115" s="23" t="s">
        <v>136</v>
      </c>
      <c r="H115" s="23" t="s">
        <v>136</v>
      </c>
      <c r="I115" s="23" t="s">
        <v>136</v>
      </c>
      <c r="J115" s="23" t="s">
        <v>136</v>
      </c>
      <c r="K115" s="23" t="s">
        <v>136</v>
      </c>
      <c r="L115" s="23" t="s">
        <v>136</v>
      </c>
      <c r="M115" s="25" t="s">
        <v>2283</v>
      </c>
      <c r="N115" s="24" t="s">
        <v>2284</v>
      </c>
      <c r="O115" s="25" t="s">
        <v>2285</v>
      </c>
      <c r="P115" s="24" t="s">
        <v>1596</v>
      </c>
      <c r="Q115" s="24" t="s">
        <v>2286</v>
      </c>
      <c r="R115" s="24" t="s">
        <v>1750</v>
      </c>
    </row>
    <row r="116" customFormat="false" ht="15" hidden="false" customHeight="true" outlineLevel="0" collapsed="false">
      <c r="A116" s="17" t="s">
        <v>1132</v>
      </c>
      <c r="B116" s="17" t="s">
        <v>1384</v>
      </c>
      <c r="C116" s="17" t="s">
        <v>387</v>
      </c>
      <c r="D116" s="17" t="s">
        <v>2015</v>
      </c>
      <c r="E116" s="22" t="s">
        <v>2038</v>
      </c>
      <c r="F116" s="23" t="s">
        <v>136</v>
      </c>
      <c r="G116" s="23" t="s">
        <v>136</v>
      </c>
      <c r="H116" s="23" t="s">
        <v>136</v>
      </c>
      <c r="I116" s="23" t="s">
        <v>136</v>
      </c>
      <c r="J116" s="23" t="s">
        <v>136</v>
      </c>
      <c r="K116" s="23" t="s">
        <v>136</v>
      </c>
      <c r="L116" s="23" t="s">
        <v>136</v>
      </c>
      <c r="M116" s="25" t="s">
        <v>2287</v>
      </c>
      <c r="N116" s="24" t="s">
        <v>2288</v>
      </c>
      <c r="O116" s="25" t="s">
        <v>2289</v>
      </c>
      <c r="P116" s="24" t="s">
        <v>1596</v>
      </c>
      <c r="Q116" s="24" t="s">
        <v>2290</v>
      </c>
      <c r="R116" s="24" t="s">
        <v>1750</v>
      </c>
    </row>
    <row r="117" customFormat="false" ht="15" hidden="false" customHeight="true" outlineLevel="0" collapsed="false">
      <c r="A117" s="17" t="s">
        <v>1132</v>
      </c>
      <c r="B117" s="17" t="s">
        <v>1390</v>
      </c>
      <c r="C117" s="17" t="s">
        <v>395</v>
      </c>
      <c r="D117" s="17" t="s">
        <v>2015</v>
      </c>
      <c r="E117" s="22" t="s">
        <v>2038</v>
      </c>
      <c r="F117" s="23" t="s">
        <v>136</v>
      </c>
      <c r="G117" s="23" t="s">
        <v>136</v>
      </c>
      <c r="H117" s="23" t="s">
        <v>136</v>
      </c>
      <c r="I117" s="23" t="s">
        <v>136</v>
      </c>
      <c r="J117" s="23" t="s">
        <v>136</v>
      </c>
      <c r="K117" s="23" t="s">
        <v>136</v>
      </c>
      <c r="L117" s="23" t="s">
        <v>136</v>
      </c>
      <c r="M117" s="24" t="s">
        <v>2291</v>
      </c>
      <c r="N117" s="24" t="s">
        <v>2292</v>
      </c>
      <c r="O117" s="25" t="s">
        <v>136</v>
      </c>
      <c r="P117" s="24" t="s">
        <v>1596</v>
      </c>
      <c r="Q117" s="24" t="s">
        <v>2293</v>
      </c>
      <c r="R117" s="24" t="s">
        <v>1750</v>
      </c>
    </row>
    <row r="118" customFormat="false" ht="15" hidden="false" customHeight="true" outlineLevel="0" collapsed="false">
      <c r="A118" s="17" t="s">
        <v>1132</v>
      </c>
      <c r="B118" s="17" t="s">
        <v>1396</v>
      </c>
      <c r="C118" s="17" t="s">
        <v>909</v>
      </c>
      <c r="D118" s="17" t="s">
        <v>2015</v>
      </c>
      <c r="E118" s="22" t="s">
        <v>2038</v>
      </c>
      <c r="F118" s="23" t="s">
        <v>136</v>
      </c>
      <c r="G118" s="23" t="s">
        <v>136</v>
      </c>
      <c r="H118" s="23" t="s">
        <v>136</v>
      </c>
      <c r="I118" s="23" t="s">
        <v>136</v>
      </c>
      <c r="J118" s="23" t="s">
        <v>136</v>
      </c>
      <c r="K118" s="23" t="s">
        <v>136</v>
      </c>
      <c r="L118" s="23" t="s">
        <v>136</v>
      </c>
      <c r="M118" s="24" t="s">
        <v>2294</v>
      </c>
      <c r="N118" s="24" t="s">
        <v>2292</v>
      </c>
      <c r="O118" s="25" t="s">
        <v>136</v>
      </c>
      <c r="P118" s="24" t="s">
        <v>1596</v>
      </c>
      <c r="Q118" s="24" t="s">
        <v>2295</v>
      </c>
      <c r="R118" s="24" t="s">
        <v>1750</v>
      </c>
    </row>
    <row r="119" customFormat="false" ht="15" hidden="false" customHeight="true" outlineLevel="0" collapsed="false">
      <c r="A119" s="17" t="s">
        <v>1132</v>
      </c>
      <c r="B119" s="17" t="s">
        <v>1402</v>
      </c>
      <c r="C119" s="17" t="s">
        <v>917</v>
      </c>
      <c r="D119" s="17" t="s">
        <v>2015</v>
      </c>
      <c r="E119" s="22" t="s">
        <v>2038</v>
      </c>
      <c r="F119" s="23" t="s">
        <v>136</v>
      </c>
      <c r="G119" s="23" t="s">
        <v>136</v>
      </c>
      <c r="H119" s="23" t="s">
        <v>136</v>
      </c>
      <c r="I119" s="23" t="s">
        <v>136</v>
      </c>
      <c r="J119" s="23" t="s">
        <v>136</v>
      </c>
      <c r="K119" s="23" t="s">
        <v>136</v>
      </c>
      <c r="L119" s="23" t="s">
        <v>136</v>
      </c>
      <c r="M119" s="24" t="s">
        <v>2296</v>
      </c>
      <c r="N119" s="24" t="s">
        <v>2297</v>
      </c>
      <c r="O119" s="25" t="s">
        <v>2298</v>
      </c>
      <c r="P119" s="25" t="s">
        <v>39</v>
      </c>
      <c r="Q119" s="24" t="s">
        <v>2299</v>
      </c>
      <c r="R119" s="24" t="s">
        <v>1750</v>
      </c>
    </row>
    <row r="120" customFormat="false" ht="15" hidden="false" customHeight="true" outlineLevel="0" collapsed="false">
      <c r="A120" s="17" t="s">
        <v>1132</v>
      </c>
      <c r="B120" s="17" t="s">
        <v>1407</v>
      </c>
      <c r="C120" s="17" t="s">
        <v>917</v>
      </c>
      <c r="D120" s="17" t="s">
        <v>2015</v>
      </c>
      <c r="E120" s="22" t="s">
        <v>2038</v>
      </c>
      <c r="F120" s="23" t="s">
        <v>136</v>
      </c>
      <c r="G120" s="23" t="s">
        <v>136</v>
      </c>
      <c r="H120" s="23" t="s">
        <v>136</v>
      </c>
      <c r="I120" s="23" t="s">
        <v>136</v>
      </c>
      <c r="J120" s="23" t="s">
        <v>136</v>
      </c>
      <c r="K120" s="23" t="s">
        <v>136</v>
      </c>
      <c r="L120" s="23" t="s">
        <v>136</v>
      </c>
      <c r="M120" s="24" t="s">
        <v>2300</v>
      </c>
      <c r="N120" s="24" t="s">
        <v>2292</v>
      </c>
      <c r="O120" s="25" t="s">
        <v>136</v>
      </c>
      <c r="P120" s="24" t="s">
        <v>1596</v>
      </c>
      <c r="Q120" s="24" t="s">
        <v>2301</v>
      </c>
      <c r="R120" s="24" t="s">
        <v>1750</v>
      </c>
    </row>
    <row r="121" customFormat="false" ht="15" hidden="false" customHeight="true" outlineLevel="0" collapsed="false">
      <c r="A121" s="17" t="s">
        <v>1132</v>
      </c>
      <c r="B121" s="17" t="s">
        <v>1412</v>
      </c>
      <c r="C121" s="17" t="s">
        <v>599</v>
      </c>
      <c r="D121" s="17" t="s">
        <v>2015</v>
      </c>
      <c r="E121" s="22" t="s">
        <v>2038</v>
      </c>
      <c r="F121" s="23" t="s">
        <v>136</v>
      </c>
      <c r="G121" s="23" t="s">
        <v>136</v>
      </c>
      <c r="H121" s="23" t="s">
        <v>136</v>
      </c>
      <c r="I121" s="23" t="s">
        <v>136</v>
      </c>
      <c r="J121" s="23" t="s">
        <v>136</v>
      </c>
      <c r="K121" s="23" t="s">
        <v>136</v>
      </c>
      <c r="L121" s="23" t="s">
        <v>136</v>
      </c>
      <c r="M121" s="24" t="s">
        <v>2294</v>
      </c>
      <c r="N121" s="24" t="s">
        <v>2292</v>
      </c>
      <c r="O121" s="25" t="s">
        <v>136</v>
      </c>
      <c r="P121" s="24" t="s">
        <v>1596</v>
      </c>
      <c r="Q121" s="24" t="s">
        <v>2302</v>
      </c>
      <c r="R121" s="24" t="s">
        <v>1750</v>
      </c>
    </row>
    <row r="122" customFormat="false" ht="15" hidden="false" customHeight="true" outlineLevel="0" collapsed="false">
      <c r="A122" s="17" t="s">
        <v>1132</v>
      </c>
      <c r="B122" s="17" t="s">
        <v>1417</v>
      </c>
      <c r="C122" s="17" t="s">
        <v>422</v>
      </c>
      <c r="D122" s="17" t="s">
        <v>2015</v>
      </c>
      <c r="E122" s="22" t="s">
        <v>2038</v>
      </c>
      <c r="F122" s="23" t="s">
        <v>136</v>
      </c>
      <c r="G122" s="23" t="s">
        <v>136</v>
      </c>
      <c r="H122" s="23" t="s">
        <v>136</v>
      </c>
      <c r="I122" s="23" t="s">
        <v>136</v>
      </c>
      <c r="J122" s="23" t="s">
        <v>136</v>
      </c>
      <c r="K122" s="23" t="s">
        <v>136</v>
      </c>
      <c r="L122" s="23" t="s">
        <v>136</v>
      </c>
      <c r="M122" s="24" t="s">
        <v>2300</v>
      </c>
      <c r="N122" s="24" t="s">
        <v>2303</v>
      </c>
      <c r="O122" s="25" t="s">
        <v>136</v>
      </c>
      <c r="P122" s="24" t="s">
        <v>1596</v>
      </c>
      <c r="Q122" s="24" t="s">
        <v>2304</v>
      </c>
      <c r="R122" s="24" t="s">
        <v>1750</v>
      </c>
    </row>
    <row r="123" customFormat="false" ht="219.75" hidden="false" customHeight="true" outlineLevel="0" collapsed="false">
      <c r="A123" s="17" t="s">
        <v>1301</v>
      </c>
      <c r="B123" s="17" t="s">
        <v>1296</v>
      </c>
      <c r="C123" s="17" t="s">
        <v>599</v>
      </c>
      <c r="D123" s="17" t="s">
        <v>2305</v>
      </c>
      <c r="E123" s="22" t="s">
        <v>2306</v>
      </c>
      <c r="F123" s="23" t="s">
        <v>2307</v>
      </c>
      <c r="G123" s="23" t="s">
        <v>2308</v>
      </c>
      <c r="H123" s="23" t="s">
        <v>2309</v>
      </c>
      <c r="I123" s="23" t="s">
        <v>2310</v>
      </c>
      <c r="J123" s="22" t="s">
        <v>2311</v>
      </c>
      <c r="K123" s="23" t="s">
        <v>2312</v>
      </c>
      <c r="L123" s="22" t="s">
        <v>2313</v>
      </c>
      <c r="M123" s="24" t="s">
        <v>2314</v>
      </c>
      <c r="N123" s="24" t="s">
        <v>2315</v>
      </c>
      <c r="O123" s="24" t="s">
        <v>2316</v>
      </c>
      <c r="P123" s="24" t="s">
        <v>1581</v>
      </c>
      <c r="Q123" s="25" t="s">
        <v>2317</v>
      </c>
      <c r="R123" s="24" t="s">
        <v>2318</v>
      </c>
    </row>
    <row r="124" customFormat="false" ht="219.75" hidden="false" customHeight="true" outlineLevel="0" collapsed="false">
      <c r="A124" s="17" t="s">
        <v>1301</v>
      </c>
      <c r="B124" s="17" t="s">
        <v>1350</v>
      </c>
      <c r="C124" s="17" t="s">
        <v>1012</v>
      </c>
      <c r="D124" s="17" t="s">
        <v>2305</v>
      </c>
      <c r="E124" s="22" t="s">
        <v>2319</v>
      </c>
      <c r="F124" s="23" t="s">
        <v>2320</v>
      </c>
      <c r="G124" s="22" t="s">
        <v>2321</v>
      </c>
      <c r="H124" s="23" t="s">
        <v>2322</v>
      </c>
      <c r="I124" s="22" t="s">
        <v>2323</v>
      </c>
      <c r="J124" s="22" t="s">
        <v>2324</v>
      </c>
      <c r="K124" s="23" t="s">
        <v>2312</v>
      </c>
      <c r="L124" s="22" t="s">
        <v>2313</v>
      </c>
      <c r="M124" s="24" t="s">
        <v>2325</v>
      </c>
      <c r="N124" s="24" t="s">
        <v>2326</v>
      </c>
      <c r="O124" s="24" t="s">
        <v>2327</v>
      </c>
      <c r="P124" s="24" t="s">
        <v>1581</v>
      </c>
      <c r="Q124" s="24" t="s">
        <v>2328</v>
      </c>
      <c r="R124" s="24" t="s">
        <v>2318</v>
      </c>
    </row>
    <row r="125" customFormat="false" ht="219.75" hidden="false" customHeight="true" outlineLevel="0" collapsed="false">
      <c r="A125" s="17" t="s">
        <v>1301</v>
      </c>
      <c r="B125" s="17" t="s">
        <v>1396</v>
      </c>
      <c r="C125" s="17" t="s">
        <v>909</v>
      </c>
      <c r="D125" s="17" t="s">
        <v>2305</v>
      </c>
      <c r="E125" s="22" t="s">
        <v>2329</v>
      </c>
      <c r="F125" s="23" t="s">
        <v>2330</v>
      </c>
      <c r="G125" s="22" t="s">
        <v>2331</v>
      </c>
      <c r="H125" s="22" t="s">
        <v>2332</v>
      </c>
      <c r="I125" s="22" t="s">
        <v>2333</v>
      </c>
      <c r="J125" s="22" t="s">
        <v>2334</v>
      </c>
      <c r="K125" s="23" t="s">
        <v>2312</v>
      </c>
      <c r="L125" s="22" t="s">
        <v>2313</v>
      </c>
      <c r="M125" s="24" t="s">
        <v>2335</v>
      </c>
      <c r="N125" s="24" t="s">
        <v>2336</v>
      </c>
      <c r="O125" s="24" t="s">
        <v>2337</v>
      </c>
      <c r="P125" s="24" t="s">
        <v>1581</v>
      </c>
      <c r="Q125" s="24" t="s">
        <v>2338</v>
      </c>
      <c r="R125" s="24" t="s">
        <v>2318</v>
      </c>
    </row>
    <row r="126" customFormat="false" ht="219.75" hidden="false" customHeight="true" outlineLevel="0" collapsed="false">
      <c r="A126" s="17" t="s">
        <v>1301</v>
      </c>
      <c r="B126" s="17" t="s">
        <v>1356</v>
      </c>
      <c r="C126" s="17" t="s">
        <v>2339</v>
      </c>
      <c r="D126" s="17" t="s">
        <v>2305</v>
      </c>
      <c r="E126" s="22" t="s">
        <v>2340</v>
      </c>
      <c r="F126" s="23" t="s">
        <v>2341</v>
      </c>
      <c r="G126" s="23" t="s">
        <v>2342</v>
      </c>
      <c r="H126" s="22" t="s">
        <v>2343</v>
      </c>
      <c r="I126" s="23" t="s">
        <v>2344</v>
      </c>
      <c r="J126" s="22" t="s">
        <v>2345</v>
      </c>
      <c r="K126" s="23" t="s">
        <v>2312</v>
      </c>
      <c r="L126" s="22" t="s">
        <v>2313</v>
      </c>
      <c r="M126" s="24" t="s">
        <v>2346</v>
      </c>
      <c r="N126" s="24" t="s">
        <v>2347</v>
      </c>
      <c r="O126" s="25" t="s">
        <v>2348</v>
      </c>
      <c r="P126" s="24" t="s">
        <v>1581</v>
      </c>
      <c r="Q126" s="24" t="s">
        <v>1582</v>
      </c>
      <c r="R126" s="24" t="s">
        <v>2318</v>
      </c>
    </row>
    <row r="127" customFormat="false" ht="219.75" hidden="false" customHeight="true" outlineLevel="0" collapsed="false">
      <c r="A127" s="17" t="s">
        <v>1301</v>
      </c>
      <c r="B127" s="17" t="s">
        <v>1362</v>
      </c>
      <c r="C127" s="17" t="s">
        <v>917</v>
      </c>
      <c r="D127" s="17" t="s">
        <v>2305</v>
      </c>
      <c r="E127" s="22" t="s">
        <v>2349</v>
      </c>
      <c r="F127" s="23" t="s">
        <v>2350</v>
      </c>
      <c r="G127" s="22" t="s">
        <v>2351</v>
      </c>
      <c r="H127" s="23" t="s">
        <v>2352</v>
      </c>
      <c r="I127" s="23" t="s">
        <v>2353</v>
      </c>
      <c r="J127" s="22" t="s">
        <v>2354</v>
      </c>
      <c r="K127" s="23" t="s">
        <v>2312</v>
      </c>
      <c r="L127" s="22" t="s">
        <v>2313</v>
      </c>
      <c r="M127" s="24" t="s">
        <v>2355</v>
      </c>
      <c r="N127" s="24" t="s">
        <v>2356</v>
      </c>
      <c r="O127" s="25" t="s">
        <v>2357</v>
      </c>
      <c r="P127" s="24" t="s">
        <v>1581</v>
      </c>
      <c r="Q127" s="24" t="s">
        <v>2358</v>
      </c>
      <c r="R127" s="24" t="s">
        <v>2318</v>
      </c>
    </row>
    <row r="128" customFormat="false" ht="219.75" hidden="false" customHeight="true" outlineLevel="0" collapsed="false">
      <c r="A128" s="17" t="s">
        <v>1301</v>
      </c>
      <c r="B128" s="17" t="s">
        <v>1368</v>
      </c>
      <c r="C128" s="17" t="s">
        <v>599</v>
      </c>
      <c r="D128" s="17" t="s">
        <v>2305</v>
      </c>
      <c r="E128" s="22" t="s">
        <v>2359</v>
      </c>
      <c r="F128" s="23" t="s">
        <v>2360</v>
      </c>
      <c r="G128" s="22" t="s">
        <v>2361</v>
      </c>
      <c r="H128" s="22" t="s">
        <v>2362</v>
      </c>
      <c r="I128" s="22" t="s">
        <v>2363</v>
      </c>
      <c r="J128" s="22" t="s">
        <v>2364</v>
      </c>
      <c r="K128" s="23" t="s">
        <v>2312</v>
      </c>
      <c r="L128" s="22" t="s">
        <v>2313</v>
      </c>
      <c r="M128" s="24" t="s">
        <v>2365</v>
      </c>
      <c r="N128" s="24" t="s">
        <v>2366</v>
      </c>
      <c r="O128" s="24" t="s">
        <v>2367</v>
      </c>
      <c r="P128" s="24" t="s">
        <v>1581</v>
      </c>
      <c r="Q128" s="24" t="s">
        <v>1582</v>
      </c>
      <c r="R128" s="24" t="s">
        <v>2318</v>
      </c>
    </row>
    <row r="129" customFormat="false" ht="219.75" hidden="false" customHeight="true" outlineLevel="0" collapsed="false">
      <c r="A129" s="17" t="s">
        <v>1301</v>
      </c>
      <c r="B129" s="17" t="s">
        <v>1374</v>
      </c>
      <c r="C129" s="17" t="s">
        <v>917</v>
      </c>
      <c r="D129" s="17" t="s">
        <v>2305</v>
      </c>
      <c r="E129" s="22" t="s">
        <v>2368</v>
      </c>
      <c r="F129" s="23" t="s">
        <v>2369</v>
      </c>
      <c r="G129" s="22" t="s">
        <v>2370</v>
      </c>
      <c r="H129" s="22" t="s">
        <v>2371</v>
      </c>
      <c r="I129" s="23" t="s">
        <v>2372</v>
      </c>
      <c r="J129" s="22" t="s">
        <v>2373</v>
      </c>
      <c r="K129" s="23" t="s">
        <v>2312</v>
      </c>
      <c r="L129" s="22" t="s">
        <v>2313</v>
      </c>
      <c r="M129" s="24" t="s">
        <v>2374</v>
      </c>
      <c r="N129" s="24" t="s">
        <v>2375</v>
      </c>
      <c r="O129" s="25" t="s">
        <v>2376</v>
      </c>
      <c r="P129" s="24" t="s">
        <v>1581</v>
      </c>
      <c r="Q129" s="24" t="s">
        <v>2377</v>
      </c>
      <c r="R129" s="24" t="s">
        <v>2318</v>
      </c>
    </row>
    <row r="130" customFormat="false" ht="219.75" hidden="false" customHeight="true" outlineLevel="0" collapsed="false">
      <c r="A130" s="17" t="s">
        <v>1301</v>
      </c>
      <c r="B130" s="17" t="s">
        <v>1379</v>
      </c>
      <c r="C130" s="17" t="s">
        <v>874</v>
      </c>
      <c r="D130" s="17" t="s">
        <v>2305</v>
      </c>
      <c r="E130" s="22" t="s">
        <v>2378</v>
      </c>
      <c r="F130" s="23" t="s">
        <v>2379</v>
      </c>
      <c r="G130" s="22" t="s">
        <v>2380</v>
      </c>
      <c r="H130" s="22" t="s">
        <v>2381</v>
      </c>
      <c r="I130" s="23" t="s">
        <v>2382</v>
      </c>
      <c r="J130" s="22" t="s">
        <v>2383</v>
      </c>
      <c r="K130" s="23" t="s">
        <v>2312</v>
      </c>
      <c r="L130" s="22" t="s">
        <v>2313</v>
      </c>
      <c r="M130" s="24" t="s">
        <v>2384</v>
      </c>
      <c r="N130" s="24" t="s">
        <v>2385</v>
      </c>
      <c r="O130" s="25" t="s">
        <v>2386</v>
      </c>
      <c r="P130" s="24" t="s">
        <v>1581</v>
      </c>
      <c r="Q130" s="24" t="s">
        <v>1582</v>
      </c>
      <c r="R130" s="24" t="s">
        <v>2318</v>
      </c>
    </row>
    <row r="131" customFormat="false" ht="219.75" hidden="false" customHeight="true" outlineLevel="0" collapsed="false">
      <c r="A131" s="17" t="s">
        <v>1301</v>
      </c>
      <c r="B131" s="17" t="s">
        <v>1384</v>
      </c>
      <c r="C131" s="17" t="s">
        <v>387</v>
      </c>
      <c r="D131" s="17" t="s">
        <v>2305</v>
      </c>
      <c r="E131" s="22" t="s">
        <v>2387</v>
      </c>
      <c r="F131" s="23" t="s">
        <v>2388</v>
      </c>
      <c r="G131" s="23" t="s">
        <v>2389</v>
      </c>
      <c r="H131" s="22" t="s">
        <v>2390</v>
      </c>
      <c r="I131" s="22" t="s">
        <v>2391</v>
      </c>
      <c r="J131" s="22" t="s">
        <v>2392</v>
      </c>
      <c r="K131" s="23" t="s">
        <v>2312</v>
      </c>
      <c r="L131" s="22" t="s">
        <v>2313</v>
      </c>
      <c r="M131" s="24" t="s">
        <v>2393</v>
      </c>
      <c r="N131" s="24" t="s">
        <v>2394</v>
      </c>
      <c r="O131" s="25" t="s">
        <v>2395</v>
      </c>
      <c r="P131" s="24" t="s">
        <v>1581</v>
      </c>
      <c r="Q131" s="24" t="s">
        <v>1582</v>
      </c>
      <c r="R131" s="24" t="s">
        <v>2318</v>
      </c>
    </row>
    <row r="132" customFormat="false" ht="219.75" hidden="false" customHeight="true" outlineLevel="0" collapsed="false">
      <c r="A132" s="17" t="s">
        <v>1301</v>
      </c>
      <c r="B132" s="17" t="s">
        <v>1390</v>
      </c>
      <c r="C132" s="17" t="s">
        <v>395</v>
      </c>
      <c r="D132" s="17" t="s">
        <v>2305</v>
      </c>
      <c r="E132" s="22" t="s">
        <v>2396</v>
      </c>
      <c r="F132" s="23" t="s">
        <v>2397</v>
      </c>
      <c r="G132" s="22" t="s">
        <v>2398</v>
      </c>
      <c r="H132" s="23" t="s">
        <v>2399</v>
      </c>
      <c r="I132" s="22" t="s">
        <v>2400</v>
      </c>
      <c r="J132" s="22" t="s">
        <v>2401</v>
      </c>
      <c r="K132" s="23" t="s">
        <v>2312</v>
      </c>
      <c r="L132" s="22" t="s">
        <v>2313</v>
      </c>
      <c r="M132" s="24" t="s">
        <v>2402</v>
      </c>
      <c r="N132" s="24" t="s">
        <v>2403</v>
      </c>
      <c r="O132" s="24" t="s">
        <v>2404</v>
      </c>
      <c r="P132" s="24" t="s">
        <v>1946</v>
      </c>
      <c r="Q132" s="24" t="s">
        <v>2405</v>
      </c>
      <c r="R132" s="24" t="s">
        <v>2318</v>
      </c>
    </row>
    <row r="133" customFormat="false" ht="219.75" hidden="false" customHeight="true" outlineLevel="0" collapsed="false">
      <c r="A133" s="17" t="s">
        <v>1301</v>
      </c>
      <c r="B133" s="17" t="s">
        <v>1402</v>
      </c>
      <c r="C133" s="17" t="s">
        <v>917</v>
      </c>
      <c r="D133" s="17" t="s">
        <v>2305</v>
      </c>
      <c r="E133" s="22" t="s">
        <v>2406</v>
      </c>
      <c r="F133" s="23" t="s">
        <v>2407</v>
      </c>
      <c r="G133" s="22" t="s">
        <v>2408</v>
      </c>
      <c r="H133" s="22" t="s">
        <v>2409</v>
      </c>
      <c r="I133" s="23" t="s">
        <v>2410</v>
      </c>
      <c r="J133" s="22" t="s">
        <v>2411</v>
      </c>
      <c r="K133" s="23" t="s">
        <v>2312</v>
      </c>
      <c r="L133" s="22" t="s">
        <v>2313</v>
      </c>
      <c r="M133" s="24" t="s">
        <v>2412</v>
      </c>
      <c r="N133" s="24" t="s">
        <v>2413</v>
      </c>
      <c r="O133" s="25" t="s">
        <v>2414</v>
      </c>
      <c r="P133" s="24" t="s">
        <v>1581</v>
      </c>
      <c r="Q133" s="24" t="s">
        <v>2415</v>
      </c>
      <c r="R133" s="24" t="s">
        <v>2318</v>
      </c>
    </row>
    <row r="134" customFormat="false" ht="219.75" hidden="false" customHeight="true" outlineLevel="0" collapsed="false">
      <c r="A134" s="17" t="s">
        <v>1301</v>
      </c>
      <c r="B134" s="17" t="s">
        <v>1407</v>
      </c>
      <c r="C134" s="17" t="s">
        <v>917</v>
      </c>
      <c r="D134" s="17" t="s">
        <v>2305</v>
      </c>
      <c r="E134" s="22" t="s">
        <v>2416</v>
      </c>
      <c r="F134" s="23" t="s">
        <v>2417</v>
      </c>
      <c r="G134" s="23" t="s">
        <v>2418</v>
      </c>
      <c r="H134" s="22" t="s">
        <v>2419</v>
      </c>
      <c r="I134" s="22" t="s">
        <v>2420</v>
      </c>
      <c r="J134" s="22" t="s">
        <v>2421</v>
      </c>
      <c r="K134" s="23" t="s">
        <v>2312</v>
      </c>
      <c r="L134" s="22" t="s">
        <v>2313</v>
      </c>
      <c r="M134" s="24" t="s">
        <v>2422</v>
      </c>
      <c r="N134" s="24" t="s">
        <v>2423</v>
      </c>
      <c r="O134" s="25" t="s">
        <v>2424</v>
      </c>
      <c r="P134" s="24" t="s">
        <v>1581</v>
      </c>
      <c r="Q134" s="24" t="s">
        <v>2425</v>
      </c>
      <c r="R134" s="24" t="s">
        <v>2318</v>
      </c>
    </row>
    <row r="135" customFormat="false" ht="219.75" hidden="false" customHeight="true" outlineLevel="0" collapsed="false">
      <c r="A135" s="17" t="s">
        <v>1301</v>
      </c>
      <c r="B135" s="17" t="s">
        <v>1412</v>
      </c>
      <c r="C135" s="17" t="s">
        <v>599</v>
      </c>
      <c r="D135" s="17" t="s">
        <v>2305</v>
      </c>
      <c r="E135" s="22" t="s">
        <v>2426</v>
      </c>
      <c r="F135" s="23" t="s">
        <v>2427</v>
      </c>
      <c r="G135" s="22" t="s">
        <v>2428</v>
      </c>
      <c r="H135" s="22" t="s">
        <v>2429</v>
      </c>
      <c r="I135" s="23" t="s">
        <v>2430</v>
      </c>
      <c r="J135" s="22" t="s">
        <v>2431</v>
      </c>
      <c r="K135" s="23" t="s">
        <v>2312</v>
      </c>
      <c r="L135" s="22" t="s">
        <v>2313</v>
      </c>
      <c r="M135" s="24" t="s">
        <v>2432</v>
      </c>
      <c r="N135" s="24" t="s">
        <v>2433</v>
      </c>
      <c r="O135" s="24" t="s">
        <v>2434</v>
      </c>
      <c r="P135" s="24" t="s">
        <v>1581</v>
      </c>
      <c r="Q135" s="25" t="s">
        <v>2435</v>
      </c>
      <c r="R135" s="24" t="s">
        <v>2318</v>
      </c>
    </row>
    <row r="136" customFormat="false" ht="219.75" hidden="false" customHeight="true" outlineLevel="0" collapsed="false">
      <c r="A136" s="17" t="s">
        <v>1301</v>
      </c>
      <c r="B136" s="17" t="s">
        <v>1417</v>
      </c>
      <c r="C136" s="17" t="s">
        <v>422</v>
      </c>
      <c r="D136" s="17" t="s">
        <v>2305</v>
      </c>
      <c r="E136" s="22" t="s">
        <v>2436</v>
      </c>
      <c r="F136" s="23" t="s">
        <v>2437</v>
      </c>
      <c r="G136" s="22" t="s">
        <v>2438</v>
      </c>
      <c r="H136" s="23" t="s">
        <v>2439</v>
      </c>
      <c r="I136" s="22" t="s">
        <v>2440</v>
      </c>
      <c r="J136" s="22" t="s">
        <v>2441</v>
      </c>
      <c r="K136" s="23" t="s">
        <v>2312</v>
      </c>
      <c r="L136" s="22" t="s">
        <v>2313</v>
      </c>
      <c r="M136" s="24" t="s">
        <v>2442</v>
      </c>
      <c r="N136" s="24" t="s">
        <v>2443</v>
      </c>
      <c r="O136" s="24" t="s">
        <v>2444</v>
      </c>
      <c r="P136" s="24" t="s">
        <v>1581</v>
      </c>
      <c r="Q136" s="25" t="s">
        <v>2445</v>
      </c>
      <c r="R136" s="24" t="s">
        <v>2318</v>
      </c>
    </row>
    <row r="137" customFormat="false" ht="219.75" hidden="false" customHeight="true" outlineLevel="0" collapsed="false">
      <c r="A137" s="17" t="s">
        <v>1301</v>
      </c>
      <c r="B137" s="17" t="s">
        <v>1423</v>
      </c>
      <c r="C137" s="17" t="s">
        <v>917</v>
      </c>
      <c r="D137" s="17" t="s">
        <v>2305</v>
      </c>
      <c r="E137" s="22" t="s">
        <v>2038</v>
      </c>
      <c r="F137" s="23" t="s">
        <v>136</v>
      </c>
      <c r="G137" s="23" t="s">
        <v>136</v>
      </c>
      <c r="H137" s="23" t="s">
        <v>136</v>
      </c>
      <c r="I137" s="23" t="s">
        <v>136</v>
      </c>
      <c r="J137" s="23" t="s">
        <v>136</v>
      </c>
      <c r="K137" s="23" t="s">
        <v>136</v>
      </c>
      <c r="L137" s="23" t="s">
        <v>136</v>
      </c>
      <c r="M137" s="24" t="s">
        <v>2446</v>
      </c>
      <c r="N137" s="24" t="s">
        <v>2447</v>
      </c>
      <c r="O137" s="25" t="s">
        <v>2448</v>
      </c>
      <c r="P137" s="25" t="s">
        <v>39</v>
      </c>
      <c r="Q137" s="24" t="s">
        <v>2449</v>
      </c>
      <c r="R137" s="24" t="s">
        <v>2318</v>
      </c>
    </row>
    <row r="138" customFormat="false" ht="219.75" hidden="false" customHeight="true" outlineLevel="0" collapsed="false">
      <c r="A138" s="17" t="s">
        <v>1301</v>
      </c>
      <c r="B138" s="17" t="s">
        <v>1428</v>
      </c>
      <c r="C138" s="17" t="s">
        <v>599</v>
      </c>
      <c r="D138" s="17" t="s">
        <v>2305</v>
      </c>
      <c r="E138" s="22" t="s">
        <v>2038</v>
      </c>
      <c r="F138" s="23" t="s">
        <v>136</v>
      </c>
      <c r="G138" s="23" t="s">
        <v>136</v>
      </c>
      <c r="H138" s="23" t="s">
        <v>136</v>
      </c>
      <c r="I138" s="23" t="s">
        <v>136</v>
      </c>
      <c r="J138" s="23" t="s">
        <v>136</v>
      </c>
      <c r="K138" s="23" t="s">
        <v>136</v>
      </c>
      <c r="L138" s="23" t="s">
        <v>136</v>
      </c>
      <c r="M138" s="24" t="s">
        <v>2450</v>
      </c>
      <c r="N138" s="24" t="s">
        <v>2451</v>
      </c>
      <c r="O138" s="25" t="s">
        <v>136</v>
      </c>
      <c r="P138" s="24" t="s">
        <v>1596</v>
      </c>
      <c r="Q138" s="24" t="s">
        <v>2452</v>
      </c>
      <c r="R138" s="24" t="s">
        <v>2318</v>
      </c>
    </row>
    <row r="139" customFormat="false" ht="219.75" hidden="false" customHeight="true" outlineLevel="0" collapsed="false">
      <c r="A139" s="17" t="s">
        <v>1301</v>
      </c>
      <c r="B139" s="17" t="s">
        <v>1433</v>
      </c>
      <c r="C139" s="17" t="s">
        <v>917</v>
      </c>
      <c r="D139" s="17" t="s">
        <v>2305</v>
      </c>
      <c r="E139" s="22" t="s">
        <v>2038</v>
      </c>
      <c r="F139" s="23" t="s">
        <v>136</v>
      </c>
      <c r="G139" s="23" t="s">
        <v>136</v>
      </c>
      <c r="H139" s="23" t="s">
        <v>136</v>
      </c>
      <c r="I139" s="23" t="s">
        <v>136</v>
      </c>
      <c r="J139" s="23" t="s">
        <v>136</v>
      </c>
      <c r="K139" s="23" t="s">
        <v>136</v>
      </c>
      <c r="L139" s="23" t="s">
        <v>136</v>
      </c>
      <c r="M139" s="24" t="s">
        <v>2300</v>
      </c>
      <c r="N139" s="24" t="s">
        <v>2292</v>
      </c>
      <c r="O139" s="25" t="s">
        <v>136</v>
      </c>
      <c r="P139" s="24" t="s">
        <v>1596</v>
      </c>
      <c r="Q139" s="24" t="s">
        <v>2453</v>
      </c>
      <c r="R139" s="24" t="s">
        <v>2318</v>
      </c>
    </row>
    <row r="140" customFormat="false" ht="219.75" hidden="false" customHeight="true" outlineLevel="0" collapsed="false">
      <c r="A140" s="17" t="s">
        <v>1301</v>
      </c>
      <c r="B140" s="17" t="s">
        <v>1103</v>
      </c>
      <c r="C140" s="17" t="s">
        <v>1096</v>
      </c>
      <c r="D140" s="17" t="s">
        <v>2305</v>
      </c>
      <c r="E140" s="22" t="s">
        <v>2038</v>
      </c>
      <c r="F140" s="23" t="s">
        <v>136</v>
      </c>
      <c r="G140" s="23" t="s">
        <v>136</v>
      </c>
      <c r="H140" s="23" t="s">
        <v>136</v>
      </c>
      <c r="I140" s="23" t="s">
        <v>136</v>
      </c>
      <c r="J140" s="23" t="s">
        <v>136</v>
      </c>
      <c r="K140" s="23" t="s">
        <v>136</v>
      </c>
      <c r="L140" s="23" t="s">
        <v>136</v>
      </c>
      <c r="M140" s="25" t="s">
        <v>2454</v>
      </c>
      <c r="N140" s="24" t="s">
        <v>2455</v>
      </c>
      <c r="O140" s="24" t="s">
        <v>2456</v>
      </c>
      <c r="P140" s="25" t="s">
        <v>39</v>
      </c>
      <c r="Q140" s="24" t="s">
        <v>2457</v>
      </c>
      <c r="R140" s="24" t="s">
        <v>2318</v>
      </c>
    </row>
    <row r="141" customFormat="false" ht="219.75" hidden="false" customHeight="true" outlineLevel="0" collapsed="false">
      <c r="A141" s="26" t="s">
        <v>1394</v>
      </c>
      <c r="B141" s="1" t="s">
        <v>1390</v>
      </c>
      <c r="C141" s="1" t="s">
        <v>395</v>
      </c>
      <c r="D141" s="1" t="s">
        <v>2305</v>
      </c>
      <c r="E141" s="27" t="s">
        <v>2458</v>
      </c>
      <c r="F141" s="1" t="s">
        <v>2459</v>
      </c>
      <c r="G141" s="1" t="s">
        <v>2460</v>
      </c>
      <c r="H141" s="1" t="s">
        <v>2461</v>
      </c>
      <c r="I141" s="27" t="s">
        <v>2462</v>
      </c>
      <c r="J141" s="27" t="s">
        <v>2463</v>
      </c>
      <c r="K141" s="1" t="s">
        <v>2464</v>
      </c>
      <c r="L141" s="27" t="s">
        <v>2465</v>
      </c>
      <c r="M141" s="27" t="s">
        <v>2466</v>
      </c>
      <c r="N141" s="28" t="s">
        <v>2467</v>
      </c>
      <c r="O141" s="27" t="s">
        <v>2468</v>
      </c>
      <c r="P141" s="27" t="s">
        <v>1581</v>
      </c>
      <c r="Q141" s="27" t="s">
        <v>2469</v>
      </c>
      <c r="R141" s="27" t="s">
        <v>2470</v>
      </c>
    </row>
    <row r="142" customFormat="false" ht="219.75" hidden="false" customHeight="true" outlineLevel="0" collapsed="false">
      <c r="A142" s="17" t="s">
        <v>1394</v>
      </c>
      <c r="B142" s="17" t="s">
        <v>1103</v>
      </c>
      <c r="C142" s="17" t="s">
        <v>1096</v>
      </c>
      <c r="D142" s="17" t="s">
        <v>2305</v>
      </c>
      <c r="E142" s="22" t="s">
        <v>2471</v>
      </c>
      <c r="F142" s="23" t="s">
        <v>2472</v>
      </c>
      <c r="G142" s="22" t="s">
        <v>2473</v>
      </c>
      <c r="H142" s="23" t="s">
        <v>2474</v>
      </c>
      <c r="I142" s="23" t="s">
        <v>2475</v>
      </c>
      <c r="J142" s="22" t="s">
        <v>2476</v>
      </c>
      <c r="K142" s="23" t="s">
        <v>2477</v>
      </c>
      <c r="L142" s="22" t="s">
        <v>2478</v>
      </c>
      <c r="M142" s="25" t="s">
        <v>2479</v>
      </c>
      <c r="N142" s="24" t="s">
        <v>2480</v>
      </c>
      <c r="O142" s="25" t="s">
        <v>2481</v>
      </c>
      <c r="P142" s="24" t="s">
        <v>1581</v>
      </c>
      <c r="Q142" s="24" t="s">
        <v>2482</v>
      </c>
      <c r="R142" s="24" t="s">
        <v>2318</v>
      </c>
    </row>
    <row r="143" customFormat="false" ht="219.75" hidden="false" customHeight="true" outlineLevel="0" collapsed="false">
      <c r="A143" s="17" t="s">
        <v>1394</v>
      </c>
      <c r="B143" s="17" t="s">
        <v>1423</v>
      </c>
      <c r="C143" s="17" t="s">
        <v>917</v>
      </c>
      <c r="D143" s="17" t="s">
        <v>2305</v>
      </c>
      <c r="E143" s="22" t="s">
        <v>2483</v>
      </c>
      <c r="F143" s="23" t="s">
        <v>2484</v>
      </c>
      <c r="G143" s="23" t="s">
        <v>2485</v>
      </c>
      <c r="H143" s="23" t="s">
        <v>2486</v>
      </c>
      <c r="I143" s="22" t="s">
        <v>2487</v>
      </c>
      <c r="J143" s="22" t="s">
        <v>2488</v>
      </c>
      <c r="K143" s="23" t="s">
        <v>2477</v>
      </c>
      <c r="L143" s="22" t="s">
        <v>2478</v>
      </c>
      <c r="M143" s="24" t="s">
        <v>2489</v>
      </c>
      <c r="N143" s="24" t="s">
        <v>2490</v>
      </c>
      <c r="O143" s="24" t="s">
        <v>2491</v>
      </c>
      <c r="P143" s="24" t="s">
        <v>1581</v>
      </c>
      <c r="Q143" s="24" t="s">
        <v>2492</v>
      </c>
      <c r="R143" s="24" t="s">
        <v>2318</v>
      </c>
    </row>
    <row r="144" customFormat="false" ht="219.75" hidden="false" customHeight="true" outlineLevel="0" collapsed="false">
      <c r="A144" s="17" t="s">
        <v>1394</v>
      </c>
      <c r="B144" s="17" t="s">
        <v>1433</v>
      </c>
      <c r="C144" s="17" t="s">
        <v>917</v>
      </c>
      <c r="D144" s="17" t="s">
        <v>2305</v>
      </c>
      <c r="E144" s="22" t="s">
        <v>2493</v>
      </c>
      <c r="F144" s="23" t="s">
        <v>2494</v>
      </c>
      <c r="G144" s="22" t="s">
        <v>2495</v>
      </c>
      <c r="H144" s="23" t="s">
        <v>2496</v>
      </c>
      <c r="I144" s="23" t="s">
        <v>2497</v>
      </c>
      <c r="J144" s="22" t="s">
        <v>2498</v>
      </c>
      <c r="K144" s="23" t="s">
        <v>2477</v>
      </c>
      <c r="L144" s="22" t="s">
        <v>2478</v>
      </c>
      <c r="M144" s="24" t="s">
        <v>2499</v>
      </c>
      <c r="N144" s="24" t="s">
        <v>2500</v>
      </c>
      <c r="O144" s="24" t="s">
        <v>2501</v>
      </c>
      <c r="P144" s="24" t="s">
        <v>1581</v>
      </c>
      <c r="Q144" s="25" t="s">
        <v>2502</v>
      </c>
      <c r="R144" s="24" t="s">
        <v>2318</v>
      </c>
    </row>
    <row r="145" customFormat="false" ht="219.75" hidden="false" customHeight="true" outlineLevel="0" collapsed="false">
      <c r="A145" s="17" t="s">
        <v>1394</v>
      </c>
      <c r="B145" s="17" t="s">
        <v>1428</v>
      </c>
      <c r="C145" s="17" t="s">
        <v>599</v>
      </c>
      <c r="D145" s="17" t="s">
        <v>2305</v>
      </c>
      <c r="E145" s="22" t="s">
        <v>2503</v>
      </c>
      <c r="F145" s="23" t="s">
        <v>2504</v>
      </c>
      <c r="G145" s="23" t="s">
        <v>2505</v>
      </c>
      <c r="H145" s="22" t="s">
        <v>2506</v>
      </c>
      <c r="I145" s="22" t="s">
        <v>2507</v>
      </c>
      <c r="J145" s="22" t="s">
        <v>2508</v>
      </c>
      <c r="K145" s="23" t="s">
        <v>2477</v>
      </c>
      <c r="L145" s="22" t="s">
        <v>2509</v>
      </c>
      <c r="M145" s="24" t="s">
        <v>2510</v>
      </c>
      <c r="N145" s="24" t="s">
        <v>2511</v>
      </c>
      <c r="O145" s="25" t="s">
        <v>2512</v>
      </c>
      <c r="P145" s="24" t="s">
        <v>1581</v>
      </c>
      <c r="Q145" s="24" t="s">
        <v>1582</v>
      </c>
      <c r="R145" s="24" t="s">
        <v>2318</v>
      </c>
    </row>
    <row r="146" customFormat="false" ht="219.75" hidden="false" customHeight="true" outlineLevel="0" collapsed="false">
      <c r="A146" s="17" t="s">
        <v>1394</v>
      </c>
      <c r="B146" s="17" t="s">
        <v>1443</v>
      </c>
      <c r="C146" s="17" t="s">
        <v>874</v>
      </c>
      <c r="D146" s="17" t="s">
        <v>2305</v>
      </c>
      <c r="E146" s="22" t="s">
        <v>1564</v>
      </c>
      <c r="F146" s="23" t="s">
        <v>136</v>
      </c>
      <c r="G146" s="23" t="s">
        <v>136</v>
      </c>
      <c r="H146" s="23" t="s">
        <v>136</v>
      </c>
      <c r="I146" s="23" t="s">
        <v>136</v>
      </c>
      <c r="J146" s="23" t="s">
        <v>136</v>
      </c>
      <c r="K146" s="23" t="s">
        <v>136</v>
      </c>
      <c r="L146" s="23" t="s">
        <v>136</v>
      </c>
      <c r="M146" s="25" t="s">
        <v>2513</v>
      </c>
      <c r="N146" s="24" t="s">
        <v>2514</v>
      </c>
      <c r="O146" s="25" t="s">
        <v>2515</v>
      </c>
      <c r="P146" s="25" t="s">
        <v>39</v>
      </c>
      <c r="Q146" s="24" t="s">
        <v>2516</v>
      </c>
      <c r="R146" s="24" t="s">
        <v>2318</v>
      </c>
    </row>
    <row r="147" customFormat="false" ht="219.75" hidden="false" customHeight="true" outlineLevel="0" collapsed="false">
      <c r="A147" s="17" t="s">
        <v>1394</v>
      </c>
      <c r="B147" s="17" t="s">
        <v>1450</v>
      </c>
      <c r="C147" s="17" t="s">
        <v>672</v>
      </c>
      <c r="D147" s="17" t="s">
        <v>2305</v>
      </c>
      <c r="E147" s="22" t="s">
        <v>1564</v>
      </c>
      <c r="F147" s="23" t="s">
        <v>136</v>
      </c>
      <c r="G147" s="23" t="s">
        <v>136</v>
      </c>
      <c r="H147" s="23" t="s">
        <v>136</v>
      </c>
      <c r="I147" s="23" t="s">
        <v>136</v>
      </c>
      <c r="J147" s="23" t="s">
        <v>136</v>
      </c>
      <c r="K147" s="23" t="s">
        <v>136</v>
      </c>
      <c r="L147" s="23" t="s">
        <v>136</v>
      </c>
      <c r="M147" s="24" t="s">
        <v>2517</v>
      </c>
      <c r="N147" s="24" t="s">
        <v>2518</v>
      </c>
      <c r="O147" s="25" t="s">
        <v>2519</v>
      </c>
      <c r="P147" s="25" t="s">
        <v>39</v>
      </c>
      <c r="Q147" s="24" t="s">
        <v>2520</v>
      </c>
      <c r="R147" s="24" t="s">
        <v>2318</v>
      </c>
    </row>
    <row r="148" customFormat="false" ht="219.75" hidden="false" customHeight="true" outlineLevel="0" collapsed="false">
      <c r="A148" s="17" t="s">
        <v>1394</v>
      </c>
      <c r="B148" s="17" t="s">
        <v>725</v>
      </c>
      <c r="C148" s="17" t="s">
        <v>719</v>
      </c>
      <c r="D148" s="17" t="s">
        <v>2305</v>
      </c>
      <c r="E148" s="22" t="s">
        <v>1564</v>
      </c>
      <c r="F148" s="23" t="s">
        <v>136</v>
      </c>
      <c r="G148" s="23" t="s">
        <v>136</v>
      </c>
      <c r="H148" s="23" t="s">
        <v>136</v>
      </c>
      <c r="I148" s="23" t="s">
        <v>136</v>
      </c>
      <c r="J148" s="23" t="s">
        <v>136</v>
      </c>
      <c r="K148" s="23" t="s">
        <v>136</v>
      </c>
      <c r="L148" s="23" t="s">
        <v>136</v>
      </c>
      <c r="M148" s="24" t="s">
        <v>2521</v>
      </c>
      <c r="N148" s="24" t="s">
        <v>2522</v>
      </c>
      <c r="O148" s="24" t="s">
        <v>2523</v>
      </c>
      <c r="P148" s="25" t="s">
        <v>39</v>
      </c>
      <c r="Q148" s="24" t="s">
        <v>2524</v>
      </c>
      <c r="R148" s="24" t="s">
        <v>2318</v>
      </c>
    </row>
    <row r="149" customFormat="false" ht="219.75" hidden="false" customHeight="true" outlineLevel="0" collapsed="false">
      <c r="A149" s="17" t="s">
        <v>1394</v>
      </c>
      <c r="B149" s="17" t="s">
        <v>1459</v>
      </c>
      <c r="C149" s="17" t="s">
        <v>865</v>
      </c>
      <c r="D149" s="17" t="s">
        <v>2305</v>
      </c>
      <c r="E149" s="22" t="s">
        <v>1564</v>
      </c>
      <c r="F149" s="23" t="s">
        <v>136</v>
      </c>
      <c r="G149" s="23" t="s">
        <v>136</v>
      </c>
      <c r="H149" s="23" t="s">
        <v>136</v>
      </c>
      <c r="I149" s="23" t="s">
        <v>136</v>
      </c>
      <c r="J149" s="23" t="s">
        <v>136</v>
      </c>
      <c r="K149" s="23" t="s">
        <v>136</v>
      </c>
      <c r="L149" s="23" t="s">
        <v>136</v>
      </c>
      <c r="M149" s="24" t="s">
        <v>2525</v>
      </c>
      <c r="N149" s="24" t="s">
        <v>2526</v>
      </c>
      <c r="O149" s="25" t="s">
        <v>2527</v>
      </c>
      <c r="P149" s="25" t="s">
        <v>39</v>
      </c>
      <c r="Q149" s="24" t="s">
        <v>2528</v>
      </c>
      <c r="R149" s="24" t="s">
        <v>2318</v>
      </c>
    </row>
    <row r="150" customFormat="false" ht="219.75" hidden="false" customHeight="true" outlineLevel="0" collapsed="false">
      <c r="A150" s="17" t="s">
        <v>1394</v>
      </c>
      <c r="B150" s="17" t="s">
        <v>1464</v>
      </c>
      <c r="C150" s="17" t="s">
        <v>865</v>
      </c>
      <c r="D150" s="17" t="s">
        <v>2305</v>
      </c>
      <c r="E150" s="22" t="s">
        <v>1564</v>
      </c>
      <c r="F150" s="23" t="s">
        <v>136</v>
      </c>
      <c r="G150" s="23" t="s">
        <v>136</v>
      </c>
      <c r="H150" s="23" t="s">
        <v>136</v>
      </c>
      <c r="I150" s="23" t="s">
        <v>136</v>
      </c>
      <c r="J150" s="23" t="s">
        <v>136</v>
      </c>
      <c r="K150" s="23" t="s">
        <v>136</v>
      </c>
      <c r="L150" s="23" t="s">
        <v>136</v>
      </c>
      <c r="M150" s="24" t="s">
        <v>2529</v>
      </c>
      <c r="N150" s="24" t="s">
        <v>2530</v>
      </c>
      <c r="O150" s="24" t="s">
        <v>2531</v>
      </c>
      <c r="P150" s="25" t="s">
        <v>39</v>
      </c>
      <c r="Q150" s="24" t="s">
        <v>2532</v>
      </c>
      <c r="R150" s="24" t="s">
        <v>2318</v>
      </c>
    </row>
    <row r="151" customFormat="false" ht="219.75" hidden="false" customHeight="true" outlineLevel="0" collapsed="false">
      <c r="A151" s="17" t="s">
        <v>1394</v>
      </c>
      <c r="B151" s="17" t="s">
        <v>1469</v>
      </c>
      <c r="C151" s="17" t="s">
        <v>865</v>
      </c>
      <c r="D151" s="17" t="s">
        <v>2305</v>
      </c>
      <c r="E151" s="22" t="s">
        <v>1564</v>
      </c>
      <c r="F151" s="23" t="s">
        <v>136</v>
      </c>
      <c r="G151" s="23" t="s">
        <v>136</v>
      </c>
      <c r="H151" s="23" t="s">
        <v>136</v>
      </c>
      <c r="I151" s="23" t="s">
        <v>136</v>
      </c>
      <c r="J151" s="23" t="s">
        <v>136</v>
      </c>
      <c r="K151" s="23" t="s">
        <v>136</v>
      </c>
      <c r="L151" s="23" t="s">
        <v>136</v>
      </c>
      <c r="M151" s="24" t="s">
        <v>2533</v>
      </c>
      <c r="N151" s="24" t="s">
        <v>2534</v>
      </c>
      <c r="O151" s="24" t="s">
        <v>2535</v>
      </c>
      <c r="P151" s="25" t="s">
        <v>39</v>
      </c>
      <c r="Q151" s="24" t="s">
        <v>2536</v>
      </c>
      <c r="R151" s="24" t="s">
        <v>2318</v>
      </c>
    </row>
    <row r="152" customFormat="false" ht="219.75" hidden="false" customHeight="true" outlineLevel="0" collapsed="false">
      <c r="A152" s="17" t="s">
        <v>1394</v>
      </c>
      <c r="B152" s="17" t="s">
        <v>511</v>
      </c>
      <c r="C152" s="17" t="s">
        <v>503</v>
      </c>
      <c r="D152" s="17" t="s">
        <v>2305</v>
      </c>
      <c r="E152" s="22" t="s">
        <v>1564</v>
      </c>
      <c r="F152" s="23" t="s">
        <v>136</v>
      </c>
      <c r="G152" s="23" t="s">
        <v>136</v>
      </c>
      <c r="H152" s="23" t="s">
        <v>136</v>
      </c>
      <c r="I152" s="23" t="s">
        <v>136</v>
      </c>
      <c r="J152" s="23" t="s">
        <v>136</v>
      </c>
      <c r="K152" s="23" t="s">
        <v>136</v>
      </c>
      <c r="L152" s="23" t="s">
        <v>136</v>
      </c>
      <c r="M152" s="24" t="s">
        <v>2537</v>
      </c>
      <c r="N152" s="24" t="s">
        <v>2538</v>
      </c>
      <c r="O152" s="24" t="s">
        <v>2539</v>
      </c>
      <c r="P152" s="25" t="s">
        <v>39</v>
      </c>
      <c r="Q152" s="24" t="s">
        <v>2540</v>
      </c>
      <c r="R152" s="24" t="s">
        <v>2318</v>
      </c>
    </row>
    <row r="153" customFormat="false" ht="219.75" hidden="false" customHeight="true" outlineLevel="0" collapsed="false">
      <c r="A153" s="17" t="s">
        <v>1394</v>
      </c>
      <c r="B153" s="17" t="s">
        <v>1478</v>
      </c>
      <c r="C153" s="17" t="s">
        <v>672</v>
      </c>
      <c r="D153" s="17" t="s">
        <v>2305</v>
      </c>
      <c r="E153" s="22" t="s">
        <v>1564</v>
      </c>
      <c r="F153" s="23" t="s">
        <v>136</v>
      </c>
      <c r="G153" s="23" t="s">
        <v>136</v>
      </c>
      <c r="H153" s="23" t="s">
        <v>136</v>
      </c>
      <c r="I153" s="23" t="s">
        <v>136</v>
      </c>
      <c r="J153" s="23" t="s">
        <v>136</v>
      </c>
      <c r="K153" s="23" t="s">
        <v>136</v>
      </c>
      <c r="L153" s="23" t="s">
        <v>136</v>
      </c>
      <c r="M153" s="24" t="s">
        <v>2541</v>
      </c>
      <c r="N153" s="24" t="s">
        <v>2542</v>
      </c>
      <c r="O153" s="25" t="s">
        <v>2543</v>
      </c>
      <c r="P153" s="25" t="s">
        <v>39</v>
      </c>
      <c r="Q153" s="24" t="s">
        <v>2544</v>
      </c>
      <c r="R153" s="24" t="s">
        <v>2318</v>
      </c>
    </row>
    <row r="154" customFormat="false" ht="219.75" hidden="false" customHeight="true" outlineLevel="0" collapsed="false">
      <c r="A154" s="17" t="s">
        <v>1394</v>
      </c>
      <c r="B154" s="17" t="s">
        <v>1483</v>
      </c>
      <c r="C154" s="17" t="s">
        <v>917</v>
      </c>
      <c r="D154" s="17" t="s">
        <v>2545</v>
      </c>
      <c r="E154" s="22" t="s">
        <v>2546</v>
      </c>
      <c r="F154" s="23" t="s">
        <v>136</v>
      </c>
      <c r="G154" s="23" t="s">
        <v>136</v>
      </c>
      <c r="H154" s="23" t="s">
        <v>136</v>
      </c>
      <c r="I154" s="23" t="s">
        <v>136</v>
      </c>
      <c r="J154" s="23" t="s">
        <v>136</v>
      </c>
      <c r="K154" s="23" t="s">
        <v>136</v>
      </c>
      <c r="L154" s="23" t="s">
        <v>136</v>
      </c>
      <c r="M154" s="24" t="s">
        <v>2300</v>
      </c>
      <c r="N154" s="24" t="s">
        <v>2547</v>
      </c>
      <c r="O154" s="25" t="s">
        <v>136</v>
      </c>
      <c r="P154" s="24" t="s">
        <v>1596</v>
      </c>
      <c r="Q154" s="24" t="s">
        <v>2548</v>
      </c>
      <c r="R154" s="24" t="s">
        <v>2549</v>
      </c>
    </row>
    <row r="155" customFormat="false" ht="219.75" hidden="false" customHeight="true" outlineLevel="0" collapsed="false">
      <c r="A155" s="17" t="s">
        <v>1394</v>
      </c>
      <c r="B155" s="17" t="s">
        <v>1488</v>
      </c>
      <c r="C155" s="17" t="s">
        <v>917</v>
      </c>
      <c r="D155" s="17" t="s">
        <v>2545</v>
      </c>
      <c r="E155" s="22" t="s">
        <v>2546</v>
      </c>
      <c r="F155" s="23" t="s">
        <v>136</v>
      </c>
      <c r="G155" s="23" t="s">
        <v>136</v>
      </c>
      <c r="H155" s="23" t="s">
        <v>136</v>
      </c>
      <c r="I155" s="23" t="s">
        <v>136</v>
      </c>
      <c r="J155" s="23" t="s">
        <v>136</v>
      </c>
      <c r="K155" s="23" t="s">
        <v>136</v>
      </c>
      <c r="L155" s="23" t="s">
        <v>136</v>
      </c>
      <c r="M155" s="24" t="s">
        <v>2550</v>
      </c>
      <c r="N155" s="24" t="s">
        <v>2551</v>
      </c>
      <c r="O155" s="25" t="s">
        <v>136</v>
      </c>
      <c r="P155" s="24" t="s">
        <v>1596</v>
      </c>
      <c r="Q155" s="24" t="s">
        <v>2552</v>
      </c>
      <c r="R155" s="24" t="s">
        <v>2549</v>
      </c>
    </row>
    <row r="156" customFormat="false" ht="219.75" hidden="false" customHeight="true" outlineLevel="0" collapsed="false">
      <c r="A156" s="17" t="s">
        <v>1394</v>
      </c>
      <c r="B156" s="17" t="s">
        <v>1493</v>
      </c>
      <c r="C156" s="17" t="s">
        <v>917</v>
      </c>
      <c r="D156" s="17" t="s">
        <v>2545</v>
      </c>
      <c r="E156" s="22" t="s">
        <v>2546</v>
      </c>
      <c r="F156" s="23" t="s">
        <v>136</v>
      </c>
      <c r="G156" s="23" t="s">
        <v>136</v>
      </c>
      <c r="H156" s="23" t="s">
        <v>136</v>
      </c>
      <c r="I156" s="23" t="s">
        <v>136</v>
      </c>
      <c r="J156" s="23" t="s">
        <v>136</v>
      </c>
      <c r="K156" s="23" t="s">
        <v>136</v>
      </c>
      <c r="L156" s="23" t="s">
        <v>136</v>
      </c>
      <c r="M156" s="24" t="s">
        <v>2300</v>
      </c>
      <c r="N156" s="24" t="s">
        <v>2547</v>
      </c>
      <c r="O156" s="25" t="s">
        <v>136</v>
      </c>
      <c r="P156" s="24" t="s">
        <v>1596</v>
      </c>
      <c r="Q156" s="24" t="s">
        <v>2553</v>
      </c>
      <c r="R156" s="24" t="s">
        <v>2549</v>
      </c>
    </row>
    <row r="157" customFormat="false" ht="219.75" hidden="false" customHeight="true" outlineLevel="0" collapsed="false">
      <c r="A157" s="17" t="s">
        <v>1394</v>
      </c>
      <c r="B157" s="17" t="s">
        <v>1065</v>
      </c>
      <c r="C157" s="17" t="s">
        <v>1059</v>
      </c>
      <c r="D157" s="17" t="s">
        <v>2545</v>
      </c>
      <c r="E157" s="22" t="s">
        <v>2546</v>
      </c>
      <c r="F157" s="23" t="s">
        <v>136</v>
      </c>
      <c r="G157" s="23" t="s">
        <v>136</v>
      </c>
      <c r="H157" s="23" t="s">
        <v>136</v>
      </c>
      <c r="I157" s="23" t="s">
        <v>136</v>
      </c>
      <c r="J157" s="23" t="s">
        <v>136</v>
      </c>
      <c r="K157" s="23" t="s">
        <v>136</v>
      </c>
      <c r="L157" s="23" t="s">
        <v>136</v>
      </c>
      <c r="M157" s="24" t="s">
        <v>2300</v>
      </c>
      <c r="N157" s="24" t="s">
        <v>2551</v>
      </c>
      <c r="O157" s="25" t="s">
        <v>136</v>
      </c>
      <c r="P157" s="24" t="s">
        <v>1596</v>
      </c>
      <c r="Q157" s="24" t="s">
        <v>2554</v>
      </c>
      <c r="R157" s="24" t="s">
        <v>2549</v>
      </c>
    </row>
    <row r="158" customFormat="false" ht="219.75" hidden="false" customHeight="true" outlineLevel="0" collapsed="false">
      <c r="A158" s="17" t="s">
        <v>1394</v>
      </c>
      <c r="B158" s="17" t="s">
        <v>899</v>
      </c>
      <c r="C158" s="17" t="s">
        <v>891</v>
      </c>
      <c r="D158" s="17" t="s">
        <v>2545</v>
      </c>
      <c r="E158" s="22" t="s">
        <v>2546</v>
      </c>
      <c r="F158" s="23" t="s">
        <v>136</v>
      </c>
      <c r="G158" s="23" t="s">
        <v>136</v>
      </c>
      <c r="H158" s="23" t="s">
        <v>136</v>
      </c>
      <c r="I158" s="23" t="s">
        <v>136</v>
      </c>
      <c r="J158" s="23" t="s">
        <v>136</v>
      </c>
      <c r="K158" s="23" t="s">
        <v>136</v>
      </c>
      <c r="L158" s="23" t="s">
        <v>136</v>
      </c>
      <c r="M158" s="24" t="s">
        <v>2300</v>
      </c>
      <c r="N158" s="24" t="s">
        <v>2547</v>
      </c>
      <c r="O158" s="25" t="s">
        <v>136</v>
      </c>
      <c r="P158" s="24" t="s">
        <v>1596</v>
      </c>
      <c r="Q158" s="24" t="s">
        <v>2555</v>
      </c>
      <c r="R158" s="24" t="s">
        <v>2549</v>
      </c>
    </row>
    <row r="159" customFormat="false" ht="219.75" hidden="false" customHeight="true" outlineLevel="0" collapsed="false">
      <c r="A159" s="26" t="s">
        <v>1448</v>
      </c>
      <c r="B159" s="1" t="s">
        <v>1443</v>
      </c>
      <c r="C159" s="1" t="s">
        <v>2556</v>
      </c>
      <c r="D159" s="1" t="s">
        <v>2545</v>
      </c>
      <c r="E159" s="27" t="s">
        <v>2557</v>
      </c>
      <c r="F159" s="1" t="s">
        <v>2558</v>
      </c>
      <c r="G159" s="27" t="s">
        <v>2559</v>
      </c>
      <c r="H159" s="27" t="s">
        <v>2560</v>
      </c>
      <c r="I159" s="1" t="s">
        <v>2561</v>
      </c>
      <c r="J159" s="27" t="s">
        <v>2562</v>
      </c>
      <c r="K159" s="1" t="s">
        <v>2563</v>
      </c>
      <c r="L159" s="1" t="s">
        <v>2564</v>
      </c>
      <c r="M159" s="27" t="s">
        <v>2565</v>
      </c>
      <c r="N159" s="28" t="s">
        <v>2566</v>
      </c>
      <c r="O159" s="1" t="s">
        <v>2567</v>
      </c>
      <c r="P159" s="27" t="s">
        <v>1581</v>
      </c>
      <c r="Q159" s="27" t="s">
        <v>2568</v>
      </c>
      <c r="R159" s="27" t="s">
        <v>2569</v>
      </c>
    </row>
    <row r="160" customFormat="false" ht="219.75" hidden="false" customHeight="true" outlineLevel="0" collapsed="false">
      <c r="A160" s="17" t="s">
        <v>1448</v>
      </c>
      <c r="B160" s="17" t="s">
        <v>1450</v>
      </c>
      <c r="C160" s="17" t="s">
        <v>672</v>
      </c>
      <c r="D160" s="17" t="s">
        <v>2545</v>
      </c>
      <c r="E160" s="22" t="s">
        <v>2570</v>
      </c>
      <c r="F160" s="23" t="s">
        <v>2571</v>
      </c>
      <c r="G160" s="23" t="s">
        <v>2572</v>
      </c>
      <c r="H160" s="22" t="s">
        <v>2573</v>
      </c>
      <c r="I160" s="22" t="s">
        <v>2574</v>
      </c>
      <c r="J160" s="22" t="s">
        <v>2575</v>
      </c>
      <c r="K160" s="23" t="s">
        <v>2576</v>
      </c>
      <c r="L160" s="23" t="s">
        <v>2577</v>
      </c>
      <c r="M160" s="24" t="s">
        <v>2578</v>
      </c>
      <c r="N160" s="24" t="s">
        <v>2579</v>
      </c>
      <c r="O160" s="25" t="s">
        <v>2580</v>
      </c>
      <c r="P160" s="24" t="s">
        <v>1581</v>
      </c>
      <c r="Q160" s="24" t="s">
        <v>1582</v>
      </c>
      <c r="R160" s="24" t="s">
        <v>2549</v>
      </c>
    </row>
    <row r="161" customFormat="false" ht="219.75" hidden="false" customHeight="true" outlineLevel="0" collapsed="false">
      <c r="A161" s="17" t="s">
        <v>1448</v>
      </c>
      <c r="B161" s="17" t="s">
        <v>1459</v>
      </c>
      <c r="C161" s="17" t="s">
        <v>865</v>
      </c>
      <c r="D161" s="17" t="s">
        <v>2545</v>
      </c>
      <c r="E161" s="22" t="s">
        <v>2581</v>
      </c>
      <c r="F161" s="23" t="s">
        <v>2582</v>
      </c>
      <c r="G161" s="22" t="s">
        <v>2583</v>
      </c>
      <c r="H161" s="23" t="s">
        <v>2584</v>
      </c>
      <c r="I161" s="23" t="s">
        <v>2585</v>
      </c>
      <c r="J161" s="22" t="s">
        <v>2586</v>
      </c>
      <c r="K161" s="23" t="s">
        <v>2576</v>
      </c>
      <c r="L161" s="23" t="s">
        <v>2577</v>
      </c>
      <c r="M161" s="24" t="s">
        <v>2587</v>
      </c>
      <c r="N161" s="24" t="s">
        <v>2588</v>
      </c>
      <c r="O161" s="24" t="s">
        <v>2589</v>
      </c>
      <c r="P161" s="24" t="s">
        <v>1581</v>
      </c>
      <c r="Q161" s="24" t="s">
        <v>1582</v>
      </c>
      <c r="R161" s="24" t="s">
        <v>2549</v>
      </c>
    </row>
    <row r="162" customFormat="false" ht="219.75" hidden="false" customHeight="true" outlineLevel="0" collapsed="false">
      <c r="A162" s="17" t="s">
        <v>1448</v>
      </c>
      <c r="B162" s="17" t="s">
        <v>1464</v>
      </c>
      <c r="C162" s="17" t="s">
        <v>865</v>
      </c>
      <c r="D162" s="17" t="s">
        <v>2545</v>
      </c>
      <c r="E162" s="22" t="s">
        <v>2590</v>
      </c>
      <c r="F162" s="23" t="s">
        <v>2591</v>
      </c>
      <c r="G162" s="23" t="s">
        <v>2592</v>
      </c>
      <c r="H162" s="22" t="s">
        <v>2593</v>
      </c>
      <c r="I162" s="22" t="s">
        <v>2594</v>
      </c>
      <c r="J162" s="22" t="s">
        <v>2595</v>
      </c>
      <c r="K162" s="23" t="s">
        <v>2576</v>
      </c>
      <c r="L162" s="23" t="s">
        <v>2577</v>
      </c>
      <c r="M162" s="24" t="s">
        <v>2596</v>
      </c>
      <c r="N162" s="24" t="s">
        <v>2597</v>
      </c>
      <c r="O162" s="24" t="s">
        <v>2598</v>
      </c>
      <c r="P162" s="24" t="s">
        <v>1581</v>
      </c>
      <c r="Q162" s="24" t="s">
        <v>1582</v>
      </c>
      <c r="R162" s="24" t="s">
        <v>2549</v>
      </c>
    </row>
    <row r="163" customFormat="false" ht="219.75" hidden="false" customHeight="true" outlineLevel="0" collapsed="false">
      <c r="A163" s="17" t="s">
        <v>1448</v>
      </c>
      <c r="B163" s="17" t="s">
        <v>1469</v>
      </c>
      <c r="C163" s="17" t="s">
        <v>865</v>
      </c>
      <c r="D163" s="17" t="s">
        <v>2545</v>
      </c>
      <c r="E163" s="22" t="s">
        <v>2599</v>
      </c>
      <c r="F163" s="23" t="s">
        <v>2600</v>
      </c>
      <c r="G163" s="22" t="s">
        <v>2601</v>
      </c>
      <c r="H163" s="22" t="s">
        <v>2602</v>
      </c>
      <c r="I163" s="22" t="s">
        <v>2603</v>
      </c>
      <c r="J163" s="22" t="s">
        <v>2604</v>
      </c>
      <c r="K163" s="23" t="s">
        <v>2576</v>
      </c>
      <c r="L163" s="23" t="s">
        <v>2577</v>
      </c>
      <c r="M163" s="24" t="s">
        <v>2605</v>
      </c>
      <c r="N163" s="24" t="s">
        <v>2606</v>
      </c>
      <c r="O163" s="24" t="s">
        <v>2607</v>
      </c>
      <c r="P163" s="24" t="s">
        <v>1581</v>
      </c>
      <c r="Q163" s="24" t="s">
        <v>1582</v>
      </c>
      <c r="R163" s="24" t="s">
        <v>2549</v>
      </c>
    </row>
    <row r="164" customFormat="false" ht="219.75" hidden="false" customHeight="true" outlineLevel="0" collapsed="false">
      <c r="A164" s="17" t="s">
        <v>1448</v>
      </c>
      <c r="B164" s="17" t="s">
        <v>1509</v>
      </c>
      <c r="C164" s="17" t="s">
        <v>1510</v>
      </c>
      <c r="D164" s="17" t="s">
        <v>2545</v>
      </c>
      <c r="E164" s="22" t="s">
        <v>2608</v>
      </c>
      <c r="F164" s="23" t="s">
        <v>2609</v>
      </c>
      <c r="G164" s="23" t="s">
        <v>2610</v>
      </c>
      <c r="H164" s="22" t="s">
        <v>2611</v>
      </c>
      <c r="I164" s="22" t="s">
        <v>2612</v>
      </c>
      <c r="J164" s="22" t="s">
        <v>2613</v>
      </c>
      <c r="K164" s="23" t="s">
        <v>2576</v>
      </c>
      <c r="L164" s="23" t="s">
        <v>2577</v>
      </c>
      <c r="M164" s="24" t="s">
        <v>2614</v>
      </c>
      <c r="N164" s="24" t="s">
        <v>2615</v>
      </c>
      <c r="O164" s="24" t="s">
        <v>2616</v>
      </c>
      <c r="P164" s="24" t="s">
        <v>1581</v>
      </c>
      <c r="Q164" s="24" t="s">
        <v>1582</v>
      </c>
      <c r="R164" s="24" t="s">
        <v>2549</v>
      </c>
    </row>
    <row r="165" customFormat="false" ht="219.75" hidden="false" customHeight="true" outlineLevel="0" collapsed="false">
      <c r="A165" s="17" t="s">
        <v>1448</v>
      </c>
      <c r="B165" s="17" t="s">
        <v>1515</v>
      </c>
      <c r="C165" s="17" t="s">
        <v>1510</v>
      </c>
      <c r="D165" s="17" t="s">
        <v>2545</v>
      </c>
      <c r="E165" s="22" t="s">
        <v>2617</v>
      </c>
      <c r="F165" s="23" t="s">
        <v>2618</v>
      </c>
      <c r="G165" s="22" t="s">
        <v>2619</v>
      </c>
      <c r="H165" s="23" t="s">
        <v>2620</v>
      </c>
      <c r="I165" s="22" t="s">
        <v>2621</v>
      </c>
      <c r="J165" s="22" t="s">
        <v>2622</v>
      </c>
      <c r="K165" s="23" t="s">
        <v>2576</v>
      </c>
      <c r="L165" s="23" t="s">
        <v>2577</v>
      </c>
      <c r="M165" s="24" t="s">
        <v>2623</v>
      </c>
      <c r="N165" s="24" t="s">
        <v>2624</v>
      </c>
      <c r="O165" s="25" t="s">
        <v>2625</v>
      </c>
      <c r="P165" s="24" t="s">
        <v>1581</v>
      </c>
      <c r="Q165" s="24" t="s">
        <v>1582</v>
      </c>
      <c r="R165" s="24" t="s">
        <v>2549</v>
      </c>
    </row>
    <row r="166" customFormat="false" ht="219.75" hidden="false" customHeight="true" outlineLevel="0" collapsed="false">
      <c r="A166" s="17" t="s">
        <v>1448</v>
      </c>
      <c r="B166" s="17" t="s">
        <v>725</v>
      </c>
      <c r="C166" s="17" t="s">
        <v>719</v>
      </c>
      <c r="D166" s="17" t="s">
        <v>2545</v>
      </c>
      <c r="E166" s="22" t="s">
        <v>2626</v>
      </c>
      <c r="F166" s="23" t="s">
        <v>2627</v>
      </c>
      <c r="G166" s="23" t="s">
        <v>2628</v>
      </c>
      <c r="H166" s="23" t="s">
        <v>2629</v>
      </c>
      <c r="I166" s="22" t="s">
        <v>2630</v>
      </c>
      <c r="J166" s="22" t="s">
        <v>2631</v>
      </c>
      <c r="K166" s="23" t="s">
        <v>2576</v>
      </c>
      <c r="L166" s="23" t="s">
        <v>2577</v>
      </c>
      <c r="M166" s="24" t="s">
        <v>2632</v>
      </c>
      <c r="N166" s="24" t="s">
        <v>2633</v>
      </c>
      <c r="O166" s="24" t="s">
        <v>2634</v>
      </c>
      <c r="P166" s="24" t="s">
        <v>1581</v>
      </c>
      <c r="Q166" s="24" t="s">
        <v>1582</v>
      </c>
      <c r="R166" s="24" t="s">
        <v>2549</v>
      </c>
    </row>
    <row r="167" customFormat="false" ht="219.75" hidden="false" customHeight="true" outlineLevel="0" collapsed="false">
      <c r="A167" s="17" t="s">
        <v>1448</v>
      </c>
      <c r="B167" s="17" t="s">
        <v>1478</v>
      </c>
      <c r="C167" s="17" t="s">
        <v>2635</v>
      </c>
      <c r="D167" s="17" t="s">
        <v>2545</v>
      </c>
      <c r="E167" s="22" t="s">
        <v>2636</v>
      </c>
      <c r="F167" s="23" t="s">
        <v>2637</v>
      </c>
      <c r="G167" s="22" t="s">
        <v>2638</v>
      </c>
      <c r="H167" s="22" t="s">
        <v>2639</v>
      </c>
      <c r="I167" s="23" t="s">
        <v>2640</v>
      </c>
      <c r="J167" s="22" t="s">
        <v>2641</v>
      </c>
      <c r="K167" s="23" t="s">
        <v>2576</v>
      </c>
      <c r="L167" s="23" t="s">
        <v>2577</v>
      </c>
      <c r="M167" s="24" t="s">
        <v>2642</v>
      </c>
      <c r="N167" s="24" t="s">
        <v>2643</v>
      </c>
      <c r="O167" s="25" t="s">
        <v>2644</v>
      </c>
      <c r="P167" s="24" t="s">
        <v>1581</v>
      </c>
      <c r="Q167" s="24" t="s">
        <v>2645</v>
      </c>
      <c r="R167" s="24" t="s">
        <v>2549</v>
      </c>
    </row>
    <row r="168" customFormat="false" ht="219.75" hidden="false" customHeight="true" outlineLevel="0" collapsed="false">
      <c r="A168" s="17" t="s">
        <v>1448</v>
      </c>
      <c r="B168" s="17" t="s">
        <v>511</v>
      </c>
      <c r="C168" s="17" t="s">
        <v>503</v>
      </c>
      <c r="D168" s="17" t="s">
        <v>2545</v>
      </c>
      <c r="E168" s="22" t="s">
        <v>2646</v>
      </c>
      <c r="F168" s="23" t="s">
        <v>2647</v>
      </c>
      <c r="G168" s="22" t="s">
        <v>2648</v>
      </c>
      <c r="H168" s="23" t="s">
        <v>2649</v>
      </c>
      <c r="I168" s="22" t="s">
        <v>2650</v>
      </c>
      <c r="J168" s="23" t="s">
        <v>2651</v>
      </c>
      <c r="K168" s="23" t="s">
        <v>2576</v>
      </c>
      <c r="L168" s="23" t="s">
        <v>2577</v>
      </c>
      <c r="M168" s="24" t="s">
        <v>2652</v>
      </c>
      <c r="N168" s="24" t="s">
        <v>2653</v>
      </c>
      <c r="O168" s="25" t="s">
        <v>2654</v>
      </c>
      <c r="P168" s="24" t="s">
        <v>1581</v>
      </c>
      <c r="Q168" s="24" t="s">
        <v>1582</v>
      </c>
      <c r="R168" s="24" t="s">
        <v>2549</v>
      </c>
    </row>
    <row r="169" customFormat="false" ht="219.75" hidden="false" customHeight="true" outlineLevel="0" collapsed="false">
      <c r="A169" s="17" t="s">
        <v>1448</v>
      </c>
      <c r="B169" s="17" t="s">
        <v>1488</v>
      </c>
      <c r="C169" s="17" t="s">
        <v>1363</v>
      </c>
      <c r="D169" s="17" t="s">
        <v>2545</v>
      </c>
      <c r="E169" s="22" t="s">
        <v>2655</v>
      </c>
      <c r="F169" s="23" t="s">
        <v>2656</v>
      </c>
      <c r="G169" s="23" t="s">
        <v>2657</v>
      </c>
      <c r="H169" s="22" t="s">
        <v>2658</v>
      </c>
      <c r="I169" s="22" t="s">
        <v>2659</v>
      </c>
      <c r="J169" s="22" t="s">
        <v>2660</v>
      </c>
      <c r="K169" s="23" t="s">
        <v>2576</v>
      </c>
      <c r="L169" s="23" t="s">
        <v>2577</v>
      </c>
      <c r="M169" s="25" t="s">
        <v>2661</v>
      </c>
      <c r="N169" s="24" t="s">
        <v>2662</v>
      </c>
      <c r="O169" s="24" t="s">
        <v>2663</v>
      </c>
      <c r="P169" s="24" t="s">
        <v>1581</v>
      </c>
      <c r="Q169" s="24" t="s">
        <v>1582</v>
      </c>
      <c r="R169" s="24" t="s">
        <v>2549</v>
      </c>
    </row>
    <row r="170" customFormat="false" ht="219.75" hidden="false" customHeight="true" outlineLevel="0" collapsed="false">
      <c r="A170" s="17" t="s">
        <v>1448</v>
      </c>
      <c r="B170" s="17" t="s">
        <v>1483</v>
      </c>
      <c r="C170" s="17" t="s">
        <v>1363</v>
      </c>
      <c r="D170" s="17" t="s">
        <v>2545</v>
      </c>
      <c r="E170" s="22" t="s">
        <v>2664</v>
      </c>
      <c r="F170" s="23" t="s">
        <v>2665</v>
      </c>
      <c r="G170" s="23" t="s">
        <v>2666</v>
      </c>
      <c r="H170" s="22" t="s">
        <v>2667</v>
      </c>
      <c r="I170" s="23" t="s">
        <v>2668</v>
      </c>
      <c r="J170" s="22" t="s">
        <v>2669</v>
      </c>
      <c r="K170" s="23" t="s">
        <v>2576</v>
      </c>
      <c r="L170" s="23" t="s">
        <v>2577</v>
      </c>
      <c r="M170" s="24" t="s">
        <v>2670</v>
      </c>
      <c r="N170" s="24" t="s">
        <v>2671</v>
      </c>
      <c r="O170" s="25" t="s">
        <v>2672</v>
      </c>
      <c r="P170" s="24" t="s">
        <v>1581</v>
      </c>
      <c r="Q170" s="24" t="s">
        <v>1582</v>
      </c>
      <c r="R170" s="24" t="s">
        <v>2549</v>
      </c>
    </row>
    <row r="171" customFormat="false" ht="219.75" hidden="false" customHeight="true" outlineLevel="0" collapsed="false">
      <c r="A171" s="17" t="s">
        <v>1448</v>
      </c>
      <c r="B171" s="17" t="s">
        <v>899</v>
      </c>
      <c r="C171" s="17" t="s">
        <v>1504</v>
      </c>
      <c r="D171" s="17" t="s">
        <v>2545</v>
      </c>
      <c r="E171" s="22" t="s">
        <v>2673</v>
      </c>
      <c r="F171" s="23" t="s">
        <v>2674</v>
      </c>
      <c r="G171" s="22" t="s">
        <v>2675</v>
      </c>
      <c r="H171" s="23" t="s">
        <v>2676</v>
      </c>
      <c r="I171" s="22" t="s">
        <v>2677</v>
      </c>
      <c r="J171" s="22" t="s">
        <v>2678</v>
      </c>
      <c r="K171" s="23" t="s">
        <v>2576</v>
      </c>
      <c r="L171" s="23" t="s">
        <v>2577</v>
      </c>
      <c r="M171" s="25" t="s">
        <v>2679</v>
      </c>
      <c r="N171" s="24" t="s">
        <v>2680</v>
      </c>
      <c r="O171" s="25" t="s">
        <v>2681</v>
      </c>
      <c r="P171" s="24" t="s">
        <v>1581</v>
      </c>
      <c r="Q171" s="24" t="s">
        <v>1582</v>
      </c>
      <c r="R171" s="24" t="s">
        <v>2549</v>
      </c>
    </row>
    <row r="172" customFormat="false" ht="219.75" hidden="false" customHeight="true" outlineLevel="0" collapsed="false">
      <c r="A172" s="17" t="s">
        <v>1448</v>
      </c>
      <c r="B172" s="17" t="s">
        <v>1065</v>
      </c>
      <c r="C172" s="17" t="s">
        <v>1498</v>
      </c>
      <c r="D172" s="17" t="s">
        <v>2545</v>
      </c>
      <c r="E172" s="22" t="s">
        <v>2682</v>
      </c>
      <c r="F172" s="23" t="s">
        <v>2683</v>
      </c>
      <c r="G172" s="23" t="s">
        <v>2684</v>
      </c>
      <c r="H172" s="23" t="s">
        <v>2685</v>
      </c>
      <c r="I172" s="22" t="s">
        <v>2686</v>
      </c>
      <c r="J172" s="22" t="s">
        <v>2687</v>
      </c>
      <c r="K172" s="23" t="s">
        <v>2576</v>
      </c>
      <c r="L172" s="23" t="s">
        <v>2577</v>
      </c>
      <c r="M172" s="25" t="s">
        <v>2688</v>
      </c>
      <c r="N172" s="24" t="s">
        <v>2689</v>
      </c>
      <c r="O172" s="24" t="s">
        <v>2690</v>
      </c>
      <c r="P172" s="24" t="s">
        <v>51</v>
      </c>
      <c r="Q172" s="24" t="s">
        <v>2691</v>
      </c>
      <c r="R172" s="24" t="s">
        <v>2549</v>
      </c>
    </row>
    <row r="173" customFormat="false" ht="219.75" hidden="false" customHeight="true" outlineLevel="0" collapsed="false">
      <c r="A173" s="17" t="s">
        <v>1448</v>
      </c>
      <c r="B173" s="17" t="s">
        <v>1493</v>
      </c>
      <c r="C173" s="17" t="s">
        <v>1363</v>
      </c>
      <c r="D173" s="17" t="s">
        <v>2545</v>
      </c>
      <c r="E173" s="22" t="s">
        <v>2692</v>
      </c>
      <c r="F173" s="23" t="s">
        <v>2693</v>
      </c>
      <c r="G173" s="23" t="s">
        <v>2694</v>
      </c>
      <c r="H173" s="22" t="s">
        <v>2695</v>
      </c>
      <c r="I173" s="23" t="s">
        <v>2696</v>
      </c>
      <c r="J173" s="22" t="s">
        <v>2697</v>
      </c>
      <c r="K173" s="23" t="s">
        <v>2576</v>
      </c>
      <c r="L173" s="23" t="s">
        <v>2577</v>
      </c>
      <c r="M173" s="25" t="s">
        <v>2698</v>
      </c>
      <c r="N173" s="24" t="s">
        <v>2699</v>
      </c>
      <c r="O173" s="25" t="s">
        <v>2700</v>
      </c>
      <c r="P173" s="24" t="s">
        <v>1581</v>
      </c>
      <c r="Q173" s="24" t="s">
        <v>2701</v>
      </c>
      <c r="R173" s="24" t="s">
        <v>2549</v>
      </c>
    </row>
    <row r="174" customFormat="false" ht="219.75" hidden="false" customHeight="true" outlineLevel="0" collapsed="false">
      <c r="A174" s="17" t="s">
        <v>1502</v>
      </c>
      <c r="B174" s="17" t="s">
        <v>1065</v>
      </c>
      <c r="C174" s="17" t="s">
        <v>1498</v>
      </c>
      <c r="D174" s="17" t="s">
        <v>2545</v>
      </c>
      <c r="E174" s="22" t="s">
        <v>2702</v>
      </c>
      <c r="F174" s="23" t="s">
        <v>2703</v>
      </c>
      <c r="G174" s="23" t="s">
        <v>2704</v>
      </c>
      <c r="H174" s="22" t="s">
        <v>2705</v>
      </c>
      <c r="I174" s="23" t="s">
        <v>2706</v>
      </c>
      <c r="J174" s="22" t="s">
        <v>2707</v>
      </c>
      <c r="K174" s="23" t="s">
        <v>2708</v>
      </c>
      <c r="L174" s="23" t="s">
        <v>2709</v>
      </c>
      <c r="M174" s="25" t="s">
        <v>2710</v>
      </c>
      <c r="N174" s="24" t="s">
        <v>2711</v>
      </c>
      <c r="O174" s="24" t="s">
        <v>2712</v>
      </c>
      <c r="P174" s="24" t="s">
        <v>1581</v>
      </c>
      <c r="Q174" s="24" t="s">
        <v>2713</v>
      </c>
      <c r="R174" s="24" t="s">
        <v>2714</v>
      </c>
    </row>
    <row r="175" customFormat="false" ht="219.75" hidden="false" customHeight="true" outlineLevel="0" collapsed="false">
      <c r="A175" s="17" t="s">
        <v>1502</v>
      </c>
      <c r="B175" s="17" t="s">
        <v>947</v>
      </c>
      <c r="C175" s="17" t="s">
        <v>1519</v>
      </c>
      <c r="D175" s="17" t="s">
        <v>2545</v>
      </c>
      <c r="E175" s="22" t="s">
        <v>2715</v>
      </c>
      <c r="F175" s="23" t="s">
        <v>2716</v>
      </c>
      <c r="G175" s="22" t="s">
        <v>2717</v>
      </c>
      <c r="H175" s="23" t="s">
        <v>2718</v>
      </c>
      <c r="I175" s="22" t="s">
        <v>2719</v>
      </c>
      <c r="J175" s="22" t="s">
        <v>2720</v>
      </c>
      <c r="K175" s="23" t="s">
        <v>2708</v>
      </c>
      <c r="L175" s="23" t="s">
        <v>2721</v>
      </c>
      <c r="M175" s="25" t="s">
        <v>2722</v>
      </c>
      <c r="N175" s="24" t="s">
        <v>2723</v>
      </c>
      <c r="O175" s="24" t="s">
        <v>2724</v>
      </c>
      <c r="P175" s="24" t="s">
        <v>1581</v>
      </c>
      <c r="Q175" s="24" t="s">
        <v>2725</v>
      </c>
      <c r="R175" s="24" t="s">
        <v>2714</v>
      </c>
    </row>
    <row r="176" customFormat="false" ht="219.75" hidden="false" customHeight="true" outlineLevel="0" collapsed="false">
      <c r="A176" s="17" t="s">
        <v>1525</v>
      </c>
      <c r="B176" s="17" t="s">
        <v>840</v>
      </c>
      <c r="C176" s="17" t="s">
        <v>834</v>
      </c>
      <c r="D176" s="17" t="s">
        <v>2726</v>
      </c>
      <c r="E176" s="22" t="s">
        <v>1564</v>
      </c>
      <c r="F176" s="23" t="s">
        <v>136</v>
      </c>
      <c r="G176" s="23" t="s">
        <v>136</v>
      </c>
      <c r="H176" s="23" t="s">
        <v>136</v>
      </c>
      <c r="I176" s="23" t="s">
        <v>136</v>
      </c>
      <c r="J176" s="23" t="s">
        <v>136</v>
      </c>
      <c r="K176" s="23" t="s">
        <v>136</v>
      </c>
      <c r="L176" s="23" t="s">
        <v>136</v>
      </c>
      <c r="M176" s="25" t="s">
        <v>2727</v>
      </c>
      <c r="N176" s="24" t="s">
        <v>2728</v>
      </c>
      <c r="O176" s="25" t="s">
        <v>2729</v>
      </c>
      <c r="P176" s="25" t="s">
        <v>39</v>
      </c>
      <c r="Q176" s="24" t="s">
        <v>2730</v>
      </c>
      <c r="R176" s="24" t="s">
        <v>2714</v>
      </c>
    </row>
    <row r="177" customFormat="false" ht="219.75" hidden="false" customHeight="true" outlineLevel="0" collapsed="false">
      <c r="A177" s="17" t="s">
        <v>1528</v>
      </c>
      <c r="B177" s="17" t="s">
        <v>840</v>
      </c>
      <c r="C177" s="17" t="s">
        <v>834</v>
      </c>
      <c r="D177" s="17" t="s">
        <v>2726</v>
      </c>
      <c r="E177" s="22" t="s">
        <v>2731</v>
      </c>
      <c r="F177" s="23" t="s">
        <v>2732</v>
      </c>
      <c r="G177" s="23" t="s">
        <v>2733</v>
      </c>
      <c r="H177" s="22" t="s">
        <v>2734</v>
      </c>
      <c r="I177" s="22" t="s">
        <v>2735</v>
      </c>
      <c r="J177" s="23" t="s">
        <v>2736</v>
      </c>
      <c r="K177" s="23" t="s">
        <v>2737</v>
      </c>
      <c r="L177" s="23" t="s">
        <v>2738</v>
      </c>
      <c r="M177" s="25" t="s">
        <v>2739</v>
      </c>
      <c r="N177" s="24" t="s">
        <v>2740</v>
      </c>
      <c r="O177" s="25" t="s">
        <v>2741</v>
      </c>
      <c r="P177" s="24" t="s">
        <v>1581</v>
      </c>
      <c r="Q177" s="24" t="s">
        <v>2742</v>
      </c>
      <c r="R177" s="24" t="s">
        <v>2714</v>
      </c>
    </row>
    <row r="178" customFormat="false" ht="219.75" hidden="false" customHeight="true" outlineLevel="0" collapsed="false">
      <c r="A178" s="17" t="s">
        <v>1532</v>
      </c>
      <c r="B178" s="17" t="s">
        <v>1530</v>
      </c>
      <c r="C178" s="17" t="s">
        <v>874</v>
      </c>
      <c r="D178" s="17" t="s">
        <v>2743</v>
      </c>
      <c r="E178" s="22" t="s">
        <v>1564</v>
      </c>
      <c r="F178" s="23" t="s">
        <v>136</v>
      </c>
      <c r="G178" s="23" t="s">
        <v>136</v>
      </c>
      <c r="H178" s="23" t="s">
        <v>136</v>
      </c>
      <c r="I178" s="23" t="s">
        <v>136</v>
      </c>
      <c r="J178" s="23" t="s">
        <v>136</v>
      </c>
      <c r="K178" s="23" t="s">
        <v>136</v>
      </c>
      <c r="L178" s="23" t="s">
        <v>136</v>
      </c>
      <c r="M178" s="25" t="s">
        <v>2744</v>
      </c>
      <c r="N178" s="24" t="s">
        <v>2745</v>
      </c>
      <c r="O178" s="25" t="s">
        <v>2746</v>
      </c>
      <c r="P178" s="25" t="s">
        <v>39</v>
      </c>
      <c r="Q178" s="24" t="s">
        <v>2747</v>
      </c>
      <c r="R178" s="24" t="s">
        <v>2748</v>
      </c>
    </row>
    <row r="179" customFormat="false" ht="219.75" hidden="false" customHeight="true" outlineLevel="0" collapsed="false">
      <c r="A179" s="17" t="s">
        <v>1532</v>
      </c>
      <c r="B179" s="17" t="s">
        <v>801</v>
      </c>
      <c r="C179" s="17" t="s">
        <v>795</v>
      </c>
      <c r="D179" s="17" t="s">
        <v>2743</v>
      </c>
      <c r="E179" s="22" t="s">
        <v>1564</v>
      </c>
      <c r="F179" s="23" t="s">
        <v>136</v>
      </c>
      <c r="G179" s="23" t="s">
        <v>136</v>
      </c>
      <c r="H179" s="23" t="s">
        <v>136</v>
      </c>
      <c r="I179" s="23" t="s">
        <v>136</v>
      </c>
      <c r="J179" s="23" t="s">
        <v>136</v>
      </c>
      <c r="K179" s="23" t="s">
        <v>136</v>
      </c>
      <c r="L179" s="23" t="s">
        <v>136</v>
      </c>
      <c r="M179" s="25" t="s">
        <v>2749</v>
      </c>
      <c r="N179" s="24" t="s">
        <v>2750</v>
      </c>
      <c r="O179" s="24" t="s">
        <v>2751</v>
      </c>
      <c r="P179" s="25" t="s">
        <v>39</v>
      </c>
      <c r="Q179" s="24" t="s">
        <v>2752</v>
      </c>
      <c r="R179" s="24" t="s">
        <v>2748</v>
      </c>
    </row>
    <row r="180" customFormat="false" ht="219.75" hidden="false" customHeight="true" outlineLevel="0" collapsed="false">
      <c r="A180" s="17" t="s">
        <v>1532</v>
      </c>
      <c r="B180" s="17" t="s">
        <v>1541</v>
      </c>
      <c r="C180" s="17" t="s">
        <v>925</v>
      </c>
      <c r="D180" s="17" t="s">
        <v>2743</v>
      </c>
      <c r="E180" s="22" t="s">
        <v>1564</v>
      </c>
      <c r="F180" s="23" t="s">
        <v>136</v>
      </c>
      <c r="G180" s="23" t="s">
        <v>136</v>
      </c>
      <c r="H180" s="23" t="s">
        <v>136</v>
      </c>
      <c r="I180" s="23" t="s">
        <v>136</v>
      </c>
      <c r="J180" s="23" t="s">
        <v>136</v>
      </c>
      <c r="K180" s="23" t="s">
        <v>136</v>
      </c>
      <c r="L180" s="23" t="s">
        <v>136</v>
      </c>
      <c r="M180" s="24" t="s">
        <v>2753</v>
      </c>
      <c r="N180" s="24" t="s">
        <v>2754</v>
      </c>
      <c r="O180" s="25" t="s">
        <v>2755</v>
      </c>
      <c r="P180" s="24" t="s">
        <v>1596</v>
      </c>
      <c r="Q180" s="24" t="s">
        <v>2756</v>
      </c>
      <c r="R180" s="24" t="s">
        <v>2748</v>
      </c>
    </row>
    <row r="181" customFormat="false" ht="240" hidden="false" customHeight="true" outlineLevel="0" collapsed="false">
      <c r="A181" s="17" t="s">
        <v>1535</v>
      </c>
      <c r="B181" s="17" t="s">
        <v>1530</v>
      </c>
      <c r="C181" s="17" t="s">
        <v>874</v>
      </c>
      <c r="D181" s="17" t="s">
        <v>2757</v>
      </c>
      <c r="E181" s="22" t="s">
        <v>2758</v>
      </c>
      <c r="F181" s="23" t="s">
        <v>1534</v>
      </c>
      <c r="G181" s="22" t="s">
        <v>2759</v>
      </c>
      <c r="H181" s="22" t="s">
        <v>2760</v>
      </c>
      <c r="I181" s="22" t="s">
        <v>2761</v>
      </c>
      <c r="J181" s="22" t="s">
        <v>2762</v>
      </c>
      <c r="K181" s="23" t="s">
        <v>2763</v>
      </c>
      <c r="L181" s="23" t="s">
        <v>2764</v>
      </c>
      <c r="M181" s="25" t="s">
        <v>2765</v>
      </c>
      <c r="N181" s="24" t="s">
        <v>2766</v>
      </c>
      <c r="O181" s="25" t="s">
        <v>2767</v>
      </c>
      <c r="P181" s="24" t="s">
        <v>1581</v>
      </c>
      <c r="Q181" s="24" t="s">
        <v>2768</v>
      </c>
      <c r="R181" s="24" t="s">
        <v>2769</v>
      </c>
    </row>
    <row r="182" customFormat="false" ht="240" hidden="false" customHeight="true" outlineLevel="0" collapsed="false">
      <c r="A182" s="17" t="s">
        <v>1535</v>
      </c>
      <c r="B182" s="17" t="s">
        <v>801</v>
      </c>
      <c r="C182" s="17" t="s">
        <v>795</v>
      </c>
      <c r="D182" s="17" t="s">
        <v>2757</v>
      </c>
      <c r="E182" s="22" t="s">
        <v>2770</v>
      </c>
      <c r="F182" s="23" t="s">
        <v>1539</v>
      </c>
      <c r="G182" s="22" t="s">
        <v>2771</v>
      </c>
      <c r="H182" s="23" t="s">
        <v>2772</v>
      </c>
      <c r="I182" s="23" t="s">
        <v>2773</v>
      </c>
      <c r="J182" s="22" t="s">
        <v>2774</v>
      </c>
      <c r="K182" s="23" t="s">
        <v>2763</v>
      </c>
      <c r="L182" s="23" t="s">
        <v>2775</v>
      </c>
      <c r="M182" s="25" t="s">
        <v>2776</v>
      </c>
      <c r="N182" s="24" t="s">
        <v>2777</v>
      </c>
      <c r="O182" s="24" t="s">
        <v>2778</v>
      </c>
      <c r="P182" s="24" t="s">
        <v>1581</v>
      </c>
      <c r="Q182" s="24" t="s">
        <v>2779</v>
      </c>
      <c r="R182" s="24" t="s">
        <v>2769</v>
      </c>
    </row>
    <row r="183" customFormat="false" ht="240" hidden="false" customHeight="true" outlineLevel="0" collapsed="false">
      <c r="A183" s="17" t="s">
        <v>1535</v>
      </c>
      <c r="B183" s="17" t="s">
        <v>1541</v>
      </c>
      <c r="C183" s="17" t="s">
        <v>925</v>
      </c>
      <c r="D183" s="17" t="s">
        <v>2757</v>
      </c>
      <c r="E183" s="22" t="s">
        <v>2780</v>
      </c>
      <c r="F183" s="23" t="s">
        <v>1544</v>
      </c>
      <c r="G183" s="23" t="s">
        <v>2781</v>
      </c>
      <c r="H183" s="23" t="s">
        <v>2782</v>
      </c>
      <c r="I183" s="22" t="s">
        <v>2783</v>
      </c>
      <c r="J183" s="22" t="s">
        <v>2784</v>
      </c>
      <c r="K183" s="23" t="s">
        <v>2763</v>
      </c>
      <c r="L183" s="23" t="s">
        <v>2785</v>
      </c>
      <c r="M183" s="24" t="s">
        <v>2786</v>
      </c>
      <c r="N183" s="24" t="s">
        <v>2787</v>
      </c>
      <c r="O183" s="25" t="s">
        <v>2788</v>
      </c>
      <c r="P183" s="24" t="s">
        <v>1581</v>
      </c>
      <c r="Q183" s="24" t="s">
        <v>2789</v>
      </c>
      <c r="R183" s="24" t="s">
        <v>2769</v>
      </c>
    </row>
    <row r="184" customFormat="false" ht="15" hidden="false" customHeight="false" outlineLevel="0" collapsed="false">
      <c r="A184" s="26"/>
      <c r="P184" s="27"/>
    </row>
    <row r="185" customFormat="false" ht="15" hidden="false" customHeight="false" outlineLevel="0" collapsed="false">
      <c r="A185" s="26"/>
      <c r="P185" s="27"/>
    </row>
    <row r="186" customFormat="false" ht="15" hidden="false" customHeight="false" outlineLevel="0" collapsed="false">
      <c r="A186" s="26"/>
      <c r="P186" s="27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186" type="list">
      <formula1>"R1,R2,R3,R4,R5,R6,R7,R8,R9,R10,R11"</formula1>
      <formula2>0</formula2>
    </dataValidation>
    <dataValidation allowBlank="true" errorStyle="stop" operator="between" showDropDown="false" showErrorMessage="false" showInputMessage="false" sqref="P5:P186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9" t="s">
        <v>2790</v>
      </c>
      <c r="B1" s="19"/>
      <c r="C1" s="19"/>
      <c r="D1" s="19"/>
      <c r="E1" s="19"/>
      <c r="F1" s="19"/>
    </row>
    <row r="2" customFormat="false" ht="31.5" hidden="false" customHeight="true" outlineLevel="0" collapsed="false">
      <c r="A2" s="9" t="s">
        <v>1548</v>
      </c>
      <c r="B2" s="9" t="s">
        <v>2791</v>
      </c>
      <c r="C2" s="9" t="s">
        <v>2792</v>
      </c>
      <c r="D2" s="9" t="s">
        <v>2793</v>
      </c>
      <c r="E2" s="9" t="s">
        <v>2794</v>
      </c>
      <c r="F2" s="9" t="s">
        <v>134</v>
      </c>
    </row>
    <row r="3" customFormat="false" ht="15" hidden="false" customHeight="true" outlineLevel="0" collapsed="false">
      <c r="A3" s="11" t="s">
        <v>2305</v>
      </c>
      <c r="B3" s="10" t="s">
        <v>2795</v>
      </c>
      <c r="C3" s="11" t="s">
        <v>2796</v>
      </c>
      <c r="D3" s="10" t="s">
        <v>2797</v>
      </c>
      <c r="E3" s="10" t="s">
        <v>2798</v>
      </c>
      <c r="F3" s="10" t="s">
        <v>2799</v>
      </c>
    </row>
    <row r="4" customFormat="false" ht="15" hidden="false" customHeight="true" outlineLevel="0" collapsed="false">
      <c r="A4" s="17" t="s">
        <v>1583</v>
      </c>
      <c r="B4" s="16" t="s">
        <v>2800</v>
      </c>
      <c r="C4" s="17" t="s">
        <v>2801</v>
      </c>
      <c r="D4" s="17" t="s">
        <v>2802</v>
      </c>
      <c r="E4" s="16" t="s">
        <v>2803</v>
      </c>
      <c r="F4" s="17" t="s">
        <v>2804</v>
      </c>
    </row>
    <row r="5" customFormat="false" ht="159.75" hidden="false" customHeight="true" outlineLevel="0" collapsed="false">
      <c r="A5" s="17" t="s">
        <v>1583</v>
      </c>
      <c r="B5" s="16" t="s">
        <v>2795</v>
      </c>
      <c r="C5" s="17" t="s">
        <v>2805</v>
      </c>
      <c r="D5" s="17" t="s">
        <v>2806</v>
      </c>
      <c r="E5" s="16" t="s">
        <v>2807</v>
      </c>
      <c r="F5" s="17" t="s">
        <v>2808</v>
      </c>
    </row>
    <row r="6" customFormat="false" ht="15" hidden="false" customHeight="true" outlineLevel="0" collapsed="false">
      <c r="A6" s="17" t="s">
        <v>2015</v>
      </c>
      <c r="B6" s="16" t="s">
        <v>2800</v>
      </c>
      <c r="C6" s="17" t="s">
        <v>2805</v>
      </c>
      <c r="D6" s="17" t="s">
        <v>2809</v>
      </c>
      <c r="E6" s="16" t="s">
        <v>2810</v>
      </c>
      <c r="F6" s="16" t="s">
        <v>2811</v>
      </c>
    </row>
    <row r="7" customFormat="false" ht="219.75" hidden="false" customHeight="true" outlineLevel="0" collapsed="false">
      <c r="A7" s="17" t="s">
        <v>2015</v>
      </c>
      <c r="B7" s="16" t="s">
        <v>2795</v>
      </c>
      <c r="C7" s="17" t="s">
        <v>2812</v>
      </c>
      <c r="D7" s="17" t="s">
        <v>2813</v>
      </c>
      <c r="E7" s="16" t="s">
        <v>2814</v>
      </c>
      <c r="F7" s="17" t="s">
        <v>2815</v>
      </c>
    </row>
    <row r="8" customFormat="false" ht="15" hidden="false" customHeight="true" outlineLevel="0" collapsed="false">
      <c r="A8" s="17" t="s">
        <v>2015</v>
      </c>
      <c r="B8" s="16" t="s">
        <v>2800</v>
      </c>
      <c r="C8" s="17" t="s">
        <v>2812</v>
      </c>
      <c r="D8" s="17" t="s">
        <v>2816</v>
      </c>
      <c r="E8" s="16" t="s">
        <v>2817</v>
      </c>
      <c r="F8" s="17" t="s">
        <v>2818</v>
      </c>
    </row>
    <row r="9" customFormat="false" ht="219.75" hidden="false" customHeight="true" outlineLevel="0" collapsed="false">
      <c r="A9" s="17" t="s">
        <v>2305</v>
      </c>
      <c r="B9" s="16" t="s">
        <v>2795</v>
      </c>
      <c r="C9" s="17" t="s">
        <v>2819</v>
      </c>
      <c r="D9" s="17" t="s">
        <v>2820</v>
      </c>
      <c r="E9" s="16" t="s">
        <v>2821</v>
      </c>
      <c r="F9" s="17" t="s">
        <v>2822</v>
      </c>
    </row>
    <row r="10" customFormat="false" ht="15" hidden="false" customHeight="true" outlineLevel="0" collapsed="false">
      <c r="A10" s="17" t="s">
        <v>2305</v>
      </c>
      <c r="B10" s="16" t="s">
        <v>2800</v>
      </c>
      <c r="C10" s="17" t="s">
        <v>2819</v>
      </c>
      <c r="D10" s="17" t="s">
        <v>2823</v>
      </c>
      <c r="E10" s="16" t="s">
        <v>2824</v>
      </c>
      <c r="F10" s="17" t="s">
        <v>2825</v>
      </c>
    </row>
    <row r="11" customFormat="false" ht="219.75" hidden="false" customHeight="true" outlineLevel="0" collapsed="false">
      <c r="A11" s="17" t="s">
        <v>2305</v>
      </c>
      <c r="B11" s="16" t="s">
        <v>2795</v>
      </c>
      <c r="C11" s="17" t="s">
        <v>2826</v>
      </c>
      <c r="D11" s="17" t="s">
        <v>2827</v>
      </c>
      <c r="E11" s="16" t="s">
        <v>2828</v>
      </c>
      <c r="F11" s="17" t="s">
        <v>2829</v>
      </c>
    </row>
    <row r="12" customFormat="false" ht="15" hidden="false" customHeight="true" outlineLevel="0" collapsed="false">
      <c r="A12" s="17" t="s">
        <v>2545</v>
      </c>
      <c r="B12" s="16" t="s">
        <v>2800</v>
      </c>
      <c r="C12" s="17" t="s">
        <v>2826</v>
      </c>
      <c r="D12" s="17" t="s">
        <v>2830</v>
      </c>
      <c r="E12" s="16" t="s">
        <v>2831</v>
      </c>
      <c r="F12" s="17" t="s">
        <v>2832</v>
      </c>
    </row>
    <row r="13" customFormat="false" ht="219.75" hidden="false" customHeight="true" outlineLevel="0" collapsed="false">
      <c r="A13" s="17" t="s">
        <v>2545</v>
      </c>
      <c r="B13" s="16" t="s">
        <v>2795</v>
      </c>
      <c r="C13" s="17" t="s">
        <v>2833</v>
      </c>
      <c r="D13" s="17" t="s">
        <v>2834</v>
      </c>
      <c r="E13" s="16" t="s">
        <v>2835</v>
      </c>
      <c r="F13" s="17" t="s">
        <v>2836</v>
      </c>
    </row>
    <row r="14" customFormat="false" ht="219.75" hidden="false" customHeight="true" outlineLevel="0" collapsed="false">
      <c r="A14" s="17" t="s">
        <v>2545</v>
      </c>
      <c r="B14" s="16" t="s">
        <v>2800</v>
      </c>
      <c r="C14" s="17" t="s">
        <v>2833</v>
      </c>
      <c r="D14" s="17" t="s">
        <v>2837</v>
      </c>
      <c r="E14" s="16" t="s">
        <v>2838</v>
      </c>
      <c r="F14" s="16" t="s">
        <v>2839</v>
      </c>
    </row>
    <row r="15" customFormat="false" ht="219.75" hidden="false" customHeight="true" outlineLevel="0" collapsed="false">
      <c r="A15" s="17" t="s">
        <v>2726</v>
      </c>
      <c r="B15" s="16" t="s">
        <v>2795</v>
      </c>
      <c r="C15" s="17" t="s">
        <v>2840</v>
      </c>
      <c r="D15" s="17" t="s">
        <v>2841</v>
      </c>
      <c r="E15" s="16" t="s">
        <v>2842</v>
      </c>
      <c r="F15" s="17" t="s">
        <v>2843</v>
      </c>
    </row>
    <row r="16" customFormat="false" ht="219.75" hidden="false" customHeight="true" outlineLevel="0" collapsed="false">
      <c r="A16" s="17" t="s">
        <v>2726</v>
      </c>
      <c r="B16" s="16" t="s">
        <v>2844</v>
      </c>
      <c r="C16" s="17" t="s">
        <v>2840</v>
      </c>
      <c r="D16" s="17" t="s">
        <v>2845</v>
      </c>
      <c r="E16" s="16" t="s">
        <v>2846</v>
      </c>
      <c r="F16" s="16" t="s">
        <v>2847</v>
      </c>
    </row>
    <row r="17" customFormat="false" ht="219.75" hidden="false" customHeight="true" outlineLevel="0" collapsed="false">
      <c r="A17" s="17" t="s">
        <v>2726</v>
      </c>
      <c r="B17" s="16" t="s">
        <v>2848</v>
      </c>
      <c r="C17" s="17" t="s">
        <v>2840</v>
      </c>
      <c r="D17" s="17" t="s">
        <v>2849</v>
      </c>
      <c r="E17" s="17" t="s">
        <v>2850</v>
      </c>
      <c r="F17" s="16" t="s">
        <v>2851</v>
      </c>
    </row>
    <row r="18" customFormat="false" ht="219.75" hidden="false" customHeight="true" outlineLevel="0" collapsed="false">
      <c r="A18" s="17" t="s">
        <v>2726</v>
      </c>
      <c r="B18" s="16" t="s">
        <v>2795</v>
      </c>
      <c r="C18" s="17" t="s">
        <v>2852</v>
      </c>
      <c r="D18" s="17" t="s">
        <v>2853</v>
      </c>
      <c r="E18" s="16" t="s">
        <v>2854</v>
      </c>
      <c r="F18" s="17" t="s">
        <v>2855</v>
      </c>
    </row>
    <row r="19" customFormat="false" ht="219.75" hidden="false" customHeight="true" outlineLevel="0" collapsed="false">
      <c r="A19" s="17" t="s">
        <v>2726</v>
      </c>
      <c r="B19" s="16" t="s">
        <v>2800</v>
      </c>
      <c r="C19" s="17" t="s">
        <v>2852</v>
      </c>
      <c r="D19" s="17" t="s">
        <v>2856</v>
      </c>
      <c r="E19" s="16" t="s">
        <v>2857</v>
      </c>
      <c r="F19" s="16" t="s">
        <v>2858</v>
      </c>
    </row>
    <row r="20" customFormat="false" ht="219.75" hidden="false" customHeight="true" outlineLevel="0" collapsed="false">
      <c r="A20" s="17" t="s">
        <v>2726</v>
      </c>
      <c r="B20" s="16" t="s">
        <v>2859</v>
      </c>
      <c r="C20" s="17" t="s">
        <v>2852</v>
      </c>
      <c r="D20" s="16" t="s">
        <v>2860</v>
      </c>
      <c r="E20" s="17" t="s">
        <v>2861</v>
      </c>
      <c r="F20" s="16" t="s">
        <v>2862</v>
      </c>
    </row>
    <row r="21" customFormat="false" ht="219.75" hidden="false" customHeight="true" outlineLevel="0" collapsed="false">
      <c r="A21" s="17" t="s">
        <v>2743</v>
      </c>
      <c r="B21" s="16" t="s">
        <v>2863</v>
      </c>
      <c r="C21" s="17" t="s">
        <v>2852</v>
      </c>
      <c r="D21" s="16" t="s">
        <v>2864</v>
      </c>
      <c r="E21" s="16" t="s">
        <v>2865</v>
      </c>
      <c r="F21" s="16" t="s">
        <v>2866</v>
      </c>
    </row>
    <row r="22" customFormat="false" ht="219.75" hidden="false" customHeight="true" outlineLevel="0" collapsed="false">
      <c r="A22" s="17" t="s">
        <v>2743</v>
      </c>
      <c r="B22" s="16" t="s">
        <v>2848</v>
      </c>
      <c r="C22" s="17" t="s">
        <v>2852</v>
      </c>
      <c r="D22" s="17" t="s">
        <v>2867</v>
      </c>
      <c r="E22" s="17" t="s">
        <v>2868</v>
      </c>
      <c r="F22" s="16" t="s">
        <v>2869</v>
      </c>
    </row>
    <row r="23" customFormat="false" ht="219.75" hidden="false" customHeight="true" outlineLevel="0" collapsed="false">
      <c r="A23" s="17" t="s">
        <v>2757</v>
      </c>
      <c r="B23" s="16" t="s">
        <v>2800</v>
      </c>
      <c r="C23" s="17" t="s">
        <v>2852</v>
      </c>
      <c r="D23" s="17" t="s">
        <v>2870</v>
      </c>
      <c r="E23" s="16" t="s">
        <v>2871</v>
      </c>
      <c r="F23" s="17" t="s">
        <v>2872</v>
      </c>
    </row>
    <row r="24" customFormat="false" ht="240" hidden="false" customHeight="true" outlineLevel="0" collapsed="false">
      <c r="A24" s="17" t="s">
        <v>2757</v>
      </c>
      <c r="B24" s="16" t="s">
        <v>2795</v>
      </c>
      <c r="C24" s="17" t="s">
        <v>2873</v>
      </c>
      <c r="D24" s="17" t="s">
        <v>2874</v>
      </c>
      <c r="E24" s="16" t="s">
        <v>2875</v>
      </c>
      <c r="F24" s="17" t="s">
        <v>2876</v>
      </c>
    </row>
    <row r="25" customFormat="false" ht="240" hidden="false" customHeight="true" outlineLevel="0" collapsed="false">
      <c r="A25" s="17" t="s">
        <v>2877</v>
      </c>
      <c r="B25" s="16" t="s">
        <v>2844</v>
      </c>
      <c r="C25" s="17" t="s">
        <v>2873</v>
      </c>
      <c r="D25" s="17" t="s">
        <v>2878</v>
      </c>
      <c r="E25" s="16" t="s">
        <v>2879</v>
      </c>
      <c r="F25" s="16" t="s">
        <v>2880</v>
      </c>
    </row>
    <row r="26" customFormat="false" ht="15" hidden="false" customHeight="true" outlineLevel="0" collapsed="false">
      <c r="A26" s="17"/>
      <c r="B26" s="16"/>
      <c r="C26" s="17"/>
      <c r="D26" s="17"/>
      <c r="E26" s="17"/>
      <c r="F26" s="17"/>
    </row>
    <row r="27" customFormat="false" ht="15" hidden="false" customHeight="true" outlineLevel="0" collapsed="false">
      <c r="A27" s="17"/>
      <c r="B27" s="16"/>
      <c r="C27" s="17"/>
      <c r="D27" s="17"/>
      <c r="E27" s="17"/>
      <c r="F27" s="17"/>
    </row>
    <row r="28" customFormat="false" ht="15" hidden="false" customHeight="true" outlineLevel="0" collapsed="false">
      <c r="A28" s="17"/>
      <c r="B28" s="16"/>
      <c r="C28" s="17"/>
      <c r="D28" s="17"/>
      <c r="E28" s="17"/>
      <c r="F28" s="17"/>
    </row>
    <row r="29" customFormat="false" ht="15" hidden="false" customHeight="true" outlineLevel="0" collapsed="false">
      <c r="A29" s="17"/>
      <c r="B29" s="16"/>
      <c r="C29" s="17"/>
      <c r="D29" s="17"/>
      <c r="E29" s="17"/>
      <c r="F29" s="17"/>
    </row>
    <row r="30" customFormat="false" ht="15" hidden="false" customHeight="true" outlineLevel="0" collapsed="false">
      <c r="A30" s="17"/>
      <c r="B30" s="16"/>
      <c r="C30" s="17"/>
      <c r="D30" s="17"/>
      <c r="E30" s="17"/>
      <c r="F30" s="17"/>
    </row>
    <row r="31" customFormat="false" ht="15" hidden="false" customHeight="true" outlineLevel="0" collapsed="false">
      <c r="A31" s="17"/>
      <c r="B31" s="16"/>
      <c r="C31" s="17"/>
      <c r="D31" s="17"/>
      <c r="E31" s="17"/>
      <c r="F31" s="17"/>
    </row>
    <row r="32" customFormat="false" ht="15" hidden="false" customHeight="true" outlineLevel="0" collapsed="false">
      <c r="A32" s="17"/>
      <c r="B32" s="16"/>
      <c r="C32" s="17"/>
      <c r="D32" s="17"/>
      <c r="E32" s="17"/>
      <c r="F32" s="17"/>
    </row>
    <row r="33" customFormat="false" ht="15" hidden="false" customHeight="true" outlineLevel="0" collapsed="false">
      <c r="A33" s="17"/>
      <c r="B33" s="16"/>
      <c r="C33" s="17"/>
      <c r="D33" s="17"/>
      <c r="E33" s="17"/>
      <c r="F33" s="17"/>
    </row>
    <row r="34" customFormat="false" ht="15" hidden="false" customHeight="true" outlineLevel="0" collapsed="false">
      <c r="A34" s="17"/>
      <c r="B34" s="16"/>
      <c r="C34" s="17"/>
      <c r="D34" s="17"/>
      <c r="E34" s="17"/>
      <c r="F34" s="17"/>
    </row>
    <row r="35" customFormat="false" ht="15" hidden="false" customHeight="true" outlineLevel="0" collapsed="false">
      <c r="A35" s="17"/>
      <c r="B35" s="16"/>
      <c r="C35" s="17"/>
      <c r="D35" s="17"/>
      <c r="E35" s="17"/>
      <c r="F35" s="17"/>
    </row>
    <row r="36" customFormat="false" ht="15" hidden="false" customHeight="true" outlineLevel="0" collapsed="false">
      <c r="A36" s="17"/>
      <c r="B36" s="16"/>
      <c r="C36" s="17"/>
      <c r="D36" s="17"/>
      <c r="E36" s="17"/>
      <c r="F36" s="17"/>
    </row>
    <row r="37" customFormat="false" ht="15" hidden="false" customHeight="true" outlineLevel="0" collapsed="false">
      <c r="A37" s="17"/>
      <c r="B37" s="16"/>
      <c r="C37" s="17"/>
      <c r="D37" s="17"/>
      <c r="E37" s="17"/>
      <c r="F37" s="17"/>
    </row>
    <row r="38" customFormat="false" ht="15" hidden="false" customHeight="true" outlineLevel="0" collapsed="false">
      <c r="A38" s="17"/>
      <c r="B38" s="16"/>
      <c r="C38" s="17"/>
      <c r="D38" s="17"/>
      <c r="E38" s="17"/>
      <c r="F38" s="17"/>
    </row>
    <row r="39" customFormat="false" ht="15" hidden="false" customHeight="true" outlineLevel="0" collapsed="false">
      <c r="A39" s="17"/>
      <c r="B39" s="16"/>
      <c r="C39" s="17"/>
      <c r="D39" s="17"/>
      <c r="E39" s="17"/>
      <c r="F39" s="17"/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9" t="s">
        <v>2881</v>
      </c>
    </row>
    <row r="3" customFormat="false" ht="31.5" hidden="false" customHeight="true" outlineLevel="0" collapsed="false">
      <c r="A3" s="9" t="s">
        <v>1547</v>
      </c>
      <c r="B3" s="9" t="s">
        <v>1548</v>
      </c>
      <c r="C3" s="9" t="s">
        <v>2792</v>
      </c>
      <c r="D3" s="9" t="s">
        <v>2882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2883</v>
      </c>
      <c r="K3" s="9" t="s">
        <v>2884</v>
      </c>
      <c r="L3" s="9" t="s">
        <v>2885</v>
      </c>
      <c r="M3" s="9" t="s">
        <v>2886</v>
      </c>
      <c r="N3" s="9" t="s">
        <v>2887</v>
      </c>
    </row>
    <row r="4" customFormat="false" ht="15" hidden="false" customHeight="true" outlineLevel="0" collapsed="false">
      <c r="A4" s="13" t="s">
        <v>1116</v>
      </c>
      <c r="B4" s="30" t="s">
        <v>1583</v>
      </c>
      <c r="C4" s="30" t="s">
        <v>2801</v>
      </c>
      <c r="D4" s="30" t="n">
        <v>120</v>
      </c>
      <c r="E4" s="30" t="n">
        <v>86</v>
      </c>
      <c r="F4" s="30" t="n">
        <v>19</v>
      </c>
      <c r="G4" s="30" t="n">
        <v>8</v>
      </c>
      <c r="H4" s="30" t="n">
        <v>1</v>
      </c>
      <c r="I4" s="30" t="n">
        <v>6</v>
      </c>
      <c r="J4" s="31" t="n">
        <f aca="false">COUNTIF(缺陷登記!$F$3:$F$87,$A4)</f>
        <v>38</v>
      </c>
      <c r="K4" s="31" t="n">
        <f aca="false">COUNTIF(缺陷登記!$J$3:$J$87,$A4)</f>
        <v>0</v>
      </c>
      <c r="L4" s="31" t="n">
        <f aca="false">SUM($J$4:$J4)-SUM($K$4:$K4)</f>
        <v>38</v>
      </c>
      <c r="M4" s="32" t="s">
        <v>2888</v>
      </c>
      <c r="N4" s="32" t="s">
        <v>2889</v>
      </c>
    </row>
    <row r="5" customFormat="false" ht="15" hidden="false" customHeight="true" outlineLevel="0" collapsed="false">
      <c r="A5" s="13" t="s">
        <v>1119</v>
      </c>
      <c r="B5" s="30" t="s">
        <v>2015</v>
      </c>
      <c r="C5" s="30" t="s">
        <v>2805</v>
      </c>
      <c r="D5" s="30" t="n">
        <v>31</v>
      </c>
      <c r="E5" s="30" t="n">
        <v>29</v>
      </c>
      <c r="F5" s="30" t="n">
        <v>2</v>
      </c>
      <c r="G5" s="30" t="n">
        <v>0</v>
      </c>
      <c r="H5" s="30" t="n">
        <v>0</v>
      </c>
      <c r="I5" s="30" t="n">
        <v>0</v>
      </c>
      <c r="J5" s="31" t="n">
        <f aca="false">COUNTIF(缺陷登記!$F$3:$F$87,$A5)</f>
        <v>10</v>
      </c>
      <c r="K5" s="31" t="n">
        <f aca="false">COUNTIF(缺陷登記!$J$3:$J$87,$A5)</f>
        <v>29</v>
      </c>
      <c r="L5" s="31" t="n">
        <f aca="false">SUM($J$4:$J5)-SUM($K$4:$K5)</f>
        <v>19</v>
      </c>
      <c r="M5" s="32" t="s">
        <v>2890</v>
      </c>
      <c r="N5" s="30" t="s">
        <v>2891</v>
      </c>
    </row>
    <row r="6" customFormat="false" ht="15" hidden="false" customHeight="true" outlineLevel="0" collapsed="false">
      <c r="A6" s="13" t="s">
        <v>1132</v>
      </c>
      <c r="B6" s="30" t="s">
        <v>2015</v>
      </c>
      <c r="C6" s="30" t="s">
        <v>2812</v>
      </c>
      <c r="D6" s="30" t="n">
        <v>21</v>
      </c>
      <c r="E6" s="30" t="n">
        <v>20</v>
      </c>
      <c r="F6" s="30" t="n">
        <v>1</v>
      </c>
      <c r="G6" s="30" t="n">
        <v>0</v>
      </c>
      <c r="H6" s="30" t="n">
        <v>0</v>
      </c>
      <c r="I6" s="30" t="n">
        <v>0</v>
      </c>
      <c r="J6" s="31" t="n">
        <f aca="false">COUNTIF(缺陷登記!$F$3:$F$87,$A6)</f>
        <v>13</v>
      </c>
      <c r="K6" s="31" t="n">
        <f aca="false">COUNTIF(缺陷登記!$J$3:$J$87,$A6)</f>
        <v>18</v>
      </c>
      <c r="L6" s="31" t="n">
        <f aca="false">SUM($J$4:$J6)-SUM($K$4:$K6)</f>
        <v>14</v>
      </c>
      <c r="M6" s="32" t="s">
        <v>2892</v>
      </c>
      <c r="N6" s="30" t="s">
        <v>2893</v>
      </c>
    </row>
    <row r="7" customFormat="false" ht="15" hidden="false" customHeight="true" outlineLevel="0" collapsed="false">
      <c r="A7" s="13" t="s">
        <v>1301</v>
      </c>
      <c r="B7" s="30" t="s">
        <v>2305</v>
      </c>
      <c r="C7" s="30" t="s">
        <v>2819</v>
      </c>
      <c r="D7" s="30" t="n">
        <v>16</v>
      </c>
      <c r="E7" s="30" t="n">
        <v>15</v>
      </c>
      <c r="F7" s="30" t="n">
        <v>1</v>
      </c>
      <c r="G7" s="30" t="n">
        <v>0</v>
      </c>
      <c r="H7" s="30" t="n">
        <v>0</v>
      </c>
      <c r="I7" s="30" t="n">
        <v>0</v>
      </c>
      <c r="J7" s="31" t="n">
        <f aca="false">COUNTIF(缺陷登記!$F$3:$F$87,$A7)</f>
        <v>4</v>
      </c>
      <c r="K7" s="31" t="n">
        <f aca="false">COUNTIF(缺陷登記!$J$3:$J$87,$A7)</f>
        <v>13</v>
      </c>
      <c r="L7" s="31" t="n">
        <f aca="false">SUM($J$4:$J7)-SUM($K$4:$K7)</f>
        <v>5</v>
      </c>
      <c r="M7" s="32" t="s">
        <v>2894</v>
      </c>
      <c r="N7" s="30" t="s">
        <v>2895</v>
      </c>
    </row>
    <row r="8" customFormat="false" ht="15" hidden="false" customHeight="true" outlineLevel="0" collapsed="false">
      <c r="A8" s="13" t="s">
        <v>1394</v>
      </c>
      <c r="B8" s="30" t="s">
        <v>2305</v>
      </c>
      <c r="C8" s="30" t="s">
        <v>2826</v>
      </c>
      <c r="D8" s="30" t="n">
        <v>17</v>
      </c>
      <c r="E8" s="30" t="n">
        <v>13</v>
      </c>
      <c r="F8" s="30" t="n">
        <v>4</v>
      </c>
      <c r="G8" s="30" t="n">
        <v>0</v>
      </c>
      <c r="H8" s="30" t="n">
        <v>0</v>
      </c>
      <c r="I8" s="30" t="n">
        <v>0</v>
      </c>
      <c r="J8" s="31" t="n">
        <f aca="false">COUNTIF(缺陷登記!$F$3:$F$87,$A8)</f>
        <v>13</v>
      </c>
      <c r="K8" s="31" t="n">
        <f aca="false">COUNTIF(缺陷登記!$J$3:$J$87,$A8)</f>
        <v>5</v>
      </c>
      <c r="L8" s="31" t="n">
        <f aca="false">SUM($J$4:$J8)-SUM($K$4:$K8)</f>
        <v>13</v>
      </c>
      <c r="M8" s="32" t="s">
        <v>2896</v>
      </c>
      <c r="N8" s="30" t="s">
        <v>2897</v>
      </c>
    </row>
    <row r="9" customFormat="false" ht="15" hidden="false" customHeight="true" outlineLevel="0" collapsed="false">
      <c r="A9" s="13" t="s">
        <v>1448</v>
      </c>
      <c r="B9" s="30" t="s">
        <v>2545</v>
      </c>
      <c r="C9" s="30" t="s">
        <v>2833</v>
      </c>
      <c r="D9" s="30" t="n">
        <v>13</v>
      </c>
      <c r="E9" s="30" t="n">
        <v>13</v>
      </c>
      <c r="F9" s="30" t="n">
        <v>0</v>
      </c>
      <c r="G9" s="30" t="n">
        <v>0</v>
      </c>
      <c r="H9" s="30" t="n">
        <v>0</v>
      </c>
      <c r="I9" s="30" t="n">
        <v>0</v>
      </c>
      <c r="J9" s="31" t="n">
        <f aca="false">COUNTIF(缺陷登記!$F$3:$F$87,$A9)</f>
        <v>2</v>
      </c>
      <c r="K9" s="31" t="n">
        <f aca="false">COUNTIF(缺陷登記!$J$3:$J$87,$A9)</f>
        <v>14</v>
      </c>
      <c r="L9" s="31" t="n">
        <f aca="false">SUM($J$4:$J9)-SUM($K$4:$K9)</f>
        <v>1</v>
      </c>
      <c r="M9" s="32" t="s">
        <v>2898</v>
      </c>
      <c r="N9" s="30" t="s">
        <v>2899</v>
      </c>
    </row>
    <row r="10" customFormat="false" ht="15" hidden="false" customHeight="true" outlineLevel="0" collapsed="false">
      <c r="A10" s="13" t="s">
        <v>1502</v>
      </c>
      <c r="B10" s="30" t="s">
        <v>2726</v>
      </c>
      <c r="C10" s="30" t="s">
        <v>2840</v>
      </c>
      <c r="D10" s="30" t="n">
        <v>7</v>
      </c>
      <c r="E10" s="30" t="n">
        <v>7</v>
      </c>
      <c r="F10" s="30" t="n">
        <v>0</v>
      </c>
      <c r="G10" s="30" t="n">
        <v>0</v>
      </c>
      <c r="H10" s="30" t="n">
        <v>0</v>
      </c>
      <c r="I10" s="30" t="n">
        <v>0</v>
      </c>
      <c r="J10" s="31" t="n">
        <f aca="false">COUNTIF(缺陷登記!$F$3:$F$87,$A10)</f>
        <v>1</v>
      </c>
      <c r="K10" s="31" t="n">
        <f aca="false">COUNTIF(缺陷登記!$J$3:$J$87,$A10)</f>
        <v>2</v>
      </c>
      <c r="L10" s="31" t="n">
        <f aca="false">SUM($J$4:$J10)-SUM($K$4:$K10)</f>
        <v>0</v>
      </c>
      <c r="M10" s="32" t="s">
        <v>2900</v>
      </c>
      <c r="N10" s="30" t="s">
        <v>2901</v>
      </c>
    </row>
    <row r="11" customFormat="false" ht="15" hidden="false" customHeight="true" outlineLevel="0" collapsed="false">
      <c r="A11" s="13" t="s">
        <v>1525</v>
      </c>
      <c r="B11" s="30" t="s">
        <v>2726</v>
      </c>
      <c r="C11" s="30" t="s">
        <v>2840</v>
      </c>
      <c r="D11" s="30" t="n">
        <v>73</v>
      </c>
      <c r="E11" s="30" t="n">
        <v>71</v>
      </c>
      <c r="F11" s="30" t="n">
        <v>1</v>
      </c>
      <c r="G11" s="30" t="n">
        <v>0</v>
      </c>
      <c r="H11" s="30" t="n">
        <v>1</v>
      </c>
      <c r="I11" s="30" t="n">
        <v>0</v>
      </c>
      <c r="J11" s="31" t="n">
        <f aca="false">COUNTIF(缺陷登記!$F$3:$F$87,$A11)</f>
        <v>1</v>
      </c>
      <c r="K11" s="31" t="n">
        <f aca="false">COUNTIF(缺陷登記!$J$3:$J$87,$A11)</f>
        <v>0</v>
      </c>
      <c r="L11" s="31" t="n">
        <f aca="false">SUM($J$4:$J11)-SUM($K$4:$K11)</f>
        <v>1</v>
      </c>
      <c r="M11" s="32" t="s">
        <v>2902</v>
      </c>
      <c r="N11" s="30" t="s">
        <v>2903</v>
      </c>
    </row>
    <row r="12" customFormat="false" ht="15" hidden="false" customHeight="true" outlineLevel="0" collapsed="false">
      <c r="A12" s="13" t="s">
        <v>1528</v>
      </c>
      <c r="B12" s="30" t="s">
        <v>2726</v>
      </c>
      <c r="C12" s="30" t="s">
        <v>2852</v>
      </c>
      <c r="D12" s="30" t="n">
        <v>7</v>
      </c>
      <c r="E12" s="30" t="n">
        <v>7</v>
      </c>
      <c r="F12" s="30" t="n">
        <v>0</v>
      </c>
      <c r="G12" s="30" t="n">
        <v>0</v>
      </c>
      <c r="H12" s="30" t="n">
        <v>0</v>
      </c>
      <c r="I12" s="30" t="n">
        <v>0</v>
      </c>
      <c r="J12" s="31" t="n">
        <f aca="false">COUNTIF(缺陷登記!$F$3:$F$87,$A12)</f>
        <v>0</v>
      </c>
      <c r="K12" s="31" t="n">
        <f aca="false">COUNTIF(缺陷登記!$J$3:$J$87,$A12)</f>
        <v>1</v>
      </c>
      <c r="L12" s="31" t="n">
        <f aca="false">SUM($J$4:$J12)-SUM($K$4:$K12)</f>
        <v>0</v>
      </c>
      <c r="M12" s="32" t="s">
        <v>2904</v>
      </c>
      <c r="N12" s="30" t="s">
        <v>2905</v>
      </c>
    </row>
    <row r="13" customFormat="false" ht="15" hidden="false" customHeight="true" outlineLevel="0" collapsed="false">
      <c r="A13" s="13" t="s">
        <v>1532</v>
      </c>
      <c r="B13" s="30" t="s">
        <v>2743</v>
      </c>
      <c r="C13" s="30" t="s">
        <v>2852</v>
      </c>
      <c r="D13" s="30" t="n">
        <v>120</v>
      </c>
      <c r="E13" s="30" t="n">
        <v>116</v>
      </c>
      <c r="F13" s="30" t="n">
        <v>2</v>
      </c>
      <c r="G13" s="30" t="n">
        <v>0</v>
      </c>
      <c r="H13" s="30" t="n">
        <v>1</v>
      </c>
      <c r="I13" s="30" t="n">
        <v>1</v>
      </c>
      <c r="J13" s="31" t="n">
        <f aca="false">COUNTIF(缺陷登記!$F$3:$F$87,$A13)</f>
        <v>3</v>
      </c>
      <c r="K13" s="31" t="n">
        <f aca="false">COUNTIF(缺陷登記!$J$3:$J$87,$A13)</f>
        <v>0</v>
      </c>
      <c r="L13" s="31" t="n">
        <f aca="false">SUM($J$4:$J13)-SUM($K$4:$K13)</f>
        <v>3</v>
      </c>
      <c r="M13" s="32" t="s">
        <v>2906</v>
      </c>
      <c r="N13" s="30" t="s">
        <v>2907</v>
      </c>
    </row>
    <row r="14" customFormat="false" ht="15" hidden="false" customHeight="true" outlineLevel="0" collapsed="false">
      <c r="A14" s="13" t="s">
        <v>1535</v>
      </c>
      <c r="B14" s="30" t="s">
        <v>2877</v>
      </c>
      <c r="C14" s="30" t="s">
        <v>2873</v>
      </c>
      <c r="D14" s="30" t="n">
        <v>120</v>
      </c>
      <c r="E14" s="30" t="n">
        <v>119</v>
      </c>
      <c r="F14" s="30" t="n">
        <v>0</v>
      </c>
      <c r="G14" s="30" t="n">
        <v>0</v>
      </c>
      <c r="H14" s="30" t="n">
        <v>1</v>
      </c>
      <c r="I14" s="30" t="n">
        <v>0</v>
      </c>
      <c r="J14" s="31" t="n">
        <f aca="false">COUNTIF(缺陷登記!$F$3:$F$87,$A14)</f>
        <v>0</v>
      </c>
      <c r="K14" s="31" t="n">
        <f aca="false">COUNTIF(缺陷登記!$J$3:$J$87,$A14)</f>
        <v>3</v>
      </c>
      <c r="L14" s="31" t="n">
        <f aca="false">SUM($J$4:$J14)-SUM($K$4:$K14)</f>
        <v>0</v>
      </c>
      <c r="M14" s="32" t="s">
        <v>2908</v>
      </c>
      <c r="N14" s="30" t="s">
        <v>2909</v>
      </c>
    </row>
    <row r="15" customFormat="false" ht="15" hidden="false" customHeight="true" outlineLevel="0" collapsed="false">
      <c r="A15" s="33" t="s">
        <v>2910</v>
      </c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</row>
  </sheetData>
  <mergeCells count="1">
    <mergeCell ref="A15:N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9" t="s">
        <v>2911</v>
      </c>
    </row>
    <row r="3" customFormat="false" ht="31.5" hidden="false" customHeight="true" outlineLevel="0" collapsed="false">
      <c r="A3" s="8" t="s">
        <v>2912</v>
      </c>
      <c r="B3" s="9" t="s">
        <v>2913</v>
      </c>
      <c r="C3" s="9" t="s">
        <v>2914</v>
      </c>
      <c r="D3" s="9" t="s">
        <v>2915</v>
      </c>
      <c r="E3" s="9" t="s">
        <v>2916</v>
      </c>
      <c r="F3" s="9" t="s">
        <v>2917</v>
      </c>
    </row>
    <row r="4" customFormat="false" ht="15" hidden="false" customHeight="true" outlineLevel="0" collapsed="false">
      <c r="A4" s="13" t="s">
        <v>2918</v>
      </c>
      <c r="B4" s="15" t="s">
        <v>2919</v>
      </c>
      <c r="C4" s="14" t="s">
        <v>2920</v>
      </c>
      <c r="D4" s="30" t="s">
        <v>2921</v>
      </c>
      <c r="E4" s="30" t="s">
        <v>2922</v>
      </c>
      <c r="F4" s="32" t="s">
        <v>2923</v>
      </c>
    </row>
    <row r="5" customFormat="false" ht="15" hidden="false" customHeight="true" outlineLevel="0" collapsed="false">
      <c r="A5" s="13" t="s">
        <v>2924</v>
      </c>
      <c r="B5" s="15" t="s">
        <v>2925</v>
      </c>
      <c r="C5" s="15" t="s">
        <v>2926</v>
      </c>
      <c r="D5" s="30" t="s">
        <v>2927</v>
      </c>
      <c r="E5" s="30" t="s">
        <v>2927</v>
      </c>
      <c r="F5" s="32" t="s">
        <v>2923</v>
      </c>
    </row>
    <row r="6" customFormat="false" ht="15" hidden="false" customHeight="true" outlineLevel="0" collapsed="false">
      <c r="A6" s="13" t="s">
        <v>2928</v>
      </c>
      <c r="B6" s="15" t="s">
        <v>2929</v>
      </c>
      <c r="C6" s="15" t="s">
        <v>2930</v>
      </c>
      <c r="D6" s="30" t="s">
        <v>2931</v>
      </c>
      <c r="E6" s="30" t="s">
        <v>2931</v>
      </c>
      <c r="F6" s="32" t="s">
        <v>2923</v>
      </c>
    </row>
    <row r="7" customFormat="false" ht="15" hidden="false" customHeight="true" outlineLevel="0" collapsed="false">
      <c r="A7" s="13" t="s">
        <v>2932</v>
      </c>
      <c r="B7" s="15" t="s">
        <v>2933</v>
      </c>
      <c r="C7" s="15" t="s">
        <v>2934</v>
      </c>
      <c r="D7" s="30" t="s">
        <v>2935</v>
      </c>
      <c r="E7" s="30" t="s">
        <v>2935</v>
      </c>
      <c r="F7" s="32" t="s">
        <v>2923</v>
      </c>
    </row>
    <row r="8" customFormat="false" ht="15" hidden="false" customHeight="true" outlineLevel="0" collapsed="false">
      <c r="A8" s="13" t="s">
        <v>2936</v>
      </c>
      <c r="B8" s="15" t="s">
        <v>2937</v>
      </c>
      <c r="C8" s="15" t="s">
        <v>2938</v>
      </c>
      <c r="D8" s="30" t="s">
        <v>2939</v>
      </c>
      <c r="E8" s="30" t="s">
        <v>2939</v>
      </c>
      <c r="F8" s="32" t="s">
        <v>2923</v>
      </c>
    </row>
    <row r="9" customFormat="false" ht="15" hidden="false" customHeight="true" outlineLevel="0" collapsed="false">
      <c r="A9" s="13" t="s">
        <v>2940</v>
      </c>
      <c r="B9" s="15" t="s">
        <v>2941</v>
      </c>
      <c r="C9" s="14" t="s">
        <v>2942</v>
      </c>
      <c r="D9" s="30" t="s">
        <v>2943</v>
      </c>
      <c r="E9" s="30" t="s">
        <v>2944</v>
      </c>
      <c r="F9" s="32" t="s">
        <v>2945</v>
      </c>
    </row>
    <row r="10" customFormat="false" ht="15" hidden="false" customHeight="true" outlineLevel="0" collapsed="false">
      <c r="A10" s="13" t="s">
        <v>2946</v>
      </c>
      <c r="B10" s="15" t="s">
        <v>2947</v>
      </c>
      <c r="C10" s="14" t="s">
        <v>2948</v>
      </c>
      <c r="D10" s="30" t="s">
        <v>2949</v>
      </c>
      <c r="E10" s="30" t="s">
        <v>2950</v>
      </c>
      <c r="F10" s="32" t="s">
        <v>2923</v>
      </c>
    </row>
    <row r="11" customFormat="false" ht="15" hidden="false" customHeight="true" outlineLevel="0" collapsed="false">
      <c r="A11" s="13" t="s">
        <v>2951</v>
      </c>
      <c r="B11" s="15" t="s">
        <v>2952</v>
      </c>
      <c r="C11" s="15" t="s">
        <v>2953</v>
      </c>
      <c r="D11" s="30" t="s">
        <v>2954</v>
      </c>
      <c r="E11" s="30" t="s">
        <v>2955</v>
      </c>
      <c r="F11" s="32" t="s">
        <v>2923</v>
      </c>
    </row>
    <row r="12" customFormat="false" ht="15" hidden="false" customHeight="true" outlineLevel="0" collapsed="false">
      <c r="A12" s="13" t="s">
        <v>2956</v>
      </c>
      <c r="B12" s="15" t="s">
        <v>2957</v>
      </c>
      <c r="C12" s="15" t="s">
        <v>2958</v>
      </c>
      <c r="D12" s="30" t="s">
        <v>2959</v>
      </c>
      <c r="E12" s="30" t="s">
        <v>2960</v>
      </c>
      <c r="F12" s="32" t="s">
        <v>2961</v>
      </c>
    </row>
    <row r="13" customFormat="false" ht="15" hidden="false" customHeight="true" outlineLevel="0" collapsed="false">
      <c r="A13" s="13" t="s">
        <v>2962</v>
      </c>
      <c r="B13" s="14" t="s">
        <v>2963</v>
      </c>
      <c r="C13" s="15" t="s">
        <v>2964</v>
      </c>
      <c r="D13" s="32" t="s">
        <v>2965</v>
      </c>
      <c r="E13" s="32" t="s">
        <v>2966</v>
      </c>
      <c r="F13" s="32" t="s">
        <v>2967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4" t="s">
        <v>2968</v>
      </c>
    </row>
    <row r="3" customFormat="false" ht="15" hidden="false" customHeight="true" outlineLevel="0" collapsed="false">
      <c r="A3" s="35" t="s">
        <v>2969</v>
      </c>
      <c r="C3" s="35" t="s">
        <v>2970</v>
      </c>
    </row>
    <row r="4" customFormat="false" ht="29.25" hidden="false" customHeight="true" outlineLevel="0" collapsed="false">
      <c r="A4" s="36" t="s">
        <v>86</v>
      </c>
      <c r="B4" s="6" t="s">
        <v>2971</v>
      </c>
      <c r="C4" s="37" t="s">
        <v>2972</v>
      </c>
    </row>
    <row r="5" customFormat="false" ht="29.25" hidden="false" customHeight="true" outlineLevel="0" collapsed="false">
      <c r="A5" s="36" t="s">
        <v>88</v>
      </c>
      <c r="B5" s="6" t="s">
        <v>2973</v>
      </c>
      <c r="C5" s="37" t="s">
        <v>2974</v>
      </c>
    </row>
    <row r="6" customFormat="false" ht="43.5" hidden="false" customHeight="true" outlineLevel="0" collapsed="false">
      <c r="A6" s="36" t="s">
        <v>90</v>
      </c>
      <c r="B6" s="6" t="s">
        <v>2975</v>
      </c>
      <c r="C6" s="37" t="s">
        <v>2976</v>
      </c>
    </row>
    <row r="7" customFormat="false" ht="15" hidden="false" customHeight="true" outlineLevel="0" collapsed="false">
      <c r="A7" s="36" t="s">
        <v>92</v>
      </c>
      <c r="B7" s="6" t="s">
        <v>2977</v>
      </c>
      <c r="C7" s="37" t="s">
        <v>2978</v>
      </c>
    </row>
    <row r="8" customFormat="false" ht="29.25" hidden="false" customHeight="true" outlineLevel="0" collapsed="false">
      <c r="A8" s="36" t="s">
        <v>94</v>
      </c>
      <c r="B8" s="6" t="s">
        <v>2979</v>
      </c>
      <c r="C8" s="37" t="s">
        <v>2980</v>
      </c>
    </row>
    <row r="10" customFormat="false" ht="15" hidden="false" customHeight="true" outlineLevel="0" collapsed="false">
      <c r="A10" s="35" t="s">
        <v>2981</v>
      </c>
    </row>
    <row r="11" customFormat="false" ht="15" hidden="false" customHeight="true" outlineLevel="0" collapsed="false">
      <c r="A11" s="38" t="s">
        <v>2982</v>
      </c>
      <c r="B11" s="39" t="n">
        <f aca="false">COUNTA(輪次彙總!$B$4:$B$14)</f>
        <v>11</v>
      </c>
    </row>
    <row r="12" customFormat="false" ht="15" hidden="false" customHeight="true" outlineLevel="0" collapsed="false">
      <c r="A12" s="38" t="s">
        <v>2983</v>
      </c>
      <c r="B12" s="39" t="n">
        <f aca="false">COUNTIF(測試案例!$M$3:$M$132,"PASS")</f>
        <v>119</v>
      </c>
    </row>
    <row r="13" customFormat="false" ht="15" hidden="false" customHeight="true" outlineLevel="0" collapsed="false">
      <c r="A13" s="38" t="s">
        <v>2984</v>
      </c>
      <c r="B13" s="39" t="n">
        <f aca="false">COUNTIF(測試案例!$M$3:$M$132,"N/A")</f>
        <v>1</v>
      </c>
    </row>
    <row r="14" customFormat="false" ht="15" hidden="false" customHeight="true" outlineLevel="0" collapsed="false">
      <c r="A14" s="38" t="s">
        <v>2985</v>
      </c>
      <c r="B14" s="39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8" t="s">
        <v>2986</v>
      </c>
      <c r="B15" s="39" t="n">
        <f aca="false">COUNTA(缺陷登記!$I$3:$I$87)</f>
        <v>85</v>
      </c>
    </row>
    <row r="16" customFormat="false" ht="15" hidden="false" customHeight="true" outlineLevel="0" collapsed="false">
      <c r="A16" s="38" t="s">
        <v>2987</v>
      </c>
      <c r="B16" s="39" t="n">
        <f aca="false">COUNTIF(缺陷登記!$D$3:$D$87,"高")</f>
        <v>2</v>
      </c>
    </row>
    <row r="17" customFormat="false" ht="15" hidden="false" customHeight="true" outlineLevel="0" collapsed="false">
      <c r="A17" s="38" t="s">
        <v>2988</v>
      </c>
      <c r="B17" s="39" t="n">
        <f aca="false">COUNTIF(缺陷登記!$D$3:$D$87,"中")</f>
        <v>30</v>
      </c>
    </row>
    <row r="18" customFormat="false" ht="15" hidden="false" customHeight="true" outlineLevel="0" collapsed="false">
      <c r="A18" s="38" t="s">
        <v>2989</v>
      </c>
      <c r="B18" s="39" t="n">
        <f aca="false">COUNTIF(缺陷登記!$D$3:$D$87,"低")</f>
        <v>53</v>
      </c>
    </row>
    <row r="19" customFormat="false" ht="15" hidden="false" customHeight="true" outlineLevel="0" collapsed="false">
      <c r="A19" s="38" t="s">
        <v>2990</v>
      </c>
      <c r="B19" s="39" t="n">
        <f aca="false">COUNTIF(缺陷登記!$I$3:$I$87,"結案")+COUNTIF(缺陷登記!$I$3:$I$87,"非缺陷")</f>
        <v>85</v>
      </c>
    </row>
    <row r="20" customFormat="false" ht="15" hidden="false" customHeight="true" outlineLevel="0" collapsed="false">
      <c r="A20" s="38" t="s">
        <v>2991</v>
      </c>
      <c r="B20" s="39" t="n">
        <f aca="false">COUNTA(缺陷登記!$I$3:$I$87)-COUNTIF(缺陷登記!$I$3:$I$87,"結案")-COUNTIF(缺陷登記!$I$3:$I$87,"非缺陷")</f>
        <v>0</v>
      </c>
    </row>
    <row r="22" customFormat="false" ht="15" hidden="false" customHeight="true" outlineLevel="0" collapsed="false">
      <c r="A22" s="35" t="s">
        <v>2992</v>
      </c>
    </row>
    <row r="23" customFormat="false" ht="15" hidden="false" customHeight="true" outlineLevel="0" collapsed="false">
      <c r="A23" s="35" t="s">
        <v>2993</v>
      </c>
      <c r="B23" s="35" t="s">
        <v>2994</v>
      </c>
      <c r="C23" s="35" t="s">
        <v>1548</v>
      </c>
      <c r="D23" s="35" t="s">
        <v>2995</v>
      </c>
    </row>
    <row r="24" customFormat="false" ht="15" hidden="false" customHeight="true" outlineLevel="0" collapsed="false">
      <c r="A24" s="38" t="s">
        <v>2996</v>
      </c>
      <c r="B24" s="40" t="s">
        <v>2997</v>
      </c>
      <c r="C24" s="40" t="s">
        <v>2877</v>
      </c>
      <c r="D24" s="37" t="s">
        <v>2998</v>
      </c>
    </row>
    <row r="25" customFormat="false" ht="15" hidden="false" customHeight="true" outlineLevel="0" collapsed="false">
      <c r="A25" s="38" t="s">
        <v>2999</v>
      </c>
      <c r="B25" s="40" t="s">
        <v>3000</v>
      </c>
      <c r="C25" s="40" t="s">
        <v>2726</v>
      </c>
      <c r="D25" s="37" t="s">
        <v>3001</v>
      </c>
    </row>
    <row r="26" customFormat="false" ht="15" hidden="false" customHeight="true" outlineLevel="0" collapsed="false">
      <c r="A26" s="41" t="s">
        <v>3002</v>
      </c>
      <c r="B26" s="40" t="s">
        <v>3003</v>
      </c>
      <c r="C26" s="40" t="s">
        <v>2743</v>
      </c>
      <c r="D26" s="37" t="s">
        <v>3004</v>
      </c>
    </row>
    <row r="28" customFormat="false" ht="15" hidden="false" customHeight="true" outlineLevel="0" collapsed="false">
      <c r="A28" s="35" t="s">
        <v>3005</v>
      </c>
      <c r="B28" s="40" t="s">
        <v>3006</v>
      </c>
    </row>
    <row r="29" customFormat="false" ht="15" hidden="false" customHeight="true" outlineLevel="0" collapsed="false">
      <c r="A29" s="35" t="s">
        <v>3007</v>
      </c>
      <c r="B29" s="40"/>
    </row>
    <row r="30" customFormat="false" ht="15" hidden="false" customHeight="true" outlineLevel="0" collapsed="false">
      <c r="A30" s="35" t="s">
        <v>3008</v>
      </c>
      <c r="B30" s="37" t="s">
        <v>3009</v>
      </c>
    </row>
    <row r="32" customFormat="false" ht="15" hidden="false" customHeight="true" outlineLevel="0" collapsed="false">
      <c r="A32" s="38" t="s">
        <v>3010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2026-09-29T17:40:06Z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