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測試案例" sheetId="2" state="visible" r:id="rId4"/>
    <sheet name="缺陷登記" sheetId="3" state="visible" r:id="rId5"/>
    <sheet name="來回記錄" sheetId="4" state="visible" r:id="rId6"/>
    <sheet name="交接紀錄" sheetId="5" state="visible" r:id="rId7"/>
    <sheet name="輪次彙總" sheetId="6" state="visible" r:id="rId8"/>
    <sheet name="還原檢查" sheetId="7" state="visible" r:id="rId9"/>
    <sheet name="結案簽核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<sst xmlns="http://schemas.openxmlformats.org/spreadsheetml/2006/main" count="6566" uniqueCount="3112">
  <si>
    <r>
      <rPr>
        <b val="true"/>
        <sz val="14"/>
        <rFont val="Arial"/>
        <family val="0"/>
        <charset val="1"/>
      </rPr>
      <t xml:space="preserve">portfolio-dash </t>
    </r>
    <r>
      <rPr>
        <b val="true"/>
        <sz val="14"/>
        <rFont val="Noto Sans CJK SC"/>
        <family val="2"/>
      </rPr>
      <t xml:space="preserve">功能測試手冊 — 修復・複驗來回版</t>
    </r>
  </si>
  <si>
    <t xml:space="preserve">文件版本</t>
  </si>
  <si>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只有測試案例；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加入缺陷登記與來回記錄；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加入角色路由、交接紀錄、判讀邏輯與防線盲點欄位；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2026-09-24 owner </t>
    </r>
    <r>
      <rPr>
        <sz val="10"/>
        <rFont val="Noto Sans CJK SC"/>
        <family val="2"/>
      </rPr>
      <t xml:space="preserve">裁定同步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期望（未來日期的交易／期初／換匯到該日才計入；驗證者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交接請開發者代補）</t>
    </r>
  </si>
  <si>
    <t xml:space="preserve">受測系統</t>
  </si>
  <si>
    <r>
      <rPr>
        <sz val="10"/>
        <rFont val="Arial"/>
        <family val="0"/>
        <charset val="1"/>
      </rPr>
      <t xml:space="preserve">portfolio-dash · </t>
    </r>
    <r>
      <rPr>
        <sz val="10"/>
        <rFont val="Noto Sans CJK SC"/>
        <family val="2"/>
      </rPr>
      <t xml:space="preserve">個人多市場投資管理</t>
    </r>
  </si>
  <si>
    <t xml:space="preserve">對應版本</t>
  </si>
  <si>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站；其他環境請填實際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）</t>
    </r>
  </si>
  <si>
    <t xml:space="preserve">測試案例數</t>
  </si>
  <si>
    <r>
      <rPr>
        <sz val="10"/>
        <rFont val="Arial"/>
        <family val="0"/>
        <charset val="1"/>
      </rPr>
      <t xml:space="preserve">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A–J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</t>
    </r>
  </si>
  <si>
    <t xml:space="preserve">配套文件</t>
  </si>
  <si>
    <r>
      <rPr>
        <sz val="10"/>
        <rFont val="Arial"/>
        <family val="0"/>
        <charset val="1"/>
      </rPr>
      <t xml:space="preserve">2026-09-22-functional-test-manual.md — </t>
    </r>
    <r>
      <rPr>
        <sz val="10"/>
        <rFont val="Noto Sans CJK SC"/>
        <family val="2"/>
      </rPr>
      <t xml:space="preserve">規則、</t>
    </r>
    <r>
      <rPr>
        <sz val="10"/>
        <rFont val="Arial"/>
        <family val="0"/>
        <charset val="1"/>
      </rPr>
      <t xml:space="preserve">SOP</t>
    </r>
    <r>
      <rPr>
        <sz val="10"/>
        <rFont val="Noto Sans CJK SC"/>
        <family val="2"/>
      </rPr>
      <t xml:space="preserve">、判讀邏輯規範與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題的期望值都在那裡；本活頁簿只承載狀態</t>
    </r>
  </si>
  <si>
    <t xml:space="preserve">為什麼要這一版</t>
  </si>
  <si>
    <t xml:space="preserve">上一輪稽核走了 4 次修復、3 次全份複驗才收斂，且有 2 個缺陷是在守門測試全綠時漏掉的。那些教訓寫成本版的結案條件與記錄欄位</t>
  </si>
  <si>
    <t xml:space="preserve">【你拿到之後的第一件事】</t>
  </si>
  <si>
    <t xml:space="preserve">交付你的人只會說「你是開發者」或「你是驗證者」。其餘從這兩個檔案讀。詳細 SOP 在 .md 的 §4／§5</t>
  </si>
  <si>
    <t xml:space="preserve">開發者 → 先看</t>
  </si>
  <si>
    <t xml:space="preserve">『缺陷登記』分頁，篩狀態 = 新開／複驗未過。有『複驗未過』要優先處理</t>
  </si>
  <si>
    <t xml:space="preserve">驗證者 → 先看</t>
  </si>
  <si>
    <t xml:space="preserve">『缺陷登記』分頁，篩狀態 = 待複驗；一張都沒有就改看『測試案例』狀態 = 未測</t>
  </si>
  <si>
    <t xml:space="preserve">兩人都先看</t>
  </si>
  <si>
    <t xml:space="preserve">『交接紀錄』最後一列：對方部署的版本、要你做什麼。受測站版本與它不符就停下來交回</t>
  </si>
  <si>
    <t xml:space="preserve">唯一事實來源</t>
  </si>
  <si>
    <t xml:space="preserve">這個 xlsx。聊天訊息、口頭交代都不算數；沒寫進來的事等於沒發生</t>
  </si>
  <si>
    <t xml:space="preserve">【三方分工】</t>
  </si>
  <si>
    <t xml:space="preserve">檢驗方（黑箱）</t>
  </si>
  <si>
    <t xml:space="preserve">用**真實瀏覽器**逐步操作受測站，必要時以 API 回應逐位元比對。**不看原始碼下判定**，只在需要定位根因時才交叉比對。每一輪都**重放原始重現步驟**，不採信修復方的自檢數字。</t>
  </si>
  <si>
    <t xml:space="preserve">修復方（開發者）</t>
  </si>
  <si>
    <t xml:space="preserve">把根因**定位到檔案與行**、修類別而不是修實例、補上一個**會失敗的測試**、部署後回報版本（commit）與自檢證據。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</si>
  <si>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（裁定者）</t>
    </r>
  </si>
  <si>
    <t xml:space="preserve">裁定規格未定的項目（`OBSERVE`）、非缺陷的爭議、以及要不要做的新功能。裁定要寫進手冊，附理由。</t>
  </si>
  <si>
    <t xml:space="preserve">【流程】</t>
  </si>
  <si>
    <t xml:space="preserve">檢驗方執行案例 → FAIL/OBSERVE 開一張缺陷（缺陷登記）→ 每一輪在『來回記錄』留一列：左半修復方寫、右半檢驗方寫 → 複驗通過即結案；未過則輪次 +1</t>
  </si>
  <si>
    <t xml:space="preserve">一輪的定義</t>
  </si>
  <si>
    <t xml:space="preserve"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</si>
  <si>
    <t xml:space="preserve">【案例狀態】</t>
  </si>
  <si>
    <t xml:space="preserve">未測</t>
  </si>
  <si>
    <t xml:space="preserve">尚未執行</t>
  </si>
  <si>
    <t xml:space="preserve">PASS</t>
  </si>
  <si>
    <t xml:space="preserve">本輪通過，無缺陷</t>
  </si>
  <si>
    <t xml:space="preserve">FAIL</t>
  </si>
  <si>
    <t xml:space="preserve">本輪不通過 → 必須開一張缺陷（DEF-xxx）</t>
  </si>
  <si>
    <t xml:space="preserve">BLOCKED</t>
  </si>
  <si>
    <t xml:space="preserve">環境或前置不具備，寫明卡在哪；不算通過也不算缺陷</t>
  </si>
  <si>
    <t xml:space="preserve">N/A</t>
  </si>
  <si>
    <t xml:space="preserve">功能不存在或不適用，寫明依據</t>
  </si>
  <si>
    <t xml:space="preserve">OBSERVE</t>
  </si>
  <si>
    <t xml:space="preserve">行為與預期不同但規格未定 → 開缺陷並標為『待裁定』，由 owner 決定</t>
  </si>
  <si>
    <t xml:space="preserve">修復中</t>
  </si>
  <si>
    <t xml:space="preserve">缺陷已受理，修復方作業中</t>
  </si>
  <si>
    <t xml:space="preserve">待複驗</t>
  </si>
  <si>
    <t xml:space="preserve">修復方已部署，等檢驗方複驗</t>
  </si>
  <si>
    <t xml:space="preserve">複驗未過</t>
  </si>
  <si>
    <t xml:space="preserve">複驗不通過 → 回到『修復中』，輪次 +1</t>
  </si>
  <si>
    <t xml:space="preserve">結案</t>
  </si>
  <si>
    <t xml:space="preserve">複驗通過且滿足四項結案條件</t>
  </si>
  <si>
    <t xml:space="preserve">【缺陷結案四條件】</t>
  </si>
  <si>
    <t xml:space="preserve">四條全部滿足才可把缺陷改為『結案』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</si>
  <si>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根因定位到行</t>
    </r>
  </si>
  <si>
    <t xml:space="preserve">缺陷登記的「根因」欄必須寫到檔案:行，不能只寫現象或模組名</t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</si>
  <si>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修類別不修實例</t>
    </r>
  </si>
  <si>
    <t xml:space="preserve">修復方必須附上同類掃描結果（例如：全語料/全檔案掃過一遍，同類還有幾處、各自怎麼處理）。只修被點名的那一處 → 檢驗方應判『複驗未過』</t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</si>
  <si>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有一個會失敗的測試</t>
    </r>
  </si>
  <si>
    <t xml:space="preserve">必須附變異測試證據：把修復前的寫法放回去，該測試會失敗；改回來就通過。『守門測試通過』本身不算證據 —— 本次稽核有兩個缺陷正是在守門測試全綠的情況下漏掉的</t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</si>
  <si>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黑箱複驗通過</t>
    </r>
  </si>
  <si>
    <t xml:space="preserve">檢驗方以真實瀏覽器重放原始重現步驟通過，並確認未造成回歸（跑 J 組回歸快篩）</t>
  </si>
  <si>
    <t xml:space="preserve">⚠ 最貴的一課</t>
  </si>
  <si>
    <t xml:space="preserve"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</si>
  <si>
    <t xml:space="preserve">【嚴重度】</t>
  </si>
  <si>
    <t xml:space="preserve">高</t>
  </si>
  <si>
    <t xml:space="preserve">金額/成本/損益算錯、資料寫壞、無法還原、資料外洩</t>
  </si>
  <si>
    <t xml:space="preserve">中</t>
  </si>
  <si>
    <t xml:space="preserve">功能不可用或給出互相矛盾的資訊、需要人工繞道</t>
  </si>
  <si>
    <t xml:space="preserve">低</t>
  </si>
  <si>
    <t xml:space="preserve">文案、顯示一致性、可用性；不影響數字正確性</t>
  </si>
  <si>
    <t xml:space="preserve">【分類】</t>
  </si>
  <si>
    <t xml:space="preserve">程式缺陷</t>
  </si>
  <si>
    <t xml:space="preserve">程式碼要改</t>
  </si>
  <si>
    <t xml:space="preserve">資料殘留</t>
  </si>
  <si>
    <t xml:space="preserve">修復前寫入的舊資料，程式已正確 → 由 owner 裁定清不清</t>
  </si>
  <si>
    <t xml:space="preserve">來源資料</t>
  </si>
  <si>
    <t xml:space="preserve">第三方/模型產出的內容（新聞標題、AI 卡片文字）→ 不是本站文案，不列缺陷</t>
  </si>
  <si>
    <t xml:space="preserve">規格未定</t>
  </si>
  <si>
    <t xml:space="preserve">行為合理但規格沒寫 → 待 owner 裁定</t>
  </si>
  <si>
    <t xml:space="preserve">非缺陷</t>
  </si>
  <si>
    <t xml:space="preserve">複驗推翻原判斷（原測試方法有誤）→ 寫明原因，保留紀錄</t>
  </si>
  <si>
    <t xml:space="preserve">【通用規則】</t>
  </si>
  <si>
    <t xml:space="preserve">1</t>
  </si>
  <si>
    <t xml:space="preserve">先記基準：會寫入的案例，動手前先存下 GET /api/dashboard 的 kpis／holdings／realized／allocation 四段 JSON 原文、相關帳本列數、現金池餘額</t>
  </si>
  <si>
    <t xml:space="preserve">2</t>
  </si>
  <si>
    <t xml:space="preserve">測完還原，並逐位元比對四段 JSON 是否字串完全相同；不同即判 FAIL。R13 例外：依 Owner 2026-10-01 裁定 6B，demo 上的測試資料全部留下、不還原、不跑還原檢查；只有題目本身在測刪除或復原的案例（B-14、C-03、D-10、I-08、J-03）照步驟刪除（手冊 §9 第 2 條）</t>
  </si>
  <si>
    <t xml:space="preserve">3</t>
  </si>
  <si>
    <t xml:space="preserve">不要在正式環境跑會寫入的案例</t>
  </si>
  <si>
    <t xml:space="preserve">4</t>
  </si>
  <si>
    <t xml:space="preserve">每個 FAIL 至少附：重現步驟、實際值 vs 預期值、截圖或 API 回應原文</t>
  </si>
  <si>
    <t xml:space="preserve">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</si>
  <si>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案例每次約 </t>
    </r>
    <r>
      <rPr>
        <sz val="10"/>
        <rFont val="Arial"/>
        <family val="0"/>
        <charset val="1"/>
      </rPr>
      <t xml:space="preserve">$0.002–$0.03</t>
    </r>
    <r>
      <rPr>
        <sz val="10"/>
        <rFont val="Noto Sans CJK SC"/>
        <family val="2"/>
      </rPr>
      <t xml:space="preserve">；開跑前記錄額度，跑完對帳（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）</t>
    </r>
  </si>
  <si>
    <t xml:space="preserve">6</t>
  </si>
  <si>
    <t xml:space="preserve">不代為輸入密碼類欄位，不要在正式站新增授權用戶</t>
  </si>
  <si>
    <t xml:space="preserve">7</t>
  </si>
  <si>
    <t xml:space="preserve">一次只改一件事</t>
  </si>
  <si>
    <t xml:space="preserve">8</t>
  </si>
  <si>
    <t xml:space="preserve">順序：J 組回歸快篩 → 唯讀案例 → 會寫入的案例（A、B、C、D、I）。D 組單獨排時段並先備份資料庫</t>
  </si>
  <si>
    <t xml:space="preserve">9</t>
  </si>
  <si>
    <t xml:space="preserve">每一輪複驗都要重跑 J 組，確認前一輪的修復沒造成回歸</t>
  </si>
  <si>
    <t xml:space="preserve">【環境前置】</t>
  </si>
  <si>
    <t xml:space="preserve">受測站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</si>
  <si>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站或專用測試環境（不可用正式資料）</t>
    </r>
  </si>
  <si>
    <t xml:space="preserve">資料庫備份</t>
  </si>
  <si>
    <t xml:space="preserve">開跑前備份；D 組與 I 組務必在備份後執行</t>
  </si>
  <si>
    <t xml:space="preserve">帳戶</t>
  </si>
  <si>
    <t xml:space="preserve">至少三個：台灣券商(TWD)、嘉信 Schwab(USD)、Moomoo MY(USD／MYR)</t>
  </si>
  <si>
    <t xml:space="preserve">持倉</t>
  </si>
  <si>
    <t xml:space="preserve">至少一檔台股、一檔美股、一檔馬股，其中一檔有配息紀錄</t>
  </si>
  <si>
    <t xml:space="preserve">工具</t>
  </si>
  <si>
    <t xml:space="preserve">瀏覽器開發者工具（Network／Console）、可算 Decimal 的工具、可解壓 ZIP</t>
  </si>
  <si>
    <t xml:space="preserve">排程器</t>
  </si>
  <si>
    <r>
      <rPr>
        <sz val="10"/>
        <rFont val="Arial"/>
        <family val="0"/>
        <charset val="1"/>
      </rPr>
      <t xml:space="preserve">E-05 </t>
    </r>
    <r>
      <rPr>
        <sz val="10"/>
        <rFont val="Noto Sans CJK SC"/>
        <family val="2"/>
      </rPr>
      <t xml:space="preserve">需要排程器可啟動的環境（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依裁定關閉，該案會是 </t>
    </r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）</t>
    </r>
  </si>
  <si>
    <t xml:space="preserve">券商對帳單</t>
  </si>
  <si>
    <r>
      <rPr>
        <sz val="10"/>
        <rFont val="Arial"/>
        <family val="0"/>
        <charset val="1"/>
      </rPr>
      <t xml:space="preserve">I-10 </t>
    </r>
    <r>
      <rPr>
        <sz val="10"/>
        <rFont val="Noto Sans CJK SC"/>
        <family val="2"/>
      </rPr>
      <t xml:space="preserve">需要一份真實的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CSV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</si>
  <si>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</si>
  <si>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r>
      <rPr>
        <sz val="10"/>
        <rFont val="Arial"/>
        <family val="0"/>
        <charset val="1"/>
      </rPr>
      <t xml:space="preserve">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組需要，建議 ≥ </t>
    </r>
    <r>
      <rPr>
        <sz val="10"/>
        <rFont val="Arial"/>
        <family val="0"/>
        <charset val="1"/>
      </rPr>
      <t xml:space="preserve">$1</t>
    </r>
  </si>
  <si>
    <t xml:space="preserve">ID</t>
  </si>
  <si>
    <t xml:space="preserve">群組</t>
  </si>
  <si>
    <t xml:space="preserve">功能點</t>
  </si>
  <si>
    <t xml:space="preserve">前置條件</t>
  </si>
  <si>
    <t xml:space="preserve">操作步驟</t>
  </si>
  <si>
    <t xml:space="preserve">預期結果與驗算</t>
  </si>
  <si>
    <t xml:space="preserve">風險與還原</t>
  </si>
  <si>
    <t xml:space="preserve">稽核已驗</t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</si>
  <si>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實測結果</t>
    </r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</si>
  <si>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判定</t>
    </r>
  </si>
  <si>
    <t xml:space="preserve">關聯缺陷</t>
  </si>
  <si>
    <t xml:space="preserve">目前狀態</t>
  </si>
  <si>
    <t xml:space="preserve">最終判定</t>
  </si>
  <si>
    <t xml:space="preserve">備註</t>
  </si>
  <si>
    <t xml:space="preserve">範例</t>
  </si>
  <si>
    <t xml:space="preserve">—</t>
  </si>
  <si>
    <t xml:space="preserve">（填寫範例，執行時略過）</t>
  </si>
  <si>
    <r>
      <rPr>
        <i val="true"/>
        <sz val="10"/>
        <rFont val="Arial"/>
        <family val="0"/>
        <charset val="1"/>
      </rPr>
      <t xml:space="preserve">bk-account </t>
    </r>
    <r>
      <rPr>
        <i val="true"/>
        <sz val="10"/>
        <rFont val="Noto Sans CJK SC"/>
        <family val="2"/>
      </rPr>
      <t xml:space="preserve">顯示「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）」，同頁 </t>
    </r>
    <r>
      <rPr>
        <i val="true"/>
        <sz val="10"/>
        <rFont val="Arial"/>
        <family val="0"/>
        <charset val="1"/>
      </rPr>
      <t xml:space="preserve">m-account </t>
    </r>
    <r>
      <rPr>
        <i val="true"/>
        <sz val="10"/>
        <rFont val="Noto Sans CJK SC"/>
        <family val="2"/>
      </rPr>
      <t xml:space="preserve">顯示「台灣券商（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</t>
    </r>
  </si>
  <si>
    <r>
      <rPr>
        <i val="true"/>
        <sz val="10"/>
        <rFont val="Arial"/>
        <family val="0"/>
        <charset val="1"/>
      </rPr>
      <t xml:space="preserve">DEF-</t>
    </r>
    <r>
      <rPr>
        <i val="true"/>
        <sz val="10"/>
        <rFont val="Noto Sans CJK SC"/>
        <family val="2"/>
      </rPr>
      <t xml:space="preserve">範例</t>
    </r>
  </si>
  <si>
    <r>
      <rPr>
        <i val="true"/>
        <sz val="10"/>
        <rFont val="Arial"/>
        <family val="0"/>
        <charset val="1"/>
      </rPr>
      <t xml:space="preserve">R2 </t>
    </r>
    <r>
      <rPr>
        <i val="true"/>
        <sz val="10"/>
        <rFont val="Noto Sans CJK SC"/>
        <family val="2"/>
      </rPr>
      <t xml:space="preserve">複驗通過</t>
    </r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</si>
  <si>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帳戶現金：入金／出金／利息／費用／換匯／折讓款</t>
    </r>
  </si>
  <si>
    <t xml:space="preserve">A-01</t>
  </si>
  <si>
    <t xml:space="preserve">A</t>
  </si>
  <si>
    <t xml:space="preserve">入金（本幣）寫入</t>
  </si>
  <si>
    <t xml:space="preserve">資金管理 › **出金入金**；先記錄基準：`GET /api/cash` 該池餘額、`GET /api/dashboard` 的 kpis、資金收支列數</t>
  </si>
  <si>
    <t xml:space="preserve">點 kind 按鈕『入金』→ 帳戶=台灣券商、幣別 TWD、金額 100,000、日期=今天 → 確認寫入</t>
  </si>
  <si>
    <t xml:space="preserve"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</si>
  <si>
    <t xml:space="preserve">會寫入帳本。測畢刪除該列，並比對 `/api/dashboard` 的 kpis／holdings 與基準**字串完全相同**</t>
  </si>
  <si>
    <t xml:space="preserve">否</t>
  </si>
  <si>
    <t xml:space="preserve"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</si>
  <si>
    <t xml:space="preserve">DEF-006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</si>
  <si>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顏色與設計衝突：</t>
    </r>
    <r>
      <rPr>
        <sz val="10"/>
        <rFont val="Arial"/>
        <family val="0"/>
        <charset val="1"/>
      </rPr>
      <t xml:space="preserve">web/styles.css:382 </t>
    </r>
    <r>
      <rPr>
        <sz val="10"/>
        <rFont val="Noto Sans CJK SC"/>
        <family val="2"/>
      </rPr>
      <t xml:space="preserve">註解「</t>
    </r>
    <r>
      <rPr>
        <sz val="10"/>
        <rFont val="Arial"/>
        <family val="0"/>
        <charset val="1"/>
      </rPr>
      <t xml:space="preserve">neutral direction chips</t>
    </r>
    <r>
      <rPr>
        <sz val="10"/>
        <rFont val="Noto Sans CJK SC"/>
        <family val="2"/>
      </rPr>
      <t xml:space="preserve">（買賣是方向不是損益 — 不用紅綠）」，入金＝實心灰、出金＝外框灰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裁定為非缺陷（維持中性色）；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欄期望待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／開發者依裁定同步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、入金晶片中性實底、持倉與市值不變、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35,640,050.30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34,774,315.85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TWD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2026-10-01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POST /api/cash/movements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；② 資金收支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35 </t>
    </r>
    <r>
      <rPr>
        <sz val="10"/>
        <rFont val="Noto Sans CJK SC"/>
        <family val="2"/>
      </rPr>
      <t xml:space="preserve">列）、列上「入金」中性實心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；③ 持倉、總市值（</t>
    </r>
    <r>
      <rPr>
        <sz val="10"/>
        <rFont val="Arial"/>
        <family val="0"/>
        <charset val="1"/>
      </rPr>
      <t xml:space="preserve">34,822,281.49</t>
    </r>
    <r>
      <rPr>
        <sz val="10"/>
        <rFont val="Noto Sans CJK SC"/>
        <family val="2"/>
      </rPr>
      <t xml:space="preserve">）與未實現不變；④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</t>
    </r>
  </si>
  <si>
    <t xml:space="preserve">A-02</t>
  </si>
  <si>
    <t xml:space="preserve">入金（外幣，取得匯率模式）</t>
  </si>
  <si>
    <t xml:space="preserve">帳戶=嘉信 Schwab（家幣 TWD、外幣 USD）</t>
  </si>
  <si>
    <t xml:space="preserve">入金 → 幣別 USD、金額 1,000 →『取得成本』切到『匯率』模式，填 31.5 → 確認寫入</t>
  </si>
  <si>
    <r>
      <rPr>
        <sz val="10"/>
        <rFont val="Arial"/>
        <family val="0"/>
        <charset val="1"/>
      </rPr>
      <t xml:space="preserve">①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+1,000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成本池的取得均價依新加權重算（可用 </t>
    </r>
    <r>
      <rPr>
        <sz val="10"/>
        <rFont val="Arial"/>
        <family val="0"/>
        <charset val="1"/>
      </rPr>
      <t xml:space="preserve">`GET /api/cash/acq-rate` </t>
    </r>
    <r>
      <rPr>
        <sz val="10"/>
        <rFont val="Noto Sans CJK SC"/>
        <family val="2"/>
      </rPr>
      <t xml:space="preserve">對照）；③ 報告幣別總值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舊值 </t>
    </r>
    <r>
      <rPr>
        <sz val="10"/>
        <rFont val="Arial"/>
        <family val="0"/>
        <charset val="1"/>
      </rPr>
      <t xml:space="preserve">+ 1,000×</t>
    </r>
    <r>
      <rPr>
        <sz val="10"/>
        <rFont val="Noto Sans CJK SC"/>
        <family val="2"/>
      </rPr>
      <t xml:space="preserve">當日匯率；④ 總報酬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（換入現金不產生損益）</t>
    </r>
  </si>
  <si>
    <t xml:space="preserve">同 A-01，測畢刪除並逐位元比對</t>
  </si>
  <si>
    <t xml:space="preserve"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</si>
  <si>
    <t xml:space="preserve">DEF-007</t>
  </si>
  <si>
    <t xml:space="preserve"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
R13（830056c 上 prod 前整份 one shot 重跑；Owner 6B：寫入留在 demo、不還原）：PASS — demo 真實瀏覽器（頁首 v0.1.28 · 830056c），demo 6／6 項檢查全過：嘉信 USD 入金 1,000、匯率 31.5（送出 acq_rate 31.5）→ 201：① USD 池 398,497.90→399,497.90；② 加權平均取得匯率 31.78828061…→31.78672715…（往 31.5 移動）；③ 報告合計 +1,000×即期 31.868＝+31,868；④ 總報酬不變（23,546,998.06）</t>
  </si>
  <si>
    <t xml:space="preserve">A-03</t>
  </si>
  <si>
    <t xml:space="preserve">入金（外幣，家幣金額模式）</t>
  </si>
  <si>
    <t xml:space="preserve">同 A-02</t>
  </si>
  <si>
    <t xml:space="preserve">入金 USD 1,000 →『取得成本』切到『家幣金額』，填 31,500 → 確認寫入</t>
  </si>
  <si>
    <t xml:space="preserve">系統自行反推匯率 31.5（1,000 × 31.5 = 31,500），與 A-02 的結果一致；兩種模式互為驗算</t>
  </si>
  <si>
    <t xml:space="preserve">同上</t>
  </si>
  <si>
    <t xml:space="preserve"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</si>
  <si>
    <t xml:space="preserve"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
R13（830056c 上 prod 前整份 one shot 重跑；Owner 6B：寫入留在 demo、不還原）：PASS — demo 真實瀏覽器（頁首 v0.1.28 · 830056c），demo 8／9 項（未過 1 項是檢查程式的比較基準在 6B 下不成立，依數據改判）：嘉信 USD 入金 1,000、填家幣金額 31,500 → 201（送出 acq_home_amount 31500）、提示「換算後 1 USD = 31.5000 TWD」；① USD 池 399,497.90→400,497.90；② 加權平均取得匯率 31.78672715…→31.78519034…（往 31.5 移動）；③ 報告合計 +31,868（1,000×即期 31.868）；④ 總報酬不變。未過的一項「與 A-02（匯率模式）的均價相同」：6B 下 A-02 的入金留在帳上，A-03 是從 A-02 之後的狀態再入金，兩者不可能相等；改以「金額模式與匯率模式等價」驗算——由 A-02 前後均價反推權重 Q＝184,572.99，同一公式代入 A-03（31,500）得預期 31.785190342932275459593588542，實測 31.78519034293227545959358855，差 8e−27（28 位有效數字的捨入）</t>
  </si>
  <si>
    <t xml:space="preserve">A-04</t>
  </si>
  <si>
    <t xml:space="preserve">出金寫入</t>
  </si>
  <si>
    <t xml:space="preserve">選定池餘額已知</t>
  </si>
  <si>
    <t xml:space="preserve">點 kind 按鈕『出金』→ 金額 = 餘額的一半 → 確認寫入</t>
  </si>
  <si>
    <t xml:space="preserve">① 池餘額 = 基準 − 金額；② 方向 chip 為**中性色外框**（入金實心、出金外框——2026-09-24 owner 裁定 DEF-006）；③ 持倉不受影響</t>
  </si>
  <si>
    <t xml:space="preserve">測畢刪除並比對</t>
  </si>
  <si>
    <t xml:space="preserve"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</si>
  <si>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顏色問題併入 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（待裁定）；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最小單位檢核為額外正向發現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（半數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）→ 出金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：後端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金額最小單位為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3033797.5 </t>
    </r>
    <r>
      <rPr>
        <sz val="10"/>
        <rFont val="Noto Sans CJK SC"/>
        <family val="2"/>
      </rPr>
      <t xml:space="preserve">無法完整記錄…例如 </t>
    </r>
    <r>
      <rPr>
        <sz val="10"/>
        <rFont val="Arial"/>
        <family val="0"/>
        <charset val="1"/>
      </rPr>
      <t xml:space="preserve">3033798</t>
    </r>
    <r>
      <rPr>
        <sz val="10"/>
        <rFont val="Noto Sans CJK SC"/>
        <family val="2"/>
      </rPr>
      <t xml:space="preserve">」未寫入；改 </t>
    </r>
    <r>
      <rPr>
        <sz val="10"/>
        <rFont val="Arial"/>
        <family val="0"/>
        <charset val="1"/>
      </rPr>
      <t xml:space="preserve">3,033,797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201 #57</t>
    </r>
    <r>
      <rPr>
        <sz val="10"/>
        <rFont val="Noto Sans CJK SC"/>
        <family val="2"/>
      </rPr>
      <t xml:space="preserve">）→ ① 池 </t>
    </r>
    <r>
      <rPr>
        <sz val="10"/>
        <rFont val="Arial"/>
        <family val="0"/>
        <charset val="1"/>
      </rPr>
      <t xml:space="preserve">6,067,595.0000→3,033,798.0000 ✓</t>
    </r>
    <r>
      <rPr>
        <sz val="10"/>
        <rFont val="Noto Sans CJK SC"/>
        <family val="2"/>
      </rPr>
      <t xml:space="preserve">；② 出金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，入金 </t>
    </r>
    <r>
      <rPr>
        <sz val="10"/>
        <rFont val="Arial"/>
        <family val="0"/>
        <charset val="1"/>
      </rPr>
      <t xml:space="preserve">chip dir-buy </t>
    </r>
    <r>
      <rPr>
        <sz val="10"/>
        <rFont val="Noto Sans CJK SC"/>
        <family val="2"/>
      </rPr>
      <t xml:space="preserve">實心 </t>
    </r>
    <r>
      <rPr>
        <sz val="10"/>
        <rFont val="Arial"/>
        <family val="0"/>
        <charset val="1"/>
      </rPr>
      <t xml:space="preserve">rgb(154,166,181) ✓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字串不變 ✓。刪除確認框「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・出金 </t>
    </r>
    <r>
      <rPr>
        <sz val="10"/>
        <rFont val="Arial"/>
        <family val="0"/>
        <charset val="1"/>
      </rPr>
      <t xml:space="preserve">3,033,797 TWD</t>
    </r>
    <r>
      <rPr>
        <sz val="10"/>
        <rFont val="Noto Sans CJK SC"/>
        <family val="2"/>
      </rPr>
      <t xml:space="preserve">（台灣券商）」→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項檢查全過：台灣券商出金半池 </t>
    </r>
    <r>
      <rPr>
        <sz val="10"/>
        <rFont val="Arial"/>
        <family val="0"/>
        <charset val="1"/>
      </rPr>
      <t xml:space="preserve">3,083,797 TWD</t>
    </r>
    <r>
      <rPr>
        <sz val="10"/>
        <rFont val="Noto Sans CJK SC"/>
        <family val="2"/>
      </rPr>
      <t xml:space="preserve">：①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6,167,595→3,083,798</t>
    </r>
    <r>
      <rPr>
        <sz val="10"/>
        <rFont val="Noto Sans CJK SC"/>
        <family val="2"/>
      </rPr>
      <t xml:space="preserve">；② 列上「出金」中性外框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；③ 持倉不變（依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</si>
  <si>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A-05</t>
  </si>
  <si>
    <t xml:space="preserve">出金超額必須被擋</t>
  </si>
  <si>
    <t xml:space="preserve">已知池餘額 X</t>
  </si>
  <si>
    <t xml:space="preserve">出金金額填 X + 1 → 送出</t>
  </si>
  <si>
    <t xml:space="preserve">① 前端顯示可用餘額上限提示；② 後端回 400 且**不得寫入**，訊息需指出是哪一天開始透支；③ 資金收支列數不變</t>
  </si>
  <si>
    <t xml:space="preserve">不會寫入（預期被擋）。若竟然寫入 → 判 FAIL 並立即刪除</t>
  </si>
  <si>
    <t xml:space="preserve"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</si>
  <si>
    <t xml:space="preserve">DEF-008</t>
  </si>
  <si>
    <t xml:space="preserve"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
R13（830056c 上 prod 前整份 one shot 重跑；Owner 6B：寫入留在 demo、不還原）：PASS — demo 真實瀏覽器（頁首 v0.1.28 · 830056c），demo 5／5 項檢查全過：承 A-04 池餘額 3,083,798 → 出金 3,083,799：① 前端即示「帳戶現金：3,083,798 TWD」「出金金額超過帳戶現金（3,083,798 TWD）— 出金不可透支」且確認鍵停用；② 後端 422 withdraw_insufficient_balance「…TWD 現金於 2026-10-01 降至 −1（出金當日）— 出金不可透支，請先補登入金或換匯」；③ 資金收支仍 38 列；分段與案例開始時逐字相同</t>
  </si>
  <si>
    <t xml:space="preserve">A-06</t>
  </si>
  <si>
    <t xml:space="preserve">出金造成「過去某日」透支</t>
  </si>
  <si>
    <t xml:space="preserve">池中有多筆依日期排序的紀錄</t>
  </si>
  <si>
    <t xml:space="preserve">在**過去日期**插入一筆大額出金，使該日之後某一天餘額為負</t>
  </si>
  <si>
    <t xml:space="preserve">系統需指出**哪一天**開始為負並阻擋（日期感知餘額，非只看期末）</t>
  </si>
  <si>
    <t xml:space="preserve">預期被擋；若寫入成功需刪除</t>
  </si>
  <si>
    <t xml:space="preserve"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</si>
  <si>
    <t xml:space="preserve">DEF-090, DEF-091</t>
  </si>
  <si>
    <t xml:space="preserve"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
R13（830056c 上 prod 前整份 one shot 重跑；Owner 6B：寫入留在 demo、不還原）：FAIL — demo 真實瀏覽器（頁首 v0.1.28 · 830056c），one shot 2／4 項、重跑 3／5 項、另做 A-06M 5／6 項：one shot 首跑時台灣券商 TWD 池已因 A-04 依 6B 留下的半池出金只剩 3,083,798（表單以帳戶現金為上限），找不到「過去某日可出、之後某日轉負」的空間，檢查程式沒有送出；重跑改用符合前置條件的嘉信 Schwab TWD 池（資金對帳單：2026-07-17 日終 501,000、07-19 200,000、07-20 195,000、目前 800,000）→ 出金 2026-07-17 348,000（表單不擋）→ 後端 201 寫入（#140）、toast「✓ 寫入成功 出金 348000」，07-19／07-20 變成 −148,000／−153,000 ✗；依題目「若寫入成功需刪除」，檢查程式隨即刪除 #140，資金收支 47 列、分段與案例開始時逐字相同 ✓。原因：此池 2026-01-12 已有 −220,000（demo 既有的換匯出），後端只比對整段時間的最低點，新的負段不比它深就放行 → 開 DEF-090（中）。另找全期間無負值的池重做（A-06M，Moomoo MY MYR，日終最低 345,200.17）：2026-01-05 出金 423,806 → 422 被擋 ✓、資金收支 48 列不變 ✓、分段相同 ✓，但訊息「於 2026-07-19 降至 −78,605.83（出金日早於資金到位）」點名的是最低點那天，第一個轉負的日子是 2026-01-07（當日日終 420,000 − 423,806 ＝ −3,806）✗ → 開 DEF-091（低，規格未定）</t>
  </si>
  <si>
    <t xml:space="preserve">A-07</t>
  </si>
  <si>
    <t xml:space="preserve">利息入帳</t>
  </si>
  <si>
    <t xml:space="preserve">點 kind 按鈕『利息』→ 帳戶=嘉信 Schwab、幣別 USD、金額 12.34 → 確認寫入</t>
  </si>
  <si>
    <t xml:space="preserve">① 池餘額 +12.34；② kind 顯示「利息」；③ 利息**不得**被計入持倉成本或已實現損益；④ 出現在資金收支與現金對帳單匯出</t>
  </si>
  <si>
    <t xml:space="preserve">否（本次稽核未測）</t>
  </si>
  <si>
    <t xml:space="preserve"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</si>
  <si>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12.34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 #58</t>
    </r>
    <r>
      <rPr>
        <sz val="10"/>
        <rFont val="Noto Sans CJK SC"/>
        <family val="2"/>
      </rPr>
      <t xml:space="preserve">；外幣利息不出現取得成本欄）→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+12.34</t>
    </r>
    <r>
      <rPr>
        <sz val="10"/>
        <rFont val="Noto Sans CJK SC"/>
        <family val="2"/>
      </rPr>
      <t xml:space="preserve">）✓；② 列「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」✓；③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字串不變，</t>
    </r>
    <r>
      <rPr>
        <sz val="10"/>
        <rFont val="Arial"/>
        <family val="0"/>
        <charset val="1"/>
      </rPr>
      <t xml:space="preserve">realized_total 45101.53593772372085596050866 </t>
    </r>
    <r>
      <rPr>
        <sz val="10"/>
        <rFont val="Noto Sans CJK SC"/>
        <family val="2"/>
      </rPr>
      <t xml:space="preserve">不變、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xirr 10.445450386050704 </t>
    </r>
    <r>
      <rPr>
        <sz val="10"/>
        <rFont val="Noto Sans CJK SC"/>
        <family val="2"/>
      </rPr>
      <t xml:space="preserve">不變 ✓；④ 現金對帳單匯出 </t>
    </r>
    <r>
      <rPr>
        <sz val="10"/>
        <rFont val="Arial"/>
        <family val="0"/>
        <charset val="1"/>
      </rPr>
      <t xml:space="preserve">{schwab,USD}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2026-09-23,USD,interest,…,QA-R8-A07,12.34,398510.24</t>
    </r>
    <r>
      <rPr>
        <sz val="10"/>
        <rFont val="Noto Sans CJK SC"/>
        <family val="2"/>
      </rPr>
      <t xml:space="preserve">」✓。刪除後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、晶片「利息」、不進已實現、現金對帳單匯出含該列；刪除後逐字相同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400,497.90→400,510.24</t>
    </r>
    <r>
      <rPr>
        <sz val="10"/>
        <rFont val="Noto Sans CJK SC"/>
        <family val="2"/>
      </rPr>
      <t xml:space="preserve">；成本不變；② 列顯示「利息」；③ 不進已實現；④ 現金對帳單匯出有該列（</t>
    </r>
    <r>
      <rPr>
        <sz val="10"/>
        <rFont val="Arial"/>
        <family val="0"/>
        <charset val="1"/>
      </rPr>
      <t xml:space="preserve">2026-09-23 interest 12.34</t>
    </r>
    <r>
      <rPr>
        <sz val="10"/>
        <rFont val="Noto Sans CJK SC"/>
        <family val="2"/>
      </rPr>
      <t xml:space="preserve">，當日滾動餘額 </t>
    </r>
    <r>
      <rPr>
        <sz val="10"/>
        <rFont val="Arial"/>
        <family val="0"/>
        <charset val="1"/>
      </rPr>
      <t xml:space="preserve">398,510.24</t>
    </r>
    <r>
      <rPr>
        <sz val="10"/>
        <rFont val="Noto Sans CJK SC"/>
        <family val="2"/>
      </rPr>
      <t xml:space="preserve">）</t>
    </r>
  </si>
  <si>
    <t xml:space="preserve">A-08</t>
  </si>
  <si>
    <t xml:space="preserve">融資利息（扣款）</t>
  </si>
  <si>
    <t xml:space="preserve">點 kind 按鈕『融資利息』→ 金額 5.00 → 確認寫入</t>
  </si>
  <si>
    <t xml:space="preserve">① 池餘額 −5.00；② 方向為扣款；③ 不影響持倉成本</t>
  </si>
  <si>
    <t xml:space="preserve"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</si>
  <si>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全面重跑）：融資利息／嘉信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interest_expense 201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</t>
    </r>
    <r>
      <rPr>
        <sz val="10"/>
        <rFont val="Noto Sans CJK SC"/>
        <family val="2"/>
      </rPr>
      <t xml:space="preserve">（扣款外框）、文字「融資利息」✓；③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字串不變 ✓；</t>
    </r>
    <r>
      <rPr>
        <sz val="10"/>
        <rFont val="Arial"/>
        <family val="0"/>
        <charset val="1"/>
      </rPr>
      <t xml:space="preserve">trading_financing_cost 191→32.68500000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191−5×31.663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total_return_fx_complete −158.315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不變，符合「交易與融資成本」口徑。刪除後逐位元還原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USD</t>
    </r>
    <r>
      <rPr>
        <sz val="10"/>
        <rFont val="Noto Sans CJK SC"/>
        <family val="2"/>
      </rPr>
      <t xml:space="preserve">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400,510.24→400,505.24</t>
    </r>
    <r>
      <rPr>
        <sz val="10"/>
        <rFont val="Noto Sans CJK SC"/>
        <family val="2"/>
      </rPr>
      <t xml:space="preserve">；成本不變；② 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「融資利息」</t>
    </r>
  </si>
  <si>
    <t xml:space="preserve">A-09</t>
  </si>
  <si>
    <t xml:space="preserve">券商費用（扣款）</t>
  </si>
  <si>
    <t xml:space="preserve">點 kind 按鈕『券商費用』→ 金額 3.00 → 確認寫入</t>
  </si>
  <si>
    <t xml:space="preserve">同 A-08，且 kind 顯示「券商費用」（以文字與出金區分）；方向 chip 為中性色：入金實心、出金外框，券商費用屬扣款為外框（2026-09-24 owner 裁定 DEF-006）</t>
  </si>
  <si>
    <t xml:space="preserve"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</si>
  <si>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為暫時性閘道錯誤（</t>
    </r>
    <r>
      <rPr>
        <sz val="10"/>
        <rFont val="Arial"/>
        <family val="0"/>
        <charset val="1"/>
      </rPr>
      <t xml:space="preserve">/api/health </t>
    </r>
    <r>
      <rPr>
        <sz val="10"/>
        <rFont val="Noto Sans CJK SC"/>
        <family val="2"/>
      </rPr>
      <t xml:space="preserve">同時 </t>
    </r>
    <r>
      <rPr>
        <sz val="10"/>
        <rFont val="Arial"/>
        <family val="0"/>
        <charset val="1"/>
      </rPr>
      <t xml:space="preserve">269ms </t>
    </r>
    <r>
      <rPr>
        <sz val="10"/>
        <rFont val="Noto Sans CJK SC"/>
        <family val="2"/>
      </rPr>
      <t xml:space="preserve">正常、重試即成功）；空內容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只顯示英文「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全面重跑）：券商費用／嘉信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broker_fee 201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券商費用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」）→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398,494.90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外框（透明底、灰框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），文字「券商費用」與出金列「出金」以文字區分 ✓（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不變 ✓；</t>
    </r>
    <r>
      <rPr>
        <sz val="10"/>
        <rFont val="Arial"/>
        <family val="0"/>
        <charset val="1"/>
      </rPr>
      <t xml:space="preserve">trading_financing_cost 191→96.01100000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191−3×31.663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不變。刪除後逐位元還原（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的暫時性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本輪未出現）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USD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400,505.24→400,502.24</t>
    </r>
    <r>
      <rPr>
        <sz val="10"/>
        <rFont val="Noto Sans CJK SC"/>
        <family val="2"/>
      </rPr>
      <t xml:space="preserve">；成本不變；中性外框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「券商費用」</t>
    </r>
  </si>
  <si>
    <t xml:space="preserve">A-10</t>
  </si>
  <si>
    <t xml:space="preserve">期初資金</t>
  </si>
  <si>
    <t xml:space="preserve">點 kind 按鈕『期初資金』→ 填金額與日期（早於所有紀錄）→ 確認寫入</t>
  </si>
  <si>
    <t xml:space="preserve">① 成為滾動餘額的起點；② 後續每列餘額全部往上加；③ 期初資金屬取得性質，外幣時應提供取得成本欄</t>
  </si>
  <si>
    <t xml:space="preserve"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</si>
  <si>
    <t xml:space="preserve"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
R13（830056c 上 prod 前整份 one shot 重跑；Owner 6B：寫入留在 demo、不還原）：PASS — demo 真實瀏覽器（頁首 v0.1.28 · 830056c），demo 4／4 項檢查全過：外幣期初表單顯示「取得成本（外幣入金）」欄與參考匯率（2025-12-31 收盤 1 USD = 31.24 TWD）；① 對帳單第一列為 2026-01-01 期初 1,000；② 45 列滾動餘額全對（錯 0）、其後每列 +1,000（期末 400,502.24→401,502.24）</t>
  </si>
  <si>
    <t xml:space="preserve">A-11</t>
  </si>
  <si>
    <t xml:space="preserve">現金收支編輯</t>
  </si>
  <si>
    <t xml:space="preserve">任選一列可編輯的紀錄</t>
  </si>
  <si>
    <t xml:space="preserve">編輯 → 改金額與備註 → 儲存</t>
  </si>
  <si>
    <t xml:space="preserve">① 該列與其後所有列的滾動餘額重算正確；② 折讓款列**整列可編輯**（日期／類型／金額／備註，與手動輸入的資金列相同），編輯寫入稽核軌跡（2026-09-24 owner 裁定 DEF-009）</t>
  </si>
  <si>
    <t xml:space="preserve">改完改回原值，或刪除後重建</t>
  </si>
  <si>
    <t xml:space="preserve"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</si>
  <si>
    <t xml:space="preserve">DEF-009</t>
  </si>
  <si>
    <t xml:space="preserve"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
R13（830056c 上 prod 前整份 one shot 重跑；Owner 6B：寫入留在 demo、不還原）：PASS — demo 真實瀏覽器（頁首 v0.1.28 · 830056c），demo 5／5 項檢查全過：寫入 #134 → 編輯為 150（PUT /api/cash/movements/134 200）→ ① 54 列滾動餘額全部重算（錯 0）；② 折讓款列 #135（2026-07、1,083 TWD）日期／類型／金額／備註皆可編輯，對話框說明「每次修改都會寫入稽核軌跡…若要撤銷此筆退款，請直接刪除」</t>
  </si>
  <si>
    <t xml:space="preserve">A-12</t>
  </si>
  <si>
    <t xml:space="preserve">滾動餘額逐列驗算</t>
  </si>
  <si>
    <t xml:space="preserve">匯出或逐頁讀取某一池（例如 Moomoo MY／MYR）全部紀錄</t>
  </si>
  <si>
    <t xml:space="preserve">對每一列：前一列餘額 + 本列金額 = 本列餘額；最末列 = `GET /api/cash` 的當前餘額</t>
  </si>
  <si>
    <t xml:space="preserve">唯讀</t>
  </si>
  <si>
    <t xml:space="preserve">✅ 已驗（31 列）</t>
  </si>
  <si>
    <t xml:space="preserve"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</si>
  <si>
    <t xml:space="preserve"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
R13（830056c 上 prod 前整份 one shot 重跑；Owner 6B：寫入留在 demo、不還原）：PASS — demo 真實瀏覽器（頁首 v0.1.28 · 830056c），demo 2／2 項檢查全過：Moomoo MY MYR 對帳單 28 列「前一列＋變動＝餘額」全對；末列 508,466.420＝GET /api/cash；畫面「目前餘額 508,466.42 MYR」</t>
  </si>
  <si>
    <t xml:space="preserve">A-13</t>
  </si>
  <si>
    <t xml:space="preserve">換匯寫入</t>
  </si>
  <si>
    <t xml:space="preserve">記錄基準：兩池餘額、FX 取得均價、`kpis.total_return`</t>
  </si>
  <si>
    <t xml:space="preserve">換匯中心 → 賣出 MYR 4,000 → 買入 USD（自動試算）→ 確認寫入</t>
  </si>
  <si>
    <r>
      <rPr>
        <sz val="10"/>
        <rFont val="Arial"/>
        <family val="0"/>
        <charset val="1"/>
      </rPr>
      <t xml:space="preserve">① MYR −4,000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+</t>
    </r>
    <r>
      <rPr>
        <sz val="10"/>
        <rFont val="Noto Sans CJK SC"/>
        <family val="2"/>
      </rPr>
      <t xml:space="preserve">試算金額；②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取得均價依加權重算；③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總報酬完全不變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（換匯不產生損益，不變量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）；④ 換匯帳本新增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`implied_rate` </t>
    </r>
    <r>
      <rPr>
        <sz val="10"/>
        <rFont val="Noto Sans CJK SC"/>
        <family val="2"/>
      </rPr>
      <t xml:space="preserve">方向為「較值錢的幣別 </t>
    </r>
    <r>
      <rPr>
        <sz val="10"/>
        <rFont val="Arial"/>
        <family val="0"/>
        <charset val="1"/>
      </rPr>
      <t xml:space="preserve">= 1</t>
    </r>
    <r>
      <rPr>
        <sz val="10"/>
        <rFont val="Noto Sans CJK SC"/>
        <family val="2"/>
      </rPr>
      <t xml:space="preserve">」</t>
    </r>
  </si>
  <si>
    <t xml:space="preserve">測畢由換匯帳本刪除，並比對現金池、均價、`reporting_total` 逐位元還原</t>
  </si>
  <si>
    <t xml:space="preserve">✅ 已驗（第一輪）</t>
  </si>
  <si>
    <t xml:space="preserve"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</si>
  <si>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全面重跑）：換匯中心：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MYR 4,000 → </t>
    </r>
    <r>
      <rPr>
        <sz val="10"/>
        <rFont val="Noto Sans CJK SC"/>
        <family val="2"/>
      </rPr>
      <t xml:space="preserve">買入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自動試算 </t>
    </r>
    <r>
      <rPr>
        <sz val="10"/>
        <rFont val="Arial"/>
        <family val="0"/>
        <charset val="1"/>
      </rPr>
      <t xml:space="preserve">978.59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匯率 </t>
    </r>
    <r>
      <rPr>
        <sz val="10"/>
        <rFont val="Arial"/>
        <family val="0"/>
        <charset val="1"/>
      </rPr>
      <t xml:space="preserve">0.2446</t>
    </r>
    <r>
      <rPr>
        <sz val="10"/>
        <rFont val="Noto Sans CJK SC"/>
        <family val="2"/>
      </rPr>
      <t xml:space="preserve">；隱含 </t>
    </r>
    <r>
      <rPr>
        <sz val="10"/>
        <rFont val="Arial"/>
        <family val="0"/>
        <charset val="1"/>
      </rPr>
      <t xml:space="preserve">1 USD = 4.0875 MYR</t>
    </r>
    <r>
      <rPr>
        <sz val="10"/>
        <rFont val="Noto Sans CJK SC"/>
        <family val="2"/>
      </rPr>
      <t xml:space="preserve">）→ 確認寫入 </t>
    </r>
    <r>
      <rPr>
        <sz val="10"/>
        <rFont val="Arial"/>
        <family val="0"/>
        <charset val="1"/>
      </rPr>
      <t xml:space="preserve">POST /api/cash/fx 201 #22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換匯已寫入 </t>
    </r>
    <r>
      <rPr>
        <sz val="10"/>
        <rFont val="Arial"/>
        <family val="0"/>
        <charset val="1"/>
      </rPr>
      <t xml:space="preserve">4000 MYR → 978.59 USD</t>
    </r>
    <r>
      <rPr>
        <sz val="10"/>
        <rFont val="Noto Sans CJK SC"/>
        <family val="2"/>
      </rPr>
      <t xml:space="preserve">」→ ① </t>
    </r>
    <r>
      <rPr>
        <sz val="10"/>
        <rFont val="Arial"/>
        <family val="0"/>
        <charset val="1"/>
      </rPr>
      <t xml:space="preserve">MYR 508,466.420→504,466.420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56,384.10→57,362.69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+978.59</t>
    </r>
    <r>
      <rPr>
        <sz val="10"/>
        <rFont val="Noto Sans CJK SC"/>
        <family val="2"/>
      </rPr>
      <t xml:space="preserve">）✓；② 取得均價 </t>
    </r>
    <r>
      <rPr>
        <sz val="10"/>
        <rFont val="Arial"/>
        <family val="0"/>
        <charset val="1"/>
      </rPr>
      <t xml:space="preserve">4.384338038040251696433279862→4.379477739744650974529852491</t>
    </r>
    <r>
      <rPr>
        <sz val="10"/>
        <rFont val="Noto Sans CJK SC"/>
        <family val="2"/>
      </rPr>
      <t xml:space="preserve">，反推舊覆蓋量＝</t>
    </r>
    <r>
      <rPr>
        <sz val="10"/>
        <rFont val="Arial"/>
        <family val="0"/>
        <charset val="1"/>
      </rPr>
      <t xml:space="preserve">58,785.10 USD</t>
    </r>
    <r>
      <rPr>
        <sz val="10"/>
        <rFont val="Noto Sans CJK SC"/>
        <family val="2"/>
      </rPr>
      <t xml:space="preserve">＝外幣現金 </t>
    </r>
    <r>
      <rPr>
        <sz val="10"/>
        <rFont val="Arial"/>
        <family val="0"/>
        <charset val="1"/>
      </rPr>
      <t xml:space="preserve">56,384.10</t>
    </r>
    <r>
      <rPr>
        <sz val="10"/>
        <rFont val="Noto Sans CJK SC"/>
        <family val="2"/>
      </rPr>
      <t xml:space="preserve">＋持股成本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，加權公式成立 ✓；③ 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字串完全不變 ✓（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+29.11 TWD</t>
    </r>
    <r>
      <rPr>
        <sz val="10"/>
        <rFont val="Noto Sans CJK SC"/>
        <family val="2"/>
      </rPr>
      <t xml:space="preserve">，為成交隱含匯率與市場匯率差）；④ 換匯帳本 </t>
    </r>
    <r>
      <rPr>
        <sz val="10"/>
        <rFont val="Arial"/>
        <family val="0"/>
        <charset val="1"/>
      </rPr>
      <t xml:space="preserve">19→20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implied_rate 4.0875136…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implied_unit_ccy USD</t>
    </r>
    <r>
      <rPr>
        <sz val="10"/>
        <rFont val="Noto Sans CJK SC"/>
        <family val="2"/>
      </rPr>
      <t xml:space="preserve">（較值錢者＝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）✓。由交易帳本 › 換匯分頁刪除（確認框「確定刪除這筆換匯？統計將由其餘帳本紀錄重建。」→ </t>
    </r>
    <r>
      <rPr>
        <sz val="10"/>
        <rFont val="Arial"/>
        <family val="0"/>
        <charset val="1"/>
      </rPr>
      <t xml:space="preserve">DELETE /api/ledgers/fx/22 200</t>
    </r>
    <r>
      <rPr>
        <sz val="10"/>
        <rFont val="Noto Sans CJK SC"/>
        <family val="2"/>
      </rPr>
      <t xml:space="preserve">），現金池、均價 </t>
    </r>
    <r>
      <rPr>
        <sz val="10"/>
        <rFont val="Arial"/>
        <family val="0"/>
        <charset val="1"/>
      </rPr>
      <t xml:space="preserve">4.384338038040251696433279862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與六段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982.44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56,384.10→57,366.54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4.384338→4.379196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982.44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USD = 4.0715 MYR</t>
    </r>
    <r>
      <rPr>
        <sz val="10"/>
        <rFont val="Noto Sans CJK SC"/>
        <family val="2"/>
      </rPr>
      <t xml:space="preserve">）；刪除後逐字相同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980.39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4.0800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56,384.10→57,364.49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4.384338→4.379346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980.39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981.11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4.0770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56,384.10→57,365.21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4.384338→4.379293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981.11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980.63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4.0790 MYR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POST /api/cash/fx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#27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56,384.10→57,364.73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4.384338→4.379328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980.63)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4.0790 MYR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</t>
    </r>
  </si>
  <si>
    <t xml:space="preserve">A-14</t>
  </si>
  <si>
    <t xml:space="preserve">換匯：買賣幣別相同</t>
  </si>
  <si>
    <t xml:space="preserve">把買入幣別設成與賣出相同</t>
  </si>
  <si>
    <t xml:space="preserve">顯示「買賣幣別不可相同 — 已自動將賣出幣別改為 X，可用餘額也隨之切換」，且賣出幣別確實翻轉</t>
  </si>
  <si>
    <t xml:space="preserve">不送出</t>
  </si>
  <si>
    <t xml:space="preserve">✅ 已驗（三輪）</t>
  </si>
  <si>
    <t xml:space="preserve"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</si>
  <si>
    <t xml:space="preserve"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
R13（830056c 上 prod 前整份 one shot 重跑；Owner 6B：寫入留在 demo、不還原）：PASS — demo 真實瀏覽器（頁首 v0.1.28 · 830056c），demo 3／3 項檢查全過：買入與賣出同為 MYR → 自動把賣出幣別改為 USD，提示「買賣幣別不可相同 — 已自動將賣出幣別改為 USD，可用餘額也隨之切換」；可用餘額切為 57,364.73 USD</t>
  </si>
  <si>
    <t xml:space="preserve">A-15</t>
  </si>
  <si>
    <t xml:space="preserve">換匯：手動指定買入金額</t>
  </si>
  <si>
    <t xml:space="preserve">已填賣出金額並完成自動試算</t>
  </si>
  <si>
    <t xml:space="preserve">手動改寫買入金額</t>
  </si>
  <si>
    <t xml:space="preserve">① 立即顯示「已手動指定買入金額 — 按「重新試算」可依即期匯率回填」；② 不得殘留「試算中…」；③ 隱含匯率依手動值重算；④ 按「重新試算」可回填</t>
  </si>
  <si>
    <t xml:space="preserve"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</si>
  <si>
    <t xml:space="preserve"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
R13（830056c 上 prod 前整份 one shot 重跑；Owner 6B：寫入留在 demo、不還原）：PASS — demo 真實瀏覽器（頁首 v0.1.28 · 830056c），demo 5／5 項檢查全過：手動指定買入 985 →「已手動指定買入金額 — 按「重新試算」可依即期匯率回填」、隱含匯率 1 USD = 4.0609 MYR（4,000／985）、無殘留「試算中…」；按「重新試算」回填 980.63</t>
  </si>
  <si>
    <t xml:space="preserve">A-16</t>
  </si>
  <si>
    <t xml:space="preserve">折讓款確認入帳與復原</t>
  </si>
  <si>
    <t xml:space="preserve">收件匣有待確認折讓款</t>
  </si>
  <si>
    <t xml:space="preserve">收件匣 → 折讓款 → 確認入帳（填實際金額）→ 檢查 → 復原</t>
  </si>
  <si>
    <t xml:space="preserve">① 現金池增加該金額；② 不影響持倉成本；③ 復原後現金池與列數逐位元還原</t>
  </si>
  <si>
    <t xml:space="preserve">會寫入；務必復原並比對</t>
  </si>
  <si>
    <t xml:space="preserve"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</si>
  <si>
    <t xml:space="preserve">DEF-011</t>
  </si>
  <si>
    <t xml:space="preserve"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
R13（830056c 上 prod 前整份 one shot 重跑；Owner 6B：寫入留在 demo、不還原）：PASS — demo 真實瀏覽器（頁首 v0.1.28 · 830056c），重跑 10／10 項檢查全過：確認 2026-09 折讓款（台灣券商，當月 11 筆交易、手續費合計 10,418 → 預估 8,017 TWD）→ /api/rebates/confirm 200（#141）、toast「✓ 折讓款已入帳 2026-09・8,017 TWD 已記入現金池」；① TWD 池 797,736→805,753；② 持倉／成本不變；出金入金頁可見「2026-10-01 台灣券商 折讓款 8,017 TWD 2026-09 折讓款」；③ 刪除（對話框「刪除資金紀錄 2026-10-01・折讓款 8,017 TWD（台灣券商）」）→ DELETE /api/cash/movements/141 200 → 資金收支回 47 列、池回 797,736、該月回到待確認（3 筆，與確認前相同）、分段逐字相同。one shot 首跑 8／10：確認 2026-06（573 TWD，#136）正確入帳（3,085,031→3,085,604），但檢查程式以「最新一筆折讓款」挑要刪的列，挑到 A-11 依 6B 留下的 2026-07 折讓款 #135（1,083）並刪除，池變 3,084,521 ≠ 3,085,031；改以月份＋金額挑列後重跑。首跑的結果依 6B 留在 demo：2026-06 折讓款 573 已入帳、2026-07 #135 已刪除（回到待確認）</t>
  </si>
  <si>
    <r>
      <rPr>
        <b val="true"/>
        <sz val="11"/>
        <rFont val="Arial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股票買賣、手續費稅與對應幣別現金</t>
    </r>
  </si>
  <si>
    <t xml:space="preserve">B-01</t>
  </si>
  <si>
    <t xml:space="preserve">B</t>
  </si>
  <si>
    <t xml:space="preserve">台股買進（整股）</t>
  </si>
  <si>
    <t xml:space="preserve">交易帳本 › 手動交易；記錄基準持股、均價、該帳戶 TWD 現金</t>
  </si>
  <si>
    <t xml:space="preserve">買進 2884 1,000 股 @ 45.20（台灣券商）→ 檢查草稿試算 → 確認寫入</t>
  </si>
  <si>
    <t xml:space="preserve">① 手續費 = floor(45,200 × 0.1425%) = **64**；② 總成本 = 45,200 + 64 = 45,264；③ 新均價 = (原成本 + 45,264) ÷ 新股數，與畫面「原始均價 → 新均價」相符；④ 帳戶 TWD 現金 −45,264</t>
  </si>
  <si>
    <t xml:space="preserve">測畢刪除該筆並比對 `/api/dashboard` 四組 JSON 與基準相同</t>
  </si>
  <si>
    <t xml:space="preserve">✅ 已驗（同型：100 股）</t>
  </si>
  <si>
    <t xml:space="preserve"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</si>
  <si>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）：草稿 成交 </t>
    </r>
    <r>
      <rPr>
        <sz val="10"/>
        <rFont val="Arial"/>
        <family val="0"/>
        <charset val="1"/>
      </rPr>
      <t xml:space="preserve">45,200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floor(64.41)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、持股 </t>
    </r>
    <r>
      <rPr>
        <sz val="10"/>
        <rFont val="Arial"/>
        <family val="0"/>
        <charset val="1"/>
      </rPr>
      <t xml:space="preserve">100→1,100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、現金 </t>
    </r>
    <r>
      <rPr>
        <sz val="10"/>
        <rFont val="Arial"/>
        <family val="0"/>
        <charset val="1"/>
      </rPr>
      <t xml:space="preserve">6,067,595→6,022,331</t>
    </r>
    <r>
      <rPr>
        <sz val="10"/>
        <rFont val="Noto Sans CJK SC"/>
        <family val="2"/>
      </rPr>
      <t xml:space="preserve">；確認寫入 </t>
    </r>
    <r>
      <rPr>
        <sz val="10"/>
        <rFont val="Arial"/>
        <family val="0"/>
        <charset val="1"/>
      </rPr>
      <t xml:space="preserve">POST /api/input/manual/commit 201 #121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交易已寫入帳本 （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shares 1100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49.62181818181818181818181818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(9,320+45,264)/1,100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45,264.0000 ✓</t>
    </r>
    <r>
      <rPr>
        <sz val="10"/>
        <rFont val="Noto Sans CJK SC"/>
        <family val="2"/>
      </rPr>
      <t xml:space="preserve">。測畢刪除 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49.62</t>
    </r>
    <r>
      <rPr>
        <sz val="10"/>
        <rFont val="Noto Sans CJK SC"/>
        <family val="2"/>
      </rPr>
      <t xml:space="preserve">；寫入後均價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#182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#211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 @45.20</t>
    </r>
    <r>
      <rPr>
        <sz val="10"/>
        <rFont val="Noto Sans CJK SC"/>
        <family val="2"/>
      </rPr>
      <t xml:space="preserve">：① 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；② 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（草稿「持股 </t>
    </r>
    <r>
      <rPr>
        <sz val="10"/>
        <rFont val="Arial"/>
        <family val="0"/>
        <charset val="1"/>
      </rPr>
      <t xml:space="preserve">100 → 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 → 49.62</t>
    </r>
    <r>
      <rPr>
        <sz val="10"/>
        <rFont val="Noto Sans CJK SC"/>
        <family val="2"/>
      </rPr>
      <t xml:space="preserve">」）；寫入 </t>
    </r>
    <r>
      <rPr>
        <sz val="10"/>
        <rFont val="Arial"/>
        <family val="0"/>
        <charset val="1"/>
      </rPr>
      <t xml:space="preserve">#241</t>
    </r>
    <r>
      <rPr>
        <sz val="10"/>
        <rFont val="Noto Sans CJK SC"/>
        <family val="2"/>
      </rPr>
      <t xml:space="preserve">；③ 新均價＝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成本＋</t>
    </r>
    <r>
      <rPr>
        <sz val="10"/>
        <rFont val="Arial"/>
        <family val="0"/>
        <charset val="1"/>
      </rPr>
      <t xml:space="preserve">45,264)÷</t>
    </r>
    <r>
      <rPr>
        <sz val="10"/>
        <rFont val="Noto Sans CJK SC"/>
        <family val="2"/>
      </rPr>
      <t xml:space="preserve">股數＝</t>
    </r>
    <r>
      <rPr>
        <sz val="10"/>
        <rFont val="Arial"/>
        <family val="0"/>
        <charset val="1"/>
      </rPr>
      <t xml:space="preserve">49.62181818…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3,084,521→3,039,257</t>
    </r>
  </si>
  <si>
    <t xml:space="preserve">B-02</t>
  </si>
  <si>
    <t xml:space="preserve">台股買進（觸發最低手續費）</t>
  </si>
  <si>
    <t xml:space="preserve">買進 2884 100 股 @ 45.20</t>
  </si>
  <si>
    <t xml:space="preserve">手續費 = max(floor(4,520 × 0.1425%) = 6, **20**) = 20；總成本 4,540；均價依 (9,320 + 4,540) ÷ 200 = **69.30**</t>
  </si>
  <si>
    <t xml:space="preserve"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</si>
  <si>
    <t xml:space="preserve"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
R13（830056c 上 prod 前整份 one shot 重跑；Owner 6B：寫入留在 demo、不還原）：PASS — demo 真實瀏覽器（頁首 v0.1.28 · 830056c），demo 3／3 項檢查全過：零股 100 @45.20：手續費 max(6, 20)＝20、總額 4,540；均價＝(成本＋4,540)÷股數＝49.27</t>
  </si>
  <si>
    <t xml:space="preserve">B-03</t>
  </si>
  <si>
    <t xml:space="preserve">台股賣出（整股）</t>
  </si>
  <si>
    <t xml:space="preserve">持有 2884 ≥ 200 股</t>
  </si>
  <si>
    <t xml:space="preserve">賣出 2884 100 股 @ 46.00 → 確認寫入</t>
  </si>
  <si>
    <t xml:space="preserve">① 手續費 = max(floor(4,600×0.1425%)=6, 20) = 20；② 證交稅 = floor(4,600 × 0.3%) = 13；③ 淨收 = 4,600 − 20 − 13 = 4,567；④ 已實現損益新增 1 列，成本以**加權平均**移除；⑤ 持股 −100、均價不變</t>
  </si>
  <si>
    <t xml:space="preserve">會產生已實現列。測畢刪除該筆賣出，確認已實現列一併消失且 `realized.by_currency` 還原</t>
  </si>
  <si>
    <t xml:space="preserve">否（僅以試算手算驗過）</t>
  </si>
  <si>
    <t xml:space="preserve"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</si>
  <si>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</t>
    </r>
    <r>
      <rPr>
        <sz val="10"/>
        <rFont val="Noto Sans CJK SC"/>
        <family val="2"/>
      </rPr>
      <t xml:space="preserve">（持有 </t>
    </r>
    <r>
      <rPr>
        <sz val="10"/>
        <rFont val="Arial"/>
        <family val="0"/>
        <charset val="1"/>
      </rPr>
      <t xml:space="preserve">1,100</t>
    </r>
    <r>
      <rPr>
        <sz val="10"/>
        <rFont val="Noto Sans CJK SC"/>
        <family val="2"/>
      </rPr>
      <t xml:space="preserve">）賣 </t>
    </r>
    <r>
      <rPr>
        <sz val="10"/>
        <rFont val="Arial"/>
        <family val="0"/>
        <charset val="1"/>
      </rPr>
      <t xml:space="preserve">2884 100@46.00</t>
    </r>
    <r>
      <rPr>
        <sz val="10"/>
        <rFont val="Noto Sans CJK SC"/>
        <family val="2"/>
      </rPr>
      <t xml:space="preserve">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4,962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395 → </t>
    </r>
    <r>
      <rPr>
        <sz val="10"/>
        <rFont val="Noto Sans CJK SC"/>
        <family val="2"/>
      </rPr>
      <t xml:space="preserve">寫入 </t>
    </r>
    <r>
      <rPr>
        <sz val="10"/>
        <rFont val="Arial"/>
        <family val="0"/>
        <charset val="1"/>
      </rPr>
      <t xml:space="preserve">#122 → realized.rows 11→12</t>
    </r>
    <r>
      <rPr>
        <sz val="10"/>
        <rFont val="Noto Sans CJK SC"/>
        <family val="2"/>
      </rPr>
      <t xml:space="preserve">，新列 </t>
    </r>
    <r>
      <rPr>
        <sz val="10"/>
        <rFont val="Arial"/>
        <family val="0"/>
        <charset val="1"/>
      </rPr>
      <t xml:space="preserve">kind sale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original_cost_removed 4962.181818181818181818181818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加權均價）、</t>
    </r>
    <r>
      <rPr>
        <sz val="10"/>
        <rFont val="Arial"/>
        <family val="0"/>
        <charset val="1"/>
      </rPr>
      <t xml:space="preserve">realized −395.181818…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49.62181818…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realized.by_currency.TWD 42004.556→41609.374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#122 → </t>
    </r>
    <r>
      <rPr>
        <sz val="10"/>
        <rFont val="Noto Sans CJK SC"/>
        <family val="2"/>
      </rPr>
      <t xml:space="preserve">已實現回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by_currency.TWD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42004.55597014925373134328360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、損益 −</t>
    </r>
    <r>
      <rPr>
        <sz val="10"/>
        <rFont val="Arial"/>
        <family val="0"/>
        <charset val="1"/>
      </rPr>
      <t xml:space="preserve">395.18</t>
    </r>
    <r>
      <rPr>
        <sz val="10"/>
        <rFont val="Noto Sans CJK SC"/>
        <family val="2"/>
      </rPr>
      <t xml:space="preserve">；持股 −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項（未過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項是字串比對，依數據改判）：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 @46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）：①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；② 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；③ 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；④ 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列、移除成本 </t>
    </r>
    <r>
      <rPr>
        <sz val="10"/>
        <rFont val="Arial"/>
        <family val="0"/>
        <charset val="1"/>
      </rPr>
      <t xml:space="preserve">4,927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 </t>
    </r>
    <r>
      <rPr>
        <sz val="10"/>
        <rFont val="Arial"/>
        <family val="0"/>
        <charset val="1"/>
      </rPr>
      <t xml:space="preserve">49.27</t>
    </r>
    <r>
      <rPr>
        <sz val="10"/>
        <rFont val="Noto Sans CJK SC"/>
        <family val="2"/>
      </rPr>
      <t xml:space="preserve">；⑤ 股數 </t>
    </r>
    <r>
      <rPr>
        <sz val="10"/>
        <rFont val="Arial"/>
        <family val="0"/>
        <charset val="1"/>
      </rPr>
      <t xml:space="preserve">1,200→1,100</t>
    </r>
    <r>
      <rPr>
        <sz val="10"/>
        <rFont val="Noto Sans CJK SC"/>
        <family val="2"/>
      </rPr>
      <t xml:space="preserve">、均價不變——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回「</t>
    </r>
    <r>
      <rPr>
        <sz val="10"/>
        <rFont val="Arial"/>
        <family val="0"/>
        <charset val="1"/>
      </rPr>
      <t xml:space="preserve">49.27000000000000000000000</t>
    </r>
    <r>
      <rPr>
        <sz val="10"/>
        <rFont val="Noto Sans CJK SC"/>
        <family val="2"/>
      </rPr>
      <t xml:space="preserve">」，檢查程式以字串與「</t>
    </r>
    <r>
      <rPr>
        <sz val="10"/>
        <rFont val="Arial"/>
        <family val="0"/>
        <charset val="1"/>
      </rPr>
      <t xml:space="preserve">49.27</t>
    </r>
    <r>
      <rPr>
        <sz val="10"/>
        <rFont val="Noto Sans CJK SC"/>
        <family val="2"/>
      </rPr>
      <t xml:space="preserve">」比對而判未過，數值相等。賣出 </t>
    </r>
    <r>
      <rPr>
        <sz val="10"/>
        <rFont val="Arial"/>
        <family val="0"/>
        <charset val="1"/>
      </rPr>
      <t xml:space="preserve">#243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</si>
  <si>
    <t xml:space="preserve">B-04</t>
  </si>
  <si>
    <t xml:space="preserve">台股當沖賣出</t>
  </si>
  <si>
    <t xml:space="preserve">同日有買進</t>
  </si>
  <si>
    <t xml:space="preserve">賣出時勾選「當沖」→ 送出</t>
  </si>
  <si>
    <t xml:space="preserve">證交稅率改用 **0.15%**：floor(金額 × 0.15%)；未勾選時為 0.3%</t>
  </si>
  <si>
    <t xml:space="preserve">測畢刪除</t>
  </si>
  <si>
    <t xml:space="preserve">承 B-01 同日有買進：賣 2884 100@46.00 未勾當沖 → preview tax 13（0.3%）；勾「當沖」→ tax 6（floor(4,600×0.15%)=6）、淨收 4,574；寫入 #74 本文 daytrade:true，帳本列 fee 20／tax 6／total 4574.00。刪除 #74，逐位元還原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</si>
  <si>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 </t>
    </r>
    <r>
      <rPr>
        <sz val="10"/>
        <rFont val="Noto Sans CJK SC"/>
        <family val="2"/>
      </rPr>
      <t xml:space="preserve">同日有買進：賣 </t>
    </r>
    <r>
      <rPr>
        <sz val="10"/>
        <rFont val="Arial"/>
        <family val="0"/>
        <charset val="1"/>
      </rPr>
      <t xml:space="preserve">2884 100@46.00 </t>
    </r>
    <r>
      <rPr>
        <sz val="10"/>
        <rFont val="Noto Sans CJK SC"/>
        <family val="2"/>
      </rPr>
      <t xml:space="preserve">未勾當沖 → </t>
    </r>
    <r>
      <rPr>
        <sz val="10"/>
        <rFont val="Arial"/>
        <family val="0"/>
        <charset val="1"/>
      </rPr>
      <t xml:space="preserve">preview tax 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）；勾「當沖」→ </t>
    </r>
    <r>
      <rPr>
        <sz val="10"/>
        <rFont val="Arial"/>
        <family val="0"/>
        <charset val="1"/>
      </rPr>
      <t xml:space="preserve">tax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floor(4,600×0.15%)=6</t>
    </r>
    <r>
      <rPr>
        <sz val="10"/>
        <rFont val="Noto Sans CJK SC"/>
        <family val="2"/>
      </rPr>
      <t xml:space="preserve">）、淨收 </t>
    </r>
    <r>
      <rPr>
        <sz val="10"/>
        <rFont val="Arial"/>
        <family val="0"/>
        <charset val="1"/>
      </rPr>
      <t xml:space="preserve">4,574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本文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，帳本列「賣當沖 </t>
    </r>
    <r>
      <rPr>
        <sz val="10"/>
        <rFont val="Arial"/>
        <family val="0"/>
        <charset val="1"/>
      </rPr>
      <t xml:space="preserve">100 46.00 20 6 +4,574 TWD</t>
    </r>
    <r>
      <rPr>
        <sz val="10"/>
        <rFont val="Noto Sans CJK SC"/>
        <family val="2"/>
      </rPr>
      <t xml:space="preserve">」。刪除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#121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 @46.5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）：未勾當沖 </t>
    </r>
    <r>
      <rPr>
        <sz val="10"/>
        <rFont val="Arial"/>
        <family val="0"/>
        <charset val="1"/>
      </rPr>
      <t xml:space="preserve">0.3% → </t>
    </r>
    <r>
      <rPr>
        <sz val="10"/>
        <rFont val="Noto Sans CJK SC"/>
        <family val="2"/>
      </rPr>
      <t xml:space="preserve">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；勾「當沖」→ </t>
    </r>
    <r>
      <rPr>
        <sz val="10"/>
        <rFont val="Arial"/>
        <family val="0"/>
        <charset val="1"/>
      </rPr>
      <t xml:space="preserve">floor(4,650×0.15%)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；送出本文帶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；帳本列「賣當沖 </t>
    </r>
    <r>
      <rPr>
        <sz val="10"/>
        <rFont val="Arial"/>
        <family val="0"/>
        <charset val="1"/>
      </rPr>
      <t xml:space="preserve">100 46.50 20 6 +4,624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#267</t>
    </r>
    <r>
      <rPr>
        <sz val="10"/>
        <rFont val="Noto Sans CJK SC"/>
        <family val="2"/>
      </rPr>
      <t xml:space="preserve">，依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：兩項試算正確，但 </t>
    </r>
    <r>
      <rPr>
        <sz val="10"/>
        <rFont val="Arial"/>
        <family val="0"/>
        <charset val="1"/>
      </rPr>
      <t xml:space="preserve">B-03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留下的同日同價賣出（</t>
    </r>
    <r>
      <rPr>
        <sz val="10"/>
        <rFont val="Arial"/>
        <family val="0"/>
        <charset val="1"/>
      </rPr>
      <t xml:space="preserve">100 @46</t>
    </r>
    <r>
      <rPr>
        <sz val="10"/>
        <rFont val="Noto Sans CJK SC"/>
        <family val="2"/>
      </rPr>
      <t xml:space="preserve">）使「確認寫入」被「相同交易已存在」擋下、未送出；改價 </t>
    </r>
    <r>
      <rPr>
        <sz val="10"/>
        <rFont val="Arial"/>
        <family val="0"/>
        <charset val="1"/>
      </rPr>
      <t xml:space="preserve">46.5 </t>
    </r>
    <r>
      <rPr>
        <sz val="10"/>
        <rFont val="Noto Sans CJK SC"/>
        <family val="2"/>
      </rPr>
      <t xml:space="preserve">重跑</t>
    </r>
  </si>
  <si>
    <t xml:space="preserve">B-05</t>
  </si>
  <si>
    <t xml:space="preserve">台股零股小數必須被擋</t>
  </si>
  <si>
    <t xml:space="preserve">股數填 0.5 → 觀察草稿與確認鍵</t>
  </si>
  <si>
    <t xml:space="preserve">顯示「✕ 台股股數必須是整數（零股以 1 股為單位），目前是 0.5」且「確認寫入」為 disabled</t>
  </si>
  <si>
    <t xml:space="preserve">不會寫入</t>
  </si>
  <si>
    <t xml:space="preserve">手動交易 台灣券商 2884 買 0.5 股 @45.20：preview issues=[{sev:error, code:shares_not_integer}]，草稿區顯示「✕ 台股股數必須是整數（零股以 1 股為單位），目前是 0.5」，#m-confirm disabled=true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</si>
  <si>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@45.20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preview issues=[{sev:error, code:shares_not_integer}]</t>
    </r>
    <r>
      <rPr>
        <sz val="10"/>
        <rFont val="Noto Sans CJK SC"/>
        <family val="2"/>
      </rPr>
      <t xml:space="preserve">，草稿顯示「✕ 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#m-confirm disabled ✓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」、確認寫入停用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」且「確認寫入」停用</t>
    </r>
  </si>
  <si>
    <t xml:space="preserve">B-06</t>
  </si>
  <si>
    <t xml:space="preserve">美股小數股允許</t>
  </si>
  <si>
    <t xml:space="preserve">帳戶=嘉信 Schwab；記錄 USD 池餘額</t>
  </si>
  <si>
    <t xml:space="preserve">買進 AAPL 0.5 股 @ 市價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</si>
  <si>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不得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被整數規則擋下（美股 </t>
    </r>
    <r>
      <rPr>
        <sz val="10"/>
        <rFont val="Arial"/>
        <family val="0"/>
        <charset val="1"/>
      </rPr>
      <t xml:space="preserve">fractional </t>
    </r>
    <r>
      <rPr>
        <sz val="10"/>
        <rFont val="Noto Sans CJK SC"/>
        <family val="2"/>
      </rPr>
      <t xml:space="preserve">為刻意允許）；② 費用依美股規則計算；③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池扣款＝交割價金＋費用，交割價金＝</t>
    </r>
    <r>
      <rPr>
        <sz val="10"/>
        <rFont val="Arial"/>
        <family val="0"/>
        <charset val="1"/>
      </rPr>
      <t xml:space="preserve">0.5 × </t>
    </r>
    <r>
      <rPr>
        <sz val="10"/>
        <rFont val="Noto Sans CJK SC"/>
        <family val="2"/>
      </rPr>
      <t xml:space="preserve">價格四捨五入到分（例 </t>
    </r>
    <r>
      <rPr>
        <sz val="10"/>
        <rFont val="Arial"/>
        <family val="0"/>
        <charset val="1"/>
      </rPr>
      <t xml:space="preserve">0.5 × 191.23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95.615 → 95.62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裁定，結案後新增）</t>
    </r>
  </si>
  <si>
    <t xml:space="preserve"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</si>
  <si>
    <t xml:space="preserve"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
R13（830056c 上 prod 前整份 one shot 重跑；Owner 6B：寫入留在 demo、不還原）：PASS — demo 真實瀏覽器（頁首 v0.1.28 · 830056c），demo 6／6 項檢查全過：AAPL 0.5 股 @191.23（只試算）：交割價金 95.615→95.62、total −95.62；小數股未被整數規則擋；嘉信佣金 $0、買進無 SEC／TAF；以 329.40 寫入 #244：股數 85.0393→85.5393、USD 池 401,502.24→401,337.54（−164.70＝0.5×329.40 四捨五入到分＋費用 0）</t>
  </si>
  <si>
    <t xml:space="preserve">B-07</t>
  </si>
  <si>
    <t xml:space="preserve">美股買進扣 USD 現金</t>
  </si>
  <si>
    <t xml:space="preserve">記錄 schwab USD 池餘額</t>
  </si>
  <si>
    <t xml:space="preserve">買進 AAPL 1 股</t>
  </si>
  <si>
    <t xml:space="preserve">① 扣的是 **USD** 池，TWD 池不動；② 報告幣別（TWD）市值 = USD 市值 × 當日匯率；③ 總成本以 USD 記錄，不因匯率變動而改寫</t>
  </si>
  <si>
    <t xml:space="preserve"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</si>
  <si>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@339.75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398,497.90→398,158.15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339.75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800,000 </t>
    </r>
    <r>
      <rPr>
        <sz val="10"/>
        <rFont val="Noto Sans CJK SC"/>
        <family val="2"/>
      </rPr>
      <t xml:space="preserve">不動 ✓；②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帳戶報告幣市值 </t>
    </r>
    <r>
      <rPr>
        <sz val="10"/>
        <rFont val="Arial"/>
        <family val="0"/>
        <charset val="1"/>
      </rPr>
      <t xml:space="preserve">3,654,938.1681→3,665,752.0708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+10,813.90275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339.75×31.829000 current_spot</t>
    </r>
    <r>
      <rPr>
        <sz val="10"/>
        <rFont val="Noto Sans CJK SC"/>
        <family val="2"/>
      </rPr>
      <t xml:space="preserve">）✓；③ 原始成本以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13,515→13,854.75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341.07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31.695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398,497.90→398,156.83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31.785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10,840.91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398,497.90→398,166.65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31.837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10,545.97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13,515→13,846.25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@329.40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#245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401,337.54→401,008.14</t>
    </r>
    <r>
      <rPr>
        <sz val="10"/>
        <rFont val="Noto Sans CJK SC"/>
        <family val="2"/>
      </rPr>
      <t xml:space="preserve">、同帳戶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池不變（</t>
    </r>
    <r>
      <rPr>
        <sz val="10"/>
        <rFont val="Arial"/>
        <family val="0"/>
        <charset val="1"/>
      </rPr>
      <t xml:space="preserve">800,000</t>
    </r>
    <r>
      <rPr>
        <sz val="10"/>
        <rFont val="Noto Sans CJK SC"/>
        <family val="2"/>
      </rPr>
      <t xml:space="preserve">）；② 報告市值 </t>
    </r>
    <r>
      <rPr>
        <sz val="10"/>
        <rFont val="Arial"/>
        <family val="0"/>
        <charset val="1"/>
      </rPr>
      <t xml:space="preserve">+329.40×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31.868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10,497.32</t>
    </r>
    <r>
      <rPr>
        <sz val="10"/>
        <rFont val="Noto Sans CJK SC"/>
        <family val="2"/>
      </rPr>
      <t xml:space="preserve">；③ 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13,679.70→14,009.10</t>
    </r>
  </si>
  <si>
    <t xml:space="preserve">B-08</t>
  </si>
  <si>
    <t xml:space="preserve">馬股買進扣 MYR 現金</t>
  </si>
  <si>
    <t xml:space="preserve">帳戶=Moomoo MY</t>
  </si>
  <si>
    <t xml:space="preserve">買進 1155 100 股</t>
  </si>
  <si>
    <t xml:space="preserve">① 扣 MYR 池；② 馬股股數整數規則同台股；③ 費用依馬股規則</t>
  </si>
  <si>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issues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＋平台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＋清算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SST 8% 0.29</t>
    </r>
    <r>
      <rPr>
        <sz val="10"/>
        <rFont val="Noto Sans CJK SC"/>
        <family val="2"/>
      </rPr>
      <t xml:space="preserve">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1,047.9100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</si>
  <si>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（規則「佣金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・平台費 </t>
    </r>
    <r>
      <rPr>
        <sz val="10"/>
        <rFont val="Arial"/>
        <family val="0"/>
        <charset val="1"/>
      </rPr>
      <t xml:space="preserve">RM3.00</t>
    </r>
    <r>
      <rPr>
        <sz val="10"/>
        <rFont val="Noto Sans CJK SC"/>
        <family val="2"/>
      </rPr>
      <t xml:space="preserve">・清算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SST 8.00%</t>
    </r>
    <r>
      <rPr>
        <sz val="10"/>
        <rFont val="Noto Sans CJK SC"/>
        <family val="2"/>
      </rPr>
      <t xml:space="preserve">」）、交易稅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508,466.420→507,418.510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1,047.91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池不動 ✓。刪除 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ceil(1,022/1,000)×RM1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1,027.91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股被擋（「馬股股數必須是整數…」）；成交 </t>
    </r>
    <r>
      <rPr>
        <sz val="10"/>
        <rFont val="Arial"/>
        <family val="0"/>
        <charset val="1"/>
      </rPr>
      <t xml:space="preserve">1,002 MYR </t>
    </r>
    <r>
      <rPr>
        <sz val="10"/>
        <rFont val="Noto Sans CJK SC"/>
        <family val="2"/>
      </rPr>
      <t xml:space="preserve">印花 </t>
    </r>
    <r>
      <rPr>
        <sz val="10"/>
        <rFont val="Arial"/>
        <family val="0"/>
        <charset val="1"/>
      </rPr>
      <t xml:space="preserve">ceil(1,002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、費用 </t>
    </r>
    <r>
      <rPr>
        <sz val="10"/>
        <rFont val="Arial"/>
        <family val="0"/>
        <charset val="1"/>
      </rPr>
      <t xml:space="preserve">3.89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）；寫入 </t>
    </r>
    <r>
      <rPr>
        <sz val="10"/>
        <rFont val="Arial"/>
        <family val="0"/>
        <charset val="1"/>
      </rPr>
      <t xml:space="preserve">#246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504,466.42→503,458.53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1,007.89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</t>
    </r>
  </si>
  <si>
    <t xml:space="preserve">B-09</t>
  </si>
  <si>
    <t xml:space="preserve">現金不足時的行為</t>
  </si>
  <si>
    <t xml:space="preserve">選一個餘額很小的池</t>
  </si>
  <si>
    <t xml:space="preserve">買進金額 &gt; 該池餘額 → 送出</t>
  </si>
  <si>
    <t xml:space="preserve">記錄實際行為：是阻擋、警告、或允許成為負餘額。**與 A-05 的出金規則比對是否一致**（規格上兩者可以不同，但畫面必須說清楚）</t>
  </si>
  <si>
    <t xml:space="preserve">若寫入成功需刪除</t>
  </si>
  <si>
    <t xml:space="preserve">否（行為待確認）</t>
  </si>
  <si>
    <t xml:space="preserve"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</si>
  <si>
    <t xml:space="preserve"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
R13（830056c 上 prod 前整份 one shot 重跑；Owner 6B：寫入留在 demo、不還原）：PASS — demo 真實瀏覽器（頁首 v0.1.28 · 830056c），demo 4／4 項檢查全過：2330 買 3,000 @2,380（7,150,174）→ 草稿「此帳戶 TWD 現金將不足…交易後現金 −4,110,890」、勾選確認前停用；確認後寫入 #247、負餘額回報 −4,110,890（與 A-05 出金硬擋不同：買進為警示＋明確確認，畫面如此說明）；依 6B 留在 demo</t>
  </si>
  <si>
    <t xml:space="preserve">B-10</t>
  </si>
  <si>
    <t xml:space="preserve">放空</t>
  </si>
  <si>
    <t xml:space="preserve">勾選「放空」→ 賣出未持有的標的</t>
  </si>
  <si>
    <t xml:space="preserve"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</si>
  <si>
    <t xml:space="preserve"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</si>
  <si>
    <t xml:space="preserve">DEF-013</t>
  </si>
  <si>
    <t xml:space="preserve"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
R13（830056c 上 prod 前整份 one shot 重跑；Owner 6B：寫入留在 demo、不還原）：PASS — demo 真實瀏覽器（頁首 v0.1.28 · 830056c），demo 5／5 項檢查全過：2454 當沖＋放空 賣 10 @1,000：兩者可同時勾選、表單有組合說明（「…證交稅以當沖 0.15% 計算…同時宣告為放空…」）；寫入 #248（+9,965）；部位 −10 股、成本 −9,965、short true；帳本列「賣當沖放空」；依 6B 留在 demo</t>
  </si>
  <si>
    <t xml:space="preserve">B-11</t>
  </si>
  <si>
    <t xml:space="preserve">賣超防護</t>
  </si>
  <si>
    <t xml:space="preserve">持有 2,600 股</t>
  </si>
  <si>
    <t xml:space="preserve">賣出 5,000 股</t>
  </si>
  <si>
    <t xml:space="preserve">① 明確警告並指出持股數與日期；② 提供**公司行動補登入口**；③ 若仍要寫入，需出現成本基礎歸零的確認框</t>
  </si>
  <si>
    <t xml:space="preserve">預期被擋；若寫入需刪除</t>
  </si>
  <si>
    <t xml:space="preserve">✅ 已驗（試算路徑）</t>
  </si>
  <si>
    <t xml:space="preserve"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</si>
  <si>
    <t xml:space="preserve"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R13（830056c 上 prod 前整份 one shot 重跑；Owner 6B：寫入留在 demo、不還原）：PASS — demo 真實瀏覽器（頁首 v0.1.28 · 830056c），demo 7／7 項檢查全過：（B-09 買進的 2330 3,000 股依 6B 留在 demo，原步驟的賣超量改為 8,000 股＝持有＋2,400）賣 8,000 → 草稿「持股 5,600 → -2,400…基礎已捨棄…賣超：成本基礎無法認定」、確認停用；倒填 2026-07-01 賣 2,600 → 以當日部位試算「持股 2,000 → -600」並點名日期、提供「補登公司行動」入口與「成本基礎歸零」確認、勾選前停用；只有 ack_oversell 才寫入（#249）。#249 依 6B 留在 demo，使 2330 成為賣超部位（市值／未實現為空、整體 XIRR 不計、稅務包 422 oversold_position），直到 I-13 寫回 #264——E-04、E-07、E-08、E-12、I-01～I-03、D-02c 的首跑因此受影響，皆於 I-13 後重跑或補做</t>
  </si>
  <si>
    <t xml:space="preserve">B-12</t>
  </si>
  <si>
    <t xml:space="preserve">交易編輯（同帳戶同代號）</t>
  </si>
  <si>
    <t xml:space="preserve">任選一筆自建交易</t>
  </si>
  <si>
    <t xml:space="preserve">編輯股數 100 → 150 → 儲存</t>
  </si>
  <si>
    <t xml:space="preserve">① 只發出 1 支 PUT；② 成本、均價、現金、已實現全部由帳本重建；③ toast「編輯完成」</t>
  </si>
  <si>
    <t xml:space="preserve">✅ 已驗（二／三驗）</t>
  </si>
  <si>
    <t xml:space="preserve"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</si>
  <si>
    <t xml:space="preserve"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
R13（830056c 上 prod 前整份 one shot 重跑；Owner 6B：寫入留在 demo、不還原）：PASS — demo 真實瀏覽器（頁首 v0.1.28 · 830056c），重跑＋驗證者獨立重放：寫入 2884 買 100（#268）後把股數改為 150 → 恰一次 PUT /api/ledgers/transactions/268 200、toast「✓ 編輯完成 帳本已更新，統計將由帳本重建」；編輯後 2884 1,550 股、原始成本 48,466.57586206896551724137931、均價 31.26875862068965517241379310。檢查程式的期望均價 31.7120 未計入 D-08 依 6B 留下的分拆（2026-10-01，30% 成本移到 2308）→ 重跑 2／3；驗證者以交易帳本依日期獨立重放（含 D-08 分拆），得 2884 1,550 股、成本 48,466.57586206896551724137931、均價 31.26875862…，子 2308 成本 20,771.38965517…，與 API 逐位相同。one shot 首跑 0／3：按「儲存」後沒有送出 PUT（網路紀錄空、股數未變），重跑與人工再做皆正常送出，無法重現</t>
  </si>
  <si>
    <t xml:space="preserve">B-13</t>
  </si>
  <si>
    <t xml:space="preserve">交易編輯（換帳戶或換代號）</t>
  </si>
  <si>
    <t xml:space="preserve">編輯時改變「帳戶」或「代號」→ 儲存</t>
  </si>
  <si>
    <t xml:space="preserve">① 出現警告說明會把該筆移到另一個持倉、兩邊成本與報酬將重建；② 會先做賣超與孤兒紀錄檢核；③ 未手動改費用時依新帳戶規則重算</t>
  </si>
  <si>
    <t xml:space="preserve">測畢改回或刪除</t>
  </si>
  <si>
    <t xml:space="preserve"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</si>
  <si>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全面重跑）：自建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</t>
    </r>
    <r>
      <rPr>
        <sz val="10"/>
        <rFont val="Arial"/>
        <family val="0"/>
        <charset val="1"/>
      </rPr>
      <t xml:space="preserve">2317 → PUT 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fee_overridden:false</t>
    </r>
    <r>
      <rPr>
        <sz val="10"/>
        <rFont val="Noto Sans CJK SC"/>
        <family val="2"/>
      </rPr>
      <t xml:space="preserve">，費用依規則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2884 200→100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93.2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500→600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101,645→106,185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176.975</t>
    </r>
    <r>
      <rPr>
        <sz val="10"/>
        <rFont val="Noto Sans CJK SC"/>
        <family val="2"/>
      </rPr>
      <t xml:space="preserve">）兩邊重建 ✓③；再把帳戶改嘉信 </t>
    </r>
    <r>
      <rPr>
        <sz val="10"/>
        <rFont val="Arial"/>
        <family val="0"/>
        <charset val="1"/>
      </rPr>
      <t xml:space="preserve">Schwab → PUT 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編輯失敗 …」、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600 </t>
    </r>
    <r>
      <rPr>
        <sz val="10"/>
        <rFont val="Noto Sans CJK SC"/>
        <family val="2"/>
      </rPr>
      <t xml:space="preserve">股未變更 ②。刪除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項檢查全過：編輯框提示「更改代號或帳戶會把這筆交易移到另一個持倉…會先做賣超與孤兒紀錄檢核…依新帳戶規則重算」；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項檢查全過：編輯 </t>
    </r>
    <r>
      <rPr>
        <sz val="10"/>
        <rFont val="Arial"/>
        <family val="0"/>
        <charset val="1"/>
      </rPr>
      <t xml:space="preserve">#251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→ 2317</t>
    </r>
    <r>
      <rPr>
        <sz val="10"/>
        <rFont val="Noto Sans CJK SC"/>
        <family val="2"/>
      </rPr>
      <t xml:space="preserve">）：對話框警示改代號／帳戶會把交易移到另一持倉並重建、會先做賣超與孤兒紀錄檢核；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、費用依規則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；兩邊部位重建（</t>
    </r>
    <r>
      <rPr>
        <sz val="10"/>
        <rFont val="Arial"/>
        <family val="0"/>
        <charset val="1"/>
      </rPr>
      <t xml:space="preserve">2884 1,200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）；改到美股帳戶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600</t>
    </r>
  </si>
  <si>
    <t xml:space="preserve">B-14</t>
  </si>
  <si>
    <t xml:space="preserve">交易刪除與重建</t>
  </si>
  <si>
    <t xml:space="preserve">刪除自建交易 → 確認框 → 刪除</t>
  </si>
  <si>
    <t xml:space="preserve">刪除後 `kpis`／`holdings`／`realized`／`allocation` 與寫入前**字串完全相同**</t>
  </si>
  <si>
    <t xml:space="preserve">這正是還原步驟</t>
  </si>
  <si>
    <t xml:space="preserve">刪除 #71：確認框「確定刪除這筆交易？統計將由其餘帳本紀錄重建。」按鈕 取消／刪除；開框時 0 支非 GET 請求；確認後 DELETE 200、toast「刪除完成」；四段 JSON＋現金池與寫入前字串完全相同</t>
  </si>
  <si>
    <t xml:space="preserve"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
R13（830056c 上 prod 前整份 one shot 重跑；Owner 6B：寫入留在 demo、不還原）：PASS — demo 真實瀏覽器（頁首 v0.1.28 · 830056c），demo 4／4 項檢查全過：刪除 #252：確認對話框「確定刪除這筆交易？統計將由其餘帳本紀錄重建。」→ DELETE 200 → kpis／holdings／realized／allocation 與寫入前逐字相同（本題本身測刪除，依步驟刪除）</t>
  </si>
  <si>
    <t xml:space="preserve">B-15</t>
  </si>
  <si>
    <t xml:space="preserve">費率規則快照</t>
  </si>
  <si>
    <t xml:space="preserve">任一交易列</t>
  </si>
  <si>
    <t xml:space="preserve">展開交易列</t>
  </si>
  <si>
    <t xml:space="preserve">顯示 engine／rounding／brokerage／discount／min_fee／rebate_rate，且與系統設定 › 帳戶與費率一致</t>
  </si>
  <si>
    <t xml:space="preserve">✅ 已驗（觀察）</t>
  </si>
  <si>
    <t xml:space="preserve"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</si>
  <si>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全面重跑）：展開台灣券商交易列顯示「費率規則快照 </t>
    </r>
    <r>
      <rPr>
        <sz val="10"/>
        <rFont val="Arial"/>
        <family val="0"/>
        <charset val="1"/>
      </rPr>
      <t xml:space="preserve">engine: v2 rounding: floor brokerage: 0.001425 discount: 1 min_fee: 20 rebate_rate: 0.77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2026-07-20 8299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06-25 2609</t>
    </r>
    <r>
      <rPr>
        <sz val="10"/>
        <rFont val="Noto Sans CJK SC"/>
        <family val="2"/>
      </rPr>
      <t xml:space="preserve">），與系統設定 › 帳戶與費率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規則集 </t>
    </r>
    <r>
      <rPr>
        <sz val="10"/>
        <rFont val="Arial"/>
        <family val="0"/>
        <charset val="1"/>
      </rPr>
      <t xml:space="preserve">effective </t>
    </r>
    <r>
      <rPr>
        <sz val="10"/>
        <rFont val="Noto Sans CJK SC"/>
        <family val="2"/>
      </rPr>
      <t xml:space="preserve">值（</t>
    </r>
    <r>
      <rPr>
        <sz val="10"/>
        <rFont val="Arial"/>
        <family val="0"/>
        <charset val="1"/>
      </rPr>
      <t xml:space="preserve">GET /api/fee-rules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）一致 ✓。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三筆 </t>
    </r>
    <r>
      <rPr>
        <sz val="10"/>
        <rFont val="Arial"/>
        <family val="0"/>
        <charset val="1"/>
      </rPr>
      <t xml:space="preserve">discount 0.23 </t>
    </r>
    <r>
      <rPr>
        <sz val="10"/>
        <rFont val="Noto Sans CJK SC"/>
        <family val="2"/>
      </rPr>
      <t xml:space="preserve">的快照另附「</t>
    </r>
    <r>
      <rPr>
        <sz val="10"/>
        <rFont val="Arial"/>
        <family val="0"/>
        <charset val="1"/>
      </rPr>
      <t xml:space="preserve">rebate_rate_was: 0.77 cleaned: DEF-010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）…」，為歷史快照與裁定清理紀錄，符合「歷史交易以交易列快照為準」；更早的列為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格式快照（無 </t>
    </r>
    <r>
      <rPr>
        <sz val="10"/>
        <rFont val="Arial"/>
        <family val="0"/>
        <charset val="1"/>
      </rPr>
      <t xml:space="preserve">engine </t>
    </r>
    <r>
      <rPr>
        <sz val="10"/>
        <rFont val="Noto Sans CJK SC"/>
        <family val="2"/>
      </rPr>
      <t xml:space="preserve">欄）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項檢查全過：費率規則快照 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，與「帳戶與費率」一致</t>
    </r>
  </si>
  <si>
    <t xml:space="preserve">B-16</t>
  </si>
  <si>
    <t xml:space="preserve">折讓（rebate）估算</t>
  </si>
  <si>
    <t xml:space="preserve">於再平衡試算或交易後檢視折讓估算</t>
  </si>
  <si>
    <t xml:space="preserve">預估折讓 = 手續費 × rebate_rate，四捨五入規則與設定一致；次月折讓合計與各筆加總相符；**費率快照已打折（discount&lt;1，下單已打折）的交易不列入退款預估**（2026-09-24 owner 裁定 DEF-010）</t>
  </si>
  <si>
    <t xml:space="preserve">部分</t>
  </si>
  <si>
    <t xml:space="preserve"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</si>
  <si>
    <t xml:space="preserve">DEF-010, DEF-055</t>
  </si>
  <si>
    <t xml:space="preserve"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
R13（830056c 上 prod 前整份 one shot 重跑；Owner 6B：寫入留在 demo、不還原）：PASS — demo 真實瀏覽器（頁首 v0.1.28 · 830056c），demo 2／2 項檢查全過：每筆 floor(手續費×0.77)、月合計＝逐筆加總（2026-09 7,957、2026-07 7,872、2026-02 1,358）；費率快照已打折的 10 筆不列入</t>
  </si>
  <si>
    <t xml:space="preserve">B-17</t>
  </si>
  <si>
    <t xml:space="preserve">交易日期驗證</t>
  </si>
  <si>
    <t xml:space="preserve">日期填未來日期、或早於期初庫存日期</t>
  </si>
  <si>
    <t xml:space="preserve"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</si>
  <si>
    <t xml:space="preserve">不寫入</t>
  </si>
  <si>
    <t xml:space="preserve"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</si>
  <si>
    <t xml:space="preserve">DEF-014, DEF-042, DEF-048, DEF-056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</si>
  <si>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既有資料中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2026-07-17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07-20 </t>
    </r>
    <r>
      <rPr>
        <sz val="10"/>
        <rFont val="Noto Sans CJK SC"/>
        <family val="2"/>
      </rPr>
      <t xml:space="preserve">兩筆早於期初庫存日的買進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裁定新增期望「編輯更正同樣提示」→ 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DEF-048</t>
    </r>
    <r>
      <rPr>
        <sz val="10"/>
        <rFont val="Noto Sans CJK SC"/>
        <family val="2"/>
      </rPr>
      <t xml:space="preserve">（草稿持股改用交易日，已裁定）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（未來日期交易依估值日切，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已裁定，手冊期望待補）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本身期望通過（未來買進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寫入後六段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不變、帳本列「未來日期：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起計入」）；未結案原因為關聯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：資金頁畫面「現金收支明細」未標示未來列、與表頭「目前餘額」矛盾（部分通過，規格見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複驗通過結案。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本輪自零重放：日期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警示「交易日期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晚於今日，確認無誤？」、確認鍵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2026-07-01 → </t>
    </r>
    <r>
      <rPr>
        <sz val="10"/>
        <rFont val="Noto Sans CJK SC"/>
        <family val="2"/>
      </rPr>
      <t xml:space="preserve">警示「早於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在台灣券商的期初庫存建檔日 </t>
    </r>
    <r>
      <rPr>
        <sz val="10"/>
        <rFont val="Arial"/>
        <family val="0"/>
        <charset val="1"/>
      </rPr>
      <t xml:space="preserve">2026-07-21…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；勾「我了解，仍要寫入」後寫入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10@1000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#117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起點逐字相同（只多交易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列）、帳本列「未來日期：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起計入」；編輯 </t>
    </r>
    <r>
      <rPr>
        <sz val="10"/>
        <rFont val="Arial"/>
        <family val="0"/>
        <charset val="1"/>
      </rPr>
      <t xml:space="preserve">#117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同一警示＋「我了解，仍要儲存」、未勾選時儲存鍵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、未送出；刪除後 </t>
    </r>
    <r>
      <rPr>
        <sz val="10"/>
        <rFont val="Arial"/>
        <family val="0"/>
        <charset val="1"/>
      </rPr>
      <t xml:space="preserve">cmp R5_START same</t>
    </r>
    <r>
      <rPr>
        <sz val="10"/>
        <rFont val="Noto Sans CJK SC"/>
        <family val="2"/>
      </rPr>
      <t xml:space="preserve">（僅額度差，見還原檢查 </t>
    </r>
    <r>
      <rPr>
        <sz val="10"/>
        <rFont val="Arial"/>
        <family val="0"/>
        <charset val="1"/>
      </rPr>
      <t xml:space="preserve">R-10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與早於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期初庫存日（</t>
    </r>
    <r>
      <rPr>
        <sz val="10"/>
        <rFont val="Arial"/>
        <family val="0"/>
        <charset val="1"/>
      </rPr>
      <t xml:space="preserve">2026-07-21</t>
    </r>
    <r>
      <rPr>
        <sz val="10"/>
        <rFont val="Noto Sans CJK SC"/>
        <family val="2"/>
      </rPr>
      <t xml:space="preserve">）的交易皆警示並需勾「我了解」；寫入後帳本列標「未來日期：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#197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2026-12-31 →</t>
    </r>
    <r>
      <rPr>
        <sz val="10"/>
        <rFont val="Noto Sans CJK SC"/>
        <family val="2"/>
      </rPr>
      <t xml:space="preserve">「⚠ 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晚於今日，確認無誤？」需勾選才可寫；早於期初建檔日同樣警示並停用；改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確認後寫入 </t>
    </r>
    <r>
      <rPr>
        <sz val="10"/>
        <rFont val="Arial"/>
        <family val="0"/>
        <charset val="1"/>
      </rPr>
      <t xml:space="preserve">#253</t>
    </r>
    <r>
      <rPr>
        <sz val="10"/>
        <rFont val="Noto Sans CJK SC"/>
        <family val="2"/>
      </rPr>
      <t xml:space="preserve">、寫入當日六段不變、帳本列標「未來日期：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起計入」；編輯時同樣警示且需勾選（依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</si>
  <si>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B-18</t>
  </si>
  <si>
    <t xml:space="preserve">同日多筆買賣的成本順序</t>
  </si>
  <si>
    <t xml:space="preserve">同一天先買後賣、再買，共 3 筆</t>
  </si>
  <si>
    <t xml:space="preserve">加權平均成本依**時間順序**逐筆套用；已實現損益使用賣出當下的加權均價</t>
  </si>
  <si>
    <t xml:space="preserve">測畢全部刪除並比對</t>
  </si>
  <si>
    <t xml:space="preserve"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</si>
  <si>
    <t xml:space="preserve">DEF-012</t>
  </si>
  <si>
    <t xml:space="preserve"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
R13（830056c 上 prod 前整份 one shot 重跑；Owner 6B：寫入留在 demo、不還原）：PASS — demo 真實瀏覽器（頁首 v0.1.28 · 830056c），demo 3／3 項檢查全過：同日先買後賣：賣出移除成本 4,828.6153846…（用同日先前買進後的均價）、已實現 −660.6153846…；同日其後的買進不改寫先前的賣出（時間序）；寫入 #254～#256</t>
  </si>
  <si>
    <r>
      <rPr>
        <b val="true"/>
        <sz val="11"/>
        <rFont val="Arial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股利、配息與利息</t>
    </r>
  </si>
  <si>
    <t xml:space="preserve">C-01</t>
  </si>
  <si>
    <t xml:space="preserve">C</t>
  </si>
  <si>
    <t xml:space="preserve">收件匣偵測</t>
  </si>
  <si>
    <t xml:space="preserve">收件匣 › 配息</t>
  </si>
  <si>
    <t xml:space="preserve">按「重新偵測」</t>
  </si>
  <si>
    <t xml:space="preserve">① 回報「N 檔事件已更新，M 檔失敗 · 待確認 K 筆」（全形標點）；② 待確認數與清單一致；③ 失敗檔數有說明</t>
  </si>
  <si>
    <t xml:space="preserve">會更新事件表，不動帳本</t>
  </si>
  <si>
    <t xml:space="preserve"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</si>
  <si>
    <t xml:space="preserve">DEF-015, DEF-047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</si>
  <si>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：附帶新開 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（無配息不算失敗，已裁定）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歸無配息紀錄、</t>
    </r>
    <r>
      <rPr>
        <sz val="10"/>
        <rFont val="Arial"/>
        <family val="0"/>
        <charset val="1"/>
      </rPr>
      <t xml:space="preserve">toast-ok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7</t>
    </r>
    <r>
      <rPr>
        <sz val="10"/>
        <rFont val="Noto Sans CJK SC"/>
        <family val="2"/>
      </rPr>
      <t xml:space="preserve">、帳本不變（首跑時驗證者的檢查程式沒有照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格式（無配息不算失敗）判讀，修正檢查後重跑）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（資料來源新增 </t>
    </r>
    <r>
      <rPr>
        <sz val="10"/>
        <rFont val="Arial"/>
        <family val="0"/>
        <charset val="1"/>
      </rPr>
      <t xml:space="preserve">5225 2026-09-29 </t>
    </r>
    <r>
      <rPr>
        <sz val="10"/>
        <rFont val="Noto Sans CJK SC"/>
        <family val="2"/>
      </rPr>
      <t xml:space="preserve">除息事件，</t>
    </r>
    <r>
      <rPr>
        <sz val="10"/>
        <rFont val="Arial"/>
        <family val="0"/>
        <charset val="1"/>
      </rPr>
      <t xml:space="preserve">7→8</t>
    </r>
    <r>
      <rPr>
        <sz val="10"/>
        <rFont val="Noto Sans CJK SC"/>
        <family val="2"/>
      </rPr>
      <t xml:space="preserve">）、帳本不變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結束時相同）、帳本不變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筆」（全形）；待確認數＝清單（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）；帳本不變</t>
    </r>
  </si>
  <si>
    <t xml:space="preserve">C-02</t>
  </si>
  <si>
    <t xml:space="preserve">現金股利確認入帳</t>
  </si>
  <si>
    <t xml:space="preserve">記錄基準：該檔調整成本、調整均價、未實現、回本率、總市值</t>
  </si>
  <si>
    <t xml:space="preserve">收件匣 → 選一筆現金股利 → 確認入帳</t>
  </si>
  <si>
    <t xml:space="preserve"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</si>
  <si>
    <t xml:space="preserve">會寫入。測畢以「刪除並復原」還原，並比對逐位元</t>
  </si>
  <si>
    <t xml:space="preserve"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</si>
  <si>
    <t xml:space="preserve">DEF-016, DEF-061</t>
  </si>
  <si>
    <t xml:space="preserve"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R13（830056c 上 prod 前整份 one shot 重跑；Owner 6B：寫入留在 demo、不還原）：PASS — demo 真實瀏覽器（頁首 v0.1.28 · 830056c），one shot 8／9＋補做 C-02R 3／3：① 確認 3008（發放日 2026-09-10，已過）寫入 1 筆（#78）：調整成本 1,870,094.81→1,736,464.81（−133,630）；② 調整均價＝調整成本÷股數＝539.2748；③ 未實現 +133,630；④ 總市值不變（28,375,145.80）；⑤ 回本率 0.0487→0.1167；⑥ TWD 池 2,046,302→2,179,932（+133,630）。⑦ 入帳日在未來：one shot 時 2330 2026-09-16 那筆（發放 10-08）因 B-11 依 6B 留下的 07-01 超賣、除息日持股為 0 而不能確認（written 0）；先以「交易帳本 › 股利」手動補一筆 3008 現金股利 1,000、發放日 2026-10-20（C-02F，#83）佐證：寫入當下 kpis／holdings／realized／allocation、現金池與報告合計皆不變（檢查程式把匯入批次數 6→7 也列入比對而判未過——單筆表單寫入本身就是一批，屬預期）；I-13 寫回 #264 補足 07-01 持股後，2330 那筆回到收件匣（除息日持股 2,000、每股 7），C-02R 確認 → 寫入 1 筆（#86），入帳日前六段皆不變、股利帳本 29→30 ✓。三筆股利依 6B 留在 demo</t>
  </si>
  <si>
    <t xml:space="preserve">C-03</t>
  </si>
  <si>
    <t xml:space="preserve">股利復原</t>
  </si>
  <si>
    <t xml:space="preserve">承 C-02</t>
  </si>
  <si>
    <t xml:space="preserve">帳本 › 股利 → 刪除並復原</t>
  </si>
  <si>
    <r>
      <rPr>
        <sz val="10"/>
        <rFont val="Arial"/>
        <family val="0"/>
        <charset val="1"/>
      </rPr>
      <t xml:space="preserve">① toast</t>
    </r>
    <r>
      <rPr>
        <sz val="10"/>
        <rFont val="Noto Sans CJK SC"/>
        <family val="2"/>
      </rPr>
      <t xml:space="preserve">「已復原 帳本紀錄已刪除，項目將重新出現在收件匣」；② 該筆回到收件匣待確認；③ 全部數值還原</t>
    </r>
  </si>
  <si>
    <t xml:space="preserve">這是還原步驟</t>
  </si>
  <si>
    <t xml:space="preserve"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</si>
  <si>
    <t xml:space="preserve"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R13（830056c 上 prod 前整份 one shot 重跑；Owner 6B：寫入留在 demo、不還原）：PASS — demo 真實瀏覽器（頁首 v0.1.28 · 830056c），demo 11／11 項檢查全過：C-02 確認的 3008／2330 依 6B 留在帳本，改用 5225 2026-09-29（Net 220.00 MYR）：確認入帳 200、股利帳本 24→25；「本次已入帳」條帶「復原」→ 對話框「刪除並復原」→ DELETE /api/ledgers/dividends/79 200；項目回到收件匣；四段 JSON、帳本列數與現金池與確認前逐字相同（本題本身測復原）</t>
  </si>
  <si>
    <t xml:space="preserve">C-04</t>
  </si>
  <si>
    <t xml:space="preserve">配股（股票股利）</t>
  </si>
  <si>
    <t xml:space="preserve">交易帳本 › 股利 › 切到『配股』</t>
  </si>
  <si>
    <t xml:space="preserve">填代號、除息日、配股股數 → 送出</t>
  </si>
  <si>
    <t xml:space="preserve">① 股數增加；② **原始成本不變**；③ 均價下降 = 原成本 ÷ 新股數；④ 不產生已實現損益；⑤ 不動現金池</t>
  </si>
  <si>
    <t xml:space="preserve">會寫入。測畢刪除該筆股利並比對四段 JSON</t>
  </si>
  <si>
    <t xml:space="preserve"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</si>
  <si>
    <t xml:space="preserve">DEF-017</t>
  </si>
  <si>
    <t xml:space="preserve"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
R13（830056c 上 prod 前整份 one shot 重跑；Owner 6B：寫入留在 demo、不還原）：PASS — demo 真實瀏覽器（頁首 v0.1.28 · 830056c），重跑 7／7 項檢查全過：2884 配股 100 股（發放日 2026-09-30）：表單說明以 $0 成本股數入帳；寫入（preview／commit 200）；① 股數 1,550→1,650；② 原始成本 48,466.58 不變；③ 均價 31.2688→29.3737（＝成本÷新股數）；④ 無已實現；⑤ 現金池不變。one shot 首跑 5／7：配股日用 2026-09-23，早於 B-03／B-04／B-18 依 6B 留下的 09-23～09-24 賣出——帳本依日期重播，$0 成本股拉低賣出時的均價，使那幾筆賣出的成本移除與已實現改變（原始成本 62,363.38→62,708.29），是正確的重播結果，但不符本題「原始成本不變、無已實現」的單獨情境；配股日改到 09-30（晚於所有 2884 既有交易）重跑。兩筆配股依 6B 留在 demo</t>
  </si>
  <si>
    <t xml:space="preserve">C-04b</t>
  </si>
  <si>
    <t xml:space="preserve">再投資（DRIP）</t>
  </si>
  <si>
    <t xml:space="preserve">交易帳本 › 股利 › 切到『再投資（DRIP）』</t>
  </si>
  <si>
    <t xml:space="preserve">填代號、金額與再投資買進的股數／價格 → 送出</t>
  </si>
  <si>
    <t xml:space="preserve"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</si>
  <si>
    <t xml:space="preserve">會寫入。測畢刪除並比對</t>
  </si>
  <si>
    <t xml:space="preserve"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</si>
  <si>
    <t xml:space="preserve">DEF-018, DEF-019</t>
  </si>
  <si>
    <t xml:space="preserve"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
R13（830056c 上 prod 前整份 one shot 重跑；Owner 6B：寫入留在 demo、不還原）：PASS — demo 真實瀏覽器（頁首 v0.1.28 · 830056c），demo 6／6 項檢查全過：AAPL 再投資（DRIP）：表單說明 net 以 $0 成本股數入帳；寫入（preview／commit 200）；① 股數 86.53925→86.55925（+0.02，④ 小數股）、原始成本 14,009.10 不變；② 均價＝14,009.10÷新股數＝161.8440；③ USD 池不變（淨額當下再投資）；依 6B 留在 demo</t>
  </si>
  <si>
    <t xml:space="preserve">C-05</t>
  </si>
  <si>
    <t xml:space="preserve">海外股利預扣稅</t>
  </si>
  <si>
    <t xml:space="preserve">美股標的</t>
  </si>
  <si>
    <t xml:space="preserve">確認一筆美股現金股利，填入預扣稅額</t>
  </si>
  <si>
    <t xml:space="preserve">① 現金池入帳為**淨額**；② 調整成本以淨額或總額沖減需符合規格並在畫面標示清楚；③ 稅額進入稅務包匯出</t>
  </si>
  <si>
    <t xml:space="preserve">測畢復原</t>
  </si>
  <si>
    <t xml:space="preserve"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</si>
  <si>
    <t xml:space="preserve"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
R13（830056c 上 prod 前整份 one shot 重跑；Owner 6B：寫入留在 demo、不還原）：PASS — demo 真實瀏覽器（頁首 v0.1.28 · 830056c），重跑 6／6 項檢查全過：AAPL 美股現金股利（嘉信，2026-09-23）Gross 10：表單說明「預扣 30% 後的淨額沖減成本」、自動帶預扣 3.00／Net 7.00；寫入（preview／commit 200）；① USD 池 400,870.48→400,877.48（+7.00）；② 調整成本 14,259.10→14,252.10（−7）、原始不變；③ 稅務包 dividends_2026.csv 有「2026-09-23,schwab,AAPL,cash,10,3.00,7.00,USD」。one shot 首跑 2／6：送出時 /api/import/preview 回 502（閘道錯誤），未寫入；重跑同一操作 200，無法重現</t>
  </si>
  <si>
    <t xml:space="preserve">C-06</t>
  </si>
  <si>
    <t xml:space="preserve">略過（不入帳）</t>
  </si>
  <si>
    <t xml:space="preserve">收件匣有待確認項</t>
  </si>
  <si>
    <t xml:space="preserve">按「略過」</t>
  </si>
  <si>
    <t xml:space="preserve">① 該筆離開待確認清單；② **不寫入帳本**；③ 可再次被偵測出來（或有明確的已略過狀態）</t>
  </si>
  <si>
    <t xml:space="preserve">不寫帳本，但會改變收件匣狀態——記下被略過的項目以便回復</t>
  </si>
  <si>
    <t xml:space="preserve"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</si>
  <si>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全面重跑）：收件匣 </t>
    </r>
    <r>
      <rPr>
        <sz val="10"/>
        <rFont val="Arial"/>
        <family val="0"/>
        <charset val="1"/>
      </rPr>
      <t xml:space="preserve">1155 Maybank</t>
    </r>
    <r>
      <rPr>
        <sz val="10"/>
        <rFont val="Noto Sans CJK SC"/>
        <family val="2"/>
      </rPr>
      <t xml:space="preserve">（除息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）→ 略過 → </t>
    </r>
    <r>
      <rPr>
        <sz val="10"/>
        <rFont val="Arial"/>
        <family val="0"/>
        <charset val="1"/>
      </rPr>
      <t xml:space="preserve">POST /api/dividend-inbox/skip {fingerprints:[div:moomoo_my:1155:2026-09-23]} 200 skipped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・可於「已忽略」取消忽略」→ ① 待確認 </t>
    </r>
    <r>
      <rPr>
        <sz val="10"/>
        <rFont val="Arial"/>
        <family val="0"/>
        <charset val="1"/>
      </rPr>
      <t xml:space="preserve">7→6</t>
    </r>
    <r>
      <rPr>
        <sz val="10"/>
        <rFont val="Noto Sans CJK SC"/>
        <family val="2"/>
      </rPr>
      <t xml:space="preserve">；② 股利帳本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不變，</t>
    </r>
    <r>
      <rPr>
        <sz val="10"/>
        <rFont val="Arial"/>
        <family val="0"/>
        <charset val="1"/>
      </rPr>
      <t xml:space="preserve">cmp R8_START </t>
    </r>
    <r>
      <rPr>
        <sz val="10"/>
        <rFont val="Noto Sans CJK SC"/>
        <family val="2"/>
      </rPr>
      <t xml:space="preserve">只差收件匣計數；③ 出現在「已忽略（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）」清單（「已忽略於 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/api/dividend-inbox/skipped </t>
    </r>
    <r>
      <rPr>
        <sz val="10"/>
        <rFont val="Noto Sans CJK SC"/>
        <family val="2"/>
      </rPr>
      <t xml:space="preserve">含該 </t>
    </r>
    <r>
      <rPr>
        <sz val="10"/>
        <rFont val="Arial"/>
        <family val="0"/>
        <charset val="1"/>
      </rPr>
      <t xml:space="preserve">fingerprint </t>
    </r>
    <r>
      <rPr>
        <sz val="10"/>
        <rFont val="Noto Sans CJK SC"/>
        <family val="2"/>
      </rPr>
      <t xml:space="preserve">與完整 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）並可「取消忽略」。還原：取消忽略 → </t>
    </r>
    <r>
      <rPr>
        <sz val="10"/>
        <rFont val="Arial"/>
        <family val="0"/>
        <charset val="1"/>
      </rPr>
      <t xml:space="preserve">POST /unskip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已取消忽略 項目將重新出現在收件匣」→ 待確認回到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、已忽略只剩既有的 </t>
    </r>
    <r>
      <rPr>
        <sz val="10"/>
        <rFont val="Arial"/>
        <family val="0"/>
        <charset val="1"/>
      </rPr>
      <t xml:space="preserve">NVDA 2026-06-04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離開待確認、股利帳本不變、列入「已忽略」並提供「取消忽略」；取消忽略後回到收件匣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skip 200</t>
    </r>
    <r>
      <rPr>
        <sz val="10"/>
        <rFont val="Noto Sans CJK SC"/>
        <family val="2"/>
      </rPr>
      <t xml:space="preserve">）：離開待確認、股利帳本仍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、列於「已忽略」並提供「取消忽略」（依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留在已忽略）</t>
    </r>
  </si>
  <si>
    <t xml:space="preserve">C-07</t>
  </si>
  <si>
    <t xml:space="preserve">全部確認</t>
  </si>
  <si>
    <t xml:space="preserve">收件匣有多筆</t>
  </si>
  <si>
    <t xml:space="preserve">按「全部確認」</t>
  </si>
  <si>
    <t xml:space="preserve">逐筆入帳、筆數正確、可逐筆復原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</si>
  <si>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風險較高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：會一次寫入多筆。建議最後再測，或先用單筆確認替代</t>
    </r>
  </si>
  <si>
    <t xml:space="preserve"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</si>
  <si>
    <t xml:space="preserve"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
R13（830056c 上 prod 前整份 one shot 重跑；Owner 6B：寫入留在 demo、不還原）：BLOCKED — demo 真實瀏覽器（頁首 v0.1.28 · 830056c），demo 0／4 項：前置條件「收件匣有多筆」（同一標的多筆可「全部確認」）在 6B 下不成立——收件匣每組只剩 1 筆：AAPL 原有嘉信與 Moomoo MY 各一筆（2026-08-10），嘉信那筆因 C-04b 依 6B 留下的 2026-09-23 再投資股利落在 45 天比對視窗內（api/dividend_inbox.py _MATCH_WINDOW_DAYS＝45）而視為已入帳、不再列出；按 AAPL「全部確認」→ 對話框「將 1 筆偵測到的配息寫入股利帳本」→ 寫入 1 筆（#82），可復原（復原後股利帳本回到確認前 26 列）。其餘標的皆單筆，demo 上沒有可替代的多筆組合，無法照步驟驗「逐筆入帳、筆數正確」→ BLOCKED，請 Owner 決定：在 demo 補造同一標的多筆待確認的情境重測、改在本機驗，或接受 R12 的結果（d2e5e08 全部確認 2 筆 #76、#77）</t>
  </si>
  <si>
    <t xml:space="preserve">C-08</t>
  </si>
  <si>
    <t xml:space="preserve">除息日曆與配息預測</t>
  </si>
  <si>
    <t xml:space="preserve">儀表板</t>
  </si>
  <si>
    <t xml:space="preserve">檢視除息行事曆與配息預測卡</t>
  </si>
  <si>
    <t xml:space="preserve">① 日期與 `dividend_events` 一致；② 預測金額 = 持股數 × 每股配息，與帳本可對帳；③ 已過期事件不應顯示為未來</t>
  </si>
  <si>
    <t xml:space="preserve"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</si>
  <si>
    <t xml:space="preserve"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
R13（830056c 上 prod 前整份 one shot 重跑；Owner 6B：寫入留在 demo、不還原）：PASS — demo 真實瀏覽器（頁首 v0.1.28 · 830056c），demo 1／1 項檢查全過：即將除息只列 0056（除息 2026-10-22、發放 2026-11-11），無過去事件被當成即將發生；配息預測基礎 declared_only（本年無已宣告金額）</t>
  </si>
  <si>
    <t xml:space="preserve">C-09</t>
  </si>
  <si>
    <t xml:space="preserve">股利帳本匯出對帳</t>
  </si>
  <si>
    <t xml:space="preserve">匯出股利帳本 CSV</t>
  </si>
  <si>
    <t xml:space="preserve">列數 = 畫面列數；每列金額、日期、帳戶、代號與畫面逐位元一致</t>
  </si>
  <si>
    <t xml:space="preserve">部分（已驗端點回 200）</t>
  </si>
  <si>
    <t xml:space="preserve"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</si>
  <si>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排序、畫面依日期新→舊，列序不同但內容一一對應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全面重跑）：交易帳本 › 股利分頁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ledger_dividends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/api/export/ledger {kind:dividends}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列：以 日期＋帳戶＋代號＋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withholding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逐列配對，</t>
    </r>
    <r>
      <rPr>
        <sz val="10"/>
        <rFont val="Arial"/>
        <family val="0"/>
        <charset val="1"/>
      </rPr>
      <t xml:space="preserve">23/23 </t>
    </r>
    <r>
      <rPr>
        <sz val="10"/>
        <rFont val="Noto Sans CJK SC"/>
        <family val="2"/>
      </rPr>
      <t xml:space="preserve">全部配對、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列多出；畫面為格式化值（</t>
    </r>
    <r>
      <rPr>
        <sz val="10"/>
        <rFont val="Arial"/>
        <family val="0"/>
        <charset val="1"/>
      </rPr>
      <t xml:space="preserve">5,200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為原始精度，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數值相等（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項檢查全過：股利帳本匯出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列，逐列日期／帳戶／代號／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）；畫面 </t>
    </r>
    <r>
      <rPr>
        <sz val="10"/>
        <rFont val="Arial"/>
        <family val="0"/>
        <charset val="1"/>
      </rPr>
      <t xml:space="preserve">26</t>
    </r>
  </si>
  <si>
    <t xml:space="preserve">C-10</t>
  </si>
  <si>
    <t xml:space="preserve">利息與股利的界線</t>
  </si>
  <si>
    <t xml:space="preserve">承 A-07</t>
  </si>
  <si>
    <t xml:space="preserve">寫入一筆利息後檢視持倉與已實現</t>
  </si>
  <si>
    <t xml:space="preserve">利息**不得**出現在股利帳本、不得沖減成本、不得計入已實現損益；只出現在資金收支</t>
  </si>
  <si>
    <t xml:space="preserve">承 A-07 利息 12.34 USD 寫入後：股利帳本 total_count 23→23（未出現在股利帳本）✓；holdings 字串不變（未沖減成本）✓；realized 字串不變、realized_total 不變 ✓；只出現在資金收支與現金對帳單 ✓</t>
  </si>
  <si>
    <t xml:space="preserve"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
R13（830056c 上 prod 前整份 one shot 重跑；Owner 6B：寫入留在 demo、不還原）：PASS — demo 真實瀏覽器（頁首 v0.1.28 · 830056c），demo 5／5 項檢查全過：利息 #137 只進資金收支：不進股利帳本（26）、不沖成本、不進已實現與股利</t>
  </si>
  <si>
    <r>
      <rPr>
        <b val="true"/>
        <sz val="11"/>
        <rFont val="Arial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公司行動：拆股／合股／換股（更名・</t>
    </r>
    <r>
      <rPr>
        <b val="true"/>
        <sz val="11"/>
        <rFont val="Arial"/>
        <family val="0"/>
        <charset val="1"/>
      </rPr>
      <t xml:space="preserve">ticker </t>
    </r>
    <r>
      <rPr>
        <b val="true"/>
        <sz val="11"/>
        <rFont val="Noto Sans CJK SC"/>
        <family val="2"/>
      </rPr>
      <t xml:space="preserve">變更）／分拆</t>
    </r>
  </si>
  <si>
    <t xml:space="preserve">D-00</t>
  </si>
  <si>
    <t xml:space="preserve">D</t>
  </si>
  <si>
    <t xml:space="preserve">三個入口都能開到同一張表單</t>
  </si>
  <si>
    <t xml:space="preserve">表單是共用元件 `pdCorpActionForm`，規格 §6.7 明定三個入口</t>
  </si>
  <si>
    <t xml:space="preserve"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</si>
  <si>
    <t xml:space="preserve">三個入口打開的是**同一張表單**，且預填一致（門 2 帶入該標的與帳戶；門 3 另帶入賣出日期作為日期上限）</t>
  </si>
  <si>
    <t xml:space="preserve">唯讀（只要不按『登錄公司行動』）</t>
  </si>
  <si>
    <t xml:space="preserve"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</si>
  <si>
    <t xml:space="preserve">DEF-072</t>
  </si>
  <si>
    <t xml:space="preserve"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3／3 項、本機 5／5 項檢查全過：demo（one shot 與重跑各 3／3）：門 1／門 3 開同一張表單（三種行動類型、相同欄位），門 3 帶入台灣券商／2330、日期＝賣出日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87dd2c5d34e0707d 前後相同</t>
  </si>
  <si>
    <t xml:space="preserve">D-01</t>
  </si>
  <si>
    <t xml:space="preserve">基準盤點</t>
  </si>
  <si>
    <t xml:space="preserve">匯出公司行動帳本；讀 `GET /api/dashboard` 的 `unapplied_actions`</t>
  </si>
  <si>
    <t xml:space="preserve">記錄目前列數（稽核時為 **0 列、僅表頭**）與未套用提示的內容，作為後續比對基準</t>
  </si>
  <si>
    <t xml:space="preserve">部分（僅確認為空）</t>
  </si>
  <si>
    <t xml:space="preserve">匯出公司行動帳本 ledger_actions_all_all.csv：僅表頭 1 行（0 列）；GET /api/ledgers/corporate-actions total_count 0；GET /api/dashboard unapplied_actions = []</t>
  </si>
  <si>
    <t xml:space="preserve"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
R13（830056c 上 prod 前整份 one shot 重跑；Owner 6B：寫入留在 demo、不還原）：PASS — demo 真實瀏覽器（頁首 v0.1.28 · 830056c），demo 3／3 項檢查全過：公司行動帳本匯出只有表頭（0 列）、帳本總數 0、unapplied_actions []</t>
  </si>
  <si>
    <t xml:space="preserve">D-02</t>
  </si>
  <si>
    <t xml:space="preserve">試算（成本守恆檢查）先於寫入</t>
  </si>
  <si>
    <t xml:space="preserve">門 1：交易帳本 › 公司行動分頁 › ＋補登公司行動</t>
  </si>
  <si>
    <t xml:space="preserve">選類型、填帳戶／代號／行動日期／比例後，看表單下方的**「試算（成本守恆檢查）」**區（`POST /api/ledgers/corporate-actions/preview`）</t>
  </si>
  <si>
    <t xml:space="preserve">① 未按「登錄公司行動」前**不得**寫入任何列；② 試算顯示變更後股數／均價並做成本守恆檢查；③ 比例欄只收**兩個整數**（畫面明說「不要填算好的小數」），填小數應被擋</t>
  </si>
  <si>
    <t xml:space="preserve">唯讀（只要不按登錄）</t>
  </si>
  <si>
    <t xml:space="preserve"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</si>
  <si>
    <t xml:space="preserve">DEF-005</t>
  </si>
  <si>
    <t xml:space="preserve"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
R13（830056c 上 prod 前整份 one shot 重跑；Owner 6B：寫入留在 demo、不還原）：PASS — demo 真實瀏覽器（頁首 v0.1.28 · 830056c），demo 5／6 項（未過 1 項是檢查程式的期望數字以原步驟的 2884 100 股計，依數據改判）：2884 1→3 分割試算 200，畫面「行動前 2884 1,400 44.79 62,708 → 行動後 2884 4,200 14.93 62,708 ✓ 成本不變」——4,200＝1,400×3、14.93＝62,708÷4,200，新股數、均價與成本守恆皆正確；① 按「登錄」前未寫入；③ 表單註明只收整數、比例 1.5 被拒（確認鍵停用）；未寫入任何行動（0 筆）</t>
  </si>
  <si>
    <t xml:space="preserve">D-02b</t>
  </si>
  <si>
    <t xml:space="preserve">一筆行動套用到所有持有帳戶</t>
  </si>
  <si>
    <t xml:space="preserve">選一檔**兩個帳戶都持有**的標的（例如 AAPL）</t>
  </si>
  <si>
    <t xml:space="preserve">登錄一筆該標的的公司行動</t>
  </si>
  <si>
    <t xml:space="preserve">表單已明說「公司行動會自動套用到所有持有這檔股票的帳戶」——驗證兩個帳戶的股數與均價**都**被調整，且各自的成本基礎獨立守恆</t>
  </si>
  <si>
    <t xml:space="preserve">會改寫多個帳戶的持倉。務必刪除還原並比對兩邊</t>
  </si>
  <si>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（嘉信 </t>
    </r>
    <r>
      <rPr>
        <sz val="10"/>
        <rFont val="Arial"/>
        <family val="0"/>
        <charset val="1"/>
      </rPr>
      <t xml:space="preserve">Schwab 85.039255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MY 10.006458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）登錄一筆「每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股」：試算即列「這筆行動同時影響以下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個帳戶」並逐帳戶顯示成本守恆、「全部帳戶成本合計不變 </t>
    </r>
    <r>
      <rPr>
        <sz val="10"/>
        <rFont val="Arial"/>
        <family val="0"/>
        <charset val="1"/>
      </rPr>
      <t xml:space="preserve">15,916.00→15,916.00</t>
    </r>
    <r>
      <rPr>
        <sz val="10"/>
        <rFont val="Noto Sans CJK SC"/>
        <family val="2"/>
      </rPr>
      <t xml:space="preserve">」；登錄 </t>
    </r>
    <r>
      <rPr>
        <sz val="10"/>
        <rFont val="Arial"/>
        <family val="0"/>
        <charset val="1"/>
      </rPr>
      <t xml:space="preserve">written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ids 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accounts 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Schwab 170.078509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79.4633</t>
    </r>
    <r>
      <rPr>
        <sz val="10"/>
        <rFont val="Noto Sans CJK SC"/>
        <family val="2"/>
      </rPr>
      <t xml:space="preserve">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Moomoo 20.012915 </t>
    </r>
    <r>
      <rPr>
        <sz val="10"/>
        <rFont val="Noto Sans CJK SC"/>
        <family val="2"/>
      </rPr>
      <t xml:space="preserve">股／</t>
    </r>
    <r>
      <rPr>
        <sz val="10"/>
        <rFont val="Arial"/>
        <family val="0"/>
        <charset val="1"/>
      </rPr>
      <t xml:space="preserve">119.9725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，兩邊都被調整且各自守恆；總市值字串不變。還原：刪單列回 </t>
    </r>
    <r>
      <rPr>
        <sz val="10"/>
        <rFont val="Arial"/>
        <family val="0"/>
        <charset val="1"/>
      </rPr>
      <t xml:space="preserve">422 partial_action_set_change</t>
    </r>
    <r>
      <rPr>
        <sz val="10"/>
        <rFont val="Noto Sans CJK SC"/>
        <family val="2"/>
      </rPr>
      <t xml:space="preserve">，畫面跳出「這筆行動屬於多帳戶整組紀錄…要整組一起刪除嗎？取消／整組刪除」→ </t>
    </r>
    <r>
      <rPr>
        <sz val="10"/>
        <rFont val="Arial"/>
        <family val="0"/>
        <charset val="1"/>
      </rPr>
      <t xml:space="preserve">DELETE /api/ledgers/corporate-actions/set 200 deleted 2 → </t>
    </r>
    <r>
      <rPr>
        <sz val="10"/>
        <rFont val="Noto Sans CJK SC"/>
        <family val="2"/>
      </rPr>
      <t xml:space="preserve">逐位元還原</t>
    </r>
  </si>
  <si>
    <t xml:space="preserve"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
R13（830056c 上 prod 前整份 one shot 重跑；Owner 6B：寫入留在 demo、不還原）：PASS — demo 真實瀏覽器（頁首 v0.1.28 · 830056c），demo 7／7 項檢查全過：AAPL 1→2：試算列出兩個持有帳戶（Moomoo MY 10.006458→20.012915、成本 2,401.00 不變；嘉信同列）且成本守恆；寫入 2 筆（#83、#84）、兩帳戶皆 ×2（嘉信 173.1185、Moomoo 20.0129）、各帳戶成本不變；最新收盤 2026-09-30 抓取、早於行動日 → 依 §5.1(c) ÷2，總市值不變（28,379,850.74）；只刪一筆 → 422 partial_action_set_change（依 6B 不整組刪除）</t>
  </si>
  <si>
    <t xml:space="preserve">D-02c</t>
  </si>
  <si>
    <t xml:space="preserve">重組費用寫成現金支出</t>
  </si>
  <si>
    <t xml:space="preserve">同上，表單的「重組費用（選填）」</t>
  </si>
  <si>
    <t xml:space="preserve">填入重組費用金額後登錄</t>
  </si>
  <si>
    <t xml:space="preserve">① 產生一筆現金 **WITHDRAW**（出金）紀錄；② 畫面已明說它**不併入成本基礎、也不進入 XIRR 的現金流序列** — 驗證兩者皆為真；③ 備註可追溯到該筆行動</t>
  </si>
  <si>
    <t xml:space="preserve">同時動持倉與現金，兩邊都要還原</t>
  </si>
  <si>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股，重組費用填 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：登錄後前端另送 </t>
    </r>
    <r>
      <rPr>
        <sz val="10"/>
        <rFont val="Arial"/>
        <family val="0"/>
        <charset val="1"/>
      </rPr>
      <t xml:space="preserve">POST /api/cash/movements {kind:WITHDRAW, amount 50, note</t>
    </r>
    <r>
      <rPr>
        <sz val="10"/>
        <rFont val="Noto Sans CJK SC"/>
        <family val="2"/>
      </rPr>
      <t xml:space="preserve">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} 201 id 46 → ① </t>
    </r>
    <r>
      <rPr>
        <sz val="10"/>
        <rFont val="Noto Sans CJK SC"/>
        <family val="2"/>
      </rPr>
      <t xml:space="preserve">資金收支新增「出金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6,067,595→6,067,545 ✓</t>
    </r>
    <r>
      <rPr>
        <sz val="10"/>
        <rFont val="Noto Sans CJK SC"/>
        <family val="2"/>
      </rPr>
      <t xml:space="preserve">；② 原始／調整成本仍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kpis.xirr 10.22406575305222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total_return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191 </t>
    </r>
    <r>
      <rPr>
        <sz val="10"/>
        <rFont val="Noto Sans CJK SC"/>
        <family val="2"/>
      </rPr>
      <t xml:space="preserve">皆不變（不併入成本、不進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）✓；③ 備註「重組費用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」可追溯 ✓。還原：刪除公司行動（</t>
    </r>
    <r>
      <rPr>
        <sz val="10"/>
        <rFont val="Arial"/>
        <family val="0"/>
        <charset val="1"/>
      </rPr>
      <t xml:space="preserve">id 7</t>
    </r>
    <r>
      <rPr>
        <sz val="10"/>
        <rFont val="Noto Sans CJK SC"/>
        <family val="2"/>
      </rPr>
      <t xml:space="preserve">）後重組費出金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仍留在資金收支（見 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DEF-020</t>
    </r>
    <r>
      <rPr>
        <sz val="10"/>
        <rFont val="Noto Sans CJK SC"/>
        <family val="2"/>
      </rPr>
      <t xml:space="preserve">），另於資金管理刪除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後逐位元還原</t>
    </r>
  </si>
  <si>
    <t xml:space="preserve"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
R13（830056c 上 prod 前整份 one shot 重跑；Owner 6B：寫入留在 demo、不還原）：PASS — demo 真實瀏覽器（頁首 v0.1.28 · 830056c），one shot 6／6＋補做 D-02cN 7／7：one shot（依 6B 改用 8299）8299 1→2 附重組費 50：toast「已一併登錄重組費用 50 TWD，記為現金支出（不計入成本基礎）；刪除此公司行動時會一併刪除」、資金收支 WITHDRAW 50（#138）備註可追溯、不進成本、TWD 池 −50；但當時 2330 為賣超部位，整體 XIRR 與融資成本為空，「不進 XIRR」一項是空對空。I-13 之後補做 D-02cN：NVDA（嘉信）1→2 附重組費 50 USD → toast 同上、WITHDRAW 50 USD（#143）備註「重組費用 NVDA 2026-10-01」、不進成本（2,800）、USD 池 −50；淨投入 13,619,808.67 與融資成本 510.696 前後相同；XIRR 14.6991→14.7773 只因 NVDA 收盤於行動日抓取、依 §5.1(c) 不再 ÷2（市值差 147,045.37），與費用無關。兩筆行動與費用依 6B 留在 demo</t>
  </si>
  <si>
    <t xml:space="preserve">D-03</t>
  </si>
  <si>
    <t xml:space="preserve">拆股 1→3（SPLIT）</t>
  </si>
  <si>
    <t xml:space="preserve">選一檔持股，記錄股數 S、原始均價 P、原始成本 C、市值 V、已實現</t>
  </si>
  <si>
    <t xml:space="preserve">＋補登公司行動 → 選『同一檔股票，股數變多或變少』→ 每持有 1 股 → 變成 3 股 → 看試算 → 登錄公司行動</t>
  </si>
  <si>
    <t xml:space="preserve">① 股數 = S×3；② 均價 = P÷3；③ **原始成本 C 完全不變**；④ 市值 V 不變（若同時調整價格）或依規格標示；⑤ 已實現損益不受影響；⑥ 歷史價格／走勢圖是否回調 — 記錄實際行為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</si>
  <si>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會改寫持倉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。測畢以刪除該公司行動列還原，並比對股數、均價、成本、市值逐位元</t>
    </r>
  </si>
  <si>
    <t xml:space="preserve">否（本次稽核完全未測）</t>
  </si>
  <si>
    <t xml:space="preserve"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</si>
  <si>
    <t xml:space="preserve"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
R13（830056c 上 prod 前整份 one shot 重跑；Owner 6B：寫入留在 demo、不還原）：PASS — demo 真實瀏覽器（頁首 v0.1.28 · 830056c），demo 7／7 項檢查全過：（2884 已用於前題，依 6B 改用 2317）2317 1→3：試算 600→1,800、成本 106,210 守恆；寫入 #86；① 股數 1,800；② 均價 59.0056；③ 原始成本不變；④ 收盤 2026-09-30 早於行動日 → §5.1(c) 價格 ÷3（84.3333）、市值 151,800 不變；⑤ 已實現不變（依 6B 留下，D-09 承接）</t>
  </si>
  <si>
    <t xml:space="preserve">D-04</t>
  </si>
  <si>
    <t xml:space="preserve">合股 5→1（反向分割）</t>
  </si>
  <si>
    <t xml:space="preserve">同 D-03</t>
  </si>
  <si>
    <t xml:space="preserve">每持有 5 股 → 變成 1 股 → 確認</t>
  </si>
  <si>
    <t xml:space="preserve">① 股數 = S÷5；② 均價 = P×5；③ 原始成本不變；④ **餘數（不足 5 股的零股）如何處理**需明確：現金補償或無條件捨去，畫面須說明</t>
  </si>
  <si>
    <t xml:space="preserve">同 D-03，務必還原</t>
  </si>
  <si>
    <t xml:space="preserve"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</si>
  <si>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全面重跑）：每持有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93.20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→ </t>
    </r>
    <r>
      <rPr>
        <sz val="10"/>
        <rFont val="Noto Sans CJK SC"/>
        <family val="2"/>
      </rPr>
      <t xml:space="preserve">行動後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466.00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✓ </t>
    </r>
    <r>
      <rPr>
        <sz val="10"/>
        <rFont val="Noto Sans CJK SC"/>
        <family val="2"/>
      </rPr>
      <t xml:space="preserve">成本不變」；登錄 </t>
    </r>
    <r>
      <rPr>
        <sz val="10"/>
        <rFont val="Arial"/>
        <family val="0"/>
        <charset val="1"/>
      </rPr>
      <t xml:space="preserve">#25 → shares 20 ①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466 ②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 ③、現價以 </t>
    </r>
    <r>
      <rPr>
        <sz val="10"/>
        <rFont val="Arial"/>
        <family val="0"/>
        <charset val="1"/>
      </rPr>
      <t xml:space="preserve">46.05×5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230.25 </t>
    </r>
    <r>
      <rPr>
        <sz val="10"/>
        <rFont val="Noto Sans CJK SC"/>
        <family val="2"/>
      </rPr>
      <t xml:space="preserve">讀出、市值 </t>
    </r>
    <r>
      <rPr>
        <sz val="10"/>
        <rFont val="Arial"/>
        <family val="0"/>
        <charset val="1"/>
      </rPr>
      <t xml:space="preserve">4,605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可被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整除無零股，④ 餘數處理見 </t>
    </r>
    <r>
      <rPr>
        <sz val="10"/>
        <rFont val="Arial"/>
        <family val="0"/>
        <charset val="1"/>
      </rPr>
      <t xml:space="preserve">D-05</t>
    </r>
    <r>
      <rPr>
        <sz val="10"/>
        <rFont val="Noto Sans CJK SC"/>
        <family val="2"/>
      </rPr>
      <t xml:space="preserve">（登錄後彈出「產生零股…補登零股賣出」）。刪除 </t>
    </r>
    <r>
      <rPr>
        <sz val="10"/>
        <rFont val="Arial"/>
        <family val="0"/>
        <charset val="1"/>
      </rPr>
      <t xml:space="preserve">#25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09-28 </t>
    </r>
    <r>
      <rPr>
        <sz val="10"/>
        <rFont val="Noto Sans CJK SC"/>
        <family val="2"/>
      </rPr>
      <t xml:space="preserve">抓取 ≥ 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20×45.60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912</t>
    </r>
    <r>
      <rPr>
        <sz val="10"/>
        <rFont val="Noto Sans CJK SC"/>
        <family val="2"/>
      </rPr>
      <t xml:space="preserve">；刪除後逐字相同（首跑時驗證者的檢查程式沒有照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的收盤抓取日規則判讀，修正檢查後重跑）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不變；收盤抓取早於行動日，依 </t>
    </r>
    <r>
      <rPr>
        <sz val="10"/>
        <rFont val="Arial"/>
        <family val="0"/>
        <charset val="1"/>
      </rPr>
      <t xml:space="preserve">§5.1(c) ×5 </t>
    </r>
    <r>
      <rPr>
        <sz val="10"/>
        <rFont val="Noto Sans CJK SC"/>
        <family val="2"/>
      </rPr>
      <t xml:space="preserve">還原、總市值不變；刪除後逐字相同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09-30 </t>
    </r>
    <r>
      <rPr>
        <sz val="10"/>
        <rFont val="Noto Sans CJK SC"/>
        <family val="2"/>
      </rPr>
      <t xml:space="preserve">抓取、不早於行動日，依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20×44.90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898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2603 5→1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1,500→300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928.8225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278,646.75 </t>
    </r>
    <r>
      <rPr>
        <sz val="10"/>
        <rFont val="Noto Sans CJK SC"/>
        <family val="2"/>
      </rPr>
      <t xml:space="preserve">不變；收盤早於行動日 → 價格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、總市值不變；寫入 </t>
    </r>
    <r>
      <rPr>
        <sz val="10"/>
        <rFont val="Arial"/>
        <family val="0"/>
        <charset val="1"/>
      </rPr>
      <t xml:space="preserve">#87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</si>
  <si>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D-05</t>
  </si>
  <si>
    <t xml:space="preserve">合股產生小數股</t>
  </si>
  <si>
    <t xml:space="preserve">選一檔股數不能被比例整除的持倉</t>
  </si>
  <si>
    <t xml:space="preserve">以會產生餘數的比例合股</t>
  </si>
  <si>
    <t xml:space="preserve">系統不得靜默產生小數股或吞掉餘額；需有明確處理與說明</t>
  </si>
  <si>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股以每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股合股：試算顯示「行動後 </t>
    </r>
    <r>
      <rPr>
        <sz val="10"/>
        <rFont val="Arial"/>
        <family val="0"/>
        <charset val="1"/>
      </rPr>
      <t xml:space="preserve">33.333333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279.60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API fractions </t>
    </r>
    <r>
      <rPr>
        <sz val="10"/>
        <rFont val="Noto Sans CJK SC"/>
        <family val="2"/>
      </rPr>
      <t xml:space="preserve">列出 </t>
    </r>
    <r>
      <rPr>
        <sz val="10"/>
        <rFont val="Arial"/>
        <family val="0"/>
        <charset val="1"/>
      </rPr>
      <t xml:space="preserve">0.3333 </t>
    </r>
    <r>
      <rPr>
        <sz val="10"/>
        <rFont val="Noto Sans CJK SC"/>
        <family val="2"/>
      </rPr>
      <t xml:space="preserve">股零股），登錄鈕可按；登錄後（</t>
    </r>
    <r>
      <rPr>
        <sz val="10"/>
        <rFont val="Arial"/>
        <family val="0"/>
        <charset val="1"/>
      </rPr>
      <t xml:space="preserve">id 3</t>
    </r>
    <r>
      <rPr>
        <sz val="10"/>
        <rFont val="Noto Sans CJK SC"/>
        <family val="2"/>
      </rPr>
      <t xml:space="preserve">）立即彈出「產生零股 ✕ 產生 </t>
    </r>
    <r>
      <rPr>
        <sz val="10"/>
        <rFont val="Arial"/>
        <family val="0"/>
        <charset val="1"/>
      </rPr>
      <t xml:space="preserve">0.333333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零股，券商通常折現（</t>
    </r>
    <r>
      <rPr>
        <sz val="10"/>
        <rFont val="Arial"/>
        <family val="0"/>
        <charset val="1"/>
      </rPr>
      <t xml:space="preserve">cash in lieu</t>
    </r>
    <r>
      <rPr>
        <sz val="10"/>
        <rFont val="Noto Sans CJK SC"/>
        <family val="2"/>
      </rPr>
      <t xml:space="preserve">）。要現在補登這筆賣出嗎？（股數已帶入，價格請填實際收到的金額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股數）取消／補登零股賣出」→ 有明確處理與說明，未靜默吞掉；按取消則持倉保留 </t>
    </r>
    <r>
      <rPr>
        <sz val="10"/>
        <rFont val="Arial"/>
        <family val="0"/>
        <charset val="1"/>
      </rPr>
      <t xml:space="preserve">33.333… </t>
    </r>
    <r>
      <rPr>
        <sz val="10"/>
        <rFont val="Noto Sans CJK SC"/>
        <family val="2"/>
      </rPr>
      <t xml:space="preserve">股。測畢刪除該行動，逐位元還原</t>
    </r>
  </si>
  <si>
    <t xml:space="preserve"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
R13（830056c 上 prod 前整份 one shot 重跑；Owner 6B：寫入留在 demo、不還原）：PASS — demo 真實瀏覽器（頁首 v0.1.28 · 830056c），demo 4／4 項檢查全過：（依 6B 改用 0056）0056 3→1：試算 5,000→1,666.666667（非整數）、成本 190,027 守恆；彈窗「產生 0.666667 股 0056 零股，券商通常折現（cash in lieu）。要現在補登這筆賣出嗎？…」；成本未被吞掉；寫入 #88（依 6B 留下，未補登零股賣出）</t>
  </si>
  <si>
    <t xml:space="preserve">D-06</t>
  </si>
  <si>
    <t xml:space="preserve">換股／更名（EXCHANGE，1:1）</t>
  </si>
  <si>
    <t xml:space="preserve">選一檔持股 X，記錄其股數、成本、目標價、觀察清單狀態</t>
  </si>
  <si>
    <t xml:space="preserve">＋補登公司行動 → 選『整個部位換成另一檔股票』→ 每 1 股 → 換得 1 股新代號 Y → 看試算 → 登錄公司行動</t>
  </si>
  <si>
    <r>
      <rPr>
        <sz val="10"/>
        <rFont val="Arial"/>
        <family val="0"/>
        <charset val="1"/>
      </rPr>
      <t xml:space="preserve">① X </t>
    </r>
    <r>
      <rPr>
        <sz val="10"/>
        <rFont val="Noto Sans CJK SC"/>
        <family val="2"/>
      </rPr>
      <t xml:space="preserve">部位歸零、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部位出現；②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成本基礎完整移轉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（原始成本不變）；③ 目標價一併移到 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且數值不變（畫面應有「✓ … 會一併移到 …」提示）；④ 帳本歷史交易的顯示方式（保留舊代號或改寫）需記錄；⑤ 洞察卡與觀察清單的舊代號如何處理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</si>
  <si>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影響範圍最大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。務必先記錄完整基準，測畢刪除並全面比對</t>
    </r>
  </si>
  <si>
    <t xml:space="preserve"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</si>
  <si>
    <t xml:space="preserve"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
R13（830056c 上 prod 前整份 one shot 重跑；Owner 6B：寫入留在 demo、不還原）：PASS — demo 真實瀏覽器（頁首 v0.1.28 · 830056c），重跑 8／8 項檢查全過（台股持股當天皆已有本輪的公司行動，同日同標的不得再登錄，依 6B 改用 TSLA → AMD，嘉信）：TSLA 目標帶 40／55 → 表單註明目標帶將移到 AMD → 寫入 #92（band_moved TSLA→AMD 40／55）；① TSLA 歸零、AMD 出現 127 股；② 成本 43,230 原封移轉；③ AMD 目標帶 40／55、TSLA 清空；④ 舊交易 10 列仍記 TSLA；⑤ TSLA 舊卡 15 張保留代號、未被標未知代碼。one shot 首跑 4／8：改用 2603 → 2609，但 2603 當天已有 D-04 的合股，後端以「同一天、同一標的的兩筆行動…」拒絕、未寫入（設計）；首跑設的 2603 目標帶 40／55 依 6B 留在 demo</t>
  </si>
  <si>
    <t xml:space="preserve">D-07</t>
  </si>
  <si>
    <t xml:space="preserve">換股（非 1:1，含現金找補）</t>
  </si>
  <si>
    <t xml:space="preserve">＋補登公司行動 → 『整個部位換成另一檔股票』→ 每 2 股 → 換得 1 股新代號</t>
  </si>
  <si>
    <t xml:space="preserve">① 新股數與成本分攤正確；② 重組費用會寫出一筆現金 WITHDRAW（kind=出金），金額與備註正確</t>
  </si>
  <si>
    <t xml:space="preserve">會同時動持倉與現金。兩邊都要還原</t>
  </si>
  <si>
    <t xml:space="preserve"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</si>
  <si>
    <t xml:space="preserve"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
R13（830056c 上 prod 前整份 one shot 重跑；Owner 6B：寫入留在 demo、不還原）：PASS — demo 真實瀏覽器（頁首 v0.1.28 · 830056c），重跑 3／3 項檢查全過（依 6B 改用 MSFT → SPCX，嘉信）：MSFT 每 2 股換 1 股 SPCX 附重組費 30 → 寫入 #93；① 66.74796 股 → SPCX 33.37398 股、成本移轉、均價＝成本÷新股數；② WITHDRAW 30 USD（#142）備註「重組費用 MSFT…」可追溯。one shot 首跑 0／3：改用 8299 → 2412，但 8299 當天已有 D-02c 的分割，同日同標的被拒、未寫入</t>
  </si>
  <si>
    <t xml:space="preserve">D-08</t>
  </si>
  <si>
    <t xml:space="preserve">分拆（SPINOFF）</t>
  </si>
  <si>
    <t xml:space="preserve">選一檔持股</t>
  </si>
  <si>
    <t xml:space="preserve">＋補登公司行動 → 選『原持股不變，另外多拿到一檔新股票』→ 每 1 股 → 另外配發 1 股 Y（比例只收整數）→ 看試算 → 登錄公司行動</t>
  </si>
  <si>
    <t xml:space="preserve">① 原持股股數不變；② 新增 Y 部位；③ **成本在母子之間分攤**，分攤比例需可檢視且母+子 = 原成本；④ 分攤後兩邊均價正確</t>
  </si>
  <si>
    <t xml:space="preserve"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</si>
  <si>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）選「原持股不變，另外多拿到一檔新股票」→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股另外配發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、成本分攤比例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）：試算「行動後 </t>
    </r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65.24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27.96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；✓ 成本合計不變 </t>
    </r>
    <r>
      <rPr>
        <sz val="10"/>
        <rFont val="Arial"/>
        <family val="0"/>
        <charset val="1"/>
      </rPr>
      <t xml:space="preserve">9,320 → 9,320</t>
    </r>
    <r>
      <rPr>
        <sz val="10"/>
        <rFont val="Noto Sans CJK SC"/>
        <family val="2"/>
      </rPr>
      <t xml:space="preserve">」；登錄（</t>
    </r>
    <r>
      <rPr>
        <sz val="10"/>
        <rFont val="Arial"/>
        <family val="0"/>
        <charset val="1"/>
      </rPr>
      <t xml:space="preserve">#32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✓；②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新部位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✓；③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，分攤比例 </t>
    </r>
    <r>
      <rPr>
        <sz val="10"/>
        <rFont val="Arial"/>
        <family val="0"/>
        <charset val="1"/>
      </rPr>
      <t xml:space="preserve">0.3 </t>
    </r>
    <r>
      <rPr>
        <sz val="10"/>
        <rFont val="Noto Sans CJK SC"/>
        <family val="2"/>
      </rPr>
      <t xml:space="preserve">顯示在公司行動帳本「成本分攤」欄（列「分拆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國泰金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」）✓；④ 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original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adjusted </t>
    </r>
    <r>
      <rPr>
        <sz val="10"/>
        <rFont val="Noto Sans CJK SC"/>
        <family val="2"/>
      </rPr>
      <t xml:space="preserve">皆同）✓。刪除 </t>
    </r>
    <r>
      <rPr>
        <sz val="10"/>
        <rFont val="Arial"/>
        <family val="0"/>
        <charset val="1"/>
      </rPr>
      <t xml:space="preserve">#32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封存／目標價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項檢查全過：（子公司代號依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分拆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：試算「行動前 </t>
    </r>
    <r>
      <rPr>
        <sz val="10"/>
        <rFont val="Arial"/>
        <family val="0"/>
        <charset val="1"/>
      </rPr>
      <t xml:space="preserve">2884 1,400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62,708 → </t>
    </r>
    <r>
      <rPr>
        <sz val="10"/>
        <rFont val="Noto Sans CJK SC"/>
        <family val="2"/>
      </rPr>
      <t xml:space="preserve">母 </t>
    </r>
    <r>
      <rPr>
        <sz val="10"/>
        <rFont val="Arial"/>
        <family val="0"/>
        <charset val="1"/>
      </rPr>
      <t xml:space="preserve">43,896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2308 18,812 ✓ </t>
    </r>
    <r>
      <rPr>
        <sz val="10"/>
        <rFont val="Noto Sans CJK SC"/>
        <family val="2"/>
      </rPr>
      <t xml:space="preserve">成本合計不變」；寫入 </t>
    </r>
    <r>
      <rPr>
        <sz val="10"/>
        <rFont val="Arial"/>
        <family val="0"/>
        <charset val="1"/>
      </rPr>
      <t xml:space="preserve">#89</t>
    </r>
    <r>
      <rPr>
        <sz val="10"/>
        <rFont val="Noto Sans CJK SC"/>
        <family val="2"/>
      </rPr>
      <t xml:space="preserve">；① 母股數仍 </t>
    </r>
    <r>
      <rPr>
        <sz val="10"/>
        <rFont val="Arial"/>
        <family val="0"/>
        <charset val="1"/>
      </rPr>
      <t xml:space="preserve">1,400</t>
    </r>
    <r>
      <rPr>
        <sz val="10"/>
        <rFont val="Noto Sans CJK SC"/>
        <family val="2"/>
      </rPr>
      <t xml:space="preserve">；② 子部位 </t>
    </r>
    <r>
      <rPr>
        <sz val="10"/>
        <rFont val="Arial"/>
        <family val="0"/>
        <charset val="1"/>
      </rPr>
      <t xml:space="preserve">1,400 </t>
    </r>
    <r>
      <rPr>
        <sz val="10"/>
        <rFont val="Noto Sans CJK SC"/>
        <family val="2"/>
      </rPr>
      <t xml:space="preserve">股；③ </t>
    </r>
    <r>
      <rPr>
        <sz val="10"/>
        <rFont val="Arial"/>
        <family val="0"/>
        <charset val="1"/>
      </rPr>
      <t xml:space="preserve">43,895.80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18,812.49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62,708.29</t>
    </r>
    <r>
      <rPr>
        <sz val="10"/>
        <rFont val="Noto Sans CJK SC"/>
        <family val="2"/>
      </rPr>
      <t xml:space="preserve">、帳本列可見分拆比例；④ 均價 </t>
    </r>
    <r>
      <rPr>
        <sz val="10"/>
        <rFont val="Arial"/>
        <family val="0"/>
        <charset val="1"/>
      </rPr>
      <t xml:space="preserve">31.354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13.437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</si>
  <si>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D-09</t>
  </si>
  <si>
    <t xml:space="preserve">公司行動後再賣出</t>
  </si>
  <si>
    <t xml:space="preserve">承 D-03（已拆股）</t>
  </si>
  <si>
    <t xml:space="preserve">賣出拆股後的部分股數</t>
  </si>
  <si>
    <t xml:space="preserve">已實現損益以**拆股後的均價**計算；成本移除量正確</t>
  </si>
  <si>
    <t xml:space="preserve">兩筆都要刪除還原</t>
  </si>
  <si>
    <t xml:space="preserve"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</si>
  <si>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（已拆股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31.0667</t>
    </r>
    <r>
      <rPr>
        <sz val="10"/>
        <rFont val="Noto Sans CJK SC"/>
        <family val="2"/>
      </rPr>
      <t xml:space="preserve">）賣出 </t>
    </r>
    <r>
      <rPr>
        <sz val="10"/>
        <rFont val="Arial"/>
        <family val="0"/>
        <charset val="1"/>
      </rPr>
      <t xml:space="preserve">150@15.50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2,299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2,361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#131 → realized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original_cost_removed 4660.0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realized −2361.00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2,299−4,660</t>
    </r>
    <r>
      <rPr>
        <sz val="10"/>
        <rFont val="Noto Sans CJK SC"/>
        <family val="2"/>
      </rPr>
      <t xml:space="preserve">）、剩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股均價 </t>
    </r>
    <r>
      <rPr>
        <sz val="10"/>
        <rFont val="Arial"/>
        <family val="0"/>
        <charset val="1"/>
      </rPr>
      <t xml:space="preserve">31.0667 </t>
    </r>
    <r>
      <rPr>
        <sz val="10"/>
        <rFont val="Noto Sans CJK SC"/>
        <family val="2"/>
      </rPr>
      <t xml:space="preserve">不變。</t>
    </r>
    <r>
      <rPr>
        <sz val="10"/>
        <rFont val="Arial"/>
        <family val="0"/>
        <charset val="1"/>
      </rPr>
      <t xml:space="preserve">#131 </t>
    </r>
    <r>
      <rPr>
        <sz val="10"/>
        <rFont val="Noto Sans CJK SC"/>
        <family val="2"/>
      </rPr>
      <t xml:space="preserve">與行動 </t>
    </r>
    <r>
      <rPr>
        <sz val="10"/>
        <rFont val="Arial"/>
        <family val="0"/>
        <charset val="1"/>
      </rPr>
      <t xml:space="preserve">#24 </t>
    </r>
    <r>
      <rPr>
        <sz val="10"/>
        <rFont val="Noto Sans CJK SC"/>
        <family val="2"/>
      </rPr>
      <t xml:space="preserve">皆刪除後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已 </t>
    </r>
    <r>
      <rPr>
        <sz val="10"/>
        <rFont val="Arial"/>
        <family val="0"/>
        <charset val="1"/>
      </rPr>
      <t xml:space="preserve">1→3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#86</t>
    </r>
    <r>
      <rPr>
        <sz val="10"/>
        <rFont val="Noto Sans CJK SC"/>
        <family val="2"/>
      </rPr>
      <t xml:space="preserve">）：賣 </t>
    </r>
    <r>
      <rPr>
        <sz val="10"/>
        <rFont val="Arial"/>
        <family val="0"/>
        <charset val="1"/>
      </rPr>
      <t xml:space="preserve">150 @84.3333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#257</t>
    </r>
    <r>
      <rPr>
        <sz val="10"/>
        <rFont val="Noto Sans CJK SC"/>
        <family val="2"/>
      </rPr>
      <t xml:space="preserve">）→ 已實現以拆後均價 </t>
    </r>
    <r>
      <rPr>
        <sz val="10"/>
        <rFont val="Arial"/>
        <family val="0"/>
        <charset val="1"/>
      </rPr>
      <t xml:space="preserve">59.0056 </t>
    </r>
    <r>
      <rPr>
        <sz val="10"/>
        <rFont val="Noto Sans CJK SC"/>
        <family val="2"/>
      </rPr>
      <t xml:space="preserve">移除 </t>
    </r>
    <r>
      <rPr>
        <sz val="10"/>
        <rFont val="Arial"/>
        <family val="0"/>
        <charset val="1"/>
      </rPr>
      <t xml:space="preserve">8,850.83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</si>
  <si>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D-10</t>
  </si>
  <si>
    <t xml:space="preserve">公司行動的刪除／撤銷</t>
  </si>
  <si>
    <t xml:space="preserve">承任一已寫入的行動</t>
  </si>
  <si>
    <t xml:space="preserve">由公司行動帳本刪除該列</t>
  </si>
  <si>
    <t xml:space="preserve"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</si>
  <si>
    <t xml:space="preserve">這是還原步驟本身——若還原不完整即為重大缺陷</t>
  </si>
  <si>
    <t xml:space="preserve"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</si>
  <si>
    <t xml:space="preserve">DEF-020, DEF-021, DEF-040, DEF-052, DEF-060, DEF-063</t>
  </si>
  <si>
    <t xml:space="preserve"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
R13（830056c 上 prod 前整份 one shot 重跑；Owner 6B：寫入留在 demo、不還原）：PASS — demo 真實瀏覽器（頁首 v0.1.28 · 830056c），demo 5／5 項檢查全過：2884 分拆 2882（2026-09-25、成本 30%、子起始價 999）寫入後刪除（本題本身測刪除）：child_price_removed true、子價格歷史刪除後逐字相同（正式報價保留、起始價移除）、持倉／成本／現金／目標帶逐位元回復、分段逐字相同；提示文字說明起始價用途</t>
  </si>
  <si>
    <t xml:space="preserve">D-11</t>
  </si>
  <si>
    <t xml:space="preserve">未套用行動提示</t>
  </si>
  <si>
    <t xml:space="preserve">檢視儀表板的 `unapplied_actions` 區塊</t>
  </si>
  <si>
    <t xml:space="preserve">① 有未套用行動時提示可見且有入口；② 套用後提示消失</t>
  </si>
  <si>
    <t xml:space="preserve"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</si>
  <si>
    <t xml:space="preserve">DEF-022, DEF-023</t>
  </si>
  <si>
    <t xml:space="preserve"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R13（830056c 上 prod 前整份 one shot 重跑；Owner 6B：寫入留在 demo、不還原）：PASS — demo 真實瀏覽器（頁首 v0.1.28 · 830056c），demo 5／5 項檢查全過：2882 分割（#91）後刪除分割前的買入（#258）→ unapplied_actions 1 列；儀表板橫幅「⚠ 帳本中有 1 筆公司行動無法套用（待釐清）…台灣券商・2882・2026-09-23・分割…」以帳戶名稱稱呼並附「前往該筆公司行動 →」；解決後清單為空、重新載入無橫幅</t>
  </si>
  <si>
    <t xml:space="preserve">D-12</t>
  </si>
  <si>
    <t xml:space="preserve">公司行動與賣超防護的連動</t>
  </si>
  <si>
    <t xml:space="preserve">承 B-11（門 3）</t>
  </si>
  <si>
    <t xml:space="preserve">賣超被擋時點擊預覽內的補登提示（或 422 三選一對話框的第一個選項）</t>
  </si>
  <si>
    <t xml:space="preserve">直接帶入該標的、帳戶與**賣出日期作為日期上限**（晚於賣出日的行動不可能是解釋），代號預填正確</t>
  </si>
  <si>
    <t xml:space="preserve">承 B-11（賣 2330 2,600 @ 2026-07-01 被判賣超）→ 點預覽內「補登公司行動」：開啟補登表單，前言帶入賣超原因句；帳戶預選 tw_broker、代號 2330、行動日期 2026-07-01 且 input max=2026-07-01（日期上限＝賣出日）</t>
  </si>
  <si>
    <t xml:space="preserve"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
R13（830056c 上 prod 前整份 one shot 重跑；Owner 6B：寫入留在 demo、不還原）：PASS — demo 真實瀏覽器（頁首 v0.1.28 · 830056c），重跑 4／4 項檢查全過：草稿在 2026-07-01 賣 2330 2,600 股被判賣超（當天已有 B-11 依 6B 留下的同量賣出 #249，07-01 持股 4,000−2,600＝1,400）→「補登公司行動」帶入台灣券商／2330、日期上限 2026-07-01、原因句「這筆賣出被判為賣超：賣出 2600 股，超過 2026-07-01 當日持有的 1400 股（目前淨額 5010 股，但那一天只有 1400 股）…」；未寫入（公司行動仍 9 筆）。one shot 首跑 3／4：帳戶欄讀到空值（代號已帶入），重跑同一操作帳戶已帶入，判為讀取時機</t>
  </si>
  <si>
    <t xml:space="preserve">D-13</t>
  </si>
  <si>
    <t xml:space="preserve">公司行動帳本匯出</t>
  </si>
  <si>
    <t xml:space="preserve">匯出公司行動帳本 CSV</t>
  </si>
  <si>
    <t xml:space="preserve">列數與欄位正確，比例、日期、代號與畫面一致</t>
  </si>
  <si>
    <t xml:space="preserve">部分（端點已驗 200，內容為空）</t>
  </si>
  <si>
    <t xml:space="preserve"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</si>
  <si>
    <t xml:space="preserve"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
R13（830056c 上 prod 前整份 one shot 重跑；Owner 6B：寫入留在 demo、不還原）：PASS — demo 真實瀏覽器（頁首 v0.1.28 · 830056c），重跑 2／2 項檢查全過：公司行動帳本匯出 ledger_actions_all_all.csv 9 列＝帳本 9 筆；承 D-07 的換股列「93,schwab,2026-10-01,EXCHANGE,MSFT,SPCX…」比例 2:1、日期、代號與表單一致。one shot 首跑 1／2：D-07 首跑未寫入，找不到換股列</t>
  </si>
  <si>
    <t xml:space="preserve">D-14</t>
  </si>
  <si>
    <t xml:space="preserve">公司行動後的洞察卡與數值檢核</t>
  </si>
  <si>
    <t xml:space="preserve">承 D-06（換股）</t>
  </si>
  <si>
    <t xml:space="preserve">檢視該標的既有洞察卡</t>
  </si>
  <si>
    <t xml:space="preserve">舊代號的卡片不應被誤標為「未知代號」；若會，需記錄為待處理</t>
  </si>
  <si>
    <t xml:space="preserve"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</si>
  <si>
    <t xml:space="preserve"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
R13（830056c 上 prod 前整份 one shot 重跑；Owner 6B：寫入留在 demo、不還原）：PASS — demo 真實瀏覽器（頁首 v0.1.28 · 830056c），重跑 3／3 項檢查全過：承 D-06 的 TSLA→AMD 換股（#92）在帳本；TSLA 舊卡 15 張未被標未知代碼；洞察頁沒有 TSLA 的未知代碼徽章。one shot 首跑 2／3：D-06 首跑未寫入</t>
  </si>
  <si>
    <r>
      <rPr>
        <b val="true"/>
        <sz val="11"/>
        <rFont val="Arial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報價／匯率刷新與成本、報酬重算</t>
    </r>
  </si>
  <si>
    <t xml:space="preserve">E-01</t>
  </si>
  <si>
    <t xml:space="preserve">E</t>
  </si>
  <si>
    <t xml:space="preserve">手動更新報價</t>
  </si>
  <si>
    <t xml:space="preserve">記錄各檔 `price_as_of` 與 `kpis`</t>
  </si>
  <si>
    <t xml:space="preserve">儀表板 → 更新報價（三市場）</t>
  </si>
  <si>
    <t xml:space="preserve">① 回應每個 job 帶 `instruments`／`instruments_failed`／`held_failed`／`fx_failed`／`lagging`；② 成功者 `price_as_of` 前進；③ 完成 toast 說明清楚</t>
  </si>
  <si>
    <t xml:space="preserve">會更新報價資料（預期內）。不影響帳本</t>
  </si>
  <si>
    <t xml:space="preserve">✅ 已驗（第一輪 ×3）</t>
  </si>
  <si>
    <t xml:space="preserve"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</si>
  <si>
    <t xml:space="preserve">DEF-038</t>
  </si>
  <si>
    <t xml:space="preserve"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
R13（830056c 上 prod 前整份 one shot 重跑；Owner 6B：寫入留在 demo、不還原）：PASS — demo 真實瀏覽器（頁首 v0.1.28 · 830056c），demo 5／5 項檢查全過：one shot：「更新報價」→ refresh-quotes 200（run #254～#256），三個工作皆帶 instruments／instruments_failed／held_failed／fx_failed／lagging；無 price_as_of 倒退（台、馬股 11 檔 09-30→10-01，美股 4 檔 09-29→09-30）；toast「! 報價更新完成，部分項目未更新 25 檔已更新、1 檔未持有的標的未更新：2323。重新整理頁面即可看到已更新的價格。」；帳本不變。重跑（為 E-04 取前後兩份）run #271～#273：26 檔已更新、2323 未更新，AAPL／AMD／NVDA／SPCX 09-30→10-01</t>
  </si>
  <si>
    <t xml:space="preserve">E-02</t>
  </si>
  <si>
    <t xml:space="preserve">落後標的（lagging）點名</t>
  </si>
  <si>
    <t xml:space="preserve">製造情境：某檔的來源收盤日落後同市場其他檔</t>
  </si>
  <si>
    <t xml:space="preserve">更新報價</t>
  </si>
  <si>
    <t xml:space="preserve">① 該檔進入 `lagging[]`；② toast 點名並另出一則 warn；③ 工作狀態仍為 `ok`（抓取本身沒失敗）</t>
  </si>
  <si>
    <t xml:space="preserve">唯讀為主</t>
  </si>
  <si>
    <t xml:space="preserve">部分（機制以原始碼確認）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</si>
  <si>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同一次更新自然出現落後標的：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的來源收盤日 </t>
    </r>
    <r>
      <rPr>
        <sz val="10"/>
        <rFont val="Arial"/>
        <family val="0"/>
        <charset val="1"/>
      </rPr>
      <t xml:space="preserve">2026-09-18</t>
    </r>
    <r>
      <rPr>
        <sz val="10"/>
        <rFont val="Noto Sans CJK SC"/>
        <family val="2"/>
      </rPr>
      <t xml:space="preserve">，同市場其他檔為 </t>
    </r>
    <r>
      <rPr>
        <sz val="10"/>
        <rFont val="Arial"/>
        <family val="0"/>
        <charset val="1"/>
      </rPr>
      <t xml:space="preserve">2026-09-22 → ① 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["0056"]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點名「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21 ok, 0 failed …</t>
    </r>
    <r>
      <rPr>
        <sz val="10"/>
        <rFont val="Noto Sans CJK SC"/>
        <family val="2"/>
      </rPr>
      <t xml:space="preserve">」✓（抓取本身沒失敗）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</si>
  <si>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全面重跑）：本機專用測試環境（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資料副本；外網封鎖，價格供應商以本機假資料取代——與假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同性質的測試替身）：台股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仍回 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（落後同市場）→ 儀表板 ⟳ 重新整理 › 更新報價 → ① </t>
    </r>
    <r>
      <rPr>
        <sz val="10"/>
        <rFont val="Arial"/>
        <family val="0"/>
        <charset val="1"/>
      </rPr>
      <t xml:space="preserve">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["2330"]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，正在重新整理…」點名，並另出一則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項已更新（來源 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MYRTWD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）」✓（抓取本身沒失敗）。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本輪更新報價時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檔皆為最新、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為空，無法自然重現，故改在本機製造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」＋獨立警示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的資料來源尚未提供新收盤價；可稍後再按一次更新報價」；工作狀態仍為 </t>
    </r>
    <r>
      <rPr>
        <sz val="10"/>
        <rFont val="Arial"/>
        <family val="0"/>
        <charset val="1"/>
      </rPr>
      <t xml:space="preserve">ok</t>
    </r>
  </si>
  <si>
    <t xml:space="preserve">E-03</t>
  </si>
  <si>
    <t xml:space="preserve">匯率推導與三角一致性</t>
  </si>
  <si>
    <t xml:space="preserve">更新報價後讀 `freshness.fx` 與 `fx_triangulation`</t>
  </si>
  <si>
    <r>
      <rPr>
        <sz val="10"/>
        <rFont val="Arial"/>
        <family val="0"/>
        <charset val="1"/>
      </rPr>
      <t xml:space="preserve">① `MYR/TWD`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`source` = `derived:USD`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`implied`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`direct` </t>
    </r>
    <r>
      <rPr>
        <sz val="10"/>
        <rFont val="Noto Sans CJK SC"/>
        <family val="2"/>
      </rPr>
      <t xml:space="preserve">落差 </t>
    </r>
    <r>
      <rPr>
        <sz val="10"/>
        <rFont val="Arial"/>
        <family val="0"/>
        <charset val="1"/>
      </rPr>
      <t xml:space="preserve">`gap_pct` &lt; 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`ok: true`</t>
    </r>
  </si>
  <si>
    <t xml:space="preserve">✅ 已驗（三輪、兩組匯率快照）</t>
  </si>
  <si>
    <r>
      <rPr>
        <sz val="10"/>
        <rFont val="Arial"/>
        <family val="0"/>
        <charset val="1"/>
      </rPr>
      <t xml:space="preserve">freshness.fx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USD/TWD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as_of 2026-09-22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stale=false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fx_triangulation USD/TWD direct 31.698999 vs implied 31.698997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USD/MYR × MYR/TWD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gap_pct −0.0000</t>
    </r>
    <r>
      <rPr>
        <sz val="10"/>
        <rFont val="Noto Sans CJK SC"/>
        <family val="2"/>
      </rPr>
      <t xml:space="preserve">（自算 −</t>
    </r>
    <r>
      <rPr>
        <sz val="10"/>
        <rFont val="Arial"/>
        <family val="0"/>
        <charset val="1"/>
      </rPr>
      <t xml:space="preserve">6.3e-6%</t>
    </r>
    <r>
      <rPr>
        <sz val="10"/>
        <rFont val="Noto Sans CJK SC"/>
        <family val="2"/>
      </rPr>
      <t xml:space="preserve">）＜</t>
    </r>
    <r>
      <rPr>
        <sz val="10"/>
        <rFont val="Arial"/>
        <family val="0"/>
        <charset val="1"/>
      </rPr>
      <t xml:space="preserve">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ok=true</t>
    </r>
  </si>
  <si>
    <t xml:space="preserve"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
R13（830056c 上 prod 前整份 one shot 重跑；Owner 6B：寫入留在 demo、不還原）：PASS — demo 真實瀏覽器（頁首 v0.1.28 · 830056c），demo 2／2 項檢查全過：MYR/TWD 來源 derived:USD；隱含 USD/TWD 31.915003 vs 直接 31.915001，差 0.0000%、ok（三條皆 2026-10-01）</t>
  </si>
  <si>
    <t xml:space="preserve">E-04</t>
  </si>
  <si>
    <t xml:space="preserve">更新後的成本與報酬重算</t>
  </si>
  <si>
    <t xml:space="preserve">記錄更新前的 14 檔成本、未實現、權重</t>
  </si>
  <si>
    <t xml:space="preserve">更新報價後重讀 `/api/dashboard`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</si>
  <si>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原始成本與調整成本不得變動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（只有市值與未實現會變）；② 未實現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市值 − 調整成本；③ 權重重算後 </t>
    </r>
    <r>
      <rPr>
        <sz val="10"/>
        <rFont val="Arial"/>
        <family val="0"/>
        <charset val="1"/>
      </rPr>
      <t xml:space="preserve">Σ = 1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項恆等式全過</t>
    </r>
  </si>
  <si>
    <t xml:space="preserve">✅ 已驗（三組不同價格快照）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</si>
  <si>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更新前後比對：①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✓（價格如 </t>
    </r>
    <r>
      <rPr>
        <sz val="10"/>
        <rFont val="Arial"/>
        <family val="0"/>
        <charset val="1"/>
      </rPr>
      <t xml:space="preserve">2330 2,380→2,460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1,985→2,185 </t>
    </r>
    <r>
      <rPr>
        <sz val="10"/>
        <rFont val="Noto Sans CJK SC"/>
        <family val="2"/>
      </rPr>
      <t xml:space="preserve">皆變動）；②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0.9999999999999999999999999997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3e−28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通過，最大誤差 </t>
    </r>
    <r>
      <rPr>
        <sz val="10"/>
        <rFont val="Arial"/>
        <family val="0"/>
        <charset val="1"/>
      </rPr>
      <t xml:space="preserve">1.01e−20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34,908,291.86→36,210,865.54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10.2216→11.0232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</si>
  <si>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全面重跑）：儀表板 ⟳ 重新整理 › 更新報價（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檔全數更新、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空）前後比對（基準 </t>
    </r>
    <r>
      <rPr>
        <sz val="10"/>
        <rFont val="Arial"/>
        <family val="0"/>
        <charset val="1"/>
      </rPr>
      <t xml:space="preserve">R8_PREQ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列價格皆變動，如 </t>
    </r>
    <r>
      <rPr>
        <sz val="10"/>
        <rFont val="Arial"/>
        <family val="0"/>
        <charset val="1"/>
      </rPr>
      <t xml:space="preserve">2330 2,460→2,475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2,185→2,125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 339.75→341.07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0.99999999999999999999999999989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1e−29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36,214,648.90→35,630,718.95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10.4362→10.0974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項檢查全過（以重跑 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的前後兩份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列原始／調整成本皆不變；② 每列 未實現＝市值−調整成本；③ </t>
    </r>
    <r>
      <rPr>
        <sz val="10"/>
        <rFont val="Arial"/>
        <family val="0"/>
        <charset val="1"/>
      </rPr>
      <t xml:space="preserve">Σ</t>
    </r>
    <r>
      <rPr>
        <sz val="10"/>
        <rFont val="Noto Sans CJK SC"/>
        <family val="2"/>
      </rPr>
      <t xml:space="preserve">權重＝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（差 </t>
    </r>
    <r>
      <rPr>
        <sz val="10"/>
        <rFont val="Arial"/>
        <family val="0"/>
        <charset val="1"/>
      </rPr>
      <t xml:space="preserve">6.3e−29</t>
    </r>
    <r>
      <rPr>
        <sz val="10"/>
        <rFont val="Noto Sans CJK SC"/>
        <family val="2"/>
      </rPr>
      <t xml:space="preserve">）；④ 恆等式 </t>
    </r>
    <r>
      <rPr>
        <sz val="10"/>
        <rFont val="Arial"/>
        <family val="0"/>
        <charset val="1"/>
      </rPr>
      <t xml:space="preserve">106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檔</t>
    </r>
    <r>
      <rPr>
        <sz val="10"/>
        <rFont val="Arial"/>
        <family val="0"/>
        <charset val="1"/>
      </rPr>
      <t xml:space="preserve">×6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組總表，最大誤差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持股後恢復可計算；首跑時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市值為空，檢查程式做大數運算遇到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而中止</t>
    </r>
  </si>
  <si>
    <t xml:space="preserve">E-05</t>
  </si>
  <si>
    <t xml:space="preserve">排程定時執行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</si>
  <si>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需在非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依裁定關閉排程器）</t>
    </r>
  </si>
  <si>
    <t xml:space="preserve">啟動排程器 → 等待或調整 cron 使 `quotes_tw`／`quotes_us`／`quotes_my`／`dividends_daily`／`digest_daily` 各執行一次</t>
  </si>
  <si>
    <r>
      <rPr>
        <sz val="10"/>
        <rFont val="Arial"/>
        <family val="0"/>
        <charset val="1"/>
      </rPr>
      <t xml:space="preserve">① `job_runs` </t>
    </r>
    <r>
      <rPr>
        <sz val="10"/>
        <rFont val="Noto Sans CJK SC"/>
        <family val="2"/>
      </rPr>
      <t xml:space="preserve">各留下一列，狀態與 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正確且為全形標點；② 執行時間符合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；③ 失敗時狀態為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並點名失敗標的</t>
    </r>
  </si>
  <si>
    <t xml:space="preserve">會寫入 job_runs 與報價資料</t>
  </si>
  <si>
    <t xml:space="preserve">否（demo 排程器關閉）</t>
  </si>
  <si>
    <t xml:space="preserve">需要可啟動排程器的非 demo 環境；本站排程中心顯示「排程器未啟動 — 本實例的所有排程工作都不會自動執行（「下次執行」因此皆為 —）　原因：PD_DISABLE_SCHEDULER=1」</t>
  </si>
  <si>
    <t xml:space="preserve">DEF-067, DEF-073</t>
  </si>
  <si>
    <t xml:space="preserve"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R13（830056c 上 prod 前整份 one shot 重跑；Owner 6B：寫入留在 demo、不還原）：PASS — 本機專用測試環境（同一 commit 830056c、demo 資料庫副本、假報價／假 LLM、無外網；手冊 §9），本機 6／6 項檢查全過：本機排程器開啟：quotes_tw／us／my、dividends_daily、digest_daily 同一分鐘自然觸發 → job_runs 各一列、觸發延遲 0.004～0.007 秒；無外網使四個逐標的工作 error 並逐檔點名（例「0 項已更新，4 項失敗；失敗：0056、2330、USDMYR、USDTWD」），digest_daily 成功「每日摘要 2026-10-01：組合 —，警示 0，訊號 0；示範模式略過推播」；明細中文全形；cron 以同一畫面還原</t>
  </si>
  <si>
    <t xml:space="preserve">E-06</t>
  </si>
  <si>
    <t xml:space="preserve">新鮮度徽章三態</t>
  </si>
  <si>
    <t xml:space="preserve">分別製造：全部新鮮／部分過期／全部過期</t>
  </si>
  <si>
    <t xml:space="preserve">徽章依序顯示「資料新鮮」／「部分過期 n/m」／「全部過期」，tooltip 與計數一致</t>
  </si>
  <si>
    <t xml:space="preserve">✅ 已驗（三態皆實測到）</t>
  </si>
  <si>
    <t xml:space="preserve"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</si>
  <si>
    <t xml:space="preserve"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R13（830056c 上 prod 前整份 one shot 重跑；Owner 6B：寫入留在 demo、不還原）：PASS — 本機專用測試環境（同一 commit 830056c、demo 資料庫副本、假報價／假 LLM、無外網；手冊 §9），本機 3／3 項檢查全過：本機改價格日期製造三態：「資料新鮮」、「部分過期 2/12」（tooltip「2 項價格／匯率資料已過期（共 12 項），點擊查看資料新鮮度明細」）、「全部過期」（12/12）</t>
  </si>
  <si>
    <t xml:space="preserve">E-07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</si>
  <si>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獨立重算</t>
    </r>
  </si>
  <si>
    <t xml:space="preserve">匯出交易＋股利＋現金收支</t>
  </si>
  <si>
    <t xml:space="preserve">以 Excel `XIRR` 或 `pyxirr` 用同一組現金流重算年化報酬</t>
  </si>
  <si>
    <t xml:space="preserve">與 `kpis.xirr` 相對誤差 &lt; 1e-6；`xirr_window_days` 與現金流首尾日期相符</t>
  </si>
  <si>
    <t xml:space="preserve">否（本次稽核未獨立重算）</t>
  </si>
  <si>
    <t xml:space="preserve"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</si>
  <si>
    <t xml:space="preserve"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
R13（830056c 上 prod 前整份 one shot 重跑；Owner 6B：寫入留在 demo、不還原）：PASS — demo 真實瀏覽器（頁首 v0.1.28 · 830056c），重跑 2／2 項檢查全過：以 40 筆現金流獨立計算 XIRR 14.699116519168232 vs kpis.xirr 14.699116519158578（相對誤差 6.57e−13）；xirr_window_days 268＝首筆→末筆（2026-01-06→2026-10-01）。one shot 首跑 0／2：當時 2330 因 B-11 依 6B 留下的 07-01 超賣（#249）被列為賣超部位（市值／未實現為空、整體 XIRR 不計、稅務包 422 oversold_position）；I-13 依步驟寫回 #264（2330 買 2,000 @600，2026-01-06）補足 07-01 持股後恢復可計算；首跑時 kpis.xirr 為空（儀表板對含賣超部位的組合不計 XIRR，設計）</t>
  </si>
  <si>
    <t xml:space="preserve">E-08</t>
  </si>
  <si>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與績效比較</t>
    </r>
  </si>
  <si>
    <t xml:space="preserve">切換基準（0050 ↔ S&amp;P 500）與區間（1年／3年／全部）</t>
  </si>
  <si>
    <t xml:space="preserve">① 曲線與區間正確裁切；② TWR 不受現金流進出影響（與 XIRR 的差異可解釋）</t>
  </si>
  <si>
    <t xml:space="preserve">部分（切換已驗，數值未重算）</t>
  </si>
  <si>
    <t xml:space="preserve"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</si>
  <si>
    <t xml:space="preserve"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R13（830056c 上 prod 前整份 one shot 重跑；Owner 6B：寫入留在 demo、不還原）：PASS — demo 真實瀏覽器（頁首 v0.1.28 · 830056c），重跑 3／3 項檢查全過：① 0050／S&amp;P 500 × 1y／3y／all 六組皆 200、269 點、自資料起日 2026-01-06；② 268 天 TWR 日因子＝(V_t−flow_t)÷V_{t−1}，最大差 5.22e−7（指數四捨五入到 4 位）；畫面切換基準會請求 S&amp;P 500 序列。one shot 首跑 2／3：② 最大差 0.241，當時 2330 因 B-11 依 6B 留下的 07-01 超賣（#249）被列為賣超部位（市值／未實現為空、整體 XIRR 不計、稅務包 422 oversold_position）；I-13 依步驟寫回 #264（2330 買 2,000 @600，2026-01-06）補足 07-01 持股後恢復可計算</t>
  </si>
  <si>
    <t xml:space="preserve">E-09</t>
  </si>
  <si>
    <t xml:space="preserve">每日快照</t>
  </si>
  <si>
    <t xml:space="preserve">檢視 `GET /api/snapshots?limit=12` 與趨勢圖</t>
  </si>
  <si>
    <t xml:space="preserve">快照日期連續、市值與當日 `/api/dashboard` 一致</t>
  </si>
  <si>
    <t xml:space="preserve"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</si>
  <si>
    <t xml:space="preserve"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R13（830056c 上 prod 前整份 one shot 重跑；Owner 6B：寫入留在 demo、不還原）：PASS — 本機專用測試環境（同一 commit 830056c、demo 資料庫副本、假報價／假 LLM、無外網；手冊 §9），本機 3／3 項檢查全過：本機 snapshot_monthly 於自然觸發寫入「快照已寫入 2026-10」（run #40）；快照 total_value 6,476,427.500 等欄與同時 kpis 相同；日趨勢 269 點、0 缺口、末點＝kpis</t>
  </si>
  <si>
    <t xml:space="preserve">E-10</t>
  </si>
  <si>
    <t xml:space="preserve">查新代號連帶更新匯率（已裁定）</t>
  </si>
  <si>
    <t xml:space="preserve">記錄 `freshness.fx` 的 as_of</t>
  </si>
  <si>
    <t xml:space="preserve">觀察清單 → 查一個未登錄代號</t>
  </si>
  <si>
    <t xml:space="preserve">① 報告匯率可能被連帶更新（`lookup_instrument` → `refresh_quotes(…, REPORTING_FX_PAIRS)`）；② **帳本零變動**；③ 三角一致性仍成立。**依 §五 G 裁定不列為缺陷**</t>
  </si>
  <si>
    <t xml:space="preserve">會更新匯率（已裁定為預期行為）</t>
  </si>
  <si>
    <t xml:space="preserve">✅ 已驗（行為與根因）</t>
  </si>
  <si>
    <t xml:space="preserve"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</si>
  <si>
    <t xml:space="preserve"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
R13（830056c 上 prod 前整份 one shot 重跑；Owner 6B：寫入留在 demo、不還原）：PASS — demo 真實瀏覽器（頁首 v0.1.28 · 830056c），one shot 4／4＋重跑 4／4：one shot 查未登錄的 2618（found、未登錄、未加入）→ 帳本各列數不變、各部位股數與原幣成本不變、三角一致（隱含 31.925999 vs 直接 31.926001）；重跑時 2618 已於 F-01 依 6B 登錄，改查未登錄的 2610（華航）：報告匯率連帶更新（USD/TWD 31.903999→31.915001，§五 G 裁定之預期）、帳本零變動（交易 79、股利 30、換匯 20、資金 49、公司行動 10）、三角一致（31.915003 vs 31.915001）</t>
  </si>
  <si>
    <t xml:space="preserve">E-11</t>
  </si>
  <si>
    <t xml:space="preserve">報價來源失敗的降級</t>
  </si>
  <si>
    <t xml:space="preserve">把某個資料來源設為無效（非 demo 環境）</t>
  </si>
  <si>
    <t xml:space="preserve">① 失敗標的進入 `instruments_failed`／`held_failed`；② 畫面明確點名；③ **不得**以舊價假裝成功</t>
  </si>
  <si>
    <t xml:space="preserve">需改資料來源設定，測畢還原</t>
  </si>
  <si>
    <t xml:space="preserve">需要把某個資料來源設為無效的非 demo 環境（手冊前置條件）；demo 站 系統設定 › 資料來源 不開放修改，本輪未變更任何來源設定</t>
  </si>
  <si>
    <t xml:space="preserve">DEF-068</t>
  </si>
  <si>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）（外網封鎖＝資料來源全部無效）：儀表板 重新整理 › 更新報價 → ① 失敗標的在各工作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✓</t>
    </r>
    <r>
      <rPr>
        <sz val="10"/>
        <rFont val="Noto Sans CJK SC"/>
        <family val="2"/>
      </rPr>
      <t xml:space="preserve">；② 提示點名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檔持倉 ✓（匯率失敗未提）；③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表前後雜湊相同（未以舊價偽裝更新）✓，但提示句「其餘已更新，重新整理頁面即可看到新價」在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項更新時不實 ✗ → </t>
    </r>
    <r>
      <rPr>
        <sz val="10"/>
        <rFont val="Arial"/>
        <family val="0"/>
        <charset val="1"/>
      </rPr>
      <t xml:space="preserve">DEF-068
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DEF-068 </t>
    </r>
    <r>
      <rPr>
        <sz val="10"/>
        <rFont val="Noto Sans CJK SC"/>
        <family val="2"/>
      </rPr>
      <t xml:space="preserve">複驗通過結案 → 本案轉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。本機專用測試環境（同一 </t>
    </r>
    <r>
      <rPr>
        <sz val="10"/>
        <rFont val="Arial"/>
        <family val="0"/>
        <charset val="1"/>
      </rPr>
      <t xml:space="preserve">commit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）（外網封鎖＝資料來源全部無效）：儀表板 ⟳ 重新整理 › 更新報價 → ① 回應 </t>
    </r>
    <r>
      <rPr>
        <sz val="10"/>
        <rFont val="Arial"/>
        <family val="0"/>
        <charset val="1"/>
      </rPr>
      <t xml:space="preserve">summary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instruments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instruments_updated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all_failed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fx_failed [USDMYR, USDTWD]</t>
    </r>
    <r>
      <rPr>
        <sz val="10"/>
        <rFont val="Noto Sans CJK SC"/>
        <family val="2"/>
      </rPr>
      <t xml:space="preserve">，各工作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</t>
    </r>
    <r>
      <rPr>
        <sz val="10"/>
        <rFont val="Noto Sans CJK SC"/>
        <family val="2"/>
      </rPr>
      <t xml:space="preserve">齊全 ✓；② 失敗語氣提示「報價更新失敗　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。仍顯示上次取得的價格，請稍後再試或檢查資料來源。」✓；③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雜湊 </t>
    </r>
    <r>
      <rPr>
        <sz val="10"/>
        <rFont val="Arial"/>
        <family val="0"/>
        <charset val="1"/>
      </rPr>
      <t xml:space="preserve">58461362c1db692f </t>
    </r>
    <r>
      <rPr>
        <sz val="10"/>
        <rFont val="Noto Sans CJK SC"/>
        <family val="2"/>
      </rPr>
      <t xml:space="preserve">前後相同，未宣稱已更新 ✓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。仍顯示上次取得的價格…」、無成功字樣；價格雜湊不變（</t>
    </r>
    <r>
      <rPr>
        <sz val="10"/>
        <rFont val="Arial"/>
        <family val="0"/>
        <charset val="1"/>
      </rPr>
      <t xml:space="preserve">9bb0234ce7339e82</t>
    </r>
    <r>
      <rPr>
        <sz val="10"/>
        <rFont val="Noto Sans CJK SC"/>
        <family val="2"/>
      </rPr>
      <t xml:space="preserve">）</t>
    </r>
  </si>
  <si>
    <t xml:space="preserve">E-12</t>
  </si>
  <si>
    <t xml:space="preserve">成本不因匯率變動而改寫</t>
  </si>
  <si>
    <t xml:space="preserve">記錄外幣持倉的原始成本（原幣）</t>
  </si>
  <si>
    <t xml:space="preserve">匯率變動後重讀</t>
  </si>
  <si>
    <t xml:space="preserve">原幣成本不變；只有報告幣別的換算值改變；`principal_fx_effect` 承接差額</t>
  </si>
  <si>
    <t xml:space="preserve">✅ 已驗（恆等式）</t>
  </si>
  <si>
    <t xml:space="preserve"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</si>
  <si>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的匯率變動：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個持倉列除 </t>
    </r>
    <r>
      <rPr>
        <sz val="10"/>
        <rFont val="Arial"/>
        <family val="0"/>
        <charset val="1"/>
      </rPr>
      <t xml:space="preserve">weight </t>
    </r>
    <r>
      <rPr>
        <sz val="10"/>
        <rFont val="Noto Sans CJK SC"/>
        <family val="2"/>
      </rPr>
      <t xml:space="preserve">外所有欄位（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 cost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</t>
    </r>
    <r>
      <rPr>
        <sz val="10"/>
        <rFont val="Noto Sans CJK SC"/>
        <family val="2"/>
      </rPr>
      <t xml:space="preserve">（原幣）等）與變動前字串完全相同 ✓；只有報告幣別數字改變：</t>
    </r>
    <r>
      <rPr>
        <sz val="10"/>
        <rFont val="Arial"/>
        <family val="0"/>
        <charset val="1"/>
      </rPr>
      <t xml:space="preserve">principal_fx_effect −21,475.91→−33,331.71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fx_unrealized −130,096.02→−163,738.00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unrealized_total −3,974.00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realized_total −13.04</t>
    </r>
    <r>
      <rPr>
        <sz val="10"/>
        <rFont val="Noto Sans CJK SC"/>
        <family val="2"/>
      </rPr>
      <t xml:space="preserve">（外幣已實現以現價換算）、</t>
    </r>
    <r>
      <rPr>
        <sz val="10"/>
        <rFont val="Arial"/>
        <family val="0"/>
        <charset val="1"/>
      </rPr>
      <t xml:space="preserve">total_return −3,987.04</t>
    </r>
    <r>
      <rPr>
        <sz val="10"/>
        <rFont val="Noto Sans CJK SC"/>
        <family val="2"/>
      </rPr>
      <t xml:space="preserve">（＝未實現差＋已實現差，自算相符）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24,020.74→−24,092.83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19,140.60→−19,238.49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15,957.58→−16,055.47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項檢查全過（以重跑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的匯率更新前後）：各部位原幣成本／市值欄全不變（只有權重可動）；匯率確有變動（嘉信 </t>
    </r>
    <r>
      <rPr>
        <sz val="10"/>
        <rFont val="Arial"/>
        <family val="0"/>
        <charset val="1"/>
      </rPr>
      <t xml:space="preserve">USD/TWD 31.903999→31.915001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Moomoo 4.082000 </t>
    </r>
    <r>
      <rPr>
        <sz val="10"/>
        <rFont val="Noto Sans CJK SC"/>
        <family val="2"/>
      </rPr>
      <t xml:space="preserve">不變），本金匯率效果 −</t>
    </r>
    <r>
      <rPr>
        <sz val="10"/>
        <rFont val="Arial"/>
        <family val="0"/>
        <charset val="1"/>
      </rPr>
      <t xml:space="preserve">13,185.02→−12,093.36</t>
    </r>
    <r>
      <rPr>
        <sz val="10"/>
        <rFont val="Noto Sans CJK SC"/>
        <family val="2"/>
      </rPr>
      <t xml:space="preserve">、未實現匯差 −</t>
    </r>
    <r>
      <rPr>
        <sz val="10"/>
        <rFont val="Arial"/>
        <family val="0"/>
        <charset val="1"/>
      </rPr>
      <t xml:space="preserve">122,909.20→−120,632.51 </t>
    </r>
    <r>
      <rPr>
        <sz val="10"/>
        <rFont val="Noto Sans CJK SC"/>
        <family val="2"/>
      </rPr>
      <t xml:space="preserve">隨之改變。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雖全過，但當時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為賣超部位、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為空，屬空對空；第一次補做查的 </t>
    </r>
    <r>
      <rPr>
        <sz val="10"/>
        <rFont val="Arial"/>
        <family val="0"/>
        <charset val="1"/>
      </rPr>
      <t xml:space="preserve">2618 </t>
    </r>
    <r>
      <rPr>
        <sz val="10"/>
        <rFont val="Noto Sans CJK SC"/>
        <family val="2"/>
      </rPr>
      <t xml:space="preserve">已登錄、匯率未變，再改查 </t>
    </r>
    <r>
      <rPr>
        <sz val="10"/>
        <rFont val="Arial"/>
        <family val="0"/>
        <charset val="1"/>
      </rPr>
      <t xml:space="preserve">2610</t>
    </r>
  </si>
  <si>
    <r>
      <rPr>
        <b val="true"/>
        <sz val="11"/>
        <rFont val="Arial"/>
        <family val="0"/>
        <charset val="1"/>
      </rPr>
      <t xml:space="preserve">F. AI </t>
    </r>
    <r>
      <rPr>
        <b val="true"/>
        <sz val="11"/>
        <rFont val="Noto Sans CJK SC"/>
        <family val="2"/>
      </rPr>
      <t xml:space="preserve">查詢與輸入（拼湊／辨識／組裝）</t>
    </r>
  </si>
  <si>
    <t xml:space="preserve">F-01</t>
  </si>
  <si>
    <t xml:space="preserve">F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</si>
  <si>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代號辨識（名稱 → 代號）</t>
    </r>
  </si>
  <si>
    <t xml:space="preserve">設定 › AI 與額度 確認額度足夠、「代號查無時自動 AI 辨識」為開（預設）；記錄目前額度；選一檔**未登錄**標的的中文名稱（例：長榮航；已登錄就換一檔）</t>
  </si>
  <si>
    <t xml:space="preserve">觀察清單 › 加入 → 輸入該中文名稱，不按任何鍵，等自動辨識 → 檢查後確認加入；再分別輸入「虛構甲乙丙科技」與「台積電」</t>
  </si>
  <si>
    <t xml:space="preserve">① 不呼叫 `GET /api/instruments/lookup`（中文名稱不查報價），自動送出 `POST /api/instruments/ai-resolve` 1 次；② 回傳代號／市場／幣別／名稱，「別名」欄預填 AI 給的常用名稱（已屬其他標的的名稱不會出現）；③ 寫入前需人工確認，確認後「標的管理」看得到該標的與別名；④ 額度扣減＝`llm-usage` 匯出同時段各列 cost 加總；⑤ 虛構名稱 →「查無此標的 — 請確認名稱與市場是否正確」；⑥ 已登錄的名稱（台積電）→「已註冊 — 此標的已在觀察清單中」，不寫入；⑦ 辨識時的報價驗證可能連帶更新報告匯率（§五 G，同 E-10），帳本零變動（Owner 2026-10-01 改寫：中文名稱不查報價、別名預填皆為結案後的改動）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</si>
  <si>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（約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／次）。會登錄一檔標的，不寫入帳本</t>
    </r>
  </si>
  <si>
    <t xml:space="preserve">否（只驗過「不自動觸發」）</t>
  </si>
  <si>
    <t xml:space="preserve"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</si>
  <si>
    <t xml:space="preserve">DEF-088</t>
  </si>
  <si>
    <t xml:space="preserve"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
R13（830056c 上 prod 前整份 one shot 重跑；Owner 6B：寫入留在 demo、不還原）：FAIL — demo 真實瀏覽器（頁首 v0.1.28 · 830056c），demo 9／11 項：前置「長榮航」未登錄、自動辨識為開；① 輸入「長榮航」不按鍵：未以名稱送 lookup，自動 ai-resolve 1 次（回覆後以代號 2618 驗證 lookup 1 次，設計）✓；② 回 2618／TW（TWD）／長榮航／Industrials（Air Freight &amp; Logistics）、confidence high、verified ✓，但 AI 回 aliases []、「別名」欄空白 ✗；③ 確認前未寫入 ✓，確認後 POST /api/instruments 201、標的管理出現 2618 長榮航、沒有別名 ✗；④ 額度 3.1247864→3.1242668＝llm-usage 同時段 3 列 0.0001743＋0.000167＋0.0001783＝0.0005196 ✓；⑤「虛構甲乙丙科技」→「查無此標的 — 請確認名稱與市場是否正確」✓；⑥「台積電」→「已註冊 — 此標的已在觀察清單中」、確認鍵不可按、仍 27 檔 ✓；⑦ 報告匯率未變、帳本各列數不變（交易 72、股利 26、換匯 20、資金 46、公司行動 7）✓。驗證者另以同一端點重放 6 次排除偶發：長榮航空 → 2618 []、華航 → 2610 []、聯電／聯華電子 → 2303 []，對照「英特爾」（美股）→ INTC ["英特爾"]——台股中文名稱的別名一律為空 → 開 DEF-088（低）。2618 依 6B 留在觀察清單</t>
  </si>
  <si>
    <t xml:space="preserve">F-02</t>
  </si>
  <si>
    <t xml:space="preserve">純代號不得自動觸發 AI</t>
  </si>
  <si>
    <t xml:space="preserve">輸入 `ZZZZ9` → 按「加入」</t>
  </si>
  <si>
    <t xml:space="preserve">全程 `POST /api/instruments/ai-resolve` 呼叫 **0 次**；提示為「查無報價 — 請確認代號與市場；若是用名稱找，可按「AI 辨識」（使用 AI 額度）」</t>
  </si>
  <si>
    <t xml:space="preserve">唯讀、零花費</t>
  </si>
  <si>
    <t xml:space="preserve"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</si>
  <si>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全面重跑）：觀察清單 › 快速加入，市場美股、輸入「</t>
    </r>
    <r>
      <rPr>
        <sz val="10"/>
        <rFont val="Arial"/>
        <family val="0"/>
        <charset val="1"/>
      </rPr>
      <t xml:space="preserve">ZZZZ9</t>
    </r>
    <r>
      <rPr>
        <sz val="10"/>
        <rFont val="Noto Sans CJK SC"/>
        <family val="2"/>
      </rPr>
      <t xml:space="preserve">」→ ＋加入 → </t>
    </r>
    <r>
      <rPr>
        <sz val="10"/>
        <rFont val="Arial"/>
        <family val="0"/>
        <charset val="1"/>
      </rPr>
      <t xml:space="preserve">GET /api/instruments/lookup?symbol=ZZZZ9&amp;market=US 200 {found:false}</t>
    </r>
    <r>
      <rPr>
        <sz val="10"/>
        <rFont val="Noto Sans CJK SC"/>
        <family val="2"/>
      </rPr>
      <t xml:space="preserve">；全程 </t>
    </r>
    <r>
      <rPr>
        <sz val="10"/>
        <rFont val="Arial"/>
        <family val="0"/>
        <charset val="1"/>
      </rPr>
      <t xml:space="preserve">POST /api/instruments/ai-resolve 0 </t>
    </r>
    <r>
      <rPr>
        <sz val="10"/>
        <rFont val="Noto Sans CJK SC"/>
        <family val="2"/>
      </rPr>
      <t xml:space="preserve">次 ✓（</t>
    </r>
    <r>
      <rPr>
        <sz val="10"/>
        <rFont val="Arial"/>
        <family val="0"/>
        <charset val="1"/>
      </rPr>
      <t xml:space="preserve">ui-prefs auto_ai_resolve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，純代號仍不觸發）；對話框提示「查無報價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額度）」✓；額度前後皆 </t>
    </r>
    <r>
      <rPr>
        <sz val="10"/>
        <rFont val="Arial"/>
        <family val="0"/>
        <charset val="1"/>
      </rPr>
      <t xml:space="preserve">3.2577460</t>
    </r>
    <r>
      <rPr>
        <sz val="10"/>
        <rFont val="Noto Sans CJK SC"/>
        <family val="2"/>
      </rPr>
      <t xml:space="preserve">（零花費）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3.1707456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3.1311755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項檢查全過：輸入 </t>
    </r>
    <r>
      <rPr>
        <sz val="10"/>
        <rFont val="Arial"/>
        <family val="0"/>
        <charset val="1"/>
      </rPr>
      <t xml:space="preserve">ZZZZ9 → </t>
    </r>
    <r>
      <rPr>
        <sz val="10"/>
        <rFont val="Noto Sans CJK SC"/>
        <family val="2"/>
      </rPr>
      <t xml:space="preserve">按「加入」：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次；提示「查無報價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額度）」；額度不變（</t>
    </r>
    <r>
      <rPr>
        <sz val="10"/>
        <rFont val="Arial"/>
        <family val="0"/>
        <charset val="1"/>
      </rPr>
      <t xml:space="preserve">3.1242668</t>
    </r>
    <r>
      <rPr>
        <sz val="10"/>
        <rFont val="Noto Sans CJK SC"/>
        <family val="2"/>
      </rPr>
      <t xml:space="preserve">）</t>
    </r>
  </si>
  <si>
    <t xml:space="preserve">F-03</t>
  </si>
  <si>
    <t xml:space="preserve">自動辨識開關</t>
  </si>
  <si>
    <t xml:space="preserve">設定 › AI 與額度</t>
  </si>
  <si>
    <t xml:space="preserve">關閉「代號查無時自動 AI 辨識」→ 回觀察清單輸入含名稱的字串</t>
  </si>
  <si>
    <t xml:space="preserve">① 不再自動送出；② 提示改為「…（自動辨識已在設定關閉）」；③ `GET /api/ui-prefs` 的 `auto_ai_resolve` 為 false</t>
  </si>
  <si>
    <t xml:space="preserve">改設定，測畢改回</t>
  </si>
  <si>
    <t xml:space="preserve">部分（預設值已驗）</t>
  </si>
  <si>
    <t xml:space="preserve"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</si>
  <si>
    <t xml:space="preserve">DEF-034</t>
  </si>
  <si>
    <t xml:space="preserve"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
R13（830056c 上 prod 前整份 one shot 重跑；Owner 6B：寫入留在 demo、不還原）：PASS — demo 真實瀏覽器（頁首 v0.1.28 · 830056c），demo 3／3 項檢查全過：關閉「代號查無時自動 AI 辨識」→ ① 輸入名稱不再自動送出（0 次）；② 提示改為「…（自動辨識已在設定關閉）」；③ /api/ui-prefs auto_ai_resolve false（依 6B 留在關閉）</t>
  </si>
  <si>
    <t xml:space="preserve">F-04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</si>
  <si>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交易輸入（自然語言／貼上文字）</t>
    </r>
  </si>
  <si>
    <t xml:space="preserve">交易帳本 › AI 輸入</t>
  </si>
  <si>
    <t xml:space="preserve">貼上一段交易描述或對帳單文字 → 解析</t>
  </si>
  <si>
    <t xml:space="preserve">① 解析成結構化列並可逐列編輯；② **無法解析的列不得用猜的**，需明確標示；③ 寫入前有預覽；④ 花費記錄到額度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</si>
  <si>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；寫入後需刪除</t>
    </r>
  </si>
  <si>
    <t xml:space="preserve"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</si>
  <si>
    <t xml:space="preserve">DEF-035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</si>
  <si>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0.0005895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0.009053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anthropic/claude-haiku-4.5——</t>
    </r>
    <r>
      <rPr>
        <sz val="10"/>
        <rFont val="Noto Sans CJK SC"/>
        <family val="2"/>
      </rPr>
      <t xml:space="preserve">模型選單沿用驗證者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複驗時在此瀏覽器選的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，由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本身產出、無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）；未寫入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（模型選單「自動（角色預設）」）：列結構化可編輯（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0.0005995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usage_estimated 0</t>
    </r>
    <r>
      <rPr>
        <sz val="10"/>
        <rFont val="Noto Sans CJK SC"/>
        <family val="2"/>
      </rPr>
      <t xml:space="preserve">）；未寫入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（模型「自動（角色預設）」→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）：列結構化可編輯（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0.0006143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usage_estimated 0</t>
    </r>
    <r>
      <rPr>
        <sz val="10"/>
        <rFont val="Noto Sans CJK SC"/>
        <family val="2"/>
      </rPr>
      <t xml:space="preserve">）；未寫入</t>
    </r>
  </si>
  <si>
    <t xml:space="preserve">F-05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</si>
  <si>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輸入的幻覺防線</t>
    </r>
  </si>
  <si>
    <t xml:space="preserve">貼入一段含有不存在代號或矛盾數字的文字</t>
  </si>
  <si>
    <t xml:space="preserve">系統應拒絕或標示，不得自行補齊；寫入門的驗證（整數股、賣超、日期）同樣生效</t>
  </si>
  <si>
    <t xml:space="preserve"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</si>
  <si>
    <t xml:space="preserve">DEF-036</t>
  </si>
  <si>
    <t xml:space="preserve"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
R13（830056c 上 prod 前整份 one shot 重跑；Owner 6B：寫入留在 demo、不還原）：PASS — demo 真實瀏覽器（頁首 v0.1.28 · 830056c），重跑 5／5 項檢查全過：AI 輸入貼上含矛盾金額、賣超、無效日期與不存在代號的文字：「⚠ 金額矛盾：文字寫成交金額 50,000，但 100 股 × 46 = 4,600，差距超過 1%…」；賣超列「⚠ 賣出 5000 股，超過持有的 1750 股」且預設不勾；無效日期與 ZZZQ8 列為無法歸類（「invalid date」「invalid symbol」為模型原文），未補齊；交易帳本仍 79 列；花費 0.0005819（gemini）。one shot 首跑 4／5：B／C 組依 6B 留下的 2884 買進使 09-23 持股超過原步驟的賣出量，該列不再是賣超；改為賣 5,000 股重跑</t>
  </si>
  <si>
    <t xml:space="preserve">F-06</t>
  </si>
  <si>
    <t xml:space="preserve">提示詞組裝預覽</t>
  </si>
  <si>
    <t xml:space="preserve">洞察管線中心</t>
  </si>
  <si>
    <t xml:space="preserve">乾跑預檢 → 「查看組裝後提示詞」</t>
  </si>
  <si>
    <t xml:space="preserve">① 變數已代入快照；② 與實際送出的提示詞一致（可與 `insights.prompt_figures` 的數字比對）；③ **零成本、不呼叫 LLM**</t>
  </si>
  <si>
    <t xml:space="preserve">✅ 已驗（R1–R8 與零成本聲明）</t>
  </si>
  <si>
    <t xml:space="preserve"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</si>
  <si>
    <t xml:space="preserve"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
R13（830056c 上 prod 前整份 one shot 重跑；Owner 6B：寫入留在 demo、不還原）：PASS — demo 真實瀏覽器（頁首 v0.1.28 · 830056c），demo 6／6 項檢查全過：乾跑預檢 200 →「查看組裝後提示詞」：變數全部代入（0 個 {{…}}、26,809 字）、含當下 kpis.total_market_value 36,520,447.15；零成本（額度 3.1230711 不變）、未呼叫 LLM（用量列數 1,132 不變）</t>
  </si>
  <si>
    <t xml:space="preserve">F-07</t>
  </si>
  <si>
    <t xml:space="preserve">額度不足時的降級</t>
  </si>
  <si>
    <t xml:space="preserve">把額度調至極低（非 demo 或可回復的設定）</t>
  </si>
  <si>
    <t xml:space="preserve">觸發任一 AI 功能</t>
  </si>
  <si>
    <t xml:space="preserve">回 402／明確提示「額度不足」，**不得靜默失敗**，也不得產生半成品卡片</t>
  </si>
  <si>
    <t xml:space="preserve">改設定，測畢還原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</si>
  <si>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站的「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與額度」只能「＋添加額度」，不能調低剩餘額度；把低額度警示閾值調到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3.30</t>
    </r>
    <r>
      <rPr>
        <sz val="10"/>
        <rFont val="Noto Sans CJK SC"/>
        <family val="2"/>
      </rPr>
      <t xml:space="preserve">）不會進入額度不足狀態（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仍通過），已改回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。手冊前置條件為非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或可回復的設定，本站不具備</t>
    </r>
  </si>
  <si>
    <t xml:space="preserve"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R13（830056c 上 prod 前整份 one shot 重跑；Owner 6B：寫入留在 demo、不還原）：PASS — 本機專用測試環境（同一 commit 830056c、demo 資料庫副本、假報價／假 LLM、無外網；手冊 §9），本機 4／4 項檢查全過：本機以 llm_usage 補一筆使剩餘 1.99344→−0.00036 → 402 budget_exceeded「AI 額度用盡（剩餘 $0.00）— 補充額度後即可繼續使用」；畫面 toast＋橫幅「前往額度設定」；llm_usage 無新列、未產卡</t>
  </si>
  <si>
    <t xml:space="preserve">F-08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</si>
  <si>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失敗紀錄</t>
    </r>
  </si>
  <si>
    <t xml:space="preserve">承 F-07 或製造一次失敗</t>
  </si>
  <si>
    <t xml:space="preserve">檢視 LLM 失敗紀錄頁 / `llm_fail_log`</t>
  </si>
  <si>
    <t xml:space="preserve">失敗留下可下載的紀錄（時間、模型、錯誤），與畫面一致</t>
  </si>
  <si>
    <t xml:space="preserve"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</si>
  <si>
    <t xml:space="preserve">DEF-084</t>
  </si>
  <si>
    <t xml:space="preserve"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
R13（830056c 上 prod 前整份 one shot 重跑；Owner 6B：寫入留在 demo、不還原）：PASS — demo 真實瀏覽器（頁首 v0.1.28 · 830056c），demo 5／5 項檢查全過：資料中心 › AI 抽取失敗記錄「31 / 300 筆」＝下載 .jsonl 31 筆，逐筆有時間與錯誤；91ec1b0 之後寫入的 14 筆皆帶模型、unparsed_rows 皆帶 usage_id（本輪 F-04、F-05 的 #533、#534：gemini-2.5-flash-lite，usage 1130／1131）</t>
  </si>
  <si>
    <t xml:space="preserve">F-09</t>
  </si>
  <si>
    <t xml:space="preserve">搜尋（⌘K）模糊比對</t>
  </si>
  <si>
    <t xml:space="preserve">以代號／中文名／英文名各搜一次</t>
  </si>
  <si>
    <t xml:space="preserve">模糊比對正確、標示持倉／觀察、查無時有導引、方向鍵＋Enter 可開抽屜</t>
  </si>
  <si>
    <r>
      <rPr>
        <sz val="10"/>
        <rFont val="Arial"/>
        <family val="0"/>
        <charset val="1"/>
      </rPr>
      <t xml:space="preserve">⌘K </t>
    </r>
    <r>
      <rPr>
        <sz val="10"/>
        <rFont val="Noto Sans CJK SC"/>
        <family val="2"/>
      </rPr>
      <t xml:space="preserve">搜尋：「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台股・持倉；中文「台積」「聯發」→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</si>
  <si>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全面重跑）：⌘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搜尋（頁首「搜尋標的」）：「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、「聯發」→ 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美股・持倉、「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馬股・持倉、「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項檢查全過：代號 </t>
    </r>
    <r>
      <rPr>
        <sz val="10"/>
        <rFont val="Arial"/>
        <family val="0"/>
        <charset val="1"/>
      </rPr>
      <t xml:space="preserve">2330 →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台股・持倉」；中文「中華電」→「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中華電信 台股・觀察」；英文 </t>
    </r>
    <r>
      <rPr>
        <sz val="10"/>
        <rFont val="Arial"/>
        <family val="0"/>
        <charset val="1"/>
      </rPr>
      <t xml:space="preserve">Maybank → 1155 </t>
    </r>
    <r>
      <rPr>
        <sz val="10"/>
        <rFont val="Noto Sans CJK SC"/>
        <family val="2"/>
      </rPr>
      <t xml:space="preserve">持倉；查無時「查無標的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#sym=1155</t>
    </r>
    <r>
      <rPr>
        <sz val="10"/>
        <rFont val="Noto Sans CJK SC"/>
        <family val="2"/>
      </rPr>
      <t xml:space="preserve">）；無 </t>
    </r>
    <r>
      <rPr>
        <sz val="10"/>
        <rFont val="Arial"/>
        <family val="0"/>
        <charset val="1"/>
      </rPr>
      <t xml:space="preserve">lookup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：中文名稱用「聯發科」，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B-10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留下的放空部位顯示「持倉」而非檢查程式預期的「觀察」；改用觀察標的 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重跑</t>
    </r>
  </si>
  <si>
    <r>
      <rPr>
        <b val="true"/>
        <sz val="11"/>
        <rFont val="Arial"/>
        <family val="0"/>
        <charset val="1"/>
      </rPr>
      <t xml:space="preserve">G. AI </t>
    </r>
    <r>
      <rPr>
        <b val="true"/>
        <sz val="11"/>
        <rFont val="Noto Sans CJK SC"/>
        <family val="2"/>
      </rPr>
      <t xml:space="preserve">投資推斷建議（洞察卡）</t>
    </r>
  </si>
  <si>
    <t xml:space="preserve">G-01</t>
  </si>
  <si>
    <t xml:space="preserve">G</t>
  </si>
  <si>
    <t xml:space="preserve">產生洞察（單一任務）</t>
  </si>
  <si>
    <t xml:space="preserve">洞察管線中心；記錄目前 AI 額度與卡片數</t>
  </si>
  <si>
    <t xml:space="preserve">選一個 per_symbol 任務 → 產生洞察</t>
  </si>
  <si>
    <t xml:space="preserve">① 本次新產生卡數＋沿用當日快取卡數＋因名稱與代號不符未存卡數＝任務標的數，三個數字都寫在執行明細（「產生 N 張卡（M 張沿用當日快取）；K 張因名稱與代號不符未存」，為 0 的部分不寫）；K＞0 時執行狀態為「部分」；② 每張卡記錄 model／token／cost；③ 額度扣減＝該次執行記錄的花費（job_runs）＝用量帳本同時段各列加總；卡片 cost 只記產出該卡的那次呼叫（重試、名稱不符重問與備援前失敗的花費記在執行與用量帳本）；④ `job_runs` 留下一列；⑤ 每張新卡寫的「名稱（代號）」與「代號（名稱）」，名稱都是該代號在「標的管理」登錄的名稱或別名之一（Owner 2026-10-01 改寫：名稱與代號一致為第 8 題，結案後新增）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</si>
  <si>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（實測一批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張約 </t>
    </r>
    <r>
      <rPr>
        <sz val="10"/>
        <rFont val="Arial"/>
        <family val="0"/>
        <charset val="1"/>
      </rPr>
      <t xml:space="preserve">$0.02</t>
    </r>
    <r>
      <rPr>
        <sz val="10"/>
        <rFont val="Noto Sans CJK SC"/>
        <family val="2"/>
      </rPr>
      <t xml:space="preserve">）。卡片可留存或刪除</t>
    </r>
  </si>
  <si>
    <t xml:space="preserve">✅ 已驗（第三輪產 27 張）</t>
  </si>
  <si>
    <t xml:space="preserve"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</si>
  <si>
    <t xml:space="preserve">DEF-086, DEF-089</t>
  </si>
  <si>
    <t xml:space="preserve"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
R13（830056c 上 prod 前整份 one shot 重跑；Owner 6B：寫入留在 demo、不還原）：OBSERVE — demo 真實瀏覽器（頁首 v0.1.28 · 830056c），demo 7／8 項：以與精靈相同的 POST 建立單一標的任務 #32（2884，依 6B 留在 demo）→ run #257 ok「產生 1 張卡」：① 新卡 1＋沿用 0＋名稱不符未存 0＝任務標的數 1 ✓；② 卡 #264 記 haiku-4.5、9,942／5,412 tokens、cost 0.037002 ✓；③ 額度 3.1230711→3.0836994（−0.0393717）＝job_runs #257 執行花費 0.0393717＝同時段用量 3 列（gemini 截斷以估算計費 0.0009989、gemini 0.0013708、haiku 備援 0.037002），卡片 cost 只記產卡那次 ✓；④ job_runs 留下一列 ✓；⑤ 卡 #264 兩處寫「玉山金 (2884)」——2884 登錄名稱「玉山金控」、別名「E.SUN」「玉山」，「玉山金」不在其中；程式（name_check）刻意接受中文名稱兩字以上的開頭，執行未重問、卡片未標記 → 與手冊 ⑤ 衝突，開 DEF-089（低，規格未定，待 Owner 裁定）</t>
  </si>
  <si>
    <t xml:space="preserve">G-02</t>
  </si>
  <si>
    <t xml:space="preserve">數值檢核（真陽性）</t>
  </si>
  <si>
    <t xml:space="preserve">找一張卡片文字中的數字，比對 `insights.prompt_figures`</t>
  </si>
  <si>
    <t xml:space="preserve">卡片印出的數字若不在提示詞母體中（任何合理尺度下），必須標「數值待核」，tooltip 列出對不上的數字</t>
  </si>
  <si>
    <t xml:space="preserve">✅ 已驗（#172／#185／#188）</t>
  </si>
  <si>
    <r>
      <rPr>
        <sz val="10"/>
        <rFont val="Arial"/>
        <family val="0"/>
        <charset val="1"/>
      </rPr>
      <t xml:space="preserve">GET /api/insights 175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33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5.2 </t>
    </r>
    <r>
      <rPr>
        <sz val="10"/>
        <rFont val="Noto Sans CJK SC"/>
        <family val="2"/>
      </rPr>
      <t xml:space="preserve">兆，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4,589.17 </t>
    </r>
    <r>
      <rPr>
        <sz val="10"/>
        <rFont val="Noto Sans CJK SC"/>
        <family val="2"/>
      </rPr>
      <t xml:space="preserve">億，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畫面：</t>
    </r>
    <r>
      <rPr>
        <sz val="10"/>
        <rFont val="Arial"/>
        <family val="0"/>
        <charset val="1"/>
      </rPr>
      <t xml:space="preserve">NVDA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卡片顯示「數值待核」，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億／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 這些數字未出現在餵給模型的資料中，請以儀表板數字為準」</t>
    </r>
  </si>
  <si>
    <r>
      <rPr>
        <sz val="10"/>
        <rFont val="Arial"/>
        <family val="0"/>
        <charset val="1"/>
      </rPr>
      <t xml:space="preserve">#173 </t>
    </r>
    <r>
      <rPr>
        <sz val="10"/>
        <rFont val="Noto Sans CJK SC"/>
        <family val="2"/>
      </rPr>
      <t xml:space="preserve">兩個數字是兩個帳戶的加總（</t>
    </r>
    <r>
      <rPr>
        <sz val="10"/>
        <rFont val="Arial"/>
        <family val="0"/>
        <charset val="1"/>
      </rPr>
      <t xml:space="preserve">85.03925+10.00646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95.04571 </t>
    </r>
    <r>
      <rPr>
        <sz val="10"/>
        <rFont val="Noto Sans CJK SC"/>
        <family val="2"/>
      </rPr>
      <t xml:space="preserve">股；兩帳戶原始成本合計 </t>
    </r>
    <r>
      <rPr>
        <sz val="10"/>
        <rFont val="Arial"/>
        <family val="0"/>
        <charset val="1"/>
      </rPr>
      <t xml:space="preserve">15,916</t>
    </r>
    <r>
      <rPr>
        <sz val="10"/>
        <rFont val="Noto Sans CJK SC"/>
        <family val="2"/>
      </rPr>
      <t xml:space="preserve">），確實不在母體中，依規則標記正確；站上未對外提供 </t>
    </r>
    <r>
      <rPr>
        <sz val="10"/>
        <rFont val="Arial"/>
        <family val="0"/>
        <charset val="1"/>
      </rPr>
      <t xml:space="preserve">prompt_figures</t>
    </r>
    <r>
      <rPr>
        <sz val="10"/>
        <rFont val="Noto Sans CJK SC"/>
        <family val="2"/>
      </rPr>
      <t xml:space="preserve">，母體比對以卡片原文＋個股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交叉確認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GET /api/insights 209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67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張真陽性未變：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」；其後新增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張皆為模型自行加總或推算、母體中沒有的數字：</t>
    </r>
    <r>
      <rPr>
        <sz val="10"/>
        <rFont val="Arial"/>
        <family val="0"/>
        <charset val="1"/>
      </rPr>
      <t xml:space="preserve">#220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86.15%</t>
    </r>
    <r>
      <rPr>
        <sz val="10"/>
        <rFont val="Noto Sans CJK SC"/>
        <family val="2"/>
      </rPr>
      <t xml:space="preserve">」（＝</t>
    </r>
    <r>
      <rPr>
        <sz val="10"/>
        <rFont val="Arial"/>
        <family val="0"/>
        <charset val="1"/>
      </rPr>
      <t xml:space="preserve">56.96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17.66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11.53</t>
    </r>
    <r>
      <rPr>
        <sz val="10"/>
        <rFont val="Noto Sans CJK SC"/>
        <family val="2"/>
      </rPr>
      <t xml:space="preserve">）、「</t>
    </r>
    <r>
      <rPr>
        <sz val="10"/>
        <rFont val="Arial"/>
        <family val="0"/>
        <charset val="1"/>
      </rPr>
      <t xml:space="preserve">36,396,555.00</t>
    </r>
    <r>
      <rPr>
        <sz val="10"/>
        <rFont val="Noto Sans CJK SC"/>
        <family val="2"/>
      </rPr>
      <t xml:space="preserve">」（標為台股總市值，實際台股市值 </t>
    </r>
    <r>
      <rPr>
        <sz val="10"/>
        <rFont val="Arial"/>
        <family val="0"/>
        <charset val="1"/>
      </rPr>
      <t xml:space="preserve">31,974,740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98.8%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萬」「</t>
    </r>
    <r>
      <rPr>
        <sz val="10"/>
        <rFont val="Arial"/>
        <family val="0"/>
        <charset val="1"/>
      </rPr>
      <t xml:space="preserve">68.75%</t>
    </r>
    <r>
      <rPr>
        <sz val="10"/>
        <rFont val="Noto Sans CJK SC"/>
        <family val="2"/>
      </rPr>
      <t xml:space="preserve">」與斷開的「</t>
    </r>
    <r>
      <rPr>
        <sz val="10"/>
        <rFont val="Arial"/>
        <family val="0"/>
        <charset val="1"/>
      </rPr>
      <t xml:space="preserve">4575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7075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114,074.98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290</t>
    </r>
    <r>
      <rPr>
        <sz val="10"/>
        <rFont val="Noto Sans CJK SC"/>
        <family val="2"/>
      </rPr>
      <t xml:space="preserve">」（推算價位）、</t>
    </r>
    <r>
      <rPr>
        <sz val="10"/>
        <rFont val="Arial"/>
        <family val="0"/>
        <charset val="1"/>
      </rPr>
      <t xml:space="preserve">#197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94.7%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18/19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#216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14%</t>
    </r>
    <r>
      <rPr>
        <sz val="10"/>
        <rFont val="Noto Sans CJK SC"/>
        <family val="2"/>
      </rPr>
      <t xml:space="preserve">」與 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32%</t>
    </r>
    <r>
      <rPr>
        <sz val="10"/>
        <rFont val="Noto Sans CJK SC"/>
        <family val="2"/>
      </rPr>
      <t xml:space="preserve">」（母體為 </t>
    </r>
    <r>
      <rPr>
        <sz val="10"/>
        <rFont val="Arial"/>
        <family val="0"/>
        <charset val="1"/>
      </rPr>
      <t xml:space="preserve">14.8%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32.54%</t>
    </r>
    <r>
      <rPr>
        <sz val="10"/>
        <rFont val="Noto Sans CJK SC"/>
        <family val="2"/>
      </rPr>
      <t xml:space="preserve">，差距 </t>
    </r>
    <r>
      <rPr>
        <sz val="10"/>
        <rFont val="Arial"/>
        <family val="0"/>
        <charset val="1"/>
      </rPr>
      <t xml:space="preserve">&gt;0.5%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洞察頁這些卡顯示「數值待核」，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「對不上的數字：… 這些數字未出現在餵給模型的資料中，請以儀表板數字為準」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項檢查全過：數值待核卡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張，每個被標的數字都印在卡上；頁面「數值待核」徽章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列出對不上的數字（例「對不上的數字：</t>
    </r>
    <r>
      <rPr>
        <sz val="10"/>
        <rFont val="Arial"/>
        <family val="0"/>
        <charset val="1"/>
      </rPr>
      <t xml:space="preserve">36,396,555.00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86.15%…</t>
    </r>
    <r>
      <rPr>
        <sz val="10"/>
        <rFont val="Noto Sans CJK SC"/>
        <family val="2"/>
      </rPr>
      <t xml:space="preserve">」）</t>
    </r>
  </si>
  <si>
    <t xml:space="preserve">G-03</t>
  </si>
  <si>
    <t xml:space="preserve">數值檢核（不得誤報）</t>
  </si>
  <si>
    <t xml:space="preserve">檢視有母體的卡片中含單位的數字（兆／億／萬／千萬／百萬／B／T／混合數字）</t>
  </si>
  <si>
    <t xml:space="preserve">只要與母體數字在 0.5% 內相符即**不得**標記；單位換算需正確（4.51 兆 = 4.51×10¹²）</t>
  </si>
  <si>
    <t xml:space="preserve">✅ 已驗（21 個單位 token）</t>
  </si>
  <si>
    <r>
      <rPr>
        <sz val="10"/>
        <rFont val="Arial"/>
        <family val="0"/>
        <charset val="1"/>
      </rPr>
      <t xml:space="preserve">33 </t>
    </r>
    <r>
      <rPr>
        <sz val="10"/>
        <rFont val="Noto Sans CJK SC"/>
        <family val="2"/>
      </rPr>
      <t xml:space="preserve">張有母體的卡片共 </t>
    </r>
    <r>
      <rPr>
        <sz val="10"/>
        <rFont val="Arial"/>
        <family val="0"/>
        <charset val="1"/>
      </rPr>
      <t xml:space="preserve">164 </t>
    </r>
    <r>
      <rPr>
        <sz val="10"/>
        <rFont val="Noto Sans CJK SC"/>
        <family val="2"/>
      </rPr>
      <t xml:space="preserve">個含單位數字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（兆／億／萬／千萬／百萬／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K…</t>
    </r>
    <r>
      <rPr>
        <sz val="10"/>
        <rFont val="Noto Sans CJK SC"/>
        <family val="2"/>
      </rPr>
      <t xml:space="preserve">），被標記者僅 </t>
    </r>
    <r>
      <rPr>
        <sz val="10"/>
        <rFont val="Arial"/>
        <family val="0"/>
        <charset val="1"/>
      </rPr>
      <t xml:space="preserve">G-02 </t>
    </r>
    <r>
      <rPr>
        <sz val="10"/>
        <rFont val="Noto Sans CJK SC"/>
        <family val="2"/>
      </rPr>
      <t xml:space="preserve">所列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張；以「兆」表達的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</si>
  <si>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67 </t>
    </r>
    <r>
      <rPr>
        <sz val="10"/>
        <rFont val="Noto Sans CJK SC"/>
        <family val="2"/>
      </rPr>
      <t xml:space="preserve">張有母體的卡片中，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的「兆」例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仍皆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（未誤報）；新增的待核數字逐一以卡片原文與當時資料交叉確認，皆為模型推算或與母體差距 </t>
    </r>
    <r>
      <rPr>
        <sz val="10"/>
        <rFont val="Arial"/>
        <family val="0"/>
        <charset val="1"/>
      </rPr>
      <t xml:space="preserve">&gt;0.5% </t>
    </r>
    <r>
      <rPr>
        <sz val="10"/>
        <rFont val="Noto Sans CJK SC"/>
        <family val="2"/>
      </rPr>
      <t xml:space="preserve">的數字，未見母體內數字被誤標；本輪新產生的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亦無誤標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MSFT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）含「兆」等單位的數字皆未被標；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張可核卡中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個帶單位數字被標（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已逐一確認屬模型推導）</t>
    </r>
  </si>
  <si>
    <t xml:space="preserve">G-04</t>
  </si>
  <si>
    <t xml:space="preserve">代號與名稱檢核</t>
  </si>
  <si>
    <r>
      <rPr>
        <sz val="10"/>
        <rFont val="Arial"/>
        <family val="0"/>
        <charset val="1"/>
      </rPr>
      <t xml:space="preserve">① demo</t>
    </r>
    <r>
      <rPr>
        <sz val="10"/>
        <rFont val="Noto Sans CJK SC"/>
        <family val="2"/>
      </rPr>
      <t xml:space="preserve">；② 本機專用測試環境（同一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等案例已用），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已登錄且別名含「大立光」</t>
    </r>
  </si>
  <si>
    <t xml:space="preserve">① demo：檢視所有卡片（含本輪新產生的）括號內的代號與名稱；② 本機：對一個含 3008 的 per_symbol 任務，以假 AI 產生三次——(a) 回覆提到未登錄的「LRDIM (6883)」；(b) 兩次都回「聯詠 (3008)」；(c) 第一次回「聯詠 (3008)」、重問後回「大立光 (3008)」</t>
  </si>
  <si>
    <t xml:space="preserve">① demo：指標（MA20／RSI14）、縮寫（PE／ETF）、幣別不得誤報；登錄標的的名稱或別名（例「3008 (LARGAN)」「大立光 (3008)」）不得標為未知代碼；② 本機 (a)：該卡顯示「未知代碼：6883」；(b)：不存卡，執行狀態「部分」、明細含「1 張因名稱與代號不符未存」，用量帳本新增 2 列；(c)：存下的卡寫「大立光 (3008)」，執行成功，用量帳本新增 2 列，卡片 cost 只記第二次呼叫（Owner 2026-10-01 改寫：#82 已更正，demo 已無真陽性；名稱與代號一致為第 8 題，結案後新增）</t>
  </si>
  <si>
    <t xml:space="preserve">① 唯讀；② 只寫本機的資料庫副本</t>
  </si>
  <si>
    <t xml:space="preserve">✅ 已驗（誤報 48 → 1）</t>
  </si>
  <si>
    <r>
      <rPr>
        <sz val="10"/>
        <rFont val="Arial"/>
        <family val="0"/>
        <charset val="1"/>
      </rPr>
      <t xml:space="preserve">175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158 </t>
    </r>
    <r>
      <rPr>
        <sz val="10"/>
        <rFont val="Noto Sans CJK SC"/>
        <family val="2"/>
      </rPr>
      <t xml:space="preserve">種，非標的者含 </t>
    </r>
    <r>
      <rPr>
        <sz val="10"/>
        <rFont val="Arial"/>
        <family val="0"/>
        <charset val="1"/>
      </rPr>
      <t xml:space="preserve">ROE 35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TWD 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MYR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MA60 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MA200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YoY 7 </t>
    </r>
    <r>
      <rPr>
        <sz val="10"/>
        <rFont val="Noto Sans CJK SC"/>
        <family val="2"/>
      </rPr>
      <t xml:space="preserve">等，全部未被列入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；唯一被標者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，不在持倉／觀察／已註冊）→ 畫面「未知代碼」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卡片提到的代號不在持倉、觀察清單或已註冊標的中，可能是模型幻覺」</t>
    </r>
  </si>
  <si>
    <t xml:space="preserve">DEF-082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</si>
  <si>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種（</t>
    </r>
    <r>
      <rPr>
        <sz val="10"/>
        <rFont val="Arial"/>
        <family val="0"/>
        <charset val="1"/>
      </rPr>
      <t xml:space="preserve">1155 67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2330 58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ROE 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14 </t>
    </r>
    <r>
      <rPr>
        <sz val="10"/>
        <rFont val="Noto Sans CJK SC"/>
        <family val="2"/>
      </rPr>
      <t xml:space="preserve">等），指標、縮寫、幣別皆未被列入 </t>
    </r>
    <r>
      <rPr>
        <sz val="10"/>
        <rFont val="Arial"/>
        <family val="0"/>
        <charset val="1"/>
      </rPr>
      <t xml:space="preserve">unknown_symbols ✓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）仍標「未知代碼：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可能是模型幻覺」✓。✗ 新發現誤報：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產生的台股週報，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」，括號內是已註冊且持有中的標的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的名稱（</t>
    </r>
    <r>
      <rPr>
        <sz val="10"/>
        <rFont val="Arial"/>
        <family val="0"/>
        <charset val="1"/>
      </rPr>
      <t xml:space="preserve">GET /api/instruments 3008 name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"LARGAN"</t>
    </r>
    <r>
      <rPr>
        <sz val="10"/>
        <rFont val="Noto Sans CJK SC"/>
        <family val="2"/>
      </rPr>
      <t xml:space="preserve">），卻被列入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卡片提到的代號不在持倉、觀察清單或已註冊標的中，可能是模型幻覺」。全部卡片中括號內寫已註冊標的名稱者僅此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張，</t>
    </r>
    <r>
      <rPr>
        <sz val="10"/>
        <rFont val="Arial"/>
        <family val="0"/>
        <charset val="1"/>
      </rPr>
      <t xml:space="preserve">1/1 </t>
    </r>
    <r>
      <rPr>
        <sz val="10"/>
        <rFont val="Noto Sans CJK SC"/>
        <family val="2"/>
      </rPr>
      <t xml:space="preserve">被誤標。定位（讀碼）：</t>
    </r>
    <r>
      <rPr>
        <sz val="10"/>
        <rFont val="Arial"/>
        <family val="0"/>
        <charset val="1"/>
      </rPr>
      <t xml:space="preserve">llm_insight/figure_check.py:151 _CODE_RE </t>
    </r>
    <r>
      <rPr>
        <sz val="10"/>
        <rFont val="Noto Sans CJK SC"/>
        <family val="2"/>
      </rPr>
      <t xml:space="preserve">把全大寫英文名視同代號，</t>
    </r>
    <r>
      <rPr>
        <sz val="10"/>
        <rFont val="Arial"/>
        <family val="0"/>
        <charset val="1"/>
      </rPr>
      <t xml:space="preserve">:466 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known symbols</t>
    </r>
    <r>
      <rPr>
        <sz val="10"/>
        <rFont val="Noto Sans CJK SC"/>
        <family val="2"/>
      </rPr>
      <t xml:space="preserve">，不比對已註冊標的名稱；該檔自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未變更，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時沒有這種寫法的卡片，屬既有規則的漏網、本輪資料才暴露，非回歸 → 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demo 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」不再標「未知代碼」（</t>
    </r>
    <r>
      <rPr>
        <sz val="10"/>
        <rFont val="Arial"/>
        <family val="0"/>
        <charset val="1"/>
      </rPr>
      <t xml:space="preserve">unknown_symbols []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」仍標「未知代碼：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張卡未知代碼只剩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；指標、縮寫、幣別仍不誤報（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）。本機：名稱形式不分大小寫、整名＋多字名稱的單字放行，全數字與單一字母仍標（依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情境皆符合：①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225 </t>
    </r>
    <r>
      <rPr>
        <sz val="10"/>
        <rFont val="Noto Sans CJK SC"/>
        <family val="2"/>
      </rPr>
      <t xml:space="preserve">張卡：指標（</t>
    </r>
    <r>
      <rPr>
        <sz val="10"/>
        <rFont val="Arial"/>
        <family val="0"/>
        <charset val="1"/>
      </rPr>
      <t xml:space="preserve">MA20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RSI14</t>
    </r>
    <r>
      <rPr>
        <sz val="10"/>
        <rFont val="Noto Sans CJK SC"/>
        <family val="2"/>
      </rPr>
      <t xml:space="preserve">）、縮寫（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ETF</t>
    </r>
    <r>
      <rPr>
        <sz val="10"/>
        <rFont val="Noto Sans CJK SC"/>
        <family val="2"/>
      </rPr>
      <t xml:space="preserve">）、幣別與已登錄標的皆未被標未知代碼（被標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張）；寫「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」或「大立光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張皆未標；頁面「未知代碼」徽章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個。驗證者另掃名稱／代號配對：一致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種、中文簡稱前段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處（見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DEF-089</t>
    </r>
    <r>
      <rPr>
        <sz val="10"/>
        <rFont val="Noto Sans CJK SC"/>
        <family val="2"/>
      </rPr>
      <t xml:space="preserve">）；另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#103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2454 (`held: false`)</t>
    </r>
    <r>
      <rPr>
        <sz val="10"/>
        <rFont val="Noto Sans CJK SC"/>
        <family val="2"/>
      </rPr>
      <t xml:space="preserve">」括號內是欄位文字而非名稱，屬掃描誤判。② 本機（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資料庫副本補登 </t>
    </r>
    <r>
      <rPr>
        <sz val="10"/>
        <rFont val="Arial"/>
        <family val="0"/>
        <charset val="1"/>
      </rPr>
      <t xml:space="preserve">3008 LARGAN </t>
    </r>
    <r>
      <rPr>
        <sz val="10"/>
        <rFont val="Noto Sans CJK SC"/>
        <family val="2"/>
      </rPr>
      <t xml:space="preserve">並套用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的別名清單，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別名「大立光」「大立光電」；假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、非憑證假金鑰）：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回覆提到未登錄「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#20 </t>
    </r>
    <r>
      <rPr>
        <sz val="10"/>
        <rFont val="Noto Sans CJK SC"/>
        <family val="2"/>
      </rPr>
      <t xml:space="preserve">存下、</t>
    </r>
    <r>
      <rPr>
        <sz val="10"/>
        <rFont val="Arial"/>
        <family val="0"/>
        <charset val="1"/>
      </rPr>
      <t xml:space="preserve">unknown_symbols ["6883"]</t>
    </r>
    <r>
      <rPr>
        <sz val="10"/>
        <rFont val="Noto Sans CJK SC"/>
        <family val="2"/>
      </rPr>
      <t xml:space="preserve">、徽章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run #36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張卡」；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兩次都回「聯詠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不存卡，</t>
    </r>
    <r>
      <rPr>
        <sz val="10"/>
        <rFont val="Arial"/>
        <family val="0"/>
        <charset val="1"/>
      </rPr>
      <t xml:space="preserve">run #37 </t>
    </r>
    <r>
      <rPr>
        <sz val="10"/>
        <rFont val="Noto Sans CJK SC"/>
        <family val="2"/>
      </rPr>
      <t xml:space="preserve">狀態「部分」、明細「產生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＝執行花費＝額度扣減）；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先回「聯詠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」、重問後回「大立光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#21</t>
    </r>
    <r>
      <rPr>
        <sz val="10"/>
        <rFont val="Noto Sans CJK SC"/>
        <family val="2"/>
      </rPr>
      <t xml:space="preserve">「大立光 </t>
    </r>
    <r>
      <rPr>
        <sz val="10"/>
        <rFont val="Arial"/>
        <family val="0"/>
        <charset val="1"/>
      </rPr>
      <t xml:space="preserve">(3008) </t>
    </r>
    <r>
      <rPr>
        <sz val="10"/>
        <rFont val="Noto Sans CJK SC"/>
        <family val="2"/>
      </rPr>
      <t xml:space="preserve">營運觀察」，</t>
    </r>
    <r>
      <rPr>
        <sz val="10"/>
        <rFont val="Arial"/>
        <family val="0"/>
        <charset val="1"/>
      </rPr>
      <t xml:space="preserve">run #38 ok</t>
    </r>
    <r>
      <rPr>
        <sz val="10"/>
        <rFont val="Noto Sans CJK SC"/>
        <family val="2"/>
      </rPr>
      <t xml:space="preserve">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0.00045</t>
    </r>
    <r>
      <rPr>
        <sz val="10"/>
        <rFont val="Noto Sans CJK SC"/>
        <family val="2"/>
      </rPr>
      <t xml:space="preserve">），卡片 </t>
    </r>
    <r>
      <rPr>
        <sz val="10"/>
        <rFont val="Arial"/>
        <family val="0"/>
        <charset val="1"/>
      </rPr>
      <t xml:space="preserve">cost 0.00027 </t>
    </r>
    <r>
      <rPr>
        <sz val="10"/>
        <rFont val="Noto Sans CJK SC"/>
        <family val="2"/>
      </rPr>
      <t xml:space="preserve">只記第二次</t>
    </r>
  </si>
  <si>
    <t xml:space="preserve">G-05</t>
  </si>
  <si>
    <t xml:space="preserve">第三態：無母體</t>
  </si>
  <si>
    <t xml:space="preserve">檢視 `prompt_figures` 為空的舊卡</t>
  </si>
  <si>
    <t xml:space="preserve">顯示「無快照可核」而**不是**乾淨無標記</t>
  </si>
  <si>
    <t xml:space="preserve">✅ 已驗（142 張）</t>
  </si>
  <si>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141 </t>
    </r>
    <r>
      <rPr>
        <sz val="10"/>
        <rFont val="Noto Sans CJK SC"/>
        <family val="2"/>
      </rPr>
      <t xml:space="preserve">張無其他旗標＋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帶未知代碼）；洞察卡頁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張卡中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張顯示「無快照可核」，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</si>
  <si>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之前產生）；洞察卡頁顯示的卡中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處「無快照可核」，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prompt_figures </t>
    </r>
    <r>
      <rPr>
        <sz val="10"/>
        <rFont val="Noto Sans CJK SC"/>
        <family val="2"/>
      </rPr>
      <t xml:space="preserve">為空的舊卡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之前產生），無法核對卡片中的數字」；較新卡不顯示</t>
    </r>
  </si>
  <si>
    <t xml:space="preserve">G-06</t>
  </si>
  <si>
    <t xml:space="preserve">預測欄位顯示</t>
  </si>
  <si>
    <t xml:space="preserve">檢視卡片的信心與預測</t>
  </si>
  <si>
    <t xml:space="preserve">信心以整數百分比顯示；信心 0 有 tooltip「模型自評信心 0%（極低）— 非未提供」；無預測顯示「純描述・無預測」</t>
  </si>
  <si>
    <t xml:space="preserve">✅ 已驗（11 種信心值）</t>
  </si>
  <si>
    <t xml:space="preserve"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</si>
  <si>
    <t xml:space="preserve">DEF-003</t>
  </si>
  <si>
    <r>
      <rPr>
        <sz val="10"/>
        <rFont val="Arial"/>
        <family val="0"/>
        <charset val="1"/>
      </rPr>
      <t xml:space="preserve">web/insights.html:317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決定顯示，與手冊「無預測顯示純描述・無預測」的判準（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）不同；需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裁定以哪個欄位為準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裁定：無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一律「純描述・無預測」、不顯示信心、不進校準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49 </t>
    </r>
    <r>
      <rPr>
        <sz val="10"/>
        <rFont val="Noto Sans CJK SC"/>
        <family val="2"/>
      </rPr>
      <t xml:space="preserve">張無預測卡皆無信心值）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張皆不顯示信心、標「純描述・無預測」；信心為整數百分比（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）；信心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的卡 </t>
    </r>
    <r>
      <rPr>
        <sz val="10"/>
        <rFont val="Arial"/>
        <family val="0"/>
        <charset val="1"/>
      </rPr>
      <t xml:space="preserve">#151 </t>
    </r>
    <r>
      <rPr>
        <sz val="10"/>
        <rFont val="Noto Sans CJK SC"/>
        <family val="2"/>
      </rPr>
      <t xml:space="preserve">不在第一頁</t>
    </r>
  </si>
  <si>
    <t xml:space="preserve">G-07</t>
  </si>
  <si>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評分</t>
    </r>
  </si>
  <si>
    <t xml:space="preserve">有已到期的預測卡</t>
  </si>
  <si>
    <t xml:space="preserve">執行 `evaluate_insights` 或等待排程 → 檢視 AI 戰績</t>
  </si>
  <si>
    <t xml:space="preserve">① 到期卡被評分；② 命中率與校準曲線更新；③ 未到期卡不得被評分</t>
  </si>
  <si>
    <t xml:space="preserve">會寫入評分資料</t>
  </si>
  <si>
    <t xml:space="preserve"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</si>
  <si>
    <t xml:space="preserve"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4／4 項、本機 4／4 項檢查全過：demo：evaluate_insights 立即執行 run #258「評分 12 張、延後 0 張；晉升：無」，AI 戰績 n 112→124；57 張未到期（最早 2026-10-01 17:25）未被評分；同時段 12 列 master_score 用量 0.0026338。本機時鐘推進：到期 18 張全評（run #31「評分 18 張、延後 0 張；晉升：個股健檢 v3」，$0.00486）、totals n 36→45、18 張未到期無一被評</t>
  </si>
  <si>
    <t xml:space="preserve">G-08</t>
  </si>
  <si>
    <t xml:space="preserve">影子批次與自動晉升</t>
  </si>
  <si>
    <t xml:space="preserve">設定 › 進化設定</t>
  </si>
  <si>
    <t xml:space="preserve">產生一批 shadow 卡 → 檢視是否影響正式卡 → 達標後晉升</t>
  </si>
  <si>
    <r>
      <rPr>
        <sz val="10"/>
        <rFont val="Arial"/>
        <family val="0"/>
        <charset val="1"/>
      </rPr>
      <t xml:space="preserve">① shadow </t>
    </r>
    <r>
      <rPr>
        <sz val="10"/>
        <rFont val="Noto Sans CJK SC"/>
        <family val="2"/>
      </rPr>
      <t xml:space="preserve">卡不出現在正式清單；② 最低樣本數與安全邊界生效；③ 晉升後版本號變更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</si>
  <si>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；建議在非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</si>
  <si>
    <t xml:space="preserve"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</si>
  <si>
    <t xml:space="preserve">DEF-069, DEF-070, DEF-071, DEF-073, DEF-079, DEF-080</t>
  </si>
  <si>
    <t xml:space="preserve"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R13（830056c 上 prod 前整份 one shot 重跑；Owner 6B：寫入留在 demo、不還原）：PASS — 本機專用測試環境（同一 commit 830056c、demo 資料庫副本、假報價／假 LLM、無外網；手冊 §9），本機 8／8 項檢查全過：本機：最低樣本 20 →「產生 0 版；略過 2 個任務（個股健檢 新樣本 9／門檻 20、持倉建議與提點 新樣本 0／門檻 20）」；越權內文 →「驗證器拒絕 1 版（個股健檢：越權/幣別混算關鍵字：加碼）」；正常 →「產生 1 版（個股健檢 v1・失誤樣本 7 筆）」；批次未滿「晉升：無」、滿後「晉升：個股健檢 v2」；取消生效 → null、設為生效 → 2；影子卡 0 張進入正式清單（平面 27／分組 27，表內影子 9）</t>
  </si>
  <si>
    <t xml:space="preserve">G-09</t>
  </si>
  <si>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觸發產卡</t>
    </r>
  </si>
  <si>
    <t xml:space="preserve">設定一條會觸發的預警規則</t>
  </si>
  <si>
    <t xml:space="preserve">觸發預警 → 檢視是否產生對應洞察</t>
  </si>
  <si>
    <t xml:space="preserve">預警觸發的 scope 正確、卡片與預警關聯可追溯；**僅持有中的標的會產卡**，觀察清單標的的預警仍列在預警清單但不產卡（2026-09-24 owner 裁定 DEF-041）</t>
  </si>
  <si>
    <t xml:space="preserve">會花費額度</t>
  </si>
  <si>
    <t xml:space="preserve"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</si>
  <si>
    <t xml:space="preserve">DEF-037, DEF-041, DEF-044, DEF-046, DEF-054, DEF-066, DEF-083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</si>
  <si>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裁定新增期望「僅持有中的標的產卡」→ 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（排程中心原始帳戶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錯誤卡，裁定刪除）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（錯卡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已裁定刪除）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DEF-054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與評分已刪、無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：附帶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複驗時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派發 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因備援缺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複驗通過結案（本機假服務：主模型截斷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＋備援 </t>
    </r>
    <r>
      <rPr>
        <sz val="10"/>
        <rFont val="Arial"/>
        <family val="0"/>
        <charset val="1"/>
      </rPr>
      <t xml:space="preserve">HTTP 500 → </t>
    </r>
    <r>
      <rPr>
        <sz val="10"/>
        <rFont val="Noto Sans CJK SC"/>
        <family val="2"/>
      </rPr>
      <t xml:space="preserve">明細分列兩者原因、無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一次後重試成功；</t>
    </r>
    <r>
      <rPr>
        <sz val="10"/>
        <rFont val="Arial"/>
        <family val="0"/>
        <charset val="1"/>
      </rPr>
      <t xml:space="preserve">401 </t>
    </r>
    <r>
      <rPr>
        <sz val="10"/>
        <rFont val="Noto Sans CJK SC"/>
        <family val="2"/>
      </rPr>
      <t xml:space="preserve">不重試改走備援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FAIL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#213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#240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#246</t>
    </r>
    <r>
      <rPr>
        <sz val="10"/>
        <rFont val="Noto Sans CJK SC"/>
        <family val="2"/>
      </rPr>
      <t xml:space="preserve">）皆為持有標的且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）失敗：「主模型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）」，失敗記錄 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」→ 備援在真實供應商上一律被拒，開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（中）。花費 </t>
    </r>
    <r>
      <rPr>
        <sz val="10"/>
        <rFont val="Arial"/>
        <family val="0"/>
        <charset val="1"/>
      </rPr>
      <t xml:space="preserve">$0.0046685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交由開發者修復，修復後複驗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項＋第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項以工作紀錄終值判讀，見下）：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#234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#252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#259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 run #235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#242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）皆為持有標的，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那張 </t>
    </r>
    <r>
      <rPr>
        <sz val="10"/>
        <rFont val="Arial"/>
        <family val="0"/>
        <charset val="1"/>
      </rPr>
      <t xml:space="preserve">#259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44.9000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在真實供應商上被實際用到：</t>
    </r>
    <r>
      <rPr>
        <sz val="10"/>
        <rFont val="Arial"/>
        <family val="0"/>
        <charset val="1"/>
      </rPr>
      <t xml:space="preserve">5225 </t>
    </r>
    <r>
      <rPr>
        <sz val="10"/>
        <rFont val="Noto Sans CJK SC"/>
        <family val="2"/>
      </rPr>
      <t xml:space="preserve">那張（</t>
    </r>
    <r>
      <rPr>
        <sz val="10"/>
        <rFont val="Arial"/>
        <family val="0"/>
        <charset val="1"/>
      </rPr>
      <t xml:space="preserve">run #239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連續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（失敗記錄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）→ 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產出卡 </t>
    </r>
    <r>
      <rPr>
        <sz val="10"/>
        <rFont val="Arial"/>
        <family val="0"/>
        <charset val="1"/>
      </rPr>
      <t xml:space="preserve">#256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$0.0104</t>
    </r>
    <r>
      <rPr>
        <sz val="10"/>
        <rFont val="Noto Sans CJK SC"/>
        <family val="2"/>
      </rPr>
      <t xml:space="preserve">），全程無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。花費 </t>
    </r>
    <r>
      <rPr>
        <sz val="10"/>
        <rFont val="Arial"/>
        <family val="0"/>
        <charset val="1"/>
      </rPr>
      <t xml:space="preserve">$0.0153415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張卡）；測後兩個目標價清回。檢查程式標記的唯一一項是「</t>
    </r>
    <r>
      <rPr>
        <sz val="10"/>
        <rFont val="Arial"/>
        <family val="0"/>
        <charset val="1"/>
      </rPr>
      <t xml:space="preserve">alert_scan ok</t>
    </r>
    <r>
      <rPr>
        <sz val="10"/>
        <rFont val="Noto Sans CJK SC"/>
        <family val="2"/>
      </rPr>
      <t xml:space="preserve">」：程式只等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秒，讀到時 </t>
    </r>
    <r>
      <rPr>
        <sz val="10"/>
        <rFont val="Arial"/>
        <family val="0"/>
        <charset val="1"/>
      </rPr>
      <t xml:space="preserve">run #234 </t>
    </r>
    <r>
      <rPr>
        <sz val="10"/>
        <rFont val="Noto Sans CJK SC"/>
        <family val="2"/>
      </rPr>
      <t xml:space="preserve">仍在執行（它要等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張卡派發完），實際於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結束、明細如上——屬驗證者檢查程式的等待時間不足，產品行為全部符合期望；未重跑本題，檢查程式已把等待改為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（持有）目標下限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#252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」稱呼帳戶）；新卡 </t>
    </r>
    <r>
      <rPr>
        <sz val="10"/>
        <rFont val="Arial"/>
        <family val="0"/>
        <charset val="1"/>
      </rPr>
      <t xml:space="preserve">#263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5995.0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✓、新卡皆為持有標的 ✓；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：產卡的 </t>
    </r>
    <r>
      <rPr>
        <sz val="10"/>
        <rFont val="Arial"/>
        <family val="0"/>
        <charset val="1"/>
      </rPr>
      <t xml:space="preserve">insight:9 run #253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＝其唯一一列用量（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4,270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765</t>
    </r>
    <r>
      <rPr>
        <sz val="10"/>
        <rFont val="Noto Sans CJK SC"/>
        <family val="2"/>
      </rPr>
      <t xml:space="preserve">），派發它的 </t>
    </r>
    <r>
      <rPr>
        <sz val="10"/>
        <rFont val="Arial"/>
        <family val="0"/>
        <charset val="1"/>
      </rPr>
      <t xml:space="preserve">alert_scan #252 </t>
    </r>
    <r>
      <rPr>
        <sz val="10"/>
        <rFont val="Noto Sans CJK SC"/>
        <family val="2"/>
      </rPr>
      <t xml:space="preserve">本身記「—」（巢狀只記最內層，未重複計）；花費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；兩個目標價已清回。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：同樣以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觸發，但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目標價穿越（及其餘預警）已於同日 </t>
    </r>
    <r>
      <rPr>
        <sz val="10"/>
        <rFont val="Arial"/>
        <family val="0"/>
        <charset val="1"/>
      </rPr>
      <t xml:space="preserve">01:08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派發過，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派發對同一（規則、標的）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小時去抖（</t>
    </r>
    <r>
      <rPr>
        <sz val="10"/>
        <rFont val="Arial"/>
        <family val="0"/>
        <charset val="1"/>
      </rPr>
      <t xml:space="preserve">jobs.py alert_scan </t>
    </r>
    <r>
      <rPr>
        <sz val="10"/>
        <rFont val="Noto Sans CJK SC"/>
        <family val="2"/>
      </rPr>
      <t xml:space="preserve">的設計），</t>
    </r>
    <r>
      <rPr>
        <sz val="10"/>
        <rFont val="Arial"/>
        <family val="0"/>
        <charset val="1"/>
      </rPr>
      <t xml:space="preserve">run #250</t>
    </r>
    <r>
      <rPr>
        <sz val="10"/>
        <rFont val="Noto Sans CJK SC"/>
        <family val="2"/>
      </rPr>
      <t xml:space="preserve">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張」、未產卡；改用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小時內未派發過的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重跑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項檢查全過：（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B-10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留下的放空部位，觀察標的改用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（持有）與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#259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」；兩個目標價穿越皆列為預警；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產卡、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294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6205.0000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」可追溯；</t>
    </r>
    <r>
      <rPr>
        <sz val="10"/>
        <rFont val="Arial"/>
        <family val="0"/>
        <charset val="1"/>
      </rPr>
      <t xml:space="preserve">2331 </t>
    </r>
    <r>
      <rPr>
        <sz val="10"/>
        <rFont val="Noto Sans CJK SC"/>
        <family val="2"/>
      </rPr>
      <t xml:space="preserve">未產卡；新卡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張皆為持有標的（</t>
    </r>
    <r>
      <rPr>
        <sz val="10"/>
        <rFont val="Arial"/>
        <family val="0"/>
        <charset val="1"/>
      </rPr>
      <t xml:space="preserve">3008 3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2603 2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）；花費 </t>
    </r>
    <r>
      <rPr>
        <sz val="10"/>
        <rFont val="Arial"/>
        <family val="0"/>
        <charset val="1"/>
      </rPr>
      <t xml:space="preserve">0.0093013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次呼叫，其中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次截斷以估算計費）；兩個目標價依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（之後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小時會為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再派發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張預警卡）</t>
    </r>
  </si>
  <si>
    <t xml:space="preserve">G-10</t>
  </si>
  <si>
    <t xml:space="preserve">推斷品質（不列入缺陷）</t>
  </si>
  <si>
    <t xml:space="preserve">檢視 AI 戰績的命中率與校準缺口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</si>
  <si>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僅記錄不判定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：屬模型與提示詞課題（稽核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已裁定不在修復範圍）</t>
    </r>
  </si>
  <si>
    <t xml:space="preserve">✅ 已記錄（13.33% / −46.60%）</t>
  </si>
  <si>
    <t xml:space="preserve">僅記錄：量化命中率 13.33%（6/45）、滾動校準缺口 −46.60%（最近 20 筆）、信心上限違規率 96.00%（25 中 24），與前一輪記錄 13.33%／−46.60% 相同</t>
  </si>
  <si>
    <t xml:space="preserve"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
R13（830056c 上 prod 前整份 one shot 重跑；Owner 6B：寫入留在 demo、不還原）：N/A — demo 真實瀏覽器（頁首 v0.1.28 · 830056c）：僅記錄：AI 戰績 n 124、量化命中 42（33.87%）、失誤 82（66.13%）、平均敘事 75.98（本輪 G-07 新評 12 張）。依手冊僅記錄不判定</t>
  </si>
  <si>
    <r>
      <rPr>
        <b val="true"/>
        <sz val="11"/>
        <rFont val="Arial"/>
        <family val="0"/>
        <charset val="1"/>
      </rPr>
      <t xml:space="preserve">H. AI </t>
    </r>
    <r>
      <rPr>
        <b val="true"/>
        <sz val="11"/>
        <rFont val="Noto Sans CJK SC"/>
        <family val="2"/>
      </rPr>
      <t xml:space="preserve">設定與管線</t>
    </r>
  </si>
  <si>
    <t xml:space="preserve">H-01</t>
  </si>
  <si>
    <t xml:space="preserve">H</t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</si>
  <si>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連線設定與測試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</si>
  <si>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的金鑰為專用且受限）</t>
    </r>
  </si>
  <si>
    <t xml:space="preserve">設定 › AI 與額度 → 填模型與金鑰 → 測試連線</t>
  </si>
  <si>
    <t xml:space="preserve">① 成功／失敗訊息明確；② 金鑰不得以明文回傳到前端；③ 變更寫入 `action_log`</t>
  </si>
  <si>
    <t xml:space="preserve">會改設定，測畢還原</t>
  </si>
  <si>
    <t xml:space="preserve">受測站為 demo（AI 金鑰為 demo 專用且受限），手冊前置條件要求非 demo 環境；本輪未更改模型或金鑰、未按測試連線</t>
  </si>
  <si>
    <t xml:space="preserve">DEF-078</t>
  </si>
  <si>
    <t xml:space="preserve"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2／2 項、本機 6／6 項檢查全過：demo：/api/llm/config 金鑰只以遮罩（sk-•••815）出現、5 個祕密欄位皆為密碼欄（未輸入，§9-6）；本機：模型 qa-r11-fake 以 API 設非憑證假金鑰（未在密碼欄輸入）→ Ping 成功「qa-r11-fake · 1534 ms」、401 模式失敗「金鑰無效或未授權（HTTP 401）…」；只回遮罩 sk-•••000、頁面與回應不含金鑰；action_log 記「AI 設定變更」「AI 操作」</t>
  </si>
  <si>
    <t xml:space="preserve">H-02</t>
  </si>
  <si>
    <t xml:space="preserve">額度與花費對帳</t>
  </si>
  <si>
    <t xml:space="preserve">記錄目前額度</t>
  </si>
  <si>
    <t xml:space="preserve">執行一次 AI 產生 → 匯出 `llm-usage`</t>
  </si>
  <si>
    <t xml:space="preserve">額度扣減＝llm-usage 匯出檔各列 cost 加總＝各次執行花費加總（含重試、名稱不符重問與備援前失敗的呼叫；這些花費記在執行與用量帳本，不在任何一張卡上）</t>
  </si>
  <si>
    <t xml:space="preserve">部分（額度顯示已驗）</t>
  </si>
  <si>
    <t xml:space="preserve"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</si>
  <si>
    <t xml:space="preserve">DEF-086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</si>
  <si>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3.2574337→3.2561653</t>
    </r>
    <r>
      <rPr>
        <sz val="10"/>
        <rFont val="Noto Sans CJK SC"/>
        <family val="2"/>
      </rPr>
      <t xml:space="preserve">，扣減 </t>
    </r>
    <r>
      <rPr>
        <sz val="10"/>
        <rFont val="Arial"/>
        <family val="0"/>
        <charset val="1"/>
      </rPr>
      <t xml:space="preserve">0.0012684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/api/export/llm-usage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2026-09-27T08:55:36 google/gemini-2.5-flash-lite insight_generate 7596 1272 0.0012684</t>
    </r>
    <r>
      <rPr>
        <sz val="10"/>
        <rFont val="Noto Sans CJK SC"/>
        <family val="2"/>
      </rPr>
      <t xml:space="preserve">」；卡片 </t>
    </r>
    <r>
      <rPr>
        <sz val="10"/>
        <rFont val="Arial"/>
        <family val="0"/>
        <charset val="1"/>
      </rPr>
      <t xml:space="preserve">#226 cost_usd 0.0012684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tokens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1,272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job_runs #206 cost_usd 0.0012684 → </t>
    </r>
    <r>
      <rPr>
        <sz val="10"/>
        <rFont val="Noto Sans CJK SC"/>
        <family val="2"/>
      </rPr>
      <t xml:space="preserve">三者（額度扣減＝匯出列＝卡片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）一致 ✓。另 </t>
    </r>
    <r>
      <rPr>
        <sz val="10"/>
        <rFont val="Arial"/>
        <family val="0"/>
        <charset val="1"/>
      </rPr>
      <t xml:space="preserve">F-01 </t>
    </r>
    <r>
      <rPr>
        <sz val="10"/>
        <rFont val="Noto Sans CJK SC"/>
        <family val="2"/>
      </rPr>
      <t xml:space="preserve">兩次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 </t>
    </r>
    <r>
      <rPr>
        <sz val="10"/>
        <rFont val="Arial"/>
        <family val="0"/>
        <charset val="1"/>
      </rPr>
      <t xml:space="preserve">0.0001568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0.0001555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逐筆相符；全表 </t>
    </r>
    <r>
      <rPr>
        <sz val="10"/>
        <rFont val="Arial"/>
        <family val="0"/>
        <charset val="1"/>
      </rPr>
      <t xml:space="preserve">1,029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1.7438347 </t>
    </r>
    <r>
      <rPr>
        <sz val="10"/>
        <rFont val="Noto Sans CJK SC"/>
        <family val="2"/>
      </rPr>
      <t xml:space="preserve">＋ 剩餘 </t>
    </r>
    <r>
      <rPr>
        <sz val="10"/>
        <rFont val="Arial"/>
        <family val="0"/>
        <charset val="1"/>
      </rPr>
      <t xml:space="preserve">3.2561653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5.0000000 </t>
    </r>
    <r>
      <rPr>
        <sz val="10"/>
        <rFont val="Noto Sans CJK SC"/>
        <family val="2"/>
      </rPr>
      <t xml:space="preserve">＝ 唯一一筆加值 </t>
    </r>
    <r>
      <rPr>
        <sz val="10"/>
        <rFont val="Arial"/>
        <family val="0"/>
        <charset val="1"/>
      </rPr>
      <t xml:space="preserve">$5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0.0012468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1,218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1.7744444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3.2255556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0.0009491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473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1.8655794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3.1344206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OBSERVE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用量匯出同時段兩列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0.0014508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）✓；全表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（唯一加值）✓；但卡片上顯示的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加總只有 </t>
    </r>
    <r>
      <rPr>
        <sz val="10"/>
        <rFont val="Arial"/>
        <family val="0"/>
        <charset val="1"/>
      </rPr>
      <t xml:space="preserve">0.0015052</t>
    </r>
    <r>
      <rPr>
        <sz val="10"/>
        <rFont val="Noto Sans CJK SC"/>
        <family val="2"/>
      </rPr>
      <t xml:space="preserve">，「三者一致」不成立——截斷重試的估算花費記在執行與用量帳本，不在任何一張卡上（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裁定的新行為）→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（規格未定，待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R12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 → </t>
    </r>
    <r>
      <rPr>
        <sz val="10"/>
        <rFont val="Noto Sans CJK SC"/>
        <family val="2"/>
      </rPr>
      <t xml:space="preserve">依新期望判讀：額度扣減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用量匯出各列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加總（同時段兩列）＝各次執行花費加總（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）；全表加總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→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。手冊 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與本表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欄）待開發者依裁定同步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0.0393717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用量匯出同時段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</t>
    </r>
    <r>
      <rPr>
        <sz val="10"/>
        <rFont val="Arial"/>
        <family val="0"/>
        <charset val="1"/>
      </rPr>
      <t xml:space="preserve">0.0009989</t>
    </r>
    <r>
      <rPr>
        <sz val="10"/>
        <rFont val="Noto Sans CJK SC"/>
        <family val="2"/>
      </rPr>
      <t xml:space="preserve">〔估算〕＋</t>
    </r>
    <r>
      <rPr>
        <sz val="10"/>
        <rFont val="Arial"/>
        <family val="0"/>
        <charset val="1"/>
      </rPr>
      <t xml:space="preserve">0.0013708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0.037002</t>
    </r>
    <r>
      <rPr>
        <sz val="10"/>
        <rFont val="Noto Sans CJK SC"/>
        <family val="2"/>
      </rPr>
      <t xml:space="preserve">）＝各次執行花費加總（</t>
    </r>
    <r>
      <rPr>
        <sz val="10"/>
        <rFont val="Arial"/>
        <family val="0"/>
        <charset val="1"/>
      </rPr>
      <t xml:space="preserve">insight:32 run #257 0.0393717</t>
    </r>
    <r>
      <rPr>
        <sz val="10"/>
        <rFont val="Noto Sans CJK SC"/>
        <family val="2"/>
      </rPr>
      <t xml:space="preserve">）；全表 </t>
    </r>
    <r>
      <rPr>
        <sz val="10"/>
        <rFont val="Arial"/>
        <family val="0"/>
        <charset val="1"/>
      </rPr>
      <t xml:space="preserve">1,160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1.9282357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3.0717643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</t>
    </r>
  </si>
  <si>
    <t xml:space="preserve">H-03</t>
  </si>
  <si>
    <t xml:space="preserve">提示詞編輯與版本</t>
  </si>
  <si>
    <t xml:space="preserve">設定 › AI 提示詞</t>
  </si>
  <si>
    <t xml:space="preserve">修改一個模板 → 儲存 → 乾跑預檢</t>
  </si>
  <si>
    <t xml:space="preserve">① 版本記錄新增；② 乾跑預檢的組裝結果反映新內容；③ 可回復舊版本</t>
  </si>
  <si>
    <t xml:space="preserve"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</si>
  <si>
    <t xml:space="preserve">DEF-033, DEF-057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</si>
  <si>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裁定：策略提示詞完整版本記錄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儲存、差異、回復成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、卡片記版號）；附帶 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（系統與新聞整理提示詞版本，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複驗通過結案（系統／新聞整理提示詞 儲存→差異→回復／重置→回復，內文逐字還原；新卡晶片「提示詞 系統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3→4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5→6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儲存：① 版本 </t>
    </r>
    <r>
      <rPr>
        <sz val="10"/>
        <rFont val="Arial"/>
        <family val="0"/>
        <charset val="1"/>
      </rPr>
      <t xml:space="preserve">7→8</t>
    </r>
    <r>
      <rPr>
        <sz val="10"/>
        <rFont val="Noto Sans CJK SC"/>
        <family val="2"/>
      </rPr>
      <t xml:space="preserve">；② 乾跑預檢組裝反映修改；③ 回復舊版後內文回到原文</t>
    </r>
  </si>
  <si>
    <t xml:space="preserve">H-04</t>
  </si>
  <si>
    <t xml:space="preserve">管線任務 CRUD</t>
  </si>
  <si>
    <t xml:space="preserve">新增任務 → 停用 → 設排程 → 立即執行 → 刪除</t>
  </si>
  <si>
    <t xml:space="preserve">各動作即時反映在清單與 `job_runs`；停用的任務不得被排程觸發</t>
  </si>
  <si>
    <t xml:space="preserve">會寫入任務設定</t>
  </si>
  <si>
    <t xml:space="preserve"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</si>
  <si>
    <t xml:space="preserve">DEF-030, DEF-031, DEF-032, DEF-051, DEF-053, DEF-058, DEF-059, DEF-062, DEF-064, DEF-074, DEF-075, DEF-076</t>
  </si>
  <si>
    <t xml:space="preserve"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
R13（830056c 上 prod 前整份 one shot 重跑；Owner 6B：寫入留在 demo、不還原）：PASS — demo 真實瀏覽器（頁首 v0.1.28 · 830056c），demo 9／9 項檢查全過：建立 #33 → 清單出現 → 停用 → 設排程 0 9 * * 1 → 排程中心以「暫停」呈現（effective_enabled false、附暫停原因）→ 立即執行 run #270「產生 1 張卡」（$0.0029054，2 次呼叫）→ 刪除後清單與排程皆移除</t>
  </si>
  <si>
    <t xml:space="preserve">H-05</t>
  </si>
  <si>
    <t xml:space="preserve">乾跑預檢各閘門的阻擋情境</t>
  </si>
  <si>
    <t xml:space="preserve">分別製造：標的宇宙為空／模板停用／缺價／額度不足</t>
  </si>
  <si>
    <t xml:space="preserve">對每種情境跑一次乾跑預檢</t>
  </si>
  <si>
    <t xml:space="preserve">對應的 R1–R8 顯示 ✗ 或 ⓘ 並給出可執行的修正指引；**結論需明確說會不會中斷**</t>
  </si>
  <si>
    <t xml:space="preserve">唯讀（零成本）</t>
  </si>
  <si>
    <t xml:space="preserve">部分（正常路徑與 R4 已驗）</t>
  </si>
  <si>
    <t xml:space="preserve"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</si>
  <si>
    <t xml:space="preserve">DEF-031, DEF-043, DEF-085</t>
  </si>
  <si>
    <t xml:space="preserve"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8／8 項、本機 8／8 項檢查全過：demo：①模板停用（#12）→「✕ 模板啟用 組合的策略段全空（全部停用/封存）［啟用模板］R3」、結論「本任務現在不會成功執行 — 1 道閘門擋下。修復上方紅色項目後重跑預檢。」；②標的宇宙為空（任務 #35，空宇宙可建立）→「✕ 標的宇宙 標的宇宙為空（清單已出清）［編輯標的］R2」、結論同上。本機 ③缺價（ORBT）→「⚠ 價格資料 缺價標的（產確定性『資料異常』卡，零成本）：ORBT」、結論「可以執行 — 2 項警告會反映在產出（跳過段落/資料異常卡/部分執行），不會中斷。」；④額度不足（剩餘 −$0.01）→「✕ AI 額度 額度耗盡（剩餘 $-0.01）［前往額度設定］R6」、結論「本任務現在不會成功執行…」。模板 #12 與任務 #34、#35 依 6B 留在 demo</t>
  </si>
  <si>
    <t xml:space="preserve">H-06</t>
  </si>
  <si>
    <t xml:space="preserve">官方套組啟用</t>
  </si>
  <si>
    <t xml:space="preserve">按「啟用官方套組」</t>
  </si>
  <si>
    <t xml:space="preserve">套組內任務全部建立、可逐一檢視與停用</t>
  </si>
  <si>
    <t xml:space="preserve">會建立多個任務，測畢清理</t>
  </si>
  <si>
    <t xml:space="preserve"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</si>
  <si>
    <t xml:space="preserve"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
R13（830056c 上 prod 前整份 one shot 重跑；Owner 6B：寫入留在 demo、不還原）：PASS — demo 真實瀏覽器（頁首 v0.1.28 · 830056c），demo 5／5 項檢查全過：「啟用官方套組」200：5 個任務皆已存在 → created []、skipped 5（持倉週報、個股健檢、市場週報、持倉建議與提點、持倉提點）；任務清單與排程不變（無重複）；各任務在管線中心可見</t>
  </si>
  <si>
    <t xml:space="preserve">H-07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</si>
  <si>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戰績頁</t>
    </r>
  </si>
  <si>
    <t xml:space="preserve">檢視 AI 戰績分頁</t>
  </si>
  <si>
    <t xml:space="preserve">命中率、校準曲線、樣本數與 `ai-predictions` 匯出一致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</si>
  <si>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戰績：累計評估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、量化命中率 </t>
    </r>
    <r>
      <rPr>
        <sz val="10"/>
        <rFont val="Arial"/>
        <family val="0"/>
        <charset val="1"/>
      </rPr>
      <t xml:space="preserve">13.33%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筆）、失誤率 </t>
    </r>
    <r>
      <rPr>
        <sz val="10"/>
        <rFont val="Arial"/>
        <family val="0"/>
        <charset val="1"/>
      </rPr>
      <t xml:space="preserve">86.67%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）、平均敘事分 </t>
    </r>
    <r>
      <rPr>
        <sz val="10"/>
        <rFont val="Arial"/>
        <family val="0"/>
        <charset val="1"/>
      </rPr>
      <t xml:space="preserve">75.78</t>
    </r>
    <r>
      <rPr>
        <sz val="10"/>
        <rFont val="Noto Sans CJK SC"/>
        <family val="2"/>
      </rPr>
      <t xml:space="preserve">、滾動校準缺口 −</t>
    </r>
    <r>
      <rPr>
        <sz val="10"/>
        <rFont val="Arial"/>
        <family val="0"/>
        <charset val="1"/>
      </rPr>
      <t xml:space="preserve">46.60%</t>
    </r>
    <r>
      <rPr>
        <sz val="10"/>
        <rFont val="Noto Sans CJK SC"/>
        <family val="2"/>
      </rPr>
      <t xml:space="preserve">、校準曲線 </t>
    </r>
    <r>
      <rPr>
        <sz val="10"/>
        <rFont val="Arial"/>
        <family val="0"/>
        <charset val="1"/>
      </rPr>
      <t xml:space="preserve">40-60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n=35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17.14%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60-80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n=10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/api/ai-score totals </t>
    </r>
    <r>
      <rPr>
        <sz val="10"/>
        <rFont val="Noto Sans CJK SC"/>
        <family val="2"/>
      </rPr>
      <t xml:space="preserve">相同；匯出 </t>
    </r>
    <r>
      <rPr>
        <sz val="10"/>
        <rFont val="Arial"/>
        <family val="0"/>
        <charset val="1"/>
      </rPr>
      <t xml:space="preserve">ai_predictions.csv 45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quant_hit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narrative_score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confidence…</t>
    </r>
    <r>
      <rPr>
        <sz val="10"/>
        <rFont val="Noto Sans CJK SC"/>
        <family val="2"/>
      </rPr>
      <t xml:space="preserve">）與畫面列數一致</t>
    </r>
  </si>
  <si>
    <t xml:space="preserve">DEF-081</t>
  </si>
  <si>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戰績「各洞察任務命中率」與「預測明細」第一欄改為任務名稱（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：個股健檢、持倉建議與提點、持倉提點；滑鼠提示「任務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」）；本機任務列不存在時為「任務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32/104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124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124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</t>
    </r>
  </si>
  <si>
    <t xml:space="preserve">H-08</t>
  </si>
  <si>
    <t xml:space="preserve">通知中心的 demo 防護</t>
  </si>
  <si>
    <t xml:space="preserve">檢視系統設定 › 通知中心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</si>
  <si>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站多數控制項 </t>
    </r>
    <r>
      <rPr>
        <sz val="10"/>
        <rFont val="Arial"/>
        <family val="0"/>
        <charset val="1"/>
      </rPr>
      <t xml:space="preserve">disabled </t>
    </r>
    <r>
      <rPr>
        <sz val="10"/>
        <rFont val="Noto Sans CJK SC"/>
        <family val="2"/>
      </rPr>
      <t xml:space="preserve">並顯示「示範站不開放通知設定」</t>
    </r>
  </si>
  <si>
    <t xml:space="preserve">✅ 已驗（62 中 48 disabled）</t>
  </si>
  <si>
    <t xml:space="preserve">系統設定 › 通知中心：區塊內 48 個 input／select／textarea／button 全部 disabled（0 個可操作），顯示「示範站不開放通知設定，請於正式站（受保護模式）設定。」</t>
  </si>
  <si>
    <t xml:space="preserve"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
R13（830056c 上 prod 前整份 one shot 重跑；Owner 6B：寫入留在 demo、不還原）：PASS — demo 真實瀏覽器（頁首 v0.1.28 · 830056c），demo 2／2 項檢查全過：通知中心 48 個控制項全部停用並顯示「示範站不開放通知設定，請於正式站（受保護模式）設定。」</t>
  </si>
  <si>
    <r>
      <rPr>
        <b val="true"/>
        <sz val="11"/>
        <rFont val="Arial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帳本匯出與匯入</t>
    </r>
  </si>
  <si>
    <t xml:space="preserve">I-01</t>
  </si>
  <si>
    <t xml:space="preserve">I</t>
  </si>
  <si>
    <t xml:space="preserve">匯出端點全覆蓋</t>
  </si>
  <si>
    <t xml:space="preserve">逐一觸發 21 個檔案匯出：① 持倉 CSV；② 已實現 CSV；③～⑧ 帳本 6 類 CSV（交易／股利／換匯／期初／公司行動／資金收支）；⑨ 全帳本 ZIP；⑩ 帳本報告；⑪ 持倉報告；⑫ 再平衡報告；⑬ 個股明細；⑭ 現金對帳單 CSV；⑮ 現金對帳單報告；⑯ 稅務包 ZIP；⑰ 排程執行記錄 CSV；⑱ AI 用量 CSV；⑲ AI 預測明細 CSV；⑳ AI 失敗紀錄 JSONL；㉑ 帳本操作稽核 CSV（匯出中心，結案後新增）</t>
  </si>
  <si>
    <t xml:space="preserve">21 個全部回 200，`Content-Disposition` 檔名正確（UTF-8），內容非空；帳本清單（`GET /api/export/ledgers`）是 JSON 清單、不是檔案，不計入（Owner 2026-10-01 改寫：清單明列，J-04 引用本清單）</t>
  </si>
  <si>
    <t xml:space="preserve">✅ 已驗（三輪、19–20 個回應）</t>
  </si>
  <si>
    <t xml:space="preserve"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</si>
  <si>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全面重跑）：逐一觸發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個匯出（持倉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、帳本清單、帳本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、帳本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〔交易／股利／換匯／期初／公司行動／資金收支〕、已實現、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預測、個股明細、持倉報告、帳本報告、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用量、排程紀錄、稅務包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、現金對帳單＋報告、再平衡報告、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JSONL</t>
    </r>
    <r>
      <rPr>
        <sz val="10"/>
        <rFont val="Noto Sans CJK SC"/>
        <family val="2"/>
      </rPr>
      <t xml:space="preserve">；頁內 </t>
    </r>
    <r>
      <rPr>
        <sz val="10"/>
        <rFont val="Arial"/>
        <family val="0"/>
        <charset val="1"/>
      </rPr>
      <t xml:space="preserve">fetch </t>
    </r>
    <r>
      <rPr>
        <sz val="10"/>
        <rFont val="Noto Sans CJK SC"/>
        <family val="2"/>
      </rPr>
      <t xml:space="preserve">不落地）：全部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content-type </t>
    </r>
    <r>
      <rPr>
        <sz val="10"/>
        <rFont val="Noto Sans CJK SC"/>
        <family val="2"/>
      </rPr>
      <t xml:space="preserve">正確（</t>
    </r>
    <r>
      <rPr>
        <sz val="10"/>
        <rFont val="Arial"/>
        <family val="0"/>
        <charset val="1"/>
      </rPr>
      <t xml:space="preserve">text/csv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application/zip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text/html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application/x-ndjson</t>
    </r>
    <r>
      <rPr>
        <sz val="10"/>
        <rFont val="Noto Sans CJK SC"/>
        <family val="2"/>
      </rPr>
      <t xml:space="preserve">）；除帳本清單為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清單端點外，</t>
    </r>
    <r>
      <rPr>
        <sz val="10"/>
        <rFont val="Arial"/>
        <family val="0"/>
        <charset val="1"/>
      </rPr>
      <t xml:space="preserve">Content-Disposition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attachment; filename="…"; filename*=UTF-8…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ledger_transactions_all_all.csv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tax_package_2026.zip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rebalance-plan-20260927-0902.html</t>
    </r>
    <r>
      <rPr>
        <sz val="10"/>
        <rFont val="Noto Sans CJK SC"/>
        <family val="2"/>
      </rPr>
      <t xml:space="preserve">），內容 </t>
    </r>
    <r>
      <rPr>
        <sz val="10"/>
        <rFont val="Arial"/>
        <family val="0"/>
        <charset val="1"/>
      </rPr>
      <t xml:space="preserve">98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153,913 bytes </t>
    </r>
    <r>
      <rPr>
        <sz val="10"/>
        <rFont val="Noto Sans CJK SC"/>
        <family val="2"/>
      </rPr>
      <t xml:space="preserve">非空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檔名、非空；其中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用量（</t>
    </r>
    <r>
      <rPr>
        <sz val="10"/>
        <rFont val="Arial"/>
        <family val="0"/>
        <charset val="1"/>
      </rPr>
      <t xml:space="preserve">llm_usage_all_all.csv</t>
    </r>
    <r>
      <rPr>
        <sz val="10"/>
        <rFont val="Noto Sans CJK SC"/>
        <family val="2"/>
      </rPr>
      <t xml:space="preserve">）多一欄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、工作紀錄（</t>
    </r>
    <r>
      <rPr>
        <sz val="10"/>
        <rFont val="Arial"/>
        <family val="0"/>
        <charset val="1"/>
      </rPr>
      <t xml:space="preserve">job_runs_all_all.csv</t>
    </r>
    <r>
      <rPr>
        <sz val="10"/>
        <rFont val="Noto Sans CJK SC"/>
        <family val="2"/>
      </rPr>
      <t xml:space="preserve">）多 </t>
    </r>
    <r>
      <rPr>
        <sz val="10"/>
        <rFont val="Arial"/>
        <family val="0"/>
        <charset val="1"/>
      </rPr>
      <t xml:space="preserve">cost_usd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llm_calls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tokens_out </t>
    </r>
    <r>
      <rPr>
        <sz val="10"/>
        <rFont val="Noto Sans CJK SC"/>
        <family val="2"/>
      </rPr>
      <t xml:space="preserve">四欄（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明列的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、附件帶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檔名且檔名正確、內容非空（頁內攔截、不存檔）：持倉 </t>
    </r>
    <r>
      <rPr>
        <sz val="10"/>
        <rFont val="Arial"/>
        <family val="0"/>
        <charset val="1"/>
      </rPr>
      <t xml:space="preserve">holdings_snapshot_2026-10-01.csv 5,299B</t>
    </r>
    <r>
      <rPr>
        <sz val="10"/>
        <rFont val="Noto Sans CJK SC"/>
        <family val="2"/>
      </rPr>
      <t xml:space="preserve">、已實現 </t>
    </r>
    <r>
      <rPr>
        <sz val="10"/>
        <rFont val="Arial"/>
        <family val="0"/>
        <charset val="1"/>
      </rPr>
      <t xml:space="preserve">2,004B</t>
    </r>
    <r>
      <rPr>
        <sz val="10"/>
        <rFont val="Noto Sans CJK SC"/>
        <family val="2"/>
      </rPr>
      <t xml:space="preserve">、交易帳本 </t>
    </r>
    <r>
      <rPr>
        <sz val="10"/>
        <rFont val="Arial"/>
        <family val="0"/>
        <charset val="1"/>
      </rPr>
      <t xml:space="preserve">15,138B</t>
    </r>
    <r>
      <rPr>
        <sz val="10"/>
        <rFont val="Noto Sans CJK SC"/>
        <family val="2"/>
      </rPr>
      <t xml:space="preserve">、股利 </t>
    </r>
    <r>
      <rPr>
        <sz val="10"/>
        <rFont val="Arial"/>
        <family val="0"/>
        <charset val="1"/>
      </rPr>
      <t xml:space="preserve">2,263B</t>
    </r>
    <r>
      <rPr>
        <sz val="10"/>
        <rFont val="Noto Sans CJK SC"/>
        <family val="2"/>
      </rPr>
      <t xml:space="preserve">、換匯 </t>
    </r>
    <r>
      <rPr>
        <sz val="10"/>
        <rFont val="Arial"/>
        <family val="0"/>
        <charset val="1"/>
      </rPr>
      <t xml:space="preserve">1,003B</t>
    </r>
    <r>
      <rPr>
        <sz val="10"/>
        <rFont val="Noto Sans CJK SC"/>
        <family val="2"/>
      </rPr>
      <t xml:space="preserve">、期初 </t>
    </r>
    <r>
      <rPr>
        <sz val="10"/>
        <rFont val="Arial"/>
        <family val="0"/>
        <charset val="1"/>
      </rPr>
      <t xml:space="preserve">98B</t>
    </r>
    <r>
      <rPr>
        <sz val="10"/>
        <rFont val="Noto Sans CJK SC"/>
        <family val="2"/>
      </rPr>
      <t xml:space="preserve">、公司行動 </t>
    </r>
    <r>
      <rPr>
        <sz val="10"/>
        <rFont val="Arial"/>
        <family val="0"/>
        <charset val="1"/>
      </rPr>
      <t xml:space="preserve">830B</t>
    </r>
    <r>
      <rPr>
        <sz val="10"/>
        <rFont val="Noto Sans CJK SC"/>
        <family val="2"/>
      </rPr>
      <t xml:space="preserve">、資金 </t>
    </r>
    <r>
      <rPr>
        <sz val="10"/>
        <rFont val="Arial"/>
        <family val="0"/>
        <charset val="1"/>
      </rPr>
      <t xml:space="preserve">2,958B</t>
    </r>
    <r>
      <rPr>
        <sz val="10"/>
        <rFont val="Noto Sans CJK SC"/>
        <family val="2"/>
      </rPr>
      <t xml:space="preserve">、全帳本 </t>
    </r>
    <r>
      <rPr>
        <sz val="10"/>
        <rFont val="Arial"/>
        <family val="0"/>
        <charset val="1"/>
      </rPr>
      <t xml:space="preserve">ZIP 6,123B</t>
    </r>
    <r>
      <rPr>
        <sz val="10"/>
        <rFont val="Noto Sans CJK SC"/>
        <family val="2"/>
      </rPr>
      <t xml:space="preserve">、帳本報告 </t>
    </r>
    <r>
      <rPr>
        <sz val="10"/>
        <rFont val="Arial"/>
        <family val="0"/>
        <charset val="1"/>
      </rPr>
      <t xml:space="preserve">57,691B…</t>
    </r>
    <r>
      <rPr>
        <sz val="10"/>
        <rFont val="Noto Sans CJK SC"/>
        <family val="2"/>
      </rPr>
      <t xml:space="preserve">、稅務包 </t>
    </r>
    <r>
      <rPr>
        <sz val="10"/>
        <rFont val="Arial"/>
        <family val="0"/>
        <charset val="1"/>
      </rPr>
      <t xml:space="preserve">tax_package_2026.zip 2,260B</t>
    </r>
    <r>
      <rPr>
        <sz val="10"/>
        <rFont val="Noto Sans CJK SC"/>
        <family val="2"/>
      </rPr>
      <t xml:space="preserve">、帳本操作稽核 </t>
    </r>
    <r>
      <rPr>
        <sz val="10"/>
        <rFont val="Arial"/>
        <family val="0"/>
        <charset val="1"/>
      </rPr>
      <t xml:space="preserve">ledger_audit_all_all.csv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：⑯稅務包 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，其餘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</si>
  <si>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I-02</t>
  </si>
  <si>
    <t xml:space="preserve">匯出內容逐位元對帳</t>
  </si>
  <si>
    <t xml:space="preserve">取 持倉／已實現／交易帳本 三個 CSV，與畫面及 API 逐列比對</t>
  </si>
  <si>
    <t xml:space="preserve">數字為原始精度（非畫面格式化後的值）；列數、排序、欄位名一致</t>
  </si>
  <si>
    <t xml:space="preserve">部分（端點已驗，內容未逐列比對）</t>
  </si>
  <si>
    <t xml:space="preserve"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</si>
  <si>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個數值欄（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unrealized_pnl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capital_gain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dividend_portion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payback_ratio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/api/dashboard holdings </t>
    </r>
    <r>
      <rPr>
        <sz val="10"/>
        <rFont val="Noto Sans CJK SC"/>
        <family val="2"/>
      </rPr>
      <t xml:space="preserve">字串逐位元相同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差異，為 </t>
    </r>
    <r>
      <rPr>
        <sz val="10"/>
        <rFont val="Arial"/>
        <family val="0"/>
        <charset val="1"/>
      </rPr>
      <t xml:space="preserve">raw Decimal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2330 unrealized 3969709.999999999999999999999</t>
    </r>
    <r>
      <rPr>
        <sz val="10"/>
        <rFont val="Noto Sans CJK SC"/>
        <family val="2"/>
      </rPr>
      <t xml:space="preserve">，畫面四捨五入）；已實現 </t>
    </r>
    <r>
      <rPr>
        <sz val="10"/>
        <rFont val="Arial"/>
        <family val="0"/>
        <charset val="1"/>
      </rPr>
      <t xml:space="preserve">CSV 11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10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realized.rows </t>
    </r>
    <r>
      <rPr>
        <sz val="10"/>
        <rFont val="Noto Sans CJK SC"/>
        <family val="2"/>
      </rPr>
      <t xml:space="preserve">逐列相同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差異、順序一致；交易帳本 </t>
    </r>
    <r>
      <rPr>
        <sz val="10"/>
        <rFont val="Arial"/>
        <family val="0"/>
        <charset val="1"/>
      </rPr>
      <t xml:space="preserve">CSV 56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 total_count 56</t>
    </r>
    <r>
      <rPr>
        <sz val="10"/>
        <rFont val="Noto Sans CJK SC"/>
        <family val="2"/>
      </rPr>
      <t xml:space="preserve">，欄位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side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quantity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fees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tax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trade_date… </t>
    </r>
    <r>
      <rPr>
        <sz val="10"/>
        <rFont val="Noto Sans CJK SC"/>
        <family val="2"/>
      </rPr>
      <t xml:space="preserve">為原始精度。持倉與已實現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末列為「</t>
    </r>
    <r>
      <rPr>
        <sz val="10"/>
        <rFont val="Arial"/>
        <family val="0"/>
        <charset val="1"/>
      </rPr>
      <t xml:space="preserve"># as_of=2026-09-27, fx_rates={USD:31.695000, MYR:7.779607}, generated=…</t>
    </r>
    <r>
      <rPr>
        <sz val="10"/>
        <rFont val="Noto Sans CJK SC"/>
        <family val="2"/>
      </rPr>
      <t xml:space="preserve">」註記列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；原始精度欄位與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逐字相同（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差異）；已實現 </t>
    </r>
    <r>
      <rPr>
        <sz val="10"/>
        <rFont val="Arial"/>
        <family val="0"/>
        <charset val="1"/>
      </rPr>
      <t xml:space="preserve">CSV 16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CSV 79 </t>
    </r>
    <r>
      <rPr>
        <sz val="10"/>
        <rFont val="Noto Sans CJK SC"/>
        <family val="2"/>
      </rPr>
      <t xml:space="preserve">列＝帳本。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：原始精度比對有差異，當時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</si>
  <si>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I-03</t>
  </si>
  <si>
    <t xml:space="preserve">稅務包 ZIP</t>
  </si>
  <si>
    <t xml:space="preserve">匯出 2026 年度稅務包並解壓</t>
  </si>
  <si>
    <t xml:space="preserve">① 內含檔案清單符合規格；② 只含該年度資料；③ 股利預扣稅、已實現損益、匯率換算可交叉對帳</t>
  </si>
  <si>
    <t xml:space="preserve">部分（端點已驗）</t>
  </si>
  <si>
    <t xml:space="preserve"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</si>
  <si>
    <t xml:space="preserve">DEF-001</t>
  </si>
  <si>
    <r>
      <rPr>
        <sz val="10"/>
        <rFont val="Arial"/>
        <family val="0"/>
        <charset val="1"/>
      </rPr>
      <t xml:space="preserve">dividends_2026.csv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0056 2026-07-22 gross 5008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withholding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 3888 </t>
    </r>
    <r>
      <rPr>
        <sz val="10"/>
        <rFont val="Noto Sans CJK SC"/>
        <family val="2"/>
      </rPr>
      <t xml:space="preserve">不等式成立（</t>
    </r>
    <r>
      <rPr>
        <sz val="10"/>
        <rFont val="Arial"/>
        <family val="0"/>
        <charset val="1"/>
      </rPr>
      <t xml:space="preserve">net≤gross</t>
    </r>
    <r>
      <rPr>
        <sz val="10"/>
        <rFont val="Noto Sans CJK SC"/>
        <family val="2"/>
      </rPr>
      <t xml:space="preserve">），依 </t>
    </r>
    <r>
      <rPr>
        <sz val="10"/>
        <rFont val="Arial"/>
        <family val="0"/>
        <charset val="1"/>
      </rPr>
      <t xml:space="preserve">dividend_model.check_amounts </t>
    </r>
    <r>
      <rPr>
        <sz val="10"/>
        <rFont val="Noto Sans CJK SC"/>
        <family val="2"/>
      </rPr>
      <t xml:space="preserve">設計與 </t>
    </r>
    <r>
      <rPr>
        <sz val="10"/>
        <rFont val="Arial"/>
        <family val="0"/>
        <charset val="1"/>
      </rPr>
      <t xml:space="preserve">owner 2026-08-27 </t>
    </r>
    <r>
      <rPr>
        <sz val="10"/>
        <rFont val="Noto Sans CJK SC"/>
        <family val="2"/>
      </rPr>
      <t xml:space="preserve">裁定（台股配息淨額可小於總額、差額不建模）判定非缺陷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DEF-001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 ① 含 </t>
    </r>
    <r>
      <rPr>
        <sz val="10"/>
        <rFont val="Arial"/>
        <family val="0"/>
        <charset val="1"/>
      </rPr>
      <t xml:space="preserve">realized_gains_2026.csv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dividends_2026.csv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fx_realized_2026.csv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；② 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年的列；③ 預扣稅合計 </t>
    </r>
    <r>
      <rPr>
        <sz val="10"/>
        <rFont val="Arial"/>
        <family val="0"/>
        <charset val="1"/>
      </rPr>
      <t xml:space="preserve">139.83</t>
    </r>
    <r>
      <rPr>
        <sz val="10"/>
        <rFont val="Noto Sans CJK SC"/>
        <family val="2"/>
      </rPr>
      <t xml:space="preserve">＝股利帳本 </t>
    </r>
    <r>
      <rPr>
        <sz val="10"/>
        <rFont val="Arial"/>
        <family val="0"/>
        <charset val="1"/>
      </rPr>
      <t xml:space="preserve">139.83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，當時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</si>
  <si>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</si>
  <si>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範本下載</t>
    </r>
  </si>
  <si>
    <t xml:space="preserve">交易帳本 › CSV 匯入</t>
  </si>
  <si>
    <t xml:space="preserve">逐一下載 交易／股利／換匯／期初／公司行動／資金 範本</t>
  </si>
  <si>
    <t xml:space="preserve">欄位名與匯入解析器接受的欄位**完全一致**（用範本原樣填值應可匯入）</t>
  </si>
  <si>
    <t xml:space="preserve"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</si>
  <si>
    <t xml:space="preserve">DEF-004</t>
  </si>
  <si>
    <t xml:space="preserve"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
R13（830056c 上 prod 前整份 one shot 重跑；Owner 6B：寫入留在 demo、不還原）：PASS — demo 真實瀏覽器（頁首 v0.1.28 · 830056c），demo 1／1 項檢查全過：6 種範本（交易 7 列、股利 2、換匯 2、期初 2、公司行動 3、資金 7）下載後原樣解析，欄位名錯誤 0</t>
  </si>
  <si>
    <t xml:space="preserve">I-05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</si>
  <si>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匯入預覽（合法）</t>
    </r>
  </si>
  <si>
    <t xml:space="preserve">用 I-04 的範本填 3 列合法資料</t>
  </si>
  <si>
    <t xml:space="preserve">貼上或上傳 → 預覽</t>
  </si>
  <si>
    <t xml:space="preserve">逐列顯示「✓ 可寫入」，金額、費用、帳戶、代號解析正確</t>
  </si>
  <si>
    <t xml:space="preserve"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</si>
  <si>
    <t xml:space="preserve"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
R13（830056c 上 prod 前整份 one shot 重跑；Owner 6B：寫入留在 demo、不還原）：PASS — demo 真實瀏覽器（頁首 v0.1.28 · 830056c），demo 3／3 項檢查全過：3 列合法資料皆「✓ 可寫入」；費用依帳戶規則：2884 20／AAPL 0／1155 3.91＋印花 2；帳戶與代號解析正確；未寫入</t>
  </si>
  <si>
    <t xml:space="preserve">I-06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</si>
  <si>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匯入預覽（非法）</t>
    </r>
  </si>
  <si>
    <t xml:space="preserve">故意填錯：缺欄位、代號未註冊、台股 0.5 股、日期格式錯、賣超</t>
  </si>
  <si>
    <t xml:space="preserve">預覽</t>
  </si>
  <si>
    <t xml:space="preserve"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</si>
  <si>
    <t xml:space="preserve">部分（已驗數種）</t>
  </si>
  <si>
    <t xml:space="preserve"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</si>
  <si>
    <t xml:space="preserve">DEF-024, DEF-025</t>
  </si>
  <si>
    <t xml:space="preserve"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R13（830056c 上 prod 前整份 one shot 重跑；Owner 6B：寫入留在 demo、不還原）：PASS — demo 真實瀏覽器（頁首 v0.1.28 · 830056c），demo 12／12 項檢查全過：合法列仍可寫；缺價「必填欄位不可空白（欄位 price）」、未註冊「未註冊標的 ZZZZ9 — 請先至「標的管理」註冊」、台股 0.5 股、日期「2026-13-45」、帳戶 xx_broker、買賣別 hold 各自點名；賣超列「賣出 5000 股，超過持有的 1500 股」預設不勾，確認框點名該列並說明成本基礎將被永久捨棄；錯誤列不可勾；取消後未寫入</t>
  </si>
  <si>
    <t xml:space="preserve">I-07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</si>
  <si>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匯入寫入（選擇性）</t>
    </r>
  </si>
  <si>
    <t xml:space="preserve">承 I-05；記錄基準</t>
  </si>
  <si>
    <t xml:space="preserve">只勾選其中 2 列 → 確認寫入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</si>
  <si>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只寫入勾選的列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；② 批次記錄在「匯入批次」清單；③ 持倉與現金依寫入列重算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</si>
  <si>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。測畢用批次復原</t>
    </r>
  </si>
  <si>
    <t xml:space="preserve"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</si>
  <si>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全面重跑）：基準 </t>
    </r>
    <r>
      <rPr>
        <sz val="10"/>
        <rFont val="Arial"/>
        <family val="0"/>
        <charset val="1"/>
      </rPr>
      <t xml:space="preserve">I07R8 </t>
    </r>
    <r>
      <rPr>
        <sz val="10"/>
        <rFont val="Noto Sans CJK SC"/>
        <family val="2"/>
      </rPr>
      <t xml:space="preserve">後，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匯入貼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列合法交易（台灣券商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 </t>
    </r>
    <r>
      <rPr>
        <sz val="10"/>
        <rFont val="Noto Sans CJK SC"/>
        <family val="2"/>
      </rPr>
      <t xml:space="preserve">不填費用／嘉信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1@250</t>
    </r>
    <r>
      <rPr>
        <sz val="10"/>
        <rFont val="Noto Sans CJK SC"/>
        <family val="2"/>
      </rPr>
      <t xml:space="preserve">／台灣券商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 fee 50 tax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 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100@10.40</t>
    </r>
    <r>
      <rPr>
        <sz val="10"/>
        <rFont val="Noto Sans CJK SC"/>
        <family val="2"/>
      </rPr>
      <t xml:space="preserve">），取消勾選第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 → 確認寫入勾選列 → </t>
    </r>
    <r>
      <rPr>
        <sz val="10"/>
        <rFont val="Arial"/>
        <family val="0"/>
        <charset val="1"/>
      </rPr>
      <t xml:space="preserve">POST /api/import/commit {select:[0,2]} 200 {written 2, skipped 2</t>
    </r>
    <r>
      <rPr>
        <sz val="10"/>
        <rFont val="Noto Sans CJK SC"/>
        <family val="2"/>
      </rPr>
      <t xml:space="preserve">（未勾選）</t>
    </r>
    <r>
      <rPr>
        <sz val="10"/>
        <rFont val="Arial"/>
        <family val="0"/>
        <charset val="1"/>
      </rPr>
      <t xml:space="preserve">, import_batch_id 20}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「✓ 寫入完成：成功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筆」→ ① 帳本只新增 </t>
    </r>
    <r>
      <rPr>
        <sz val="10"/>
        <rFont val="Arial"/>
        <family val="0"/>
        <charset val="1"/>
      </rPr>
      <t xml:space="preserve">#132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20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#133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50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無新增 ✓；② 「最近匯入」出現「</t>
    </r>
    <r>
      <rPr>
        <sz val="10"/>
        <rFont val="Arial"/>
        <family val="0"/>
        <charset val="1"/>
      </rPr>
      <t xml:space="preserve">2026-09-27 09:03:34 </t>
    </r>
    <r>
      <rPr>
        <sz val="10"/>
        <rFont val="Noto Sans CJK SC"/>
        <family val="2"/>
      </rPr>
      <t xml:space="preserve">交易 貼上 </t>
    </r>
    <r>
      <rPr>
        <sz val="10"/>
        <rFont val="Arial"/>
        <family val="0"/>
        <charset val="1"/>
      </rPr>
      <t xml:space="preserve">CSV 2 </t>
    </r>
    <r>
      <rPr>
        <sz val="10"/>
        <rFont val="Noto Sans CJK SC"/>
        <family val="2"/>
      </rPr>
      <t xml:space="preserve">復原」，</t>
    </r>
    <r>
      <rPr>
        <sz val="10"/>
        <rFont val="Arial"/>
        <family val="0"/>
        <charset val="1"/>
      </rPr>
      <t xml:space="preserve">/api/import/batches #20 row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written 2 committed ✓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股數 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）、均價 </t>
    </r>
    <r>
      <rPr>
        <sz val="10"/>
        <rFont val="Arial"/>
        <family val="0"/>
        <charset val="1"/>
      </rPr>
      <t xml:space="preserve">49.2583</t>
    </r>
    <r>
      <rPr>
        <sz val="10"/>
        <rFont val="Noto Sans CJK SC"/>
        <family val="2"/>
      </rPr>
      <t xml:space="preserve">；台灣券商 </t>
    </r>
    <r>
      <rPr>
        <sz val="10"/>
        <rFont val="Arial"/>
        <family val="0"/>
        <charset val="1"/>
      </rPr>
      <t xml:space="preserve">TWD 6,067,595→6,017,805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49,790</t>
    </r>
    <r>
      <rPr>
        <sz val="10"/>
        <rFont val="Noto Sans CJK SC"/>
        <family val="2"/>
      </rPr>
      <t xml:space="preserve">）；嘉信／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現金不變 ✓。最後以批次「復原」（</t>
    </r>
    <r>
      <rPr>
        <sz val="10"/>
        <rFont val="Arial"/>
        <family val="0"/>
        <charset val="1"/>
      </rPr>
      <t xml:space="preserve">DELETE /api/import/batches/20 200 deleted 2</t>
    </r>
    <r>
      <rPr>
        <sz val="10"/>
        <rFont val="Noto Sans CJK SC"/>
        <family val="2"/>
      </rPr>
      <t xml:space="preserve">）還原，</t>
    </r>
    <r>
      <rPr>
        <sz val="10"/>
        <rFont val="Arial"/>
        <family val="0"/>
        <charset val="1"/>
      </rPr>
      <t xml:space="preserve">cmp I07R8 same:true</t>
    </r>
    <r>
      <rPr>
        <sz val="10"/>
        <rFont val="Noto Sans CJK SC"/>
        <family val="2"/>
      </rPr>
      <t xml:space="preserve">、已提交批次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200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#33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#37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#45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項（未過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項是檢查程式未計入 </t>
    </r>
    <r>
      <rPr>
        <sz val="10"/>
        <rFont val="Arial"/>
        <family val="0"/>
        <charset val="1"/>
      </rPr>
      <t xml:space="preserve">D-08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留下的分拆，依數據改判）：</t>
    </r>
    <r>
      <rPr>
        <sz val="10"/>
        <rFont val="Arial"/>
        <family val="0"/>
        <charset val="1"/>
      </rPr>
      <t xml:space="preserve">CSV 4 </t>
    </r>
    <r>
      <rPr>
        <sz val="10"/>
        <rFont val="Noto Sans CJK SC"/>
        <family val="2"/>
      </rPr>
      <t xml:space="preserve">列預覽、勾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select [0,2]</t>
    </r>
    <r>
      <rPr>
        <sz val="10"/>
        <rFont val="Noto Sans CJK SC"/>
        <family val="2"/>
      </rPr>
      <t xml:space="preserve">）→ 只寫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列（批次 </t>
    </r>
    <r>
      <rPr>
        <sz val="10"/>
        <rFont val="Arial"/>
        <family val="0"/>
        <charset val="1"/>
      </rPr>
      <t xml:space="preserve">#52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列為未勾選略過）；最近匯入列出批次；未勾的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未寫入。③ 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2,500 </t>
    </r>
    <r>
      <rPr>
        <sz val="10"/>
        <rFont val="Noto Sans CJK SC"/>
        <family val="2"/>
      </rPr>
      <t xml:space="preserve">股 ✓；成本 </t>
    </r>
    <r>
      <rPr>
        <sz val="10"/>
        <rFont val="Arial"/>
        <family val="0"/>
        <charset val="1"/>
      </rPr>
      <t xml:space="preserve">43,895.80→78,748.80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+34,853</t>
    </r>
    <r>
      <rPr>
        <sz val="10"/>
        <rFont val="Noto Sans CJK SC"/>
        <family val="2"/>
      </rPr>
      <t xml:space="preserve">），檢查程式預期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）——匯入列日期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早於 </t>
    </r>
    <r>
      <rPr>
        <sz val="10"/>
        <rFont val="Arial"/>
        <family val="0"/>
        <charset val="1"/>
      </rPr>
      <t xml:space="preserve">D-08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2026-10-01 </t>
    </r>
    <r>
      <rPr>
        <sz val="10"/>
        <rFont val="Noto Sans CJK SC"/>
        <family val="2"/>
      </rPr>
      <t xml:space="preserve">分拆，帳本依日期重播，分拆把這 </t>
    </r>
    <r>
      <rPr>
        <sz val="10"/>
        <rFont val="Arial"/>
        <family val="0"/>
        <charset val="1"/>
      </rPr>
      <t xml:space="preserve">49,790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30% </t>
    </r>
    <r>
      <rPr>
        <sz val="10"/>
        <rFont val="Noto Sans CJK SC"/>
        <family val="2"/>
      </rPr>
      <t xml:space="preserve">一併移到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49,790×0.7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34,853</t>
    </r>
    <r>
      <rPr>
        <sz val="10"/>
        <rFont val="Noto Sans CJK SC"/>
        <family val="2"/>
      </rPr>
      <t xml:space="preserve">，數字正確。同一次執行中 </t>
    </r>
    <r>
      <rPr>
        <sz val="10"/>
        <rFont val="Arial"/>
        <family val="0"/>
        <charset val="1"/>
      </rPr>
      <t xml:space="preserve">I-09 </t>
    </r>
    <r>
      <rPr>
        <sz val="10"/>
        <rFont val="Noto Sans CJK SC"/>
        <family val="2"/>
      </rPr>
      <t xml:space="preserve">的重複警示與 </t>
    </r>
    <r>
      <rPr>
        <sz val="10"/>
        <rFont val="Arial"/>
        <family val="0"/>
        <charset val="1"/>
      </rPr>
      <t xml:space="preserve">I-08 </t>
    </r>
    <r>
      <rPr>
        <sz val="10"/>
        <rFont val="Noto Sans CJK SC"/>
        <family val="2"/>
      </rPr>
      <t xml:space="preserve">的批次復原皆通過</t>
    </r>
  </si>
  <si>
    <t xml:space="preserve">I-08</t>
  </si>
  <si>
    <t xml:space="preserve">匯入批次復原</t>
  </si>
  <si>
    <t xml:space="preserve">承 I-07</t>
  </si>
  <si>
    <t xml:space="preserve">匯入批次 → 復原該批</t>
  </si>
  <si>
    <t xml:space="preserve">該批所有列消失；`kpis`／`holdings`／`realized`／`allocation` 與匯入前**字串完全相同**</t>
  </si>
  <si>
    <t xml:space="preserve"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</si>
  <si>
    <t xml:space="preserve">DEF-019, DEF-049</t>
  </si>
  <si>
    <t xml:space="preserve"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
R13（830056c 上 prod 前整份 one shot 重跑；Owner 6B：寫入留在 demo、不還原）：PASS — demo 真實瀏覽器（頁首 v0.1.28 · 830056c），在 I-07 中執行（demo 1／2 項，未過的一項只是引用 I-07 的總判定）：最近匯入「2026-10-01 21:47:08 交易 貼上 CSV 2 復原」→ 對話框「復原這批匯入…將刪除這批匯入寫進帳本的 2 筆交易紀錄…」→ DELETE /api/import/batches/52 200（deleted 2）→ kpis／holdings／realized／allocation 與匯入前逐字相同（本題本身測復原，依步驟刪除）</t>
  </si>
  <si>
    <t xml:space="preserve">I-09</t>
  </si>
  <si>
    <t xml:space="preserve">重複匯入偵測</t>
  </si>
  <si>
    <t xml:space="preserve">把同一份檔案再匯入一次</t>
  </si>
  <si>
    <t xml:space="preserve">系統應偵測重複並提示（或明確說明會重複寫入）；不得靜默產生兩份相同帳本列</t>
  </si>
  <si>
    <t xml:space="preserve">若寫入需復原</t>
  </si>
  <si>
    <t xml:space="preserve"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</si>
  <si>
    <t xml:space="preserve"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
R13（830056c 上 prod 前整份 one shot 重跑；Owner 6B：寫入留在 demo、不還原）：PASS — demo 真實瀏覽器（頁首 v0.1.28 · 830056c），demo 4／4 項檢查全過：承 I-07 的格式先寫入 2 列（批次 #53，依 6B 留下）→ 同檔再匯入：警示框「#1 2884…#2 1155… 相同交易已存在（同帳戶、標的、買賣別、交易日、股數、價格），確認要再次寫入？」、預設不寫；結果「寫入完成：成功 0 筆・已匯入過 2 筆」，交易仍 74 列</t>
  </si>
  <si>
    <t xml:space="preserve">I-10</t>
  </si>
  <si>
    <t xml:space="preserve">券商對帳單匯入（Schwab）</t>
  </si>
  <si>
    <t xml:space="preserve">取得一份 Schwab 匯出 CSV；記錄基準</t>
  </si>
  <si>
    <t xml:space="preserve">交易帳本 › CSV 匯入 › 券商對帳單 → 選券商與匯入到帳戶 → 上傳 → 轉換</t>
  </si>
  <si>
    <t xml:space="preserve">① 轉換報告逐列可檢視；② 無法對應的交易類型**不得用猜的**（應回 `broker_row_unmapped` 並說明）；③ 確認後寫入、可復原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</si>
  <si>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</si>
  <si>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</si>
  <si>
    <t xml:space="preserve">DEF-027, DEF-028, DEF-039</t>
  </si>
  <si>
    <t xml:space="preserve"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
R13（830056c 上 prod 前整份 one shot 重跑；Owner 6B：寫入留在 demo、不還原）：PASS — demo 真實瀏覽器（頁首 v0.1.28 · 830056c），demo 5／5 項檢查全過：嘉信對帳單轉換 200：逐列轉換報告（rows_in 2、cash_total −150.00）；未對應類型（Journaled Shares）→ 422 broker_row_unmapped、不猜；寫入轉換後 2 列（批次 #54、#55，依 6B 留下）：AAPL 2026-09-23 買 1 股，其後有 D-02b 依 6B 留下的 1:2 分割，持股 +2</t>
  </si>
  <si>
    <t xml:space="preserve">I-11</t>
  </si>
  <si>
    <t xml:space="preserve">匯入到錯誤帳戶的防護</t>
  </si>
  <si>
    <t xml:space="preserve">故意選一個與對帳單幣別／市場不符的帳戶</t>
  </si>
  <si>
    <t xml:space="preserve">系統需警告或阻擋（例如把美股對帳單匯入馬股帳戶）</t>
  </si>
  <si>
    <t xml:space="preserve"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</si>
  <si>
    <t xml:space="preserve">DEF-029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</si>
  <si>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DEF-029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列轉換（畫面以帳戶名稱顯示）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項檢查全過：嘉信對帳單匯入台灣券商 → </t>
    </r>
    <r>
      <rPr>
        <sz val="10"/>
        <rFont val="Arial"/>
        <family val="0"/>
        <charset val="1"/>
      </rPr>
      <t xml:space="preserve">200 ok:false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blocking account_broker_mismatch</t>
    </r>
    <r>
      <rPr>
        <sz val="10"/>
        <rFont val="Noto Sans CJK SC"/>
        <family val="2"/>
      </rPr>
      <t xml:space="preserve">（「…不屬於券商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（對帳單格式），一列都不會轉換」）、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列轉換；匯入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同樣被擋（</t>
    </r>
    <r>
      <rPr>
        <sz val="10"/>
        <rFont val="Arial"/>
        <family val="0"/>
        <charset val="1"/>
      </rPr>
      <t xml:space="preserve">DEF-029</t>
    </r>
    <r>
      <rPr>
        <sz val="10"/>
        <rFont val="Noto Sans CJK SC"/>
        <family val="2"/>
      </rPr>
      <t xml:space="preserve">）</t>
    </r>
  </si>
  <si>
    <t xml:space="preserve">I-12</t>
  </si>
  <si>
    <t xml:space="preserve">匯入的費用與稅重算</t>
  </si>
  <si>
    <t xml:space="preserve">匯入含手續費欄位的列，以及不含費用欄位的列</t>
  </si>
  <si>
    <t xml:space="preserve">① 有填的照用；② 沒填的依該帳戶費率規則重算；③ 與手動輸入同一路徑的結果一致</t>
  </si>
  <si>
    <t xml:space="preserve">同 I-07</t>
  </si>
  <si>
    <t xml:space="preserve"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</si>
  <si>
    <t xml:space="preserve"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
R13（830056c 上 prod 前整份 one shot 重跑；Owner 6B：寫入留在 demo、不還原）：PASS — demo 真實瀏覽器（頁首 v0.1.28 · 830056c），demo 3／3 項檢查全過：① 有填的費用照用（50；依規則應為 64）；② 沒填的依帳戶規則重算（2884 20／0、1155 3.91／2.00）；③ 與手動輸入同一路徑結果相同（20、3.91／2.00）</t>
  </si>
  <si>
    <t xml:space="preserve">I-13</t>
  </si>
  <si>
    <t xml:space="preserve">匯出→匯入往返一致</t>
  </si>
  <si>
    <t xml:space="preserve">把交易帳本匯出成 CSV，於測試帳戶原樣匯入</t>
  </si>
  <si>
    <t xml:space="preserve">往返後的列內容與原列一致（此案用於驗證匯出欄位足以重建帳本）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</si>
  <si>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</si>
  <si>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</si>
  <si>
    <t xml:space="preserve">DEF-026</t>
  </si>
  <si>
    <t xml:space="preserve"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
R13（830056c 上 prod 前整份 one shot 重跑；Owner 6B：寫入留在 demo、不還原）：PASS — demo 真實瀏覽器（頁首 v0.1.28 · 830056c），demo 4／4 項檢查全過：交易帳本匯出 CSV 原樣作為匯入解析：無缺欄錯誤、75 列，75／75 列皆被辨識為相同交易（duplicate_trade）；確認寫回 2 列（批次 #56：#264 2330 買 2,000 @600 2026-01-06、#265 0056 買 5,000 @38 2026-02-10），逐欄與原列相同（帳戶／代號／買賣／股數／價格／費用／稅／日期）；依 6B 留在 demo——#264 補足 2330 07-01 的持股，B-11 留下的賣出不再是賣超，E-04、E-07、E-08、I-01～I-03 等因此得以重跑</t>
  </si>
  <si>
    <r>
      <rPr>
        <b val="true"/>
        <sz val="11"/>
        <rFont val="Arial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回歸快篩（每次改版後跑一次）</t>
    </r>
  </si>
  <si>
    <t xml:space="preserve">J-01</t>
  </si>
  <si>
    <t xml:space="preserve">J</t>
  </si>
  <si>
    <t xml:space="preserve">金額恆等式</t>
  </si>
  <si>
    <t xml:space="preserve">以 `/api/dashboard` 原始 Decimal 字串重算 94 項恆等式（14 檔 × 6 ＋ 10 組總表）</t>
  </si>
  <si>
    <r>
      <rPr>
        <sz val="10"/>
        <rFont val="Arial"/>
        <family val="0"/>
        <charset val="1"/>
      </rPr>
      <t xml:space="preserve">94 / 94 </t>
    </r>
    <r>
      <rPr>
        <sz val="10"/>
        <rFont val="Noto Sans CJK SC"/>
        <family val="2"/>
      </rPr>
      <t xml:space="preserve">全過；任何一項不過都必須查到原因</t>
    </r>
  </si>
  <si>
    <t xml:space="preserve"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</si>
  <si>
    <t xml:space="preserve">DEF-077</t>
  </si>
  <si>
    <t xml:space="preserve"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
R13（830056c 上 prod 前整份 one shot 重跑；Owner 6B：寫入留在 demo、不還原）：PASS — demo 真實瀏覽器（頁首 v0.1.28 · 830056c），demo 3／3 項檢查全過：以 /api/dashboard 原始 Decimal 字串重算恆等式 106／106 全過（持倉 16 檔×6＋10 組總表，最大誤差 1e−20）；三幣別市值加總 3／3；匯率三角一致（31.909998 vs 31.910000，2026-10-01）</t>
  </si>
  <si>
    <t xml:space="preserve">J-02</t>
  </si>
  <si>
    <t xml:space="preserve">費稅四情境手算</t>
  </si>
  <si>
    <t xml:space="preserve">以試算重跑：台股買／台股賣／當沖賣／零股最低手續費</t>
  </si>
  <si>
    <t xml:space="preserve">與手算相符（0.1425%／最低 20／0.3%／0.15%／無條件捨去）</t>
  </si>
  <si>
    <t xml:space="preserve">✅ 已驗</t>
  </si>
  <si>
    <t xml:space="preserve"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</si>
  <si>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情境手算相符：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1000@36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ETF 0.1%</t>
    </r>
    <r>
      <rPr>
        <sz val="10"/>
        <rFont val="Noto Sans CJK SC"/>
        <family val="2"/>
      </rPr>
      <t xml:space="preserve">）；最低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馬股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）＋印花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美股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1@230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0.07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0.99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SEC 0.01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TAF 0.01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1000@10.50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），另加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66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股費 </t>
    </r>
    <r>
      <rPr>
        <sz val="10"/>
        <rFont val="Arial"/>
        <family val="0"/>
        <charset val="1"/>
      </rPr>
      <t xml:space="preserve">20
R5</t>
    </r>
    <r>
      <rPr>
        <sz val="10"/>
        <rFont val="Noto Sans CJK SC"/>
        <family val="2"/>
      </rPr>
      <t xml:space="preserve">：試算重跑四情境（台灣券商 </t>
    </r>
    <r>
      <rPr>
        <sz val="10"/>
        <rFont val="Arial"/>
        <family val="0"/>
        <charset val="1"/>
      </rPr>
      <t xml:space="preserve">rate 0.001425</t>
    </r>
    <r>
      <rPr>
        <sz val="10"/>
        <rFont val="Noto Sans CJK SC"/>
        <family val="2"/>
      </rPr>
      <t xml:space="preserve">、最低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、無條件捨去）：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1,005,000×0.001425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1,432.125</t>
    </r>
    <r>
      <rPr>
        <sz val="10"/>
        <rFont val="Noto Sans CJK SC"/>
        <family val="2"/>
      </rPr>
      <t xml:space="preserve">）；賣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1,507.5 </t>
    </r>
    <r>
      <rPr>
        <sz val="10"/>
        <rFont val="Noto Sans CJK SC"/>
        <family val="2"/>
      </rPr>
      <t xml:space="preserve">捨去）；零股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（最低）——全數相符，未寫入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（總額 −</t>
    </r>
    <r>
      <rPr>
        <sz val="10"/>
        <rFont val="Arial"/>
        <family val="0"/>
        <charset val="1"/>
      </rPr>
      <t xml:space="preserve">1,006,432</t>
    </r>
    <r>
      <rPr>
        <sz val="10"/>
        <rFont val="Noto Sans CJK SC"/>
        <family val="2"/>
      </rPr>
      <t xml:space="preserve">）；賣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（最低）；</t>
    </r>
    <r>
      <rPr>
        <sz val="10"/>
        <rFont val="Arial"/>
        <family val="0"/>
        <charset val="1"/>
      </rPr>
      <t xml:space="preserve">POST /api/input/manual/preview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，交易列數前後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，未寫入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項檢查全過：試算（未寫入）：買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floor(1,005,000×0.1425%)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；帳本不變</t>
    </r>
  </si>
  <si>
    <t xml:space="preserve">J-03</t>
  </si>
  <si>
    <t xml:space="preserve">寫入→編輯→刪除還原</t>
  </si>
  <si>
    <t xml:space="preserve">記錄基準</t>
  </si>
  <si>
    <t xml:space="preserve">建一筆交易 → 編輯 → 刪除 → 開資料中心 › 帳本操作稽核</t>
  </si>
  <si>
    <t xml:space="preserve">① 四組 JSON 與基準**字串完全相同**；② 帳本操作稽核最新兩筆依序是這次的刪除與編輯，帳本、動作正確，並列出變更前的內容（刪除列為刪除前、編輯列為編輯前）；I-01 ㉑ 的 CSV 同樣有這兩筆（Owner 2026-10-01 新增：帳本操作稽核為結案後新增）</t>
  </si>
  <si>
    <t xml:space="preserve">會寫入，步驟本身含還原</t>
  </si>
  <si>
    <t xml:space="preserve"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</si>
  <si>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#104 → </t>
    </r>
    <r>
      <rPr>
        <sz val="10"/>
        <rFont val="Noto Sans CJK SC"/>
        <family val="2"/>
      </rPr>
      <t xml:space="preserve">編輯價格 </t>
    </r>
    <r>
      <rPr>
        <sz val="10"/>
        <rFont val="Arial"/>
        <family val="0"/>
        <charset val="1"/>
      </rPr>
      <t xml:space="preserve">46→50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69.7→71.7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13,940→14,340</t>
    </r>
    <r>
      <rPr>
        <sz val="10"/>
        <rFont val="Noto Sans CJK SC"/>
        <family val="2"/>
      </rPr>
      <t xml:space="preserve">）→ 刪除，六段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與基準相同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：寫入（</t>
    </r>
    <r>
      <rPr>
        <sz val="10"/>
        <rFont val="Arial"/>
        <family val="0"/>
        <charset val="1"/>
      </rPr>
      <t xml:space="preserve">#105 </t>
    </r>
    <r>
      <rPr>
        <sz val="10"/>
        <rFont val="Noto Sans CJK SC"/>
        <family val="2"/>
      </rPr>
      <t xml:space="preserve">當沖放空、批次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#106</t>
    </r>
    <r>
      <rPr>
        <sz val="10"/>
        <rFont val="Noto Sans CJK SC"/>
        <family val="2"/>
      </rPr>
      <t xml:space="preserve">）→ 編輯（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備註、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折讓款日期金額備註）→ 刪除／改回，各段 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same:true
R4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編輯備註（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刪除，</t>
    </r>
    <r>
      <rPr>
        <sz val="10"/>
        <rFont val="Arial"/>
        <family val="0"/>
        <charset val="1"/>
      </rPr>
      <t xml:space="preserve">cmp J03R4 same:true
R5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J03R5 same:true
R6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股）→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，金額 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J03R6 same:true
R7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J03R7 same:true
R9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刪除（頁內確認框 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J03R9 same:true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cmp R9_START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#168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#266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#445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266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#444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445 </t>
    </r>
    <r>
      <rPr>
        <sz val="10"/>
        <rFont val="Noto Sans CJK SC"/>
        <family val="2"/>
      </rPr>
      <t xml:space="preserve">列）（本題本身測刪除）</t>
    </r>
  </si>
  <si>
    <t xml:space="preserve">J-04</t>
  </si>
  <si>
    <t xml:space="preserve">匯出全端點</t>
  </si>
  <si>
    <t xml:space="preserve">逐一觸發 I-01 清單上的 21 個匯出</t>
  </si>
  <si>
    <t xml:space="preserve">全部 200、檔名正確（清單只在 I-01 維護）</t>
  </si>
  <si>
    <t xml:space="preserve"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</si>
  <si>
    <t xml:space="preserve">DEF-045</t>
  </si>
  <si>
    <t xml:space="preserve"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
R13（830056c 上 prod 前整份 one shot 重跑；Owner 6B：寫入留在 demo、不還原）：PASS — demo 真實瀏覽器（頁首 v0.1.28 · 830056c），demo 2／2 項檢查全過：I-01 清單 21 個匯出全部 200、檔名正確（頁內取得、不存檔）；匯出中心「帳本操作稽核 CSV › 產生並下載」：POST /api/export/ledger-audit 200、ledger_audit_all_all.csv 202,076 bytes（攔截、不存檔）</t>
  </si>
  <si>
    <t xml:space="preserve">J-05</t>
  </si>
  <si>
    <r>
      <rPr>
        <sz val="10"/>
        <rFont val="Arial"/>
        <family val="0"/>
        <charset val="1"/>
      </rPr>
      <t xml:space="preserve">RWD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</si>
  <si>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 ＋ 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個子分頁；全新分頁連續走訪讀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</si>
  <si>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處橫向溢位；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訊息</t>
    </r>
  </si>
  <si>
    <r>
      <rPr>
        <sz val="10"/>
        <rFont val="Arial"/>
        <family val="0"/>
        <charset val="1"/>
      </rPr>
      <t xml:space="preserve">390×844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個子分頁，初始狀態 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全為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溢位）；全新分頁連續走訪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子頁＋</t>
    </r>
    <r>
      <rPr>
        <sz val="10"/>
        <rFont val="Arial"/>
        <family val="0"/>
        <charset val="1"/>
      </rPr>
      <t xml:space="preserve">login.html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則應用程式訊息（量測器以 </t>
    </r>
    <r>
      <rPr>
        <sz val="10"/>
        <rFont val="Arial"/>
        <family val="0"/>
        <charset val="1"/>
      </rPr>
      <t xml:space="preserve">console.log </t>
    </r>
    <r>
      <rPr>
        <sz val="10"/>
        <rFont val="Noto Sans CJK SC"/>
        <family val="2"/>
      </rPr>
      <t xml:space="preserve">探針確認可讀到）。✗ 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展開「▶ 數據變數總表（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個變數）」後，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table.data.vars-table </t>
    </r>
    <r>
      <rPr>
        <sz val="10"/>
        <rFont val="Noto Sans CJK SC"/>
        <family val="2"/>
      </rPr>
      <t xml:space="preserve">寬 </t>
    </r>
    <r>
      <rPr>
        <sz val="10"/>
        <rFont val="Arial"/>
        <family val="0"/>
        <charset val="1"/>
      </rPr>
      <t xml:space="preserve">617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3,652 px</t>
    </r>
    <r>
      <rPr>
        <sz val="10"/>
        <rFont val="Noto Sans CJK SC"/>
        <family val="2"/>
      </rPr>
      <t xml:space="preserve">，頁面 </t>
    </r>
    <r>
      <rPr>
        <sz val="10"/>
        <rFont val="Arial"/>
        <family val="0"/>
        <charset val="1"/>
      </rPr>
      <t xml:space="preserve">scrollWidth 390 → 3,673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window </t>
    </r>
    <r>
      <rPr>
        <sz val="10"/>
        <rFont val="Noto Sans CJK SC"/>
        <family val="2"/>
      </rPr>
      <t xml:space="preserve">可橫捲到 </t>
    </r>
    <r>
      <rPr>
        <sz val="10"/>
        <rFont val="Arial"/>
        <family val="0"/>
        <charset val="1"/>
      </rPr>
      <t xml:space="preserve">scrollX 600</t>
    </r>
  </si>
  <si>
    <t xml:space="preserve">DEF-002, DEF-050</t>
  </si>
  <si>
    <t xml:space="preserve"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
R13（830056c 上 prod 前整份 one shot 重跑；Owner 6B：寫入留在 demo、不還原）：PASS — demo 真實瀏覽器（頁首 v0.1.28 · 830056c），demo 2／2 項檢查全過：390×844 走訪 18 頁（10 個分頁＋設定 8 個子分頁）：scrollWidth ≤ 視窗、溢位元素 0、頁面錯誤 0；設定子分頁以 hash 開啟正確</t>
  </si>
  <si>
    <t xml:space="preserve">J-06</t>
  </si>
  <si>
    <t xml:space="preserve">守門測試</t>
  </si>
  <si>
    <t xml:space="preserve">開發機</t>
  </si>
  <si>
    <r>
      <rPr>
        <sz val="10"/>
        <rFont val="Arial"/>
        <family val="0"/>
        <charset val="1"/>
      </rPr>
      <t xml:space="preserve">`pytest`</t>
    </r>
    <r>
      <rPr>
        <sz val="10"/>
        <rFont val="Noto Sans CJK SC"/>
        <family val="2"/>
      </rPr>
      <t xml:space="preserve">（非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全套）＋ </t>
    </r>
    <r>
      <rPr>
        <sz val="10"/>
        <rFont val="Arial"/>
        <family val="0"/>
        <charset val="1"/>
      </rPr>
      <t xml:space="preserve">`mypy --strict`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`ruff`</t>
    </r>
  </si>
  <si>
    <t xml:space="preserve">全綠；帳戶名稱與中文標點兩支守門測試需包含變異測試（把修復前的寫法放回去會失敗）</t>
  </si>
  <si>
    <t xml:space="preserve">✅ 已驗（變異測試）</t>
  </si>
  <si>
    <t xml:space="preserve"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</si>
  <si>
    <t xml:space="preserve">DEF-065, DEF-087</t>
  </si>
  <si>
    <t xml:space="preserve"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
R13（830056c 上 prod 前整份 one shot 重跑；Owner 6B：寫入留在 demo、不還原）：FAIL — 本機乾淨 worktree（git worktree 830056c，無未提交變更），本機 5／6 項：ruff 全過；mypy --strict 983 檔 0；pytest 非 e2e 1 failed／6,851 passed／5 skipped ✗——tests/contract/test_exports_never_print_scientific_notation.py::test_every_bare_str_in_the_export_package_is_listed：export 套件多出一個未列入白名單的裸 str()（ledger_audit.py `_display`，e8bcf53 的別名欄顯示）；e2e 322／322（211 個伺服器行程 traceback 0、5xx 0）；守門變異 3 組皆被攔（帳戶名稱 → 2 failed、全形標點 → 1、inline 狀態色 → 1）。手冊要求全綠 → FAIL，開 DEF-087（低）。註：本機檢查程式比對 pytest 摘要時大小寫寫錯（「FAILED」與「failed」），自動判讀誤記 PASS；驗證者讀原始紀錄（pytest.log「1 failed, 6851 passed, 5 skipped」、rc=1）改判，並在 830056c、e8bcf53、2fe60ce 三個乾淨 worktree 單獨重跑該測試（前兩者各兩次皆 failed，2fe60ce 10 passed）</t>
  </si>
  <si>
    <t xml:space="preserve">缺陷 ID</t>
  </si>
  <si>
    <t xml:space="preserve">關聯案例</t>
  </si>
  <si>
    <t xml:space="preserve">標題</t>
  </si>
  <si>
    <t xml:space="preserve">嚴重度</t>
  </si>
  <si>
    <t xml:space="preserve">分類</t>
  </si>
  <si>
    <t xml:space="preserve">發現輪次</t>
  </si>
  <si>
    <t xml:space="preserve">重現步驟</t>
  </si>
  <si>
    <t xml:space="preserve">根因（檔案:行）</t>
  </si>
  <si>
    <t xml:space="preserve">結案輪次</t>
  </si>
  <si>
    <r>
      <rPr>
        <i val="true"/>
        <sz val="10"/>
        <rFont val="Arial"/>
        <family val="0"/>
        <charset val="1"/>
      </rPr>
      <t xml:space="preserve">B-15</t>
    </r>
    <r>
      <rPr>
        <i val="true"/>
        <sz val="10"/>
        <rFont val="Noto Sans CJK SC"/>
        <family val="2"/>
      </rPr>
      <t xml:space="preserve">（範例，非實際案例）</t>
    </r>
  </si>
  <si>
    <t xml:space="preserve">券商對帳單匯入的「匯入到帳戶」下拉顯示英文帳戶名＋原始 id</t>
  </si>
  <si>
    <t xml:space="preserve">R1</t>
  </si>
  <si>
    <t xml:space="preserve">交易帳本 › CSV 匯入 › 券商對帳單 → 讀「匯入到帳戶」下拉：顯示「TW Broker（tw_broker）」，同一頁的手動交易帳戶下拉卻是「台灣券商（TWD）」</t>
  </si>
  <si>
    <r>
      <rPr>
        <i val="true"/>
        <sz val="10"/>
        <rFont val="Arial"/>
        <family val="0"/>
        <charset val="1"/>
      </rPr>
      <t xml:space="preserve">web/broker-import.js:498 `el('option', null, a.name + '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' + a.id + '</t>
    </r>
    <r>
      <rPr>
        <i val="true"/>
        <sz val="10"/>
        <rFont val="Noto Sans CJK SC"/>
        <family val="2"/>
      </rPr>
      <t xml:space="preserve">）</t>
    </r>
    <r>
      <rPr>
        <i val="true"/>
        <sz val="10"/>
        <rFont val="Arial"/>
        <family val="0"/>
        <charset val="1"/>
      </rPr>
      <t xml:space="preserve">')` — </t>
    </r>
    <r>
      <rPr>
        <i val="true"/>
        <sz val="10"/>
        <rFont val="Noto Sans CJK SC"/>
        <family val="2"/>
      </rPr>
      <t xml:space="preserve">直接用 </t>
    </r>
    <r>
      <rPr>
        <i val="true"/>
        <sz val="10"/>
        <rFont val="Arial"/>
        <family val="0"/>
        <charset val="1"/>
      </rPr>
      <t xml:space="preserve">API </t>
    </r>
    <r>
      <rPr>
        <i val="true"/>
        <sz val="10"/>
        <rFont val="Noto Sans CJK SC"/>
        <family val="2"/>
      </rPr>
      <t xml:space="preserve">原始 </t>
    </r>
    <r>
      <rPr>
        <i val="true"/>
        <sz val="10"/>
        <rFont val="Arial"/>
        <family val="0"/>
        <charset val="1"/>
      </rPr>
      <t xml:space="preserve">a.name </t>
    </r>
    <r>
      <rPr>
        <i val="true"/>
        <sz val="10"/>
        <rFont val="Noto Sans CJK SC"/>
        <family val="2"/>
      </rPr>
      <t xml:space="preserve">併原始 </t>
    </r>
    <r>
      <rPr>
        <i val="true"/>
        <sz val="10"/>
        <rFont val="Arial"/>
        <family val="0"/>
        <charset val="1"/>
      </rPr>
      <t xml:space="preserve">id</t>
    </r>
    <r>
      <rPr>
        <i val="true"/>
        <sz val="10"/>
        <rFont val="Noto Sans CJK SC"/>
        <family val="2"/>
      </rPr>
      <t xml:space="preserve">，全檔未引用 </t>
    </r>
    <r>
      <rPr>
        <i val="true"/>
        <sz val="10"/>
        <rFont val="Arial"/>
        <family val="0"/>
        <charset val="1"/>
      </rPr>
      <t xml:space="preserve">pdNames</t>
    </r>
  </si>
  <si>
    <t xml:space="preserve">R2</t>
  </si>
  <si>
    <t xml:space="preserve">（填寫範例，取自本次稽核真實缺陷 M5-b）</t>
  </si>
  <si>
    <t xml:space="preserve">稅務包 summary.md「對帳用：績效基礎已實現」與儀表板已實現對不上（TWD 差 5,200，未說明）</t>
  </si>
  <si>
    <t xml:space="preserve"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</si>
  <si>
    <r>
      <rPr>
        <sz val="10"/>
        <rFont val="Arial"/>
        <family val="0"/>
        <charset val="1"/>
      </rPr>
      <t xml:space="preserve">portfolio_dash/export/tax.py:89 `if r.kind not in ("sale", "short_cover"): continue` </t>
    </r>
    <r>
      <rPr>
        <sz val="10"/>
        <rFont val="Noto Sans CJK SC"/>
        <family val="2"/>
      </rPr>
      <t xml:space="preserve">排在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前面，而 </t>
    </r>
    <r>
      <rPr>
        <sz val="10"/>
        <rFont val="Arial"/>
        <family val="0"/>
        <charset val="1"/>
      </rPr>
      <t xml:space="preserve">adjusted_subtotal </t>
    </r>
    <r>
      <rPr>
        <sz val="10"/>
        <rFont val="Noto Sans CJK SC"/>
        <family val="2"/>
      </rPr>
      <t xml:space="preserve">就是 </t>
    </r>
    <r>
      <rPr>
        <sz val="10"/>
        <rFont val="Arial"/>
        <family val="0"/>
        <charset val="1"/>
      </rPr>
      <t xml:space="preserve">_summary_md </t>
    </r>
    <r>
      <rPr>
        <sz val="10"/>
        <rFont val="Noto Sans CJK SC"/>
        <family val="2"/>
      </rPr>
      <t xml:space="preserve">對帳段印出的數字——申報口徑的過濾同時作用在對帳欄</t>
    </r>
  </si>
  <si>
    <t xml:space="preserve">DEF-002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</si>
  <si>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寬度下展開「設定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› 數據變數總表」，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張變數表撐破頁面，整頁橫向捲動（</t>
    </r>
    <r>
      <rPr>
        <sz val="10"/>
        <rFont val="Arial"/>
        <family val="0"/>
        <charset val="1"/>
      </rPr>
      <t xml:space="preserve">scrollWidth 3,673px</t>
    </r>
    <r>
      <rPr>
        <sz val="10"/>
        <rFont val="Noto Sans CJK SC"/>
        <family val="2"/>
      </rPr>
      <t xml:space="preserve">）</t>
    </r>
  </si>
  <si>
    <t xml:space="preserve"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</si>
  <si>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（直接放進 </t>
    </r>
    <r>
      <rPr>
        <sz val="10"/>
        <rFont val="Arial"/>
        <family val="0"/>
        <charset val="1"/>
      </rPr>
      <t xml:space="preserve">.vars-cat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display:flex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overflow </t>
    </r>
    <r>
      <rPr>
        <sz val="10"/>
        <rFont val="Noto Sans CJK SC"/>
        <family val="2"/>
      </rPr>
      <t xml:space="preserve">的容器，沒有包 </t>
    </r>
    <r>
      <rPr>
        <sz val="10"/>
        <rFont val="Arial"/>
        <family val="0"/>
        <charset val="1"/>
      </rPr>
      <t xml:space="preserve">.table-wrap</t>
    </r>
    <r>
      <rPr>
        <sz val="10"/>
        <rFont val="Noto Sans CJK SC"/>
        <family val="2"/>
      </rPr>
      <t xml:space="preserve">）；放大：</t>
    </r>
    <r>
      <rPr>
        <sz val="10"/>
        <rFont val="Arial"/>
        <family val="0"/>
        <charset val="1"/>
      </rPr>
      <t xml:space="preserve">web/styles.css:866 `table.data td { white-space: nowrap; }` </t>
    </r>
    <r>
      <rPr>
        <sz val="10"/>
        <rFont val="Noto Sans CJK SC"/>
        <family val="2"/>
      </rPr>
      <t xml:space="preserve">讓「說明」欄單獨撐寬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</si>
  <si>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複驗通過。附註：觀察（不另開）：收件匣「待確認退款」標題下的副標題 </t>
    </r>
    <r>
      <rPr>
        <sz val="10"/>
        <rFont val="Arial"/>
        <family val="0"/>
        <charset val="1"/>
      </rPr>
      <t xml:space="preserve">nowrap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ellipsis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DEF-011 </t>
    </r>
    <r>
      <rPr>
        <sz val="10"/>
        <rFont val="Noto Sans CJK SC"/>
        <family val="2"/>
      </rPr>
      <t xml:space="preserve">新增的關鍵句「不改變持倉成本與資產損益，但會計入 </t>
    </r>
    <r>
      <rPr>
        <sz val="10"/>
        <rFont val="Arial"/>
        <family val="0"/>
        <charset val="1"/>
      </rPr>
      <t xml:space="preserve">XIRR…</t>
    </r>
    <r>
      <rPr>
        <sz val="10"/>
        <rFont val="Noto Sans CJK SC"/>
        <family val="2"/>
      </rPr>
      <t xml:space="preserve">」被截掉（</t>
    </r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  <r>
      <rPr>
        <sz val="10"/>
        <rFont val="Noto Sans CJK SC"/>
        <family val="2"/>
      </rPr>
      <t xml:space="preserve">）；同句在卡片內文與頁尾可完整看到</t>
    </r>
  </si>
  <si>
    <t xml:space="preserve">沒有預測（prediction=null）但有信心值的洞察卡顯示「信心 N%」，不顯示「純描述・無預測」（25 張）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</si>
  <si>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看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卡（</t>
    </r>
    <r>
      <rPr>
        <sz val="10"/>
        <rFont val="Arial"/>
        <family val="0"/>
        <charset val="1"/>
      </rPr>
      <t xml:space="preserve">#182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2026-09-21 00:45</t>
    </r>
    <r>
      <rPr>
        <sz val="10"/>
        <rFont val="Noto Sans CJK SC"/>
        <family val="2"/>
      </rPr>
      <t xml:space="preserve">）：畫面「信心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該卡 </t>
    </r>
    <r>
      <rPr>
        <sz val="10"/>
        <rFont val="Arial"/>
        <family val="0"/>
        <charset val="1"/>
      </rPr>
      <t xml:space="preserve">prediction=null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confidence=0</t>
    </r>
    <r>
      <rPr>
        <sz val="10"/>
        <rFont val="Noto Sans CJK SC"/>
        <family val="2"/>
      </rPr>
      <t xml:space="preserve">。全表 </t>
    </r>
    <r>
      <rPr>
        <sz val="10"/>
        <rFont val="Arial"/>
        <family val="0"/>
        <charset val="1"/>
      </rPr>
      <t xml:space="preserve">prediction=null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</si>
  <si>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web/insights.html:323 `if (card.confidence == null) {`——</t>
    </r>
    <r>
      <rPr>
        <sz val="10"/>
        <rFont val="Noto Sans CJK SC"/>
        <family val="2"/>
      </rPr>
      <t xml:space="preserve">信心標籤只看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，不看 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；校準端 </t>
    </r>
    <r>
      <rPr>
        <sz val="10"/>
        <rFont val="Arial"/>
        <family val="0"/>
        <charset val="1"/>
      </rPr>
      <t xml:space="preserve">portfolio_dash/llm_insight/evaluations_store.py:404 `where = "is_shadow = 0 AND status = 'scored' AND confidence IS NOT NULL"` </t>
    </r>
    <r>
      <rPr>
        <sz val="10"/>
        <rFont val="Noto Sans CJK SC"/>
        <family val="2"/>
      </rPr>
      <t xml:space="preserve">把無預測卡算進校準曲線</t>
    </r>
  </si>
  <si>
    <t xml:space="preserve">R3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</si>
  <si>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）：以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為準：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為空的卡一律顯示「純描述・無預測」，不顯示信心值，也不進校準曲線。 處置：改程式；</t>
    </r>
    <r>
      <rPr>
        <sz val="10"/>
        <rFont val="Arial"/>
        <family val="0"/>
        <charset val="1"/>
      </rPr>
      <t xml:space="preserve">G-06 </t>
    </r>
    <r>
      <rPr>
        <sz val="10"/>
        <rFont val="Noto Sans CJK SC"/>
        <family val="2"/>
      </rPr>
      <t xml:space="preserve">期望不變（現行行為不符 → 交開發者）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</si>
  <si>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r>
      <rPr>
        <sz val="10"/>
        <rFont val="Arial"/>
        <family val="0"/>
        <charset val="1"/>
      </rPr>
      <t xml:space="preserve">I-04</t>
    </r>
    <r>
      <rPr>
        <sz val="10"/>
        <rFont val="Noto Sans CJK SC"/>
        <family val="2"/>
      </rPr>
      <t xml:space="preserve">（附帶發現）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</si>
  <si>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匯入解析預覽：股利／換匯／期初／公司行動／資金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類沿用交易欄位（買賣／代號／股數／價格），金額、幣別、比例、建檔日一律顯示「—」，寫入前看不到要寫的金額</t>
    </r>
  </si>
  <si>
    <t xml:space="preserve"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</si>
  <si>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 </t>
    </r>
    <r>
      <rPr>
        <sz val="10"/>
        <rFont val="Arial"/>
        <family val="0"/>
        <charset val="1"/>
      </rPr>
      <t xml:space="preserve">`&lt;thead&gt;&lt;tr&gt;&lt;th&gt;&lt;/th&gt;&lt;th&gt;#&lt;/th&gt;&lt;th&gt;</t>
    </r>
    <r>
      <rPr>
        <sz val="10"/>
        <rFont val="Noto Sans CJK SC"/>
        <family val="2"/>
      </rPr>
      <t xml:space="preserve">日期</t>
    </r>
    <r>
      <rPr>
        <sz val="10"/>
        <rFont val="Arial"/>
        <family val="0"/>
        <charset val="1"/>
      </rPr>
      <t xml:space="preserve">&lt;/th&gt;…&lt;th&gt;</t>
    </r>
    <r>
      <rPr>
        <sz val="10"/>
        <rFont val="Noto Sans CJK SC"/>
        <family val="2"/>
      </rPr>
      <t xml:space="preserve">股數</t>
    </r>
    <r>
      <rPr>
        <sz val="10"/>
        <rFont val="Arial"/>
        <family val="0"/>
        <charset val="1"/>
      </rPr>
      <t xml:space="preserve">&lt;/th&gt;&lt;th&gt;</t>
    </r>
    <r>
      <rPr>
        <sz val="10"/>
        <rFont val="Noto Sans CJK SC"/>
        <family val="2"/>
      </rPr>
      <t xml:space="preserve">價格</t>
    </r>
    <r>
      <rPr>
        <sz val="10"/>
        <rFont val="Arial"/>
        <family val="0"/>
        <charset val="1"/>
      </rPr>
      <t xml:space="preserve">&lt;/th&gt;…`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web/input.js:1256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'num', f.shares(d.quantity !== undefined ? d.quantity : d.shares)));`——6 </t>
    </r>
    <r>
      <rPr>
        <sz val="10"/>
        <rFont val="Noto Sans CJK SC"/>
        <family val="2"/>
      </rPr>
      <t xml:space="preserve">類都用同一組交易欄位讀 </t>
    </r>
    <r>
      <rPr>
        <sz val="10"/>
        <rFont val="Arial"/>
        <family val="0"/>
        <charset val="1"/>
      </rPr>
      <t xml:space="preserve">d.*</t>
    </r>
    <r>
      <rPr>
        <sz val="10"/>
        <rFont val="Noto Sans CJK SC"/>
        <family val="2"/>
      </rPr>
      <t xml:space="preserve">，後端 </t>
    </r>
    <r>
      <rPr>
        <sz val="10"/>
        <rFont val="Arial"/>
        <family val="0"/>
        <charset val="1"/>
      </rPr>
      <t xml:space="preserve">rows[].data </t>
    </r>
    <r>
      <rPr>
        <sz val="10"/>
        <rFont val="Noto Sans CJK SC"/>
        <family val="2"/>
      </rPr>
      <t xml:space="preserve">其實都有值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</si>
  <si>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複驗通過。附註：防護偏弱：以「只換表頭」變異測試 </t>
    </r>
    <r>
      <rPr>
        <sz val="10"/>
        <rFont val="Arial"/>
        <family val="0"/>
        <charset val="1"/>
      </rPr>
      <t xml:space="preserve">18 passed </t>
    </r>
    <r>
      <rPr>
        <sz val="10"/>
        <rFont val="Noto Sans CJK SC"/>
        <family val="2"/>
      </rPr>
      <t xml:space="preserve">未抓到，只有 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釘住 </t>
    </r>
    <r>
      <rPr>
        <sz val="10"/>
        <rFont val="Arial"/>
        <family val="0"/>
        <charset val="1"/>
      </rPr>
      <t xml:space="preserve">key </t>
    </r>
    <r>
      <rPr>
        <sz val="10"/>
        <rFont val="Noto Sans CJK SC"/>
        <family val="2"/>
      </rPr>
      <t xml:space="preserve">的那支測試會失敗；建議補一支以預覽內容（非原始碼字串）驗證的測試</t>
    </r>
  </si>
  <si>
    <t xml:space="preserve">公司行動比例欄輸入小數不會被擋，小數點被前端直接刪掉：輸入 1.5 變成 15，試算與登錄都用 15</t>
  </si>
  <si>
    <t xml:space="preserve"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</si>
  <si>
    <r>
      <rPr>
        <sz val="10"/>
        <rFont val="Arial"/>
        <family val="0"/>
        <charset val="1"/>
      </rPr>
      <t xml:space="preserve">web/corp-action-form.js:158 `const cleaned = n.value.replace(/[^0-9]/g, '');`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:159 `if (cleaned !== n.value) n.value = cleaned;` </t>
    </r>
    <r>
      <rPr>
        <sz val="10"/>
        <rFont val="Noto Sans CJK SC"/>
        <family val="2"/>
      </rPr>
      <t xml:space="preserve">寫回欄位）——前端先把小數洗成合法整數，後端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永遠看不到</t>
    </r>
  </si>
  <si>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（亦影響 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判準）</t>
    </r>
  </si>
  <si>
    <t xml:space="preserve">資金收支方向 chip 為中性灰（入金實心、出金外框），與手冊「入金綠色／出金扣款色」不符</t>
  </si>
  <si>
    <t xml:space="preserve">資金管理 › 出金入金 → 寫入一筆入金 → 看資金收支列「方向」欄：入金 chip 底色 rgb(154,166,181)；既有出金列 chip 為透明底＋灰框；折讓款同入金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</si>
  <si>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）：維持中性色：入金實心、出金外框（方向不是損益，不用紅綠），不改 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。 處置：改手冊：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期望改為「方向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為中性色：入金實心、出金外框」。依 </t>
    </r>
    <r>
      <rPr>
        <sz val="10"/>
        <rFont val="Arial"/>
        <family val="0"/>
        <charset val="1"/>
      </rPr>
      <t xml:space="preserve">§5 </t>
    </r>
    <r>
      <rPr>
        <sz val="10"/>
        <rFont val="Noto Sans CJK SC"/>
        <family val="2"/>
      </rPr>
      <t xml:space="preserve">驗證者不改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</t>
    </r>
  </si>
  <si>
    <t xml:space="preserve">外幣入金「取得成本」：參考匯率回應晚到時，會蓋掉使用者已輸入的匯率／家幣金額（並把模式切回「匯率」），寫入錯誤的取得成本；提示句日期也標成輸入日而非匯率實際日期</t>
  </si>
  <si>
    <t xml:space="preserve"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</si>
  <si>
    <r>
      <rPr>
        <sz val="10"/>
        <rFont val="Arial"/>
        <family val="0"/>
        <charset val="1"/>
      </rPr>
      <t xml:space="preserve">web/cash.js:936-939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(seq !== acqPrefillSeq) return; … $('#cm-acq-mode').value = 'rate'; $('#cm-acq').value = r.rate;`——</t>
    </r>
    <r>
      <rPr>
        <sz val="10"/>
        <rFont val="Noto Sans CJK SC"/>
        <family val="2"/>
      </rPr>
      <t xml:space="preserve">序號只擋「更晚的預填」，不擋「使用者已輸入」；</t>
    </r>
    <r>
      <rPr>
        <sz val="10"/>
        <rFont val="Arial"/>
        <family val="0"/>
        <charset val="1"/>
      </rPr>
      <t xml:space="preserve">:941 `acqPrefillMsg = '</t>
    </r>
    <r>
      <rPr>
        <sz val="10"/>
        <rFont val="Noto Sans CJK SC"/>
        <family val="2"/>
      </rPr>
      <t xml:space="preserve">參考值：</t>
    </r>
    <r>
      <rPr>
        <sz val="10"/>
        <rFont val="Arial"/>
        <family val="0"/>
        <charset val="1"/>
      </rPr>
      <t xml:space="preserve">' + on + ' </t>
    </r>
    <r>
      <rPr>
        <sz val="10"/>
        <rFont val="Noto Sans CJK SC"/>
        <family val="2"/>
      </rPr>
      <t xml:space="preserve">收盤…</t>
    </r>
    <r>
      <rPr>
        <sz val="10"/>
        <rFont val="Arial"/>
        <family val="0"/>
        <charset val="1"/>
      </rPr>
      <t xml:space="preserve">'` </t>
    </r>
    <r>
      <rPr>
        <sz val="10"/>
        <rFont val="Noto Sans CJK SC"/>
        <family val="2"/>
      </rPr>
      <t xml:space="preserve">用輸入日而非 </t>
    </r>
    <r>
      <rPr>
        <sz val="10"/>
        <rFont val="Arial"/>
        <family val="0"/>
        <charset val="1"/>
      </rPr>
      <t xml:space="preserve">r.as_of</t>
    </r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</si>
  <si>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（附帶 </t>
    </r>
    <r>
      <rPr>
        <sz val="10"/>
        <rFont val="Arial"/>
        <family val="0"/>
        <charset val="1"/>
      </rPr>
      <t xml:space="preserve">A-06</t>
    </r>
    <r>
      <rPr>
        <sz val="10"/>
        <rFont val="Noto Sans CJK SC"/>
        <family val="2"/>
      </rPr>
      <t xml:space="preserve">）</t>
    </r>
  </si>
  <si>
    <t xml:space="preserve">出金透支的後端訊息：當日透支不指出日期；帳戶名用 API 英文原名「TW Broker」；toast 帶原始錯誤碼與 4 位小數原值</t>
  </si>
  <si>
    <t xml:space="preserve"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</si>
  <si>
    <r>
      <rPr>
        <sz val="10"/>
        <rFont val="Arial"/>
        <family val="0"/>
        <charset val="1"/>
      </rPr>
      <t xml:space="preserve">portfolio_dash/data_ingestion/validate.py:1793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（英文帳戶名、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精度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位小數、沒有日期）；</t>
    </r>
    <r>
      <rPr>
        <sz val="10"/>
        <rFont val="Arial"/>
        <family val="0"/>
        <charset val="1"/>
      </rPr>
      <t xml:space="preserve">web/shell.js:720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(sub) txt.appendChild(el('div', 'sub', sub));`</t>
    </r>
    <r>
      <rPr>
        <sz val="10"/>
        <rFont val="Noto Sans CJK SC"/>
        <family val="2"/>
      </rPr>
      <t xml:space="preserve">（吃 </t>
    </r>
    <r>
      <rPr>
        <sz val="10"/>
        <rFont val="Arial"/>
        <family val="0"/>
        <charset val="1"/>
      </rPr>
      <t xml:space="preserve">window.toast(…, 'fail', err &amp;&amp; err.code)</t>
    </r>
    <r>
      <rPr>
        <sz val="10"/>
        <rFont val="Noto Sans CJK SC"/>
        <family val="2"/>
      </rPr>
      <t xml:space="preserve">）</t>
    </r>
  </si>
  <si>
    <t xml:space="preserve">折讓款列可以編輯金額（日期／類型／備註鎖定），手冊期望整列鎖定不可編輯</t>
  </si>
  <si>
    <t xml:space="preserve">資金管理 › 出金入金 → 資金收支找「2026-02-01 台灣券商 折讓款 191 TWD」→ 按「編輯」→ 對話框「編輯資金紀錄 #34」：日期、類型、備註 disabled，金額 191 可修改，有「儲存」鈕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</si>
  <si>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（回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「折讓款的類型與日期已鎖定…」）；</t>
    </r>
    <r>
      <rPr>
        <sz val="10"/>
        <rFont val="Arial"/>
        <family val="0"/>
        <charset val="1"/>
      </rPr>
      <t xml:space="preserve">web/cash.js:615/616/628 `fKind.disabled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`fDate.disabled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`if (isRebate) fNote.disabled = true;`</t>
    </r>
    <r>
      <rPr>
        <sz val="10"/>
        <rFont val="Noto Sans CJK SC"/>
        <family val="2"/>
      </rPr>
      <t xml:space="preserve">。鎖存在的原因：</t>
    </r>
    <r>
      <rPr>
        <sz val="10"/>
        <rFont val="Arial"/>
        <family val="0"/>
        <charset val="1"/>
      </rPr>
      <t xml:space="preserve">portfolio_dash/api/rebates.py:228 `py, pm = _prev_month(m.date.year, m.date.month)`——</t>
    </r>
    <r>
      <rPr>
        <sz val="10"/>
        <rFont val="Noto Sans CJK SC"/>
        <family val="2"/>
      </rPr>
      <t xml:space="preserve">收件匣靠列本身的日期／類型／備註判斷該月已入帳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</si>
  <si>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）：自動入帳類（折讓款等）改為整列可編輯（日期／類型／金額／備註），與手動輸入一致，讓使用者有補救空間；編輯寫入稽核軌跡。 處置：改程式＋改手冊：</t>
    </r>
    <r>
      <rPr>
        <sz val="10"/>
        <rFont val="Arial"/>
        <family val="0"/>
        <charset val="1"/>
      </rPr>
      <t xml:space="preserve">A-11② </t>
    </r>
    <r>
      <rPr>
        <sz val="10"/>
        <rFont val="Noto Sans CJK SC"/>
        <family val="2"/>
      </rPr>
      <t xml:space="preserve">期望改為「折讓款列整列可編輯（與手動輸入的資金列相同），編輯寫入稽核軌跡」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</si>
  <si>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DEF-010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</si>
  <si>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（附帶發現）</t>
    </r>
  </si>
  <si>
    <t xml:space="preserve">折讓款預估對「費率快照 discount=0.23（下單已打折）」的交易仍預估 77% 退款，同一優惠被算兩次</t>
  </si>
  <si>
    <r>
      <rPr>
        <sz val="10"/>
        <rFont val="Arial"/>
        <family val="0"/>
        <charset val="1"/>
      </rPr>
      <t xml:space="preserve">GET /api/rebates → 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trades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2026-02-10 3008 fee 199</t>
    </r>
    <r>
      <rPr>
        <sz val="10"/>
        <rFont val="Noto Sans CJK SC"/>
        <family val="2"/>
      </rPr>
      <t xml:space="preserve">（交易 </t>
    </r>
    <r>
      <rPr>
        <sz val="10"/>
        <rFont val="Arial"/>
        <family val="0"/>
        <charset val="1"/>
      </rPr>
      <t xml:space="preserve">#45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快照 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153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#32 2330 fee 419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322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#28 </t>
    </r>
    <r>
      <rPr>
        <sz val="10"/>
        <rFont val="Noto Sans CJK SC"/>
        <family val="2"/>
      </rPr>
      <t xml:space="preserve">亦同。共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交易被計入預估</t>
    </r>
  </si>
  <si>
    <r>
      <rPr>
        <sz val="10"/>
        <rFont val="Arial"/>
        <family val="0"/>
        <charset val="1"/>
      </rPr>
      <t xml:space="preserve">portfolio_dash/api/rebates.py:261 `trade_expected = forecast_tw_rebate(t.fees, rate)`——</t>
    </r>
    <r>
      <rPr>
        <sz val="10"/>
        <rFont val="Noto Sans CJK SC"/>
        <family val="2"/>
      </rPr>
      <t xml:space="preserve">退款預估完全不看該筆交易快照的 </t>
    </r>
    <r>
      <rPr>
        <sz val="10"/>
        <rFont val="Arial"/>
        <family val="0"/>
        <charset val="1"/>
      </rPr>
      <t xml:space="preserve">discount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（草稿預估）、</t>
    </r>
    <r>
      <rPr>
        <sz val="10"/>
        <rFont val="Arial"/>
        <family val="0"/>
        <charset val="1"/>
      </rPr>
      <t xml:space="preserve">portfolio_dash/strategy/rebalance.py:403</t>
    </r>
    <r>
      <rPr>
        <sz val="10"/>
        <rFont val="Noto Sans CJK SC"/>
        <family val="2"/>
      </rPr>
      <t xml:space="preserve">（再平衡摘要與列印報告）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</si>
  <si>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）：兩者都做：退款預估器對費率快照 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（下單已打折）的交易不預估退款；並清理這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筆歷史快照（清理前備份、寫稽核紀錄）。 處置：改程式＋資料清理；</t>
    </r>
    <r>
      <rPr>
        <sz val="10"/>
        <rFont val="Arial"/>
        <family val="0"/>
        <charset val="1"/>
      </rPr>
      <t xml:space="preserve">B-16 </t>
    </r>
    <r>
      <rPr>
        <sz val="10"/>
        <rFont val="Noto Sans CJK SC"/>
        <family val="2"/>
      </rPr>
      <t xml:space="preserve">補「快照已打折（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）的交易不列入退款預估」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</si>
  <si>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r>
      <rPr>
        <sz val="10"/>
        <rFont val="Arial"/>
        <family val="0"/>
        <charset val="1"/>
      </rPr>
      <t xml:space="preserve">A-16</t>
    </r>
    <r>
      <rPr>
        <sz val="10"/>
        <rFont val="Noto Sans CJK SC"/>
        <family val="2"/>
      </rPr>
      <t xml:space="preserve">（附帶發現）</t>
    </r>
  </si>
  <si>
    <t xml:space="preserve">收件匣折讓款文案寫「不計入成本／損益／XIRR」，但確認入帳後 XIRR 與「含匯兌總損益」都會變動</t>
  </si>
  <si>
    <t xml:space="preserve"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</si>
  <si>
    <r>
      <rPr>
        <sz val="10"/>
        <rFont val="Arial"/>
        <family val="0"/>
        <charset val="1"/>
      </rPr>
      <t xml:space="preserve">web/dividend-inbox.html:69 `…</t>
    </r>
    <r>
      <rPr>
        <sz val="10"/>
        <rFont val="Noto Sans CJK SC"/>
        <family val="2"/>
      </rPr>
      <t xml:space="preserve">確認實際入帳後記入該帳戶現金池，</t>
    </r>
    <r>
      <rPr>
        <sz val="10"/>
        <rFont val="Arial"/>
        <family val="0"/>
        <charset val="1"/>
      </rPr>
      <t xml:space="preserve">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XIRR&lt;/b&gt;`——</t>
    </r>
    <r>
      <rPr>
        <sz val="10"/>
        <rFont val="Noto Sans CJK SC"/>
        <family val="2"/>
      </rPr>
      <t xml:space="preserve">文案未隨 </t>
    </r>
    <r>
      <rPr>
        <sz val="10"/>
        <rFont val="Arial"/>
        <family val="0"/>
        <charset val="1"/>
      </rPr>
      <t xml:space="preserve">AI-D42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REBATE </t>
    </r>
    <r>
      <rPr>
        <sz val="10"/>
        <rFont val="Noto Sans CJK SC"/>
        <family val="2"/>
      </rPr>
      <t xml:space="preserve">是報酬，進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與含匯兌總損益）更新；行為本身正確</t>
    </r>
  </si>
  <si>
    <t xml:space="preserve">同日多筆買賣不依輸入（時間）順序重播：當日所有買進先於賣出套用，賣出的已實現損益與成本移除用到之後才輸入的買進</t>
  </si>
  <si>
    <t xml:space="preserve"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</si>
  <si>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 / `SELL = 30`——</t>
    </r>
    <r>
      <rPr>
        <sz val="10"/>
        <rFont val="Noto Sans CJK SC"/>
        <family val="2"/>
      </rPr>
      <t xml:space="preserve">同日排序鍵只有 </t>
    </r>
    <r>
      <rPr>
        <sz val="10"/>
        <rFont val="Arial"/>
        <family val="0"/>
        <charset val="1"/>
      </rPr>
      <t xml:space="preserve">(date, priority)</t>
    </r>
    <r>
      <rPr>
        <sz val="10"/>
        <rFont val="Noto Sans CJK SC"/>
        <family val="2"/>
      </rPr>
      <t xml:space="preserve">，後登錄的買永遠排到先登錄的賣前面</t>
    </r>
  </si>
  <si>
    <t xml:space="preserve">「當沖」與「放空」可同時勾選，沒有互斥或組合說明；交易帳本列也不標示放空</t>
  </si>
  <si>
    <t xml:space="preserve">交易帳本 › 手動交易 → 台灣券商 → 賣出 2454 100@4,530 → 勾「放空」再勾「當沖」→ 兩者皆為勾選、皆可操作；預覽請求本文 daytrade:true, short_sale:true，交易稅 679（0.15%），無警告</t>
  </si>
  <si>
    <r>
      <rPr>
        <sz val="10"/>
        <rFont val="Arial"/>
        <family val="0"/>
        <charset val="1"/>
      </rPr>
      <t xml:space="preserve">web/ledger.js:638 `tdSide.appendChild(dirChip(t.side));`——</t>
    </r>
    <r>
      <rPr>
        <sz val="10"/>
        <rFont val="Noto Sans CJK SC"/>
        <family val="2"/>
      </rPr>
      <t xml:space="preserve">交易帳本列只畫買賣方向；</t>
    </r>
    <r>
      <rPr>
        <sz val="10"/>
        <rFont val="Arial"/>
        <family val="0"/>
        <charset val="1"/>
      </rPr>
      <t xml:space="preserve">portfolio_dash/api/routers/ledgers.py:205 </t>
    </r>
    <r>
      <rPr>
        <sz val="10"/>
        <rFont val="Noto Sans CJK SC"/>
        <family val="2"/>
      </rPr>
      <t xml:space="preserve">附近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short_sale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TxEditBody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short_sale</t>
    </r>
    <r>
      <rPr>
        <sz val="10"/>
        <rFont val="Noto Sans CJK SC"/>
        <family val="2"/>
      </rPr>
      <t xml:space="preserve">；手動表單兩者同時勾選時沒有說明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</si>
  <si>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）：允許「當沖＋放空」組合（台股現股當沖可先賣後買）；表單加組合說明，交易帳本列標示「當沖」「放空」。 處置：改程式；</t>
    </r>
    <r>
      <rPr>
        <sz val="10"/>
        <rFont val="Arial"/>
        <family val="0"/>
        <charset val="1"/>
      </rPr>
      <t xml:space="preserve">B-10③ </t>
    </r>
    <r>
      <rPr>
        <sz val="10"/>
        <rFont val="Noto Sans CJK SC"/>
        <family val="2"/>
      </rPr>
      <t xml:space="preserve">期望改為「允許組合，表單有組合說明，帳本列可見兩個標示」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</si>
  <si>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DEF-014</t>
  </si>
  <si>
    <t xml:space="preserve">交易日期早於期初庫存建檔日（或早於帳本所有紀錄）時，草稿與寫入皆無任何提示，靜默接受</t>
  </si>
  <si>
    <t xml:space="preserve"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</si>
  <si>
    <r>
      <rPr>
        <sz val="10"/>
        <rFont val="Arial"/>
        <family val="0"/>
        <charset val="1"/>
      </rPr>
      <t xml:space="preserve">portfolio_dash/data_ingestion/validate.py:516 `if today is not None and inp.trade_date &gt; today:`——validate_transaction </t>
    </r>
    <r>
      <rPr>
        <sz val="10"/>
        <rFont val="Noto Sans CJK SC"/>
        <family val="2"/>
      </rPr>
      <t xml:space="preserve">唯一的日期檢查只看未來側；同函式已 </t>
    </r>
    <r>
      <rPr>
        <sz val="10"/>
        <rFont val="Arial"/>
        <family val="0"/>
        <charset val="1"/>
      </rPr>
      <t xml:space="preserve">import get_opening </t>
    </r>
    <r>
      <rPr>
        <sz val="10"/>
        <rFont val="Noto Sans CJK SC"/>
        <family val="2"/>
      </rPr>
      <t xml:space="preserve">卻從未拿 </t>
    </r>
    <r>
      <rPr>
        <sz val="10"/>
        <rFont val="Arial"/>
        <family val="0"/>
        <charset val="1"/>
      </rPr>
      <t xml:space="preserve">build_date </t>
    </r>
    <r>
      <rPr>
        <sz val="10"/>
        <rFont val="Noto Sans CJK SC"/>
        <family val="2"/>
      </rPr>
      <t xml:space="preserve">比對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</si>
  <si>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複驗通過。附註：觀察（不另開）：草稿的「持股 </t>
    </r>
    <r>
      <rPr>
        <sz val="10"/>
        <rFont val="Arial"/>
        <family val="0"/>
        <charset val="1"/>
      </rPr>
      <t xml:space="preserve">1,911 → 2,011</t>
    </r>
    <r>
      <rPr>
        <sz val="10"/>
        <rFont val="Noto Sans CJK SC"/>
        <family val="2"/>
      </rPr>
      <t xml:space="preserve">」是今天的持股，不是交易日當時的持股（</t>
    </r>
    <r>
      <rPr>
        <sz val="10"/>
        <rFont val="Arial"/>
        <family val="0"/>
        <charset val="1"/>
      </rPr>
      <t xml:space="preserve">2025-01-02 </t>
    </r>
    <r>
      <rPr>
        <sz val="10"/>
        <rFont val="Noto Sans CJK SC"/>
        <family val="2"/>
      </rPr>
      <t xml:space="preserve">當時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股，草稿仍寫 </t>
    </r>
    <r>
      <rPr>
        <sz val="10"/>
        <rFont val="Arial"/>
        <family val="0"/>
        <charset val="1"/>
      </rPr>
      <t xml:space="preserve">100 → 200</t>
    </r>
    <r>
      <rPr>
        <sz val="10"/>
        <rFont val="Noto Sans CJK SC"/>
        <family val="2"/>
      </rPr>
      <t xml:space="preserve">）；帳帳本以日期重播，寫入後數字正確，僅草稿文案可能誤導，列入交接備註</t>
    </r>
  </si>
  <si>
    <t xml:space="preserve">DEF-015</t>
  </si>
  <si>
    <t xml:space="preserve">配息「重新偵測」只回報「1 檔失敗」，不說明是哪一檔、失敗原因</t>
  </si>
  <si>
    <t xml:space="preserve">收件匣 → 待確認匯入 → 重新偵測 → toast／狀態列「14 檔事件已更新，1 檔失敗・待確認 7 筆」；GET /api/dividend-inbox?refresh=1 回應 refreshed:"14 檔事件已更新，1 檔失敗"，rows 內無失敗資訊</t>
  </si>
  <si>
    <r>
      <rPr>
        <sz val="10"/>
        <rFont val="Arial"/>
        <family val="0"/>
        <charset val="1"/>
      </rPr>
      <t xml:space="preserve">portfolio_dash/api/dividend_inbox.py:208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；失敗理由在更底層就被丟掉：</t>
    </r>
    <r>
      <rPr>
        <sz val="10"/>
        <rFont val="Arial"/>
        <family val="0"/>
        <charset val="1"/>
      </rPr>
      <t xml:space="preserve">portfolio_dash/pricing/registry.py:101 `except Exception:  # noqa: BLE001 … continue`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</si>
  <si>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複驗通過。附註：觀察（不另開、交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參考）：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本來就不配息，「無配息資料」被歸為「失敗」並把整次偵測標成「部分標的失敗」的警告色；可考慮把「來源回應成功但無配息」與「抓取失敗」分開</t>
    </r>
  </si>
  <si>
    <t xml:space="preserve">DEF-016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</si>
  <si>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（附帶發現）</t>
    </r>
  </si>
  <si>
    <t xml:space="preserve">已確認但入帳日（pay_date）在未來的股利，被放進 XIRR 現金流且日期晚於期末估值日</t>
  </si>
  <si>
    <t xml:space="preserve"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</si>
  <si>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:484 </t>
    </r>
    <r>
      <rPr>
        <sz val="10"/>
        <rFont val="Noto Sans CJK SC"/>
        <family val="2"/>
      </rPr>
      <t xml:space="preserve">取得帳本後沒有依估值日切掉未入帳的股利）；同一批股利進 </t>
    </r>
    <r>
      <rPr>
        <sz val="10"/>
        <rFont val="Arial"/>
        <family val="0"/>
        <charset val="1"/>
      </rPr>
      <t xml:space="preserve">portfolio_dash/portfolio/returns.py:215 `add(dv.date, ccy_of(dv.symbol), dv.net)` </t>
    </r>
    <r>
      <rPr>
        <sz val="10"/>
        <rFont val="Noto Sans CJK SC"/>
        <family val="2"/>
      </rPr>
      <t xml:space="preserve">成為晚於期末估值日的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</si>
  <si>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）：入帳日（</t>
    </r>
    <r>
      <rPr>
        <sz val="10"/>
        <rFont val="Arial"/>
        <family val="0"/>
        <charset val="1"/>
      </rPr>
      <t xml:space="preserve">pay_date</t>
    </r>
    <r>
      <rPr>
        <sz val="10"/>
        <rFont val="Noto Sans CJK SC"/>
        <family val="2"/>
      </rPr>
      <t xml:space="preserve">）晚於估值日的股利不進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；總報酬、現金池、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三個口徑都以實際入帳為準。 處置：改程式；</t>
    </r>
    <r>
      <rPr>
        <sz val="10"/>
        <rFont val="Arial"/>
        <family val="0"/>
        <charset val="1"/>
      </rPr>
      <t xml:space="preserve">C-02 </t>
    </r>
    <r>
      <rPr>
        <sz val="10"/>
        <rFont val="Noto Sans CJK SC"/>
        <family val="2"/>
      </rPr>
      <t xml:space="preserve">補「</t>
    </r>
    <r>
      <rPr>
        <sz val="10"/>
        <rFont val="Arial"/>
        <family val="0"/>
        <charset val="1"/>
      </rPr>
      <t xml:space="preserve">pay_date </t>
    </r>
    <r>
      <rPr>
        <sz val="10"/>
        <rFont val="Noto Sans CJK SC"/>
        <family val="2"/>
      </rPr>
      <t xml:space="preserve">在未來的股利：入帳日前不計入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與總報酬」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複驗通過（黑箱＋驗證者變異）。附註：觀察（不另開）：股利帳本列沒有任何「入帳日前不計入」的標示，使用者看到已寫入卻不見現金增加，可能困惑——與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本輪對「未來日期交易」的裁定一起處理（見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</si>
  <si>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C-04</t>
    </r>
    <r>
      <rPr>
        <sz val="10"/>
        <rFont val="Noto Sans CJK SC"/>
        <family val="2"/>
      </rPr>
      <t xml:space="preserve">（附帶發現）</t>
    </r>
  </si>
  <si>
    <t xml:space="preserve">手動「股利」表單以 CSV 匯入路徑寫入，會在「最近匯入」產生一筆批次；從帳本刪除該股利後批次仍殘留（row_count 1、committed）</t>
  </si>
  <si>
    <t xml:space="preserve"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</si>
  <si>
    <r>
      <rPr>
        <sz val="10"/>
        <rFont val="Arial"/>
        <family val="0"/>
        <charset val="1"/>
      </rPr>
      <t xml:space="preserve">portfolio_dash/api/routers/input_center.py:1510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`"SELECT id, kind, broker, source_name, source_sha256, imported_at, row_count, status FROM import_batches …"`——row_count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時寫入後從未重算；六個帳本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入口（如 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）都不知道有批次存在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（同頁刷新）：</t>
    </r>
    <r>
      <rPr>
        <sz val="10"/>
        <rFont val="Arial"/>
        <family val="0"/>
        <charset val="1"/>
      </rPr>
      <t xml:space="preserve">web/input.js:2752 `if (!o.external &amp;&amp; window.pdReloadImportBatches) {`——</t>
    </r>
    <r>
      <rPr>
        <sz val="10"/>
        <rFont val="Noto Sans CJK SC"/>
        <family val="2"/>
      </rPr>
      <t xml:space="preserve">唯一的帳本刷新縫對外部呼叫者跳過批次清單，而帳本分頁的編輯／刪除正是以外部身分經 </t>
    </r>
    <r>
      <rPr>
        <sz val="10"/>
        <rFont val="Arial"/>
        <family val="0"/>
        <charset val="1"/>
      </rPr>
      <t xml:space="preserve">pdLedgerRefresh </t>
    </r>
    <r>
      <rPr>
        <sz val="10"/>
        <rFont val="Noto Sans CJK SC"/>
        <family val="2"/>
      </rPr>
      <t xml:space="preserve">進來；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'`——</t>
    </r>
    <r>
      <rPr>
        <sz val="10"/>
        <rFont val="Noto Sans CJK SC"/>
        <family val="2"/>
      </rPr>
      <t xml:space="preserve">破壞性確認框引用清單快取的筆數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</si>
  <si>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部分通過：帳本任一刪除（交易／股利／換匯／資金／公司行動）成功後，同頁「最近匯入」清單需重抓 </t>
    </r>
    <r>
      <rPr>
        <sz val="10"/>
        <rFont val="Arial"/>
        <family val="0"/>
        <charset val="1"/>
      </rPr>
      <t xml:space="preserve">/api/import/batches</t>
    </r>
    <r>
      <rPr>
        <sz val="10"/>
        <rFont val="Noto Sans CJK SC"/>
        <family val="2"/>
      </rPr>
      <t xml:space="preserve">；或復原對話框開啟前先重抓該批次最新 </t>
    </r>
    <r>
      <rPr>
        <sz val="10"/>
        <rFont val="Arial"/>
        <family val="0"/>
        <charset val="1"/>
      </rPr>
      <t xml:space="preserve">row_count
R3 </t>
    </r>
    <r>
      <rPr>
        <sz val="10"/>
        <rFont val="Noto Sans CJK SC"/>
        <family val="2"/>
      </rPr>
      <t xml:space="preserve">複驗通過（黑箱＋驗證者變異）</t>
    </r>
  </si>
  <si>
    <t xml:space="preserve">DEF-018</t>
  </si>
  <si>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再投資股數以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成本入帳（原始成本不變），手冊期望「股數與成本同時增加」</t>
    </r>
  </si>
  <si>
    <t xml:space="preserve">交易帳本 › 交易輸入 › 股利 → 嘉信 Schwab AAPL → 再投資（DRIP）Gross 10、再投資 0.028 股 @250 → 寫入後持倉 shares +0.028、original_cost_total 13,515→13,515、均價 158.9266→158.8743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</si>
  <si>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成本入帳（股利折入成本模型）。 處置：改手冊：</t>
    </r>
    <r>
      <rPr>
        <sz val="10"/>
        <rFont val="Arial"/>
        <family val="0"/>
        <charset val="1"/>
      </rPr>
      <t xml:space="preserve">C-04b① </t>
    </r>
    <r>
      <rPr>
        <sz val="10"/>
        <rFont val="Noto Sans CJK SC"/>
        <family val="2"/>
      </rPr>
      <t xml:space="preserve">期望改為「股數增加、原始成本不變（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成本股），均價依股數重算；表單有說明」。請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</t>
    </r>
  </si>
  <si>
    <t xml:space="preserve">DEF-019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</si>
  <si>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  <r>
      <rPr>
        <sz val="10"/>
        <rFont val="Noto Sans CJK SC"/>
        <family val="2"/>
      </rPr>
      <t xml:space="preserve">（附帶發現，影響 </t>
    </r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）</t>
    </r>
  </si>
  <si>
    <t xml:space="preserve">「最近匯入 › 復原」後，交易輸入表單的代號挑選清單沒有重新載入，仍顯示復原前的股數／均價</t>
  </si>
  <si>
    <t xml:space="preserve"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</si>
  <si>
    <r>
      <rPr>
        <sz val="10"/>
        <rFont val="Arial"/>
        <family val="0"/>
        <charset val="1"/>
      </rPr>
      <t xml:space="preserve">web/broker-import.js:229 `try { await window.pdLedgerRefresh(); } catch (e) {…}`——pdLedgerRefresh </t>
    </r>
    <r>
      <rPr>
        <sz val="10"/>
        <rFont val="Noto Sans CJK SC"/>
        <family val="2"/>
      </rPr>
      <t xml:space="preserve">只重新載入 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的表格；</t>
    </r>
    <r>
      <rPr>
        <sz val="10"/>
        <rFont val="Arial"/>
        <family val="0"/>
        <charset val="1"/>
      </rPr>
      <t xml:space="preserve">web/input.js:2112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`Object.keys(acctHoldingsCache).forEach((k) =&gt; { delete acctHoldingsCache[k]; });`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自己的 </t>
    </r>
    <r>
      <rPr>
        <sz val="10"/>
        <rFont val="Arial"/>
        <family val="0"/>
        <charset val="1"/>
      </rPr>
      <t xml:space="preserve">afterCommitRefresh </t>
    </r>
    <r>
      <rPr>
        <sz val="10"/>
        <rFont val="Noto Sans CJK SC"/>
        <family val="2"/>
      </rPr>
      <t xml:space="preserve">會呼叫</t>
    </r>
  </si>
  <si>
    <t xml:space="preserve">DEF-020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</si>
  <si>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D-02c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D-07 </t>
    </r>
    <r>
      <rPr>
        <sz val="10"/>
        <rFont val="Noto Sans CJK SC"/>
        <family val="2"/>
      </rPr>
      <t xml:space="preserve">路徑）</t>
    </r>
  </si>
  <si>
    <t xml:space="preserve">刪除含重組費用的公司行動時，連帶寫出的「重組費用」出金不會一起刪除，現金停在行動前不存在的扣款；兩者寫入也非原子</t>
  </si>
  <si>
    <t xml:space="preserve"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</si>
  <si>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:705 POST </t>
    </r>
    <r>
      <rPr>
        <sz val="10"/>
        <rFont val="Noto Sans CJK SC"/>
        <family val="2"/>
      </rPr>
      <t xml:space="preserve">行動成功後再 </t>
    </r>
    <r>
      <rPr>
        <sz val="10"/>
        <rFont val="Arial"/>
        <family val="0"/>
        <charset val="1"/>
      </rPr>
      <t xml:space="preserve">POST /api/cash/movements</t>
    </r>
    <r>
      <rPr>
        <sz val="10"/>
        <rFont val="Noto Sans CJK SC"/>
        <family val="2"/>
      </rPr>
      <t xml:space="preserve">，兩個寫入者、無關聯鍵）；</t>
    </r>
    <r>
      <rPr>
        <sz val="10"/>
        <rFont val="Arial"/>
        <family val="0"/>
        <charset val="1"/>
      </rPr>
      <t xml:space="preserve">portfolio_dash/data_ingestion/store.py:1111 `conn.execute("DELETE FROM corporate_actions WHERE id=?", (action_id,))` </t>
    </r>
    <r>
      <rPr>
        <sz val="10"/>
        <rFont val="Noto Sans CJK SC"/>
        <family val="2"/>
      </rPr>
      <t xml:space="preserve">只刪行動，</t>
    </r>
    <r>
      <rPr>
        <sz val="10"/>
        <rFont val="Arial"/>
        <family val="0"/>
        <charset val="1"/>
      </rPr>
      <t xml:space="preserve">cash_movements </t>
    </r>
    <r>
      <rPr>
        <sz val="10"/>
        <rFont val="Noto Sans CJK SC"/>
        <family val="2"/>
      </rPr>
      <t xml:space="preserve">沒有任何欄位能指回行動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</si>
  <si>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複驗通過。附註：觀察（不另開）：公司行動帳本列未顯示該筆的重組費用（只有編輯框有），使用者要到刪除框才知道有連帶出金</t>
    </r>
  </si>
  <si>
    <t xml:space="preserve">DEF-021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</si>
  <si>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D-06 </t>
    </r>
    <r>
      <rPr>
        <sz val="10"/>
        <rFont val="Noto Sans CJK SC"/>
        <family val="2"/>
      </rPr>
      <t xml:space="preserve">路徑）</t>
    </r>
  </si>
  <si>
    <t xml:space="preserve">刪除換股（EXCHANGE）後，隨行動移到新代號的目標價不會移回原代號；試算與刪除確認框都沒有告知這一點</t>
  </si>
  <si>
    <t xml:space="preserve"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</si>
  <si>
    <r>
      <rPr>
        <sz val="10"/>
        <rFont val="Arial"/>
        <family val="0"/>
        <charset val="1"/>
      </rPr>
      <t xml:space="preserve">portfolio_dash/data_ingestion/store.py:220 docstring `⚠ **Not reversible.** Deleting the EXCHANGE does not move the band back.`</t>
    </r>
    <r>
      <rPr>
        <sz val="10"/>
        <rFont val="Noto Sans CJK SC"/>
        <family val="2"/>
      </rPr>
      <t xml:space="preserve">（設計即不可逆）＋ </t>
    </r>
    <r>
      <rPr>
        <sz val="10"/>
        <rFont val="Arial"/>
        <family val="0"/>
        <charset val="1"/>
      </rPr>
      <t xml:space="preserve">portfolio_dash/api/routers/ledgers.py:1899 `delete_corporate_action(conn, action_id)`</t>
    </r>
    <r>
      <rPr>
        <sz val="10"/>
        <rFont val="Noto Sans CJK SC"/>
        <family val="2"/>
      </rPr>
      <t xml:space="preserve">（刪除路徑對 </t>
    </r>
    <r>
      <rPr>
        <sz val="10"/>
        <rFont val="Arial"/>
        <family val="0"/>
        <charset val="1"/>
      </rPr>
      <t xml:space="preserve">band </t>
    </r>
    <r>
      <rPr>
        <sz val="10"/>
        <rFont val="Noto Sans CJK SC"/>
        <family val="2"/>
      </rPr>
      <t xml:space="preserve">無任何處理）＋ </t>
    </r>
    <r>
      <rPr>
        <sz val="10"/>
        <rFont val="Arial"/>
        <family val="0"/>
        <charset val="1"/>
      </rPr>
      <t xml:space="preserve">web/corp-action-form.js:263-265 </t>
    </r>
    <r>
      <rPr>
        <sz val="10"/>
        <rFont val="Noto Sans CJK SC"/>
        <family val="2"/>
      </rPr>
      <t xml:space="preserve">提示只寫「會一併移到 …，數值不變」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</si>
  <si>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複驗通過。附註：觀察（不另開）：公司行動帳本的刪除框文案取自頁面載入時的列資料；若在同一頁停留期間於別處改了目標價，框內仍寫「會自動移回」，實際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依當下狀態判斷不移回並以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告知——結果正確、只有預告過時，重新載入即正確</t>
    </r>
  </si>
  <si>
    <t xml:space="preserve">DEF-022</t>
  </si>
  <si>
    <r>
      <rPr>
        <sz val="10"/>
        <rFont val="Arial"/>
        <family val="0"/>
        <charset val="1"/>
      </rPr>
      <t xml:space="preserve">D-11</t>
    </r>
    <r>
      <rPr>
        <sz val="10"/>
        <rFont val="Noto Sans CJK SC"/>
        <family val="2"/>
      </rPr>
      <t xml:space="preserve">（前置 </t>
    </r>
    <r>
      <rPr>
        <sz val="10"/>
        <rFont val="Arial"/>
        <family val="0"/>
        <charset val="1"/>
      </rPr>
      <t xml:space="preserve">D-06</t>
    </r>
    <r>
      <rPr>
        <sz val="10"/>
        <rFont val="Noto Sans CJK SC"/>
        <family val="2"/>
      </rPr>
      <t xml:space="preserve">）</t>
    </r>
  </si>
  <si>
    <t xml:space="preserve">目標價設定日（target_set_at）以 UTC 日期記錄：台北 00:00–07:59 設定的目標價會記成前一天，同日分割因此誤報「目標價設定於前一天、早於這筆分割」</t>
  </si>
  <si>
    <t xml:space="preserve"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</si>
  <si>
    <r>
      <rPr>
        <sz val="10"/>
        <rFont val="Arial"/>
        <family val="0"/>
        <charset val="1"/>
      </rPr>
      <t xml:space="preserve">portfolio_dash/data_ingestion/store.py:122 `stamp = (today or datetime.now(UTC).date()).isoformat()`——</t>
    </r>
    <r>
      <rPr>
        <sz val="10"/>
        <rFont val="Noto Sans CJK SC"/>
        <family val="2"/>
      </rPr>
      <t xml:space="preserve">業務日期用 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時鐘，違反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Q6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Asia/Taipei </t>
    </r>
    <r>
      <rPr>
        <sz val="10"/>
        <rFont val="Noto Sans CJK SC"/>
        <family val="2"/>
      </rPr>
      <t xml:space="preserve">是商業日期唯一錨點）</t>
    </r>
  </si>
  <si>
    <t xml:space="preserve">DEF-023</t>
  </si>
  <si>
    <t xml:space="preserve">公司行動無法套用時，儀表板只有 XIRR「資料不足」與總損益口徑一句話，沒有可點的入口；明細只在滑鼠提示與個股抽屜，且原因句顯示帳戶 API 原名「tw_broker」</t>
  </si>
  <si>
    <t xml:space="preserve"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</si>
  <si>
    <r>
      <rPr>
        <sz val="10"/>
        <rFont val="Arial"/>
        <family val="0"/>
        <charset val="1"/>
      </rPr>
      <t xml:space="preserve">portfolio_dash/portfolio/cost_basis.py:257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（同函式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句嵌裸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portfolio_dash/portfolio/dashboard.py:307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'</t>
    </r>
    <r>
      <rPr>
        <sz val="10"/>
        <rFont val="Noto Sans CJK SC"/>
        <family val="2"/>
      </rPr>
      <t xml:space="preserve">公司行動未套用：…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（只在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api/routers/ledgers.py:1521-1538 </t>
    </r>
    <r>
      <rPr>
        <sz val="10"/>
        <rFont val="Noto Sans CJK SC"/>
        <family val="2"/>
      </rPr>
      <t xml:space="preserve">公司行動列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無「未套用」欄位；</t>
    </r>
    <r>
      <rPr>
        <sz val="10"/>
        <rFont val="Arial"/>
        <family val="0"/>
        <charset val="1"/>
      </rPr>
      <t xml:space="preserve">web/ledger.js:609 `delWithConfirm('/api/ledgers/transactions/' + t.id, '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')` </t>
    </r>
    <r>
      <rPr>
        <sz val="10"/>
        <rFont val="Noto Sans CJK SC"/>
        <family val="2"/>
      </rPr>
      <t xml:space="preserve">不查後續行動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修法本身的缺陷）：</t>
    </r>
    <r>
      <rPr>
        <sz val="10"/>
        <rFont val="Arial"/>
        <family val="0"/>
        <charset val="1"/>
      </rPr>
      <t xml:space="preserve">web/app.js:112 `renderUnappliedBanner();` </t>
    </r>
    <r>
      <rPr>
        <sz val="10"/>
        <rFont val="Noto Sans CJK SC"/>
        <family val="2"/>
      </rPr>
      <t xml:space="preserve">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之後——只有同時存在未註冊標的時才畫得出公司行動區塊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</si>
  <si>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複驗未過：修法建議：</t>
    </r>
    <r>
      <rPr>
        <sz val="10"/>
        <rFont val="Arial"/>
        <family val="0"/>
        <charset val="1"/>
      </rPr>
      <t xml:space="preserve">renderUnappliedBanner()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renderHeader </t>
    </r>
    <r>
      <rPr>
        <sz val="10"/>
        <rFont val="Noto Sans CJK SC"/>
        <family val="2"/>
      </rPr>
      <t xml:space="preserve">直接呼叫（或放在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的提前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之前）；測試改為行為層（無未註冊標的＋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筆未套用 →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#unapplied-banner </t>
    </r>
    <r>
      <rPr>
        <sz val="10"/>
        <rFont val="Noto Sans CJK SC"/>
        <family val="2"/>
      </rPr>
      <t xml:space="preserve">與連結），或至少斷言呼叫位置在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</si>
  <si>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DEF-024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</si>
  <si>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匯入預覽的賣超檢查把「錯誤列」的股數也算成持股，被勾選的賣出列預覽顯示 ✓ 可寫入，寫入時卻被丟進「跳過」且不說原因（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還顯示 ✓ 寫入成功）</t>
    </r>
  </si>
  <si>
    <t xml:space="preserve"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</si>
  <si>
    <r>
      <rPr>
        <sz val="10"/>
        <rFont val="Arial"/>
        <family val="0"/>
        <charset val="1"/>
      </rPr>
      <t xml:space="preserve">portfolio_dash/data_ingestion/validate.py:322-327 pending_share_flows `for other in batch: if other is exclude: continue`</t>
    </r>
    <r>
      <rPr>
        <sz val="10"/>
        <rFont val="Noto Sans CJK SC"/>
        <family val="2"/>
      </rPr>
      <t xml:space="preserve">（不判斷兄弟列寫不寫得進去；成員資格 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只排除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不在內）；</t>
    </r>
    <r>
      <rPr>
        <sz val="10"/>
        <rFont val="Arial"/>
        <family val="0"/>
        <charset val="1"/>
      </rPr>
      <t xml:space="preserve">portfolio_dash/api/routers/input_center.py:1325-1328 `accept -= {...}` </t>
    </r>
    <r>
      <rPr>
        <sz val="10"/>
        <rFont val="Noto Sans CJK SC"/>
        <family val="2"/>
      </rPr>
      <t xml:space="preserve">只丟掉不記原因、</t>
    </r>
    <r>
      <rPr>
        <sz val="10"/>
        <rFont val="Arial"/>
        <family val="0"/>
        <charset val="1"/>
      </rPr>
      <t xml:space="preserve">:1340 skipped </t>
    </r>
    <r>
      <rPr>
        <sz val="10"/>
        <rFont val="Noto Sans CJK SC"/>
        <family val="2"/>
      </rPr>
      <t xml:space="preserve">把「未勾選」與「重算出新問題」塞進一個數字；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…)`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</si>
  <si>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顯示「</t>
    </r>
    <r>
      <rPr>
        <sz val="10"/>
        <rFont val="Arial"/>
        <family val="0"/>
        <charset val="1"/>
      </rPr>
      <t xml:space="preserve">! ⚠</t>
    </r>
    <r>
      <rPr>
        <sz val="10"/>
        <rFont val="Noto Sans CJK SC"/>
        <family val="2"/>
      </rPr>
      <t xml:space="preserve">」雙符號</t>
    </r>
  </si>
  <si>
    <t xml:space="preserve">DEF-025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</si>
  <si>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匯入的賣超列只算「警告」且預設勾選，通用確認框按一下即可寫入；手冊期望賣超列不可寫入，手動輸入的賣超則有明確的「成本基礎歸零」確認</t>
    </r>
  </si>
  <si>
    <t xml:space="preserve"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</si>
  <si>
    <r>
      <rPr>
        <sz val="10"/>
        <rFont val="Arial"/>
        <family val="0"/>
        <charset val="1"/>
      </rPr>
      <t xml:space="preserve">portfolio_dash/api/routers/input_center.py:1364 `if has_warn and not body.ack_warnings:`——</t>
    </r>
    <r>
      <rPr>
        <sz val="10"/>
        <rFont val="Noto Sans CJK SC"/>
        <family val="2"/>
      </rPr>
      <t xml:space="preserve">匯入寫入端點唯一的閘，整檔一個 </t>
    </r>
    <r>
      <rPr>
        <sz val="10"/>
        <rFont val="Arial"/>
        <family val="0"/>
        <charset val="1"/>
      </rPr>
      <t xml:space="preserve">ack_warnings </t>
    </r>
    <r>
      <rPr>
        <sz val="10"/>
        <rFont val="Noto Sans CJK SC"/>
        <family val="2"/>
      </rPr>
      <t xml:space="preserve">旗標就放行賣超列；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賣超列預勾）、</t>
    </r>
    <r>
      <rPr>
        <sz val="10"/>
        <rFont val="Arial"/>
        <family val="0"/>
        <charset val="1"/>
      </rPr>
      <t xml:space="preserve">:1470 `body: '</t>
    </r>
    <r>
      <rPr>
        <sz val="10"/>
        <rFont val="Noto Sans CJK SC"/>
        <family val="2"/>
      </rPr>
      <t xml:space="preserve">部分列有警告（如賣超）— 確認後一併寫入？</t>
    </r>
    <r>
      <rPr>
        <sz val="10"/>
        <rFont val="Arial"/>
        <family val="0"/>
        <charset val="1"/>
      </rPr>
      <t xml:space="preserve">',`</t>
    </r>
    <r>
      <rPr>
        <sz val="10"/>
        <rFont val="Noto Sans CJK SC"/>
        <family val="2"/>
      </rPr>
      <t xml:space="preserve">（通用確認框）；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門同寫法 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:2530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</si>
  <si>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賣超列比照手動輸入：預設不勾選，確認框逐列點名並寫明「成本基礎會被永久捨棄」，勾選後才寫入。 處置：改程式＋改手冊：</t>
    </r>
    <r>
      <rPr>
        <sz val="10"/>
        <rFont val="Arial"/>
        <family val="0"/>
        <charset val="1"/>
      </rPr>
      <t xml:space="preserve">I-06 </t>
    </r>
    <r>
      <rPr>
        <sz val="10"/>
        <rFont val="Noto Sans CJK SC"/>
        <family val="2"/>
      </rPr>
      <t xml:space="preserve">賣超期望改為「該列預設不勾、需逐列明確確認後才可寫入」（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DEF-026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確認框仍是通用句「部分列有警告（如賣超）」）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</si>
  <si>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交易帳本匯出的 CSV 不能原樣匯回：匯出用資料庫欄名（account_id／quantity／fees／trade_date），匯入只認範本欄名（account／shares／fee／date）；改表頭後可匯入，但費率快照（fee_rule_snapshot）無法重建</t>
  </si>
  <si>
    <t xml:space="preserve"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</si>
  <si>
    <r>
      <rPr>
        <sz val="10"/>
        <rFont val="Arial"/>
        <family val="0"/>
        <charset val="1"/>
      </rPr>
      <t xml:space="preserve">portfolio_dash/export/ledgers.py:56 `sql = f"SELECT * FROM {table}"`</t>
    </r>
    <r>
      <rPr>
        <sz val="10"/>
        <rFont val="Noto Sans CJK SC"/>
        <family val="2"/>
      </rPr>
      <t xml:space="preserve">（資料表欄名）；</t>
    </r>
    <r>
      <rPr>
        <sz val="10"/>
        <rFont val="Arial"/>
        <family val="0"/>
        <charset val="1"/>
      </rPr>
      <t xml:space="preserve">portfolio_dash/data_ingestion/csv_import.py:107 `canon = [canonical_header(f) for f in fieldnames]` </t>
    </r>
    <r>
      <rPr>
        <sz val="10"/>
        <rFont val="Noto Sans CJK SC"/>
        <family val="2"/>
      </rPr>
      <t xml:space="preserve">沒有「匯出欄名→範本欄名」對應，</t>
    </r>
    <r>
      <rPr>
        <sz val="10"/>
        <rFont val="Arial"/>
        <family val="0"/>
        <charset val="1"/>
      </rPr>
      <t xml:space="preserve">:432 `_cell(raw, "account")` </t>
    </r>
    <r>
      <rPr>
        <sz val="10"/>
        <rFont val="Noto Sans CJK SC"/>
        <family val="2"/>
      </rPr>
      <t xml:space="preserve">找不到；</t>
    </r>
    <r>
      <rPr>
        <sz val="10"/>
        <rFont val="Arial"/>
        <family val="0"/>
        <charset val="1"/>
      </rPr>
      <t xml:space="preserve">portfolio_dash/data_ingestion/fees.py:111 `return {"engine": "supplied", "fee": str(fee), "tax": str(tax)}` </t>
    </r>
    <r>
      <rPr>
        <sz val="10"/>
        <rFont val="Noto Sans CJK SC"/>
        <family val="2"/>
      </rPr>
      <t xml:space="preserve">無條件覆蓋原快照；多餘欄位由 </t>
    </r>
    <r>
      <rPr>
        <sz val="10"/>
        <rFont val="Arial"/>
        <family val="0"/>
        <charset val="1"/>
      </rPr>
      <t xml:space="preserve">csv.DictReader </t>
    </r>
    <r>
      <rPr>
        <sz val="10"/>
        <rFont val="Noto Sans CJK SC"/>
        <family val="2"/>
      </rPr>
      <t xml:space="preserve">靜默丟棄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</si>
  <si>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</si>
  <si>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DEF-027</t>
  </si>
  <si>
    <t xml:space="preserve">券商對帳單「全部寫入」一律帶 ack_warnings:true：賣超等需要確認的警告不經使用者確認就寫入，成本基礎被歸零且畫面顯示「✓ 全部寫入完成」</t>
  </si>
  <si>
    <t xml:space="preserve"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</si>
  <si>
    <r>
      <rPr>
        <sz val="10"/>
        <rFont val="Arial"/>
        <family val="0"/>
        <charset val="1"/>
      </rPr>
      <t xml:space="preserve">web/broker-import.js:423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`kind, csv_text: text, ack_warnings: true,`</t>
    </r>
    <r>
      <rPr>
        <sz val="10"/>
        <rFont val="Noto Sans CJK SC"/>
        <family val="2"/>
      </rPr>
      <t xml:space="preserve">（每個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都帶字面值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:427-429 </t>
    </r>
    <r>
      <rPr>
        <sz val="10"/>
        <rFont val="Noto Sans CJK SC"/>
        <family val="2"/>
      </rPr>
      <t xml:space="preserve">註解自述「</t>
    </r>
    <r>
      <rPr>
        <sz val="10"/>
        <rFont val="Arial"/>
        <family val="0"/>
        <charset val="1"/>
      </rPr>
      <t xml:space="preserve">the one acknowledgement that discards a cost basis</t>
    </r>
    <r>
      <rPr>
        <sz val="10"/>
        <rFont val="Noto Sans CJK SC"/>
        <family val="2"/>
      </rPr>
      <t xml:space="preserve">」）；</t>
    </r>
    <r>
      <rPr>
        <sz val="10"/>
        <rFont val="Arial"/>
        <family val="0"/>
        <charset val="1"/>
      </rPr>
      <t xml:space="preserve">portfolio_dash/api/routers/broker_import.py:136-139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`"openings_needing_cost": [{"symbol": s, "shares": …} …]` </t>
    </r>
    <r>
      <rPr>
        <sz val="10"/>
        <rFont val="Noto Sans CJK SC"/>
        <family val="2"/>
      </rPr>
      <t xml:space="preserve">只回檔案內 </t>
    </r>
    <r>
      <rPr>
        <sz val="10"/>
        <rFont val="Arial"/>
        <family val="0"/>
        <charset val="1"/>
      </rPr>
      <t xml:space="preserve">prehistory_shares</t>
    </r>
    <r>
      <rPr>
        <sz val="10"/>
        <rFont val="Noto Sans CJK SC"/>
        <family val="2"/>
      </rPr>
      <t xml:space="preserve">、不讀帳本；</t>
    </r>
    <r>
      <rPr>
        <sz val="10"/>
        <rFont val="Arial"/>
        <family val="0"/>
        <charset val="1"/>
      </rPr>
      <t xml:space="preserve">portfolio_dash/data_ingestion/broker/convert.py:122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`for e in sorted(grouped.trades, key=lambda x: (x.trade_date, x.line_no)):`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最新在前 → 同日順序反轉）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</si>
  <si>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複驗通過。附註：單元守門只認字面值 </t>
    </r>
    <r>
      <rPr>
        <sz val="10"/>
        <rFont val="Arial"/>
        <family val="0"/>
        <charset val="1"/>
      </rPr>
      <t xml:space="preserve">ack_warnings: true</t>
    </r>
    <r>
      <rPr>
        <sz val="10"/>
        <rFont val="Noto Sans CJK SC"/>
        <family val="2"/>
      </rPr>
      <t xml:space="preserve">，等價寫法要靠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才攔得到——建議把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納入每輪 </t>
    </r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；新開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：對帳單轉換的股數顯示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位原始小數</t>
    </r>
  </si>
  <si>
    <t xml:space="preserve">DEF-028</t>
  </si>
  <si>
    <t xml:space="preserve">券商對帳單轉換結果只顯示筆數，轉出的每一列與被合併／抵銷的原始列都看不到，寫入前無法逐列檢視，也不能挑選</t>
  </si>
  <si>
    <t xml:space="preserve"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</si>
  <si>
    <r>
      <rPr>
        <sz val="10"/>
        <rFont val="Arial"/>
        <family val="0"/>
        <charset val="1"/>
      </rPr>
      <t xml:space="preserve">web/broker-import.js:264-266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`const counts = (c.commit_order||[]).map((k) =&gt; KIND_ZH[k] + ' ' + c.counts[k]).join(' · ')`——</t>
    </r>
    <r>
      <rPr>
        <sz val="10"/>
        <rFont val="Noto Sans CJK SC"/>
        <family val="2"/>
      </rPr>
      <t xml:space="preserve">報告只組筆數字串；</t>
    </r>
    <r>
      <rPr>
        <sz val="10"/>
        <rFont val="Arial"/>
        <family val="0"/>
        <charset val="1"/>
      </rPr>
      <t xml:space="preserve">API _conversion_wire </t>
    </r>
    <r>
      <rPr>
        <sz val="10"/>
        <rFont val="Noto Sans CJK SC"/>
        <family val="2"/>
      </rPr>
      <t xml:space="preserve">沒有逐列結構，被抵銷／合併的列只散在 </t>
    </r>
    <r>
      <rPr>
        <sz val="10"/>
        <rFont val="Arial"/>
        <family val="0"/>
        <charset val="1"/>
      </rPr>
      <t xml:space="preserve">advisory </t>
    </r>
    <r>
      <rPr>
        <sz val="10"/>
        <rFont val="Noto Sans CJK SC"/>
        <family val="2"/>
      </rPr>
      <t xml:space="preserve">文字</t>
    </r>
  </si>
  <si>
    <t xml:space="preserve">券商對帳單匯入不檢查「所選券商」與「匯入到帳戶」是否相符：嘉信對帳單可直接寫進 Moomoo MY 帳戶；寫進台灣券商時要到寫入階段才被市場規則擋下，轉換步驟一律顯示「✓ 對帳通過」</t>
  </si>
  <si>
    <t xml:space="preserve"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</si>
  <si>
    <r>
      <rPr>
        <sz val="10"/>
        <rFont val="Arial"/>
        <family val="0"/>
        <charset val="1"/>
      </rPr>
      <t xml:space="preserve">portfolio_dash/api/routers/broker_import.py:174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`if body.account not in {a.account_id for a in list_accounts(conn)}:`——</t>
    </r>
    <r>
      <rPr>
        <sz val="10"/>
        <rFont val="Noto Sans CJK SC"/>
        <family val="2"/>
      </rPr>
      <t xml:space="preserve">只驗帳戶存在，沒有「此帳戶是否屬於該券商」的對應；</t>
    </r>
    <r>
      <rPr>
        <sz val="10"/>
        <rFont val="Arial"/>
        <family val="0"/>
        <charset val="1"/>
      </rPr>
      <t xml:space="preserve">web/broker-import.js:221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`currency: 'USD',`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:503-507 </t>
    </r>
    <r>
      <rPr>
        <sz val="10"/>
        <rFont val="Noto Sans CJK SC"/>
        <family val="2"/>
      </rPr>
      <t xml:space="preserve">列出全部帳戶</t>
    </r>
  </si>
  <si>
    <t xml:space="preserve">DEF-030</t>
  </si>
  <si>
    <t xml:space="preserve">排程中心的洞察任務（insight:*）按「立即執行」一律失敗，狀態只顯示原始例外字串「'insight:10'」；該列也只顯示 insight:N、不顯示任務名稱，任務暫停後排程開關仍顯示開啟</t>
  </si>
  <si>
    <t xml:space="preserve"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</si>
  <si>
    <r>
      <rPr>
        <sz val="10"/>
        <rFont val="Arial"/>
        <family val="0"/>
        <charset val="1"/>
      </rPr>
      <t xml:space="preserve">portfolio_dash/scheduler/jobs.py:1573 `outcome = _outcome_of(_jobs_by_id()[job_id].func(conn, now=now))`——</t>
    </r>
    <r>
      <rPr>
        <sz val="10"/>
        <rFont val="Noto Sans CJK SC"/>
        <family val="2"/>
      </rPr>
      <t xml:space="preserve">手動執行的 </t>
    </r>
    <r>
      <rPr>
        <sz val="10"/>
        <rFont val="Arial"/>
        <family val="0"/>
        <charset val="1"/>
      </rPr>
      <t xml:space="preserve">worker </t>
    </r>
    <r>
      <rPr>
        <sz val="10"/>
        <rFont val="Noto Sans CJK SC"/>
        <family val="2"/>
      </rPr>
      <t xml:space="preserve">只查靜態工作表，</t>
    </r>
    <r>
      <rPr>
        <sz val="10"/>
        <rFont val="Arial"/>
        <family val="0"/>
        <charset val="1"/>
      </rPr>
      <t xml:space="preserve">insight:N </t>
    </r>
    <r>
      <rPr>
        <sz val="10"/>
        <rFont val="Noto Sans CJK SC"/>
        <family val="2"/>
      </rPr>
      <t xml:space="preserve">不在其中必定 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dispatch_job </t>
    </r>
    <r>
      <rPr>
        <sz val="10"/>
        <rFont val="Noto Sans CJK SC"/>
        <family val="2"/>
      </rPr>
      <t xml:space="preserve">一直有依種類分派，手動路徑從來沒有）；</t>
    </r>
    <r>
      <rPr>
        <sz val="10"/>
        <rFont val="Arial"/>
        <family val="0"/>
        <charset val="1"/>
      </rPr>
      <t xml:space="preserve">:1575 `outcome = JobOutcome("error", str(exc))` </t>
    </r>
    <r>
      <rPr>
        <sz val="10"/>
        <rFont val="Noto Sans CJK SC"/>
        <family val="2"/>
      </rPr>
      <t xml:space="preserve">例外原文直接進使用者可見欄位；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 </t>
    </r>
    <r>
      <rPr>
        <sz val="10"/>
        <rFont val="Noto Sans CJK SC"/>
        <family val="2"/>
      </rPr>
      <t xml:space="preserve">只檢查有沒有設定列；列名 </t>
    </r>
    <r>
      <rPr>
        <sz val="10"/>
        <rFont val="Arial"/>
        <family val="0"/>
        <charset val="1"/>
      </rPr>
      <t xml:space="preserve">scheduler.py:140 `"desc": _desc(job_id),`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web/settings-scheduler.js:124 `const jobLabel = (id, desc) =&gt; JOB_ZH[id] || desc || id;`</t>
    </r>
    <r>
      <rPr>
        <sz val="10"/>
        <rFont val="Noto Sans CJK SC"/>
        <family val="2"/>
      </rPr>
      <t xml:space="preserve">；暫停 </t>
    </r>
    <r>
      <rPr>
        <sz val="10"/>
        <rFont val="Arial"/>
        <family val="0"/>
        <charset val="1"/>
      </rPr>
      <t xml:space="preserve">scheduler.py:143 `"enabled": bool(row["enabled"]),` </t>
    </r>
    <r>
      <rPr>
        <sz val="10"/>
        <rFont val="Noto Sans CJK SC"/>
        <family val="2"/>
      </rPr>
      <t xml:space="preserve">只看排程列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</si>
  <si>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複驗通過。附註：小瑕疵（不另開）：立即執行的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仍寫「✓ 已排入執行 </t>
    </r>
    <r>
      <rPr>
        <sz val="10"/>
        <rFont val="Arial"/>
        <family val="0"/>
        <charset val="1"/>
      </rPr>
      <t xml:space="preserve">insight:7 #180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job id </t>
    </r>
    <r>
      <rPr>
        <sz val="10"/>
        <rFont val="Noto Sans CJK SC"/>
        <family val="2"/>
      </rPr>
      <t xml:space="preserve">而非任務名）。本案花費 </t>
    </r>
    <r>
      <rPr>
        <sz val="10"/>
        <rFont val="Arial"/>
        <family val="0"/>
        <charset val="1"/>
      </rPr>
      <t xml:space="preserve">$0.0023063</t>
    </r>
  </si>
  <si>
    <t xml:space="preserve">DEF-031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</si>
  <si>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H-05</t>
    </r>
  </si>
  <si>
    <t xml:space="preserve">洞察任務抽屜的「編輯標的」按鈕沒有功能，只跳出 toast「沿用既有標的選擇器（持倉＋觀察清單）」；任務建立後無法修改標的宇宙，R2 的修正指引也導向這顆按鈕</t>
  </si>
  <si>
    <t xml:space="preserve">洞察管線 › 任一單一標的任務 › 點「② 輸入」節點開抽屜 → 「編輯標的」→ 只出現 toast「✓ 編輯標的 沿用既有標的選擇器（持倉＋觀察清單）」，沒有任何對話框或網路請求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</si>
  <si>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'</t>
    </r>
    <r>
      <rPr>
        <sz val="10"/>
        <rFont val="Noto Sans CJK SC"/>
        <family val="2"/>
      </rPr>
      <t xml:space="preserve">沿用既有標的選擇器（持倉＋觀察清單）</t>
    </r>
    <r>
      <rPr>
        <sz val="10"/>
        <rFont val="Arial"/>
        <family val="0"/>
        <charset val="1"/>
      </rPr>
      <t xml:space="preserve">'); });`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:51 `edit_universe: { label: 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run: function (t) { openDrawer(t, 'input'); } }`</t>
    </r>
    <r>
      <rPr>
        <sz val="10"/>
        <rFont val="Noto Sans CJK SC"/>
        <family val="2"/>
      </rPr>
      <t xml:space="preserve">（修正動作導向同一顆按鈕）。後端 </t>
    </r>
    <r>
      <rPr>
        <sz val="10"/>
        <rFont val="Arial"/>
        <family val="0"/>
        <charset val="1"/>
      </rPr>
      <t xml:space="preserve">PUT /api/insight-tasks/{id} </t>
    </r>
    <r>
      <rPr>
        <sz val="10"/>
        <rFont val="Noto Sans CJK SC"/>
        <family val="2"/>
      </rPr>
      <t xml:space="preserve">本來就接受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，不缺端點</t>
    </r>
  </si>
  <si>
    <t xml:space="preserve">DEF-032</t>
  </si>
  <si>
    <t xml:space="preserve">新增洞察任務精靈的標的清單以「持倉列」而非「代號」計數：AAPL（嘉信＋Moomoo 兩帳戶）出現兩個勾選框，「全部持倉」顯示 14 檔・14 張卡・~$0.14，而既有單一標的任務與實際批次都是 13 檔 13 張</t>
  </si>
  <si>
    <t xml:space="preserve"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</si>
  <si>
    <r>
      <rPr>
        <sz val="10"/>
        <rFont val="Arial"/>
        <family val="0"/>
        <charset val="1"/>
      </rPr>
      <t xml:space="preserve">web/pipeline-wizard.js:82 `REF.held = ((res[2] &amp;&amp; res[2].holdings) || []).map(function (h) { return h.symbol; });`</t>
    </r>
    <r>
      <rPr>
        <sz val="10"/>
        <rFont val="Noto Sans CJK SC"/>
        <family val="2"/>
      </rPr>
      <t xml:space="preserve">（以持倉列而非代號）；</t>
    </r>
    <r>
      <rPr>
        <sz val="10"/>
        <rFont val="Arial"/>
        <family val="0"/>
        <charset val="1"/>
      </rPr>
      <t xml:space="preserve">portfolio_dash/api/insight_service.py:142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_resolve_universe_raw :1231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`return list(syms) if isinstance(syms, list) else []`</t>
    </r>
    <r>
      <rPr>
        <sz val="10"/>
        <rFont val="Noto Sans CJK SC"/>
        <family val="2"/>
      </rPr>
      <t xml:space="preserve">（自選模式不去重）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</si>
  <si>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複驗通過。附註：防護提醒：後端去重的變異測試 </t>
    </r>
    <r>
      <rPr>
        <sz val="10"/>
        <rFont val="Arial"/>
        <family val="0"/>
        <charset val="1"/>
      </rPr>
      <t xml:space="preserve">5 passed</t>
    </r>
    <r>
      <rPr>
        <sz val="10"/>
        <rFont val="Noto Sans CJK SC"/>
        <family val="2"/>
      </rPr>
      <t xml:space="preserve">（沒有測試抓到後端回傳重複列），目前靠前端彙整；建議補後端契約測試</t>
    </r>
  </si>
  <si>
    <t xml:space="preserve">DEF-033</t>
  </si>
  <si>
    <t xml:space="preserve">策略提示詞（分析模板）沒有版本記錄，也不能回復上一版；儲存直接覆寫，唯一的回復是「同步官方」</t>
  </si>
  <si>
    <t xml:space="preserve">設定 › AI 提示詞 › 任一策略卡 → 修改內文 → 儲存（PUT /api/strategy-prompts/{id} 200）→ 卡片上只有 儲存／預覽提示詞／測試送出／同步官方 v2.5／封存，找不到版本清單或回復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</si>
  <si>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"`——</t>
    </r>
    <r>
      <rPr>
        <sz val="10"/>
        <rFont val="Noto Sans CJK SC"/>
        <family val="2"/>
      </rPr>
      <t xml:space="preserve">儲存與同步官方共用的唯一寫法直接覆寫內文，沒有任何版本資料；</t>
    </r>
    <r>
      <rPr>
        <sz val="10"/>
        <rFont val="Arial"/>
        <family val="0"/>
        <charset val="1"/>
      </rPr>
      <t xml:space="preserve">llm_insight/insights_store.py:292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不記錄提示詞版本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</si>
  <si>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）：策略提示詞做完整版本記錄：每次儲存留一版，可檢視差異並回復任一版，洞察卡記錄生成時使用的版本。 處置：改程式；</t>
    </r>
    <r>
      <rPr>
        <sz val="10"/>
        <rFont val="Arial"/>
        <family val="0"/>
        <charset val="1"/>
      </rPr>
      <t xml:space="preserve">H-03 </t>
    </r>
    <r>
      <rPr>
        <sz val="10"/>
        <rFont val="Noto Sans CJK SC"/>
        <family val="2"/>
      </rPr>
      <t xml:space="preserve">期望不變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複驗通過（黑箱＋驗證者變異）。附註：本測試在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留下策略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兩筆版本紀錄（只增不改的設計，內文已回到原文），屬預期寫入</t>
    </r>
  </si>
  <si>
    <t xml:space="preserve">系統設定 › AI 與額度：每儲存一次低額度警示閾值，「代號查無時自動 AI 辨識」開關就多綁一個點擊監聽，之後點一下會送出多次 PUT、跳出多個相同 toast</t>
  </si>
  <si>
    <t xml:space="preserve"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</si>
  <si>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（位在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內，存閾值／模型／角色／加值都會 </t>
    </r>
    <r>
      <rPr>
        <sz val="10"/>
        <rFont val="Arial"/>
        <family val="0"/>
        <charset val="1"/>
      </rPr>
      <t xml:space="preserve">await boot()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:627 `t.addEventListener('click', async () =&gt; {` </t>
    </r>
    <r>
      <rPr>
        <sz val="10"/>
        <rFont val="Noto Sans CJK SC"/>
        <family val="2"/>
      </rPr>
      <t xml:space="preserve">沒有防重複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</si>
  <si>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輸入的解析草稿不能逐列編輯（每格都是純文字，只能勾選），帳戶欄顯示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原名「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」</t>
    </r>
  </si>
  <si>
    <t xml:space="preserve"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</si>
  <si>
    <r>
      <rPr>
        <sz val="10"/>
        <rFont val="Arial"/>
        <family val="0"/>
        <charset val="1"/>
      </rPr>
      <t xml:space="preserve">web/input.js:1773/1808/1825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'col-text', d.account_id || ''));`</t>
    </r>
    <r>
      <rPr>
        <sz val="10"/>
        <rFont val="Noto Sans CJK SC"/>
        <family val="2"/>
      </rPr>
      <t xml:space="preserve">（三張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草稿表以原始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輸出）；無法編輯：</t>
    </r>
    <r>
      <rPr>
        <sz val="10"/>
        <rFont val="Arial"/>
        <family val="0"/>
        <charset val="1"/>
      </rPr>
      <t xml:space="preserve">portfolio_dash/api/routers/input_center.py:1554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`if not body.text.strip() and not images:` </t>
    </r>
    <r>
      <rPr>
        <sz val="10"/>
        <rFont val="Noto Sans CJK SC"/>
        <family val="2"/>
      </rPr>
      <t xml:space="preserve">只接受文字或截圖，前端只拿得到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字串，沒有可編輯的結構化草稿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</si>
  <si>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輸入不檢查文字中的金額矛盾：「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元」被判「✓ 解析完整」（實際 </t>
    </r>
    <r>
      <rPr>
        <sz val="10"/>
        <rFont val="Arial"/>
        <family val="0"/>
        <charset val="1"/>
      </rPr>
      <t xml:space="preserve">4,600 </t>
    </r>
    <r>
      <rPr>
        <sz val="10"/>
        <rFont val="Noto Sans CJK SC"/>
        <family val="2"/>
      </rPr>
      <t xml:space="preserve">元），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只放進備註、沒有標示</t>
    </r>
  </si>
  <si>
    <t xml:space="preserve"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</si>
  <si>
    <r>
      <rPr>
        <sz val="10"/>
        <rFont val="Arial"/>
        <family val="0"/>
        <charset val="1"/>
      </rPr>
      <t xml:space="preserve">portfolio_dash/data_ingestion/agents.py:92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`note: str | None = None`——TxnDraft </t>
    </r>
    <r>
      <rPr>
        <sz val="10"/>
        <rFont val="Noto Sans CJK SC"/>
        <family val="2"/>
      </rPr>
      <t xml:space="preserve">唯一能放「成交金額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元」的地方，寫入門不讀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schema extra="forbid"</t>
    </r>
    <r>
      <rPr>
        <sz val="10"/>
        <rFont val="Noto Sans CJK SC"/>
        <family val="2"/>
      </rPr>
      <t xml:space="preserve">，模型無處可放這個數字</t>
    </r>
  </si>
  <si>
    <t xml:space="preserve">DEF-037</t>
  </si>
  <si>
    <t xml:space="preserve">預警觸發產卡：帳戶層級的 fx_drift 預警被當成個股派發，產生代號為「moomoo_my」的洞察卡（內容為模型臆測）；各張卡也沒有記錄是哪條預警觸發，卡片與預警無法互查</t>
  </si>
  <si>
    <t xml:space="preserve"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</si>
  <si>
    <r>
      <rPr>
        <sz val="10"/>
        <rFont val="Arial"/>
        <family val="0"/>
        <charset val="1"/>
      </rPr>
      <t xml:space="preserve">portfolio_dash/scheduler/jobs.py:918 `conn, rule_id=alert.rule, symbol=_alert_symbol(alert), now=now,`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:888 _alert_symbol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冒號後綴當代號，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自舉 </t>
    </r>
    <r>
      <rPr>
        <sz val="10"/>
        <rFont val="Arial"/>
        <family val="0"/>
        <charset val="1"/>
      </rPr>
      <t xml:space="preserve">fx_drift:schwab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portfolio_dash/llm_insight/alerts_bridge.py:285 `fired_symbol=event.symbol,`</t>
    </r>
    <r>
      <rPr>
        <sz val="10"/>
        <rFont val="Noto Sans CJK SC"/>
        <family val="2"/>
      </rPr>
      <t xml:space="preserve">（任何後綴都當代號派發）；</t>
    </r>
    <r>
      <rPr>
        <sz val="10"/>
        <rFont val="Arial"/>
        <family val="0"/>
        <charset val="1"/>
      </rPr>
      <t xml:space="preserve">portfolio_dash/llm_insight/generate.py:368 `alert_note = _ON_ALERT_NOTE if is_alert else ""`</t>
    </r>
    <r>
      <rPr>
        <sz val="10"/>
        <rFont val="Noto Sans CJK SC"/>
        <family val="2"/>
      </rPr>
      <t xml:space="preserve">（沒把觸發的預警餵給模型）；</t>
    </r>
    <r>
      <rPr>
        <sz val="10"/>
        <rFont val="Arial"/>
        <family val="0"/>
        <charset val="1"/>
      </rPr>
      <t xml:space="preserve">api/insight_service.py:918 `rule_id="calibration_regression", symbol=str(it.id)`</t>
    </r>
    <r>
      <rPr>
        <sz val="10"/>
        <rFont val="Noto Sans CJK SC"/>
        <family val="2"/>
      </rPr>
      <t xml:space="preserve">（任務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存進代號欄，同類）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</si>
  <si>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複驗通過。附註：①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</si>
  <si>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r>
      <rPr>
        <sz val="10"/>
        <rFont val="Arial"/>
        <family val="0"/>
        <charset val="1"/>
      </rPr>
      <t xml:space="preserve">E-01</t>
    </r>
    <r>
      <rPr>
        <sz val="10"/>
        <rFont val="Noto Sans CJK SC"/>
        <family val="2"/>
      </rPr>
      <t xml:space="preserve">（附帶）</t>
    </r>
  </si>
  <si>
    <t xml:space="preserve"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</si>
  <si>
    <t xml:space="preserve"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</si>
  <si>
    <r>
      <rPr>
        <sz val="10"/>
        <rFont val="Arial"/>
        <family val="0"/>
        <charset val="1"/>
      </rPr>
      <t xml:space="preserve">① 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web/pipeline-hub.html:47 `&lt;a class="pp-asset" href="settings.html"&gt;`</t>
    </r>
    <r>
      <rPr>
        <sz val="10"/>
        <rFont val="Noto Sans CJK SC"/>
        <family val="2"/>
      </rPr>
      <t xml:space="preserve">，且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路由只認分頁名，帶 </t>
    </r>
    <r>
      <rPr>
        <sz val="10"/>
        <rFont val="Arial"/>
        <family val="0"/>
        <charset val="1"/>
      </rPr>
      <t xml:space="preserve">#prompts </t>
    </r>
    <r>
      <rPr>
        <sz val="10"/>
        <rFont val="Noto Sans CJK SC"/>
        <family val="2"/>
      </rPr>
      <t xml:space="preserve">也只落在分頁頂端，到不了自我進化設定面板</t>
    </r>
  </si>
  <si>
    <t xml:space="preserve">DEF-039</t>
  </si>
  <si>
    <r>
      <rPr>
        <sz val="10"/>
        <rFont val="Arial"/>
        <family val="0"/>
        <charset val="1"/>
      </rPr>
      <t xml:space="preserve">I-10</t>
    </r>
    <r>
      <rPr>
        <sz val="10"/>
        <rFont val="Noto Sans CJK SC"/>
        <family val="2"/>
      </rPr>
      <t xml:space="preserve">（附帶）</t>
    </r>
  </si>
  <si>
    <t xml:space="preserve">券商對帳單（Schwab）轉換頁的期初缺口／帳本持股提示直接印出後端 Decimal 原文（小數 28 位），未依股數格式化</t>
  </si>
  <si>
    <t xml:space="preserve">交易帳本 › CSV 匯入 › 券商對帳單 → 上傳 Schwab 對帳單轉換 → 賣超列的期初缺口提示（DEF-027 修法新增、改讀帳本持股）顯示持股為 28 位小數的原始字串；缺口數字本身正確（914.96 股）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</si>
  <si>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placeholder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處把後端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原字串直接拼進句子；</t>
    </r>
    <r>
      <rPr>
        <sz val="10"/>
        <rFont val="Arial"/>
        <family val="0"/>
        <charset val="1"/>
      </rPr>
      <t xml:space="preserve">ledger_shares </t>
    </r>
    <r>
      <rPr>
        <sz val="10"/>
        <rFont val="Noto Sans CJK SC"/>
        <family val="2"/>
      </rPr>
      <t xml:space="preserve">是帳本重播出的持股，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商數帶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位小數）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</si>
  <si>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DEF-027 </t>
    </r>
    <r>
      <rPr>
        <sz val="10"/>
        <rFont val="Noto Sans CJK SC"/>
        <family val="2"/>
      </rPr>
      <t xml:space="preserve">時發現。同類：</t>
    </r>
    <r>
      <rPr>
        <sz val="10"/>
        <rFont val="Arial"/>
        <family val="0"/>
        <charset val="1"/>
      </rPr>
      <t xml:space="preserve">/api/input/holdings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 </t>
    </r>
    <r>
      <rPr>
        <sz val="10"/>
        <rFont val="Noto Sans CJK SC"/>
        <family val="2"/>
      </rPr>
      <t xml:space="preserve">本來就是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原文（例 </t>
    </r>
    <r>
      <rPr>
        <sz val="10"/>
        <rFont val="Arial"/>
        <family val="0"/>
        <charset val="1"/>
      </rPr>
      <t xml:space="preserve">AAPL 10.00645756457564575645756458</t>
    </r>
    <r>
      <rPr>
        <sz val="10"/>
        <rFont val="Noto Sans CJK SC"/>
        <family val="2"/>
      </rPr>
      <t xml:space="preserve">），前端凡直接拼字串處都會出現，建議一併掃描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</si>
  <si>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</si>
  <si>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OBS-1 </t>
    </r>
    <r>
      <rPr>
        <sz val="10"/>
        <rFont val="Noto Sans CJK SC"/>
        <family val="2"/>
      </rPr>
      <t xml:space="preserve">裁定）</t>
    </r>
  </si>
  <si>
    <t xml:space="preserve">分拆（SPINOFF）登錄時寫入的子公司起始價（_seed_child_price）在刪除該公司行動時不會移除</t>
  </si>
  <si>
    <t xml:space="preserve">開發者 R2 交接提出的觀察 OBS-1：公司行動 › 原持股不變另拿到新股 → 登錄時於 commit 後寫入子公司起始價 → 刪除該行動，子公司價格仍留在價格表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</si>
  <si>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commit=False)`——_delete_actions </t>
    </r>
    <r>
      <rPr>
        <sz val="10"/>
        <rFont val="Noto Sans CJK SC"/>
        <family val="2"/>
      </rPr>
      <t xml:space="preserve">沒有對應移除分拆登錄時寫入的子公司起始價（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（複驗未過）：</t>
    </r>
    <r>
      <rPr>
        <sz val="10"/>
        <rFont val="Arial"/>
        <family val="0"/>
        <charset val="1"/>
      </rPr>
      <t xml:space="preserve">portfolio_dash/pricing/seed.py:74 `upsert_prices(`——write_seed_price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upsert_prices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ON CONFLICT DO UPDATE </t>
    </r>
    <r>
      <rPr>
        <sz val="10"/>
        <rFont val="Noto Sans CJK SC"/>
        <family val="2"/>
      </rPr>
      <t xml:space="preserve">整列取代同日正式報價、不留原列；</t>
    </r>
    <r>
      <rPr>
        <sz val="10"/>
        <rFont val="Arial"/>
        <family val="0"/>
        <charset val="1"/>
      </rPr>
      <t xml:space="preserve">seed.py:116 `if not _is_seed(source, fetched_at, on):`——</t>
    </r>
    <r>
      <rPr>
        <sz val="10"/>
        <rFont val="Noto Sans CJK SC"/>
        <family val="2"/>
      </rPr>
      <t xml:space="preserve">刪除只看該列「現在是否帶種子簽章」，分不出是不是這筆行動寫的（綁定點 </t>
    </r>
    <r>
      <rPr>
        <sz val="10"/>
        <rFont val="Arial"/>
        <family val="0"/>
        <charset val="1"/>
      </rPr>
      <t xml:space="preserve">api/routers/ledgers.py:2021 `write_seed_price(conn, symbol=inst.symbol, market=inst.market, on=inp.date,`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 </t>
    </r>
    <r>
      <rPr>
        <sz val="10"/>
        <rFont val="Arial"/>
        <family val="0"/>
        <charset val="1"/>
      </rPr>
      <t xml:space="preserve">to_symbol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date </t>
    </r>
    <r>
      <rPr>
        <sz val="10"/>
        <rFont val="Noto Sans CJK SC"/>
        <family val="2"/>
      </rPr>
      <t xml:space="preserve">判定）</t>
    </r>
  </si>
  <si>
    <t xml:space="preserve">R4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</si>
  <si>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）：刪除該公司行動時一併移除它寫入、且之後未被正式報價覆蓋的子公司起始價（與目標價「條件可逆」同一規則，不可逆時在刪除框與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說明原因）。手冊 </t>
    </r>
    <r>
      <rPr>
        <sz val="10"/>
        <rFont val="Arial"/>
        <family val="0"/>
        <charset val="1"/>
      </rPr>
      <t xml:space="preserve">D-10 </t>
    </r>
    <r>
      <rPr>
        <sz val="10"/>
        <rFont val="Noto Sans CJK SC"/>
        <family val="2"/>
      </rPr>
      <t xml:space="preserve">期望補「子公司起始價」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部分通過：修法方向（二擇一，建議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A. </t>
    </r>
    <r>
      <rPr>
        <sz val="10"/>
        <rFont val="Noto Sans CJK SC"/>
        <family val="2"/>
      </rPr>
      <t xml:space="preserve">寫入前若該日已有非種子的正式報價就不寫入起始價，回應 </t>
    </r>
    <r>
      <rPr>
        <sz val="10"/>
        <rFont val="Arial"/>
        <family val="0"/>
        <charset val="1"/>
      </rPr>
      <t xml:space="preserve">child_priced null </t>
    </r>
    <r>
      <rPr>
        <sz val="10"/>
        <rFont val="Noto Sans CJK SC"/>
        <family val="2"/>
      </rPr>
      <t xml:space="preserve">並在表單／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，起始價未寫入」；</t>
    </r>
    <r>
      <rPr>
        <sz val="10"/>
        <rFont val="Arial"/>
        <family val="0"/>
        <charset val="1"/>
      </rPr>
      <t xml:space="preserve">B. </t>
    </r>
    <r>
      <rPr>
        <sz val="10"/>
        <rFont val="Noto Sans CJK SC"/>
        <family val="2"/>
      </rPr>
      <t xml:space="preserve">寫入時把被覆蓋的原列存進 </t>
    </r>
    <r>
      <rPr>
        <sz val="10"/>
        <rFont val="Arial"/>
        <family val="0"/>
        <charset val="1"/>
      </rPr>
      <t xml:space="preserve">corporate_actions</t>
    </r>
    <r>
      <rPr>
        <sz val="10"/>
        <rFont val="Noto Sans CJK SC"/>
        <family val="2"/>
      </rPr>
      <t xml:space="preserve">（如 </t>
    </r>
    <r>
      <rPr>
        <sz val="10"/>
        <rFont val="Arial"/>
        <family val="0"/>
        <charset val="1"/>
      </rPr>
      <t xml:space="preserve">seed_replaced_json</t>
    </r>
    <r>
      <rPr>
        <sz val="10"/>
        <rFont val="Noto Sans CJK SC"/>
        <family val="2"/>
      </rPr>
      <t xml:space="preserve">），刪除時放回。補一則測試：當日先有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報價 → 存檔＋刪除後該列逐字相同。探測檔見驗證者本機 </t>
    </r>
    <r>
      <rPr>
        <sz val="10"/>
        <rFont val="Arial"/>
        <family val="0"/>
        <charset val="1"/>
      </rPr>
      <t xml:space="preserve">test_qa_r3_seed_over_quote.py</t>
    </r>
    <r>
      <rPr>
        <sz val="10"/>
        <rFont val="Noto Sans CJK SC"/>
        <family val="2"/>
      </rPr>
      <t xml:space="preserve">（內容已寫在本欄）（規格見 </t>
    </r>
    <r>
      <rPr>
        <sz val="10"/>
        <rFont val="Arial"/>
        <family val="0"/>
        <charset val="1"/>
      </rPr>
      <t xml:space="preserve">docs/audit/2026-09-24-r3-dev-specs.md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</si>
  <si>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DEF-041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</si>
  <si>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裁定）</t>
    </r>
  </si>
  <si>
    <t xml:space="preserve">預警觸發的「持倉提點」會替只在觀察清單、未持有的標的產卡（drawdown_from_peak）</t>
  </si>
  <si>
    <t xml:space="preserve">系統設定 › 排程中心 › alert_scan 立即執行 → 預警清單含 drawdown_from_peak:1234／1235／2308／2323／2331／2608／SPCX（皆為觀察標的）→ R1 時這些都產了「持倉提點」卡</t>
  </si>
  <si>
    <r>
      <rPr>
        <sz val="10"/>
        <rFont val="Arial"/>
        <family val="0"/>
        <charset val="1"/>
      </rPr>
      <t xml:space="preserve">portfolio_dash/llm_insight/alerts_bridge.py:375 `for it in subscribers:`</t>
    </r>
    <r>
      <rPr>
        <sz val="10"/>
        <rFont val="Noto Sans CJK SC"/>
        <family val="2"/>
      </rPr>
      <t xml:space="preserve">（緊接 </t>
    </r>
    <r>
      <rPr>
        <sz val="10"/>
        <rFont val="Arial"/>
        <family val="0"/>
        <charset val="1"/>
      </rPr>
      <t xml:space="preserve">:368 `scope, fired_symbol = card_target(event)`</t>
    </r>
    <r>
      <rPr>
        <sz val="10"/>
        <rFont val="Noto Sans CJK SC"/>
        <family val="2"/>
      </rPr>
      <t xml:space="preserve">，中間沒有「是否持有」的判斷）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</si>
  <si>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）：預警觸發的「持倉提點」只派發持有中的標的；觀察標的的預警仍列在預警清單，但不產卡。手冊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補「僅持有中的標的會產卡」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</si>
  <si>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DEF-042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</si>
  <si>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裁定）</t>
    </r>
  </si>
  <si>
    <t xml:space="preserve">帳本「編輯」更正交易不走 validate_transaction：新增時的日期類提示（早於期初建檔日、早於帳本起點、未來日期）與賣超確認在更正時都不會出現</t>
  </si>
  <si>
    <t xml:space="preserve">交易帳本 › 交易 › 任一列「編輯」→ 把日期改到該標的期初建檔日之前 → 儲存（PUT /api/ledgers/transactions/{id}）直接成功，沒有 DEF-014 新增的提示</t>
  </si>
  <si>
    <r>
      <rPr>
        <sz val="10"/>
        <rFont val="Arial"/>
        <family val="0"/>
        <charset val="1"/>
      </rPr>
      <t xml:space="preserve">portfolio_dash/api/routers/ledgers.py:675-676 `would_be = [edited if t.id == txn_id else t for t in list_transactions(conn)]`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txs=would_be)`——</t>
    </r>
    <r>
      <rPr>
        <sz val="10"/>
        <rFont val="Noto Sans CJK SC"/>
        <family val="2"/>
      </rPr>
      <t xml:space="preserve">更正門改完直接進重播防護，從未呼叫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</t>
    </r>
    <r>
      <rPr>
        <sz val="10"/>
        <rFont val="Noto Sans CJK SC"/>
        <family val="2"/>
      </rPr>
      <t xml:space="preserve">編輯框呼叫的是「新增一筆」的預覽（把本列算兩次），</t>
    </r>
    <r>
      <rPr>
        <sz val="10"/>
        <rFont val="Arial"/>
        <family val="0"/>
        <charset val="1"/>
      </rPr>
      <t xml:space="preserve">:430 `const EDIT_ISSUE_DROP = ['sell_exceeds_holdings', 'cash_overdraft'];` </t>
    </r>
    <r>
      <rPr>
        <sz val="10"/>
        <rFont val="Noto Sans CJK SC"/>
        <family val="2"/>
      </rPr>
      <t xml:space="preserve">只好丟掉結果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</si>
  <si>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）：帳本「編輯」更正也走同一個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，警告與確認流程與新增一致。手冊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補「編輯更正同樣提示」。</t>
    </r>
    <r>
      <rPr>
        <sz val="10"/>
        <rFont val="Arial"/>
        <family val="0"/>
        <charset val="1"/>
      </rPr>
      <t xml:space="preserve">R2 J-03 </t>
    </r>
    <r>
      <rPr>
        <sz val="10"/>
        <rFont val="Noto Sans CJK SC"/>
        <family val="2"/>
      </rPr>
      <t xml:space="preserve">實測：編輯 </t>
    </r>
    <r>
      <rPr>
        <sz val="10"/>
        <rFont val="Arial"/>
        <family val="0"/>
        <charset val="1"/>
      </rPr>
      <t xml:space="preserve">#104 </t>
    </r>
    <r>
      <rPr>
        <sz val="10"/>
        <rFont val="Noto Sans CJK SC"/>
        <family val="2"/>
      </rPr>
      <t xml:space="preserve">價格 </t>
    </r>
    <r>
      <rPr>
        <sz val="10"/>
        <rFont val="Arial"/>
        <family val="0"/>
        <charset val="1"/>
      </rPr>
      <t xml:space="preserve">46→50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ack_oversell </t>
    </r>
    <r>
      <rPr>
        <sz val="10"/>
        <rFont val="Noto Sans CJK SC"/>
        <family val="2"/>
      </rPr>
      <t xml:space="preserve">參數存在但無日期類檢核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複驗通過（黑箱＋驗證者變異）。附註：依開發者自述，軟性警告只由畫面把關、伺服器只擋硬錯與賣超（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⑪，見本輪裁定）</t>
    </r>
  </si>
  <si>
    <t xml:space="preserve">DEF-043</t>
  </si>
  <si>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（附帶）</t>
    </r>
  </si>
  <si>
    <t xml:space="preserve">預警觸發（on_alert）任務的觸發節點與乾跑預檢 G1 顯示「未排程（手動）不會自動執行」並列為需注意，實際上它會在預警命中時自動執行</t>
  </si>
  <si>
    <t xml:space="preserve">洞察管線 → 「持倉提點」卡（標籤「預警觸發」）的 ① 觸發節點寫「未排程（手動） 不會自動執行」，頁首「任務狀態 3 個需注意」把它算進去；同一任務 R2 alert_scan #183 確實自動派發了 run #184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</si>
  <si>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")`——_trigger </t>
    </r>
    <r>
      <rPr>
        <sz val="10"/>
        <rFont val="Noto Sans CJK SC"/>
        <family val="2"/>
      </rPr>
      <t xml:space="preserve">只看 </t>
    </r>
    <r>
      <rPr>
        <sz val="10"/>
        <rFont val="Arial"/>
        <family val="0"/>
        <charset val="1"/>
      </rPr>
      <t xml:space="preserve">scheduled</t>
    </r>
    <r>
      <rPr>
        <sz val="10"/>
        <rFont val="Noto Sans CJK SC"/>
        <family val="2"/>
      </rPr>
      <t xml:space="preserve">，未考慮 </t>
    </r>
    <r>
      <rPr>
        <sz val="10"/>
        <rFont val="Arial"/>
        <family val="0"/>
        <charset val="1"/>
      </rPr>
      <t xml:space="preserve">scope=on_alert</t>
    </r>
  </si>
  <si>
    <t xml:space="preserve"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</si>
  <si>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t xml:space="preserve">DEF-044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</si>
  <si>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</si>
  <si>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帳戶記號縫在 5 個頁面失效：settings／insights／instruments／news／data-center 未載入 names.js，{account:id} 退化成原始 id（例：排程中心「fx_drift 帳戶 moomoo_my」）</t>
  </si>
  <si>
    <t xml:space="preserve"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</si>
  <si>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缺席時無聲退化成原始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）＋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頁只載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未載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web/data-center.html:98</t>
    </r>
  </si>
  <si>
    <t xml:space="preserve"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</si>
  <si>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</si>
  <si>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帳本報告（可列印 HTML）的帳戶欄用 API 英文名「TW Broker」「Charles Schwab」，與畫面的中文顯示名（台灣券商、嘉信 Schwab）不一致</t>
  </si>
  <si>
    <t xml:space="preserve">交易帳本 › ⎙匯出報告 → ledger-report-20260924-0259.html 各帳本表的帳戶欄為「TW Broker」「Charles Schwab」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</si>
  <si>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（名稱來自 </t>
    </r>
    <r>
      <rPr>
        <sz val="10"/>
        <rFont val="Arial"/>
        <family val="0"/>
        <charset val="1"/>
      </rPr>
      <t xml:space="preserve">:97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:282 </t>
    </r>
    <r>
      <rPr>
        <sz val="10"/>
        <rFont val="Noto Sans CJK SC"/>
        <family val="2"/>
      </rPr>
      <t xml:space="preserve">同樣的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）</t>
    </r>
  </si>
  <si>
    <t xml:space="preserve"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</si>
  <si>
    <t xml:space="preserve">DEF-046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</si>
  <si>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（資料殘留）</t>
    </r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</si>
  <si>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缺陷產生的錯誤洞察卡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，內容為模型臆測的「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交易商警示」）仍列在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</si>
  <si>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仍可看到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卡；開發者交接備註：卡片表只增不改所以保留，舊卡 </t>
    </r>
    <r>
      <rPr>
        <sz val="10"/>
        <rFont val="Arial"/>
        <family val="0"/>
        <charset val="1"/>
      </rPr>
      <t xml:space="preserve">trigger=null</t>
    </r>
  </si>
  <si>
    <t xml:space="preserve"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</si>
  <si>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）：刪除該卡（先備份，連同其評分紀錄一併處理並寫稽核紀錄）。程式已修（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結案），本項只清資料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交接把錯卡記成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，是驗證者的錯誤，已於本輪交接紀錄更正</t>
    </r>
  </si>
  <si>
    <t xml:space="preserve">DEF-047</t>
  </si>
  <si>
    <r>
      <rPr>
        <sz val="10"/>
        <rFont val="Arial"/>
        <family val="0"/>
        <charset val="1"/>
      </rPr>
      <t xml:space="preserve">C-01</t>
    </r>
    <r>
      <rPr>
        <sz val="10"/>
        <rFont val="Noto Sans CJK SC"/>
        <family val="2"/>
      </rPr>
      <t xml:space="preserve">（附帶）</t>
    </r>
  </si>
  <si>
    <t xml:space="preserve">收件匣「重新偵測」把本來就不配息的標的（TSLA：yfinance 無配息資料）算成「失敗」，整次偵測以警告色顯示「部分標的失敗」</t>
  </si>
  <si>
    <t xml:space="preserve">收件匣 › 待確認匯入 › 重新偵測 → toast「! 偵測完成（部分標的失敗）14 檔事件已更新，1 檔失敗（TSLA：yfinance 無配息資料）・待確認 7 筆」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</si>
  <si>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`if not filled:` </t>
    </r>
    <r>
      <rPr>
        <sz val="10"/>
        <rFont val="Noto Sans CJK SC"/>
        <family val="2"/>
      </rPr>
      <t xml:space="preserve">之下——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丟例外（</t>
    </r>
    <r>
      <rPr>
        <sz val="10"/>
        <rFont val="Arial"/>
        <family val="0"/>
        <charset val="1"/>
      </rPr>
      <t xml:space="preserve">:136-138</t>
    </r>
    <r>
      <rPr>
        <sz val="10"/>
        <rFont val="Noto Sans CJK SC"/>
        <family val="2"/>
      </rPr>
      <t xml:space="preserve">）與回傳空序列（</t>
    </r>
    <r>
      <rPr>
        <sz val="10"/>
        <rFont val="Arial"/>
        <family val="0"/>
        <charset val="1"/>
      </rPr>
      <t xml:space="preserve">:142 `tried.append(_failure_phrase(provider.name, None))`</t>
    </r>
    <r>
      <rPr>
        <sz val="10"/>
        <rFont val="Noto Sans CJK SC"/>
        <family val="2"/>
      </rPr>
      <t xml:space="preserve">）一律記成失敗）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</si>
  <si>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）：無配息不算失敗——「來源回應成功但沒有配息紀錄」列為正常（例如顯示「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檔無配息紀錄」），只有真正抓取失敗才算失敗並用警告色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</si>
  <si>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DEF-048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</si>
  <si>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（附帶）</t>
    </r>
  </si>
  <si>
    <t xml:space="preserve">手動交易草稿的「持股 A → B／均價」用今天的持股計算，補登過去日期時與交易日當時不符（2884 補登 2025-01-02 買 100：當時 0 股，草稿寫 100 → 200）</t>
  </si>
  <si>
    <t xml:space="preserve">交易帳本 › 手動交易 → 台灣券商 2884 買 100@30、日期 2025-01-02 → 草稿「持股 100 → 200、原始均價 93.20 → 61.70」；帳本最早紀錄 2026-01-05，當時應為 0 → 100</t>
  </si>
  <si>
    <r>
      <rPr>
        <sz val="10"/>
        <rFont val="Arial"/>
        <family val="0"/>
        <charset val="1"/>
      </rPr>
      <t xml:space="preserve">portfolio_dash/api/routers/input_center.py:829</t>
    </r>
    <r>
      <rPr>
        <sz val="10"/>
        <rFont val="Noto Sans CJK SC"/>
        <family val="2"/>
      </rPr>
      <t xml:space="preserve">（及 </t>
    </r>
    <r>
      <rPr>
        <sz val="10"/>
        <rFont val="Arial"/>
        <family val="0"/>
        <charset val="1"/>
      </rPr>
      <t xml:space="preserve">:805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:822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`**_old_position_fields(held),`——</t>
    </r>
    <r>
      <rPr>
        <sz val="10"/>
        <rFont val="Noto Sans CJK SC"/>
        <family val="2"/>
      </rPr>
      <t xml:space="preserve">草稿的「原」持股取今天的部位；</t>
    </r>
    <r>
      <rPr>
        <sz val="10"/>
        <rFont val="Arial"/>
        <family val="0"/>
        <charset val="1"/>
      </rPr>
      <t xml:space="preserve">:729 `final = next((h for h in after.holdings if (h.account_id, h.symbol) == key), None)`——</t>
    </r>
    <r>
      <rPr>
        <sz val="10"/>
        <rFont val="Noto Sans CJK SC"/>
        <family val="2"/>
      </rPr>
      <t xml:space="preserve">「新」取整本帳終點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</si>
  <si>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）：改用交易日持股——草稿依帳本重播到交易日，顯示當時的持股與均價，與寫入後的結果一致。寫入後帳本以日期重播，數字本來就正確，只有預覽會誤導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</si>
  <si>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DEF-049</t>
  </si>
  <si>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（附帶）</t>
    </r>
  </si>
  <si>
    <t xml:space="preserve">匯入批次「復原」繞過重播防護與稽核：批次列被刪後，之後的賣出變成賣超（成本基礎被捨棄），過程不確認、不寫 ledger_audit；帳本逐筆刪除同一列則會 422 並要求確認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</si>
  <si>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）→ 手動賣出 </t>
    </r>
    <r>
      <rPr>
        <sz val="10"/>
        <rFont val="Arial"/>
        <family val="0"/>
        <charset val="1"/>
      </rPr>
      <t xml:space="preserve">2884 150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，持股 </t>
    </r>
    <r>
      <rPr>
        <sz val="10"/>
        <rFont val="Arial"/>
        <family val="0"/>
        <charset val="1"/>
      </rPr>
      <t xml:space="preserve">200→50</t>
    </r>
    <r>
      <rPr>
        <sz val="10"/>
        <rFont val="Noto Sans CJK SC"/>
        <family val="2"/>
      </rPr>
      <t xml:space="preserve">）→ 按批次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「復原」：框內無任何賣超警示，</t>
    </r>
    <r>
      <rPr>
        <sz val="10"/>
        <rFont val="Arial"/>
        <family val="0"/>
        <charset val="1"/>
      </rPr>
      <t xml:space="preserve">DELETE /api/import/batches/15 200 {deleted:1} → </t>
    </r>
    <r>
      <rPr>
        <sz val="10"/>
        <rFont val="Noto Sans CJK SC"/>
        <family val="2"/>
      </rPr>
      <t xml:space="preserve">儀表板 </t>
    </r>
    <r>
      <rPr>
        <sz val="10"/>
        <rFont val="Arial"/>
        <family val="0"/>
        <charset val="1"/>
      </rPr>
      <t xml:space="preserve">2884 shares −50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adjusted_cost_total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、「帳本中有賣超部位待釐清」。對照：從交易帳本刪同一筆買進 → </t>
    </r>
    <r>
      <rPr>
        <sz val="10"/>
        <rFont val="Arial"/>
        <family val="0"/>
        <charset val="1"/>
      </rPr>
      <t xml:space="preserve">DELETE /api/ledgers/transactions/109 422 oversell</t>
    </r>
    <r>
      <rPr>
        <sz val="10"/>
        <rFont val="Noto Sans CJK SC"/>
        <family val="2"/>
      </rPr>
      <t xml:space="preserve">＋「賣超確認」框</t>
    </r>
  </si>
  <si>
    <r>
      <rPr>
        <sz val="10"/>
        <rFont val="Arial"/>
        <family val="0"/>
        <charset val="1"/>
      </rPr>
      <t xml:space="preserve">portfolio_dash/data_ingestion/provenance.py:296 `f"DELETE FROM {table} WHERE import_batch_id=?",  # noqa: S608 - fixed map`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:294 </t>
    </r>
    <r>
      <rPr>
        <sz val="10"/>
        <rFont val="Noto Sans CJK SC"/>
        <family val="2"/>
      </rPr>
      <t xml:space="preserve">迴圈）——批次復原對交易／股利／換匯／資金四表直接按批次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整批刪除，不重播（看不出孤兒或賣超）、不寫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api/routers/input_center.py:1718 `removed = delete_batch(conn, batch_id, delete_actions=_delete_event)`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 `const r = await api.del('/api/import/batches/' + b.id);`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一律顯示失敗、無確認重送）。同類：</t>
    </r>
    <r>
      <rPr>
        <sz val="10"/>
        <rFont val="Arial"/>
        <family val="0"/>
        <charset val="1"/>
      </rPr>
      <t xml:space="preserve">api/routers/ledgers.py:2345 `outcome = _delete_actions(conn, [existing],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 `outcome = _delete_actions(conn, rows,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 `update_corporate_action(`</t>
    </r>
    <r>
      <rPr>
        <sz val="10"/>
        <rFont val="Noto Sans CJK SC"/>
        <family val="2"/>
      </rPr>
      <t xml:space="preserve">（公司行動單筆刪、整組刪、更正三道門同樣未跑重播防護）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</si>
  <si>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）：本輪規劃規格與實作計畫，交開發者。根因：</t>
    </r>
    <r>
      <rPr>
        <sz val="10"/>
        <rFont val="Arial"/>
        <family val="0"/>
        <charset val="1"/>
      </rPr>
      <t xml:space="preserve">input_center.py:1675 import_batch_delete → provenance.delete_batch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provenance.py:294-297</t>
    </r>
    <r>
      <rPr>
        <sz val="10"/>
        <rFont val="Noto Sans CJK SC"/>
        <family val="2"/>
      </rPr>
      <t xml:space="preserve">）直接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，未經 </t>
    </r>
    <r>
      <rPr>
        <sz val="10"/>
        <rFont val="Arial"/>
        <family val="0"/>
        <charset val="1"/>
      </rPr>
      <t xml:space="preserve">ledgers._replay_guard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store._write_audit</t>
    </r>
    <r>
      <rPr>
        <sz val="10"/>
        <rFont val="Noto Sans CJK SC"/>
        <family val="2"/>
      </rPr>
      <t xml:space="preserve">。規格與實作計畫見 </t>
    </r>
    <r>
      <rPr>
        <sz val="10"/>
        <rFont val="Arial"/>
        <family val="0"/>
        <charset val="1"/>
      </rPr>
      <t xml:space="preserve">docs/audit/2026-09-24-r3-dev-specs.md §2
R4 </t>
    </r>
    <r>
      <rPr>
        <sz val="10"/>
        <rFont val="Noto Sans CJK SC"/>
        <family val="2"/>
      </rPr>
      <t xml:space="preserve">複驗通過（黑箱＋驗證者變異）。附註：驗證開發者決策項 ①：補登「新增」公司行動仍不問——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反向分割 </t>
    </r>
    <r>
      <rPr>
        <sz val="10"/>
        <rFont val="Arial"/>
        <family val="0"/>
        <charset val="1"/>
      </rPr>
      <t xml:space="preserve">10→1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2026-07-10</t>
    </r>
    <r>
      <rPr>
        <sz val="10"/>
        <rFont val="Noto Sans CJK SC"/>
        <family val="2"/>
      </rPr>
      <t xml:space="preserve">，早於既有 </t>
    </r>
    <r>
      <rPr>
        <sz val="10"/>
        <rFont val="Arial"/>
        <family val="0"/>
        <charset val="1"/>
      </rPr>
      <t xml:space="preserve">07-19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股）→ 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、無任何確認框，儀表板 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、「帳本中有賣超部位待釐清」，試算區還顯示「✓ 成本不變 </t>
    </r>
    <r>
      <rPr>
        <sz val="10"/>
        <rFont val="Arial"/>
        <family val="0"/>
        <charset val="1"/>
      </rPr>
      <t xml:space="preserve">0 → 0</t>
    </r>
    <r>
      <rPr>
        <sz val="10"/>
        <rFont val="Noto Sans CJK SC"/>
        <family val="2"/>
      </rPr>
      <t xml:space="preserve">」、行動後 −</t>
    </r>
    <r>
      <rPr>
        <sz val="10"/>
        <rFont val="Arial"/>
        <family val="0"/>
        <charset val="1"/>
      </rPr>
      <t xml:space="preserve">900 </t>
    </r>
    <r>
      <rPr>
        <sz val="10"/>
        <rFont val="Noto Sans CJK SC"/>
        <family val="2"/>
      </rPr>
      <t xml:space="preserve">股卻無警告；已刪除還原（</t>
    </r>
    <r>
      <rPr>
        <sz val="10"/>
        <rFont val="Arial"/>
        <family val="0"/>
        <charset val="1"/>
      </rPr>
      <t xml:space="preserve">prices_restated 1168 </t>
    </r>
    <r>
      <rPr>
        <sz val="10"/>
        <rFont val="Noto Sans CJK SC"/>
        <family val="2"/>
      </rPr>
      <t xml:space="preserve">往返，</t>
    </r>
    <r>
      <rPr>
        <sz val="10"/>
        <rFont val="Arial"/>
        <family val="0"/>
        <charset val="1"/>
      </rPr>
      <t xml:space="preserve">cmp same:true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①：維持現狀，不開單；② 現金檢查兩種口徑：維持</t>
    </r>
  </si>
  <si>
    <t xml:space="preserve">DEF-050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</si>
  <si>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A-16</t>
    </r>
  </si>
  <si>
    <t xml:space="preserve">收件匣「待確認退款」標題下的副標題在 390px 以 nowrap＋ellipsis 截斷，截掉 DEF-011 新增的關鍵句「不改變持倉成本與資產損益，但會計入 XIRR 與含匯兌總損益」</t>
  </si>
  <si>
    <t xml:space="preserve">視窗 390×844 → 收件匣 → 待確認退款（折讓款）副標題：scrollWidth 849、clientWidth 349，句尾被省略號截掉（卡片內文與頁尾仍完整）</t>
  </si>
  <si>
    <r>
      <rPr>
        <sz val="10"/>
        <rFont val="Arial"/>
        <family val="0"/>
        <charset val="1"/>
      </rPr>
      <t xml:space="preserve">web/styles.css:1942-1945 `.panel-head .panel-sub, .input-toggle .panel-sub, .set-head .panel-sub { white-space: nowrap; }`</t>
    </r>
    <r>
      <rPr>
        <sz val="10"/>
        <rFont val="Noto Sans CJK SC"/>
        <family val="2"/>
      </rPr>
      <t xml:space="preserve">（配 </t>
    </r>
    <r>
      <rPr>
        <sz val="10"/>
        <rFont val="Arial"/>
        <family val="0"/>
        <charset val="1"/>
      </rPr>
      <t xml:space="preserve">`.panel-sub { overflow: hidden; text-overflow: ellipsis }`</t>
    </r>
    <r>
      <rPr>
        <sz val="10"/>
        <rFont val="Noto Sans CJK SC"/>
        <family val="2"/>
      </rPr>
      <t xml:space="preserve">）</t>
    </r>
  </si>
  <si>
    <t xml:space="preserve">驗證者 R2 觀察，owner 指示本輪開單附規格。定位：web/styles.css:1942 `.panel-head .panel-sub { white-space: nowrap; }`。規格見 docs/audit/2026-09-24-r3-dev-specs.md §3
R4 複驗通過（黑箱＋驗證者變異）</t>
  </si>
  <si>
    <t xml:space="preserve">DEF-051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</si>
  <si>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（附帶）</t>
    </r>
  </si>
  <si>
    <t xml:space="preserve">排程中心「立即執行」的 toast 顯示機器 id（「已排入執行 insight:7 #180」「alert_scan #185」），不是列上已顯示的名稱</t>
  </si>
  <si>
    <t xml:space="preserve">系統設定 › 排程中心 → 市場週報列「立即執行」→ toast「✓ 已排入執行 insight:7 #180」；alert_scan 列 → 「✓ 已排入執行 alert_scan #185」</t>
  </si>
  <si>
    <r>
      <rPr>
        <sz val="10"/>
        <rFont val="Arial"/>
        <family val="0"/>
        <charset val="1"/>
      </rPr>
      <t xml:space="preserve">web/settings-scheduler.js:548 `_toast('</t>
    </r>
    <r>
      <rPr>
        <sz val="10"/>
        <rFont val="Noto Sans CJK SC"/>
        <family val="2"/>
      </rPr>
      <t xml:space="preserve">已排入執行</t>
    </r>
    <r>
      <rPr>
        <sz val="10"/>
        <rFont val="Arial"/>
        <family val="0"/>
        <charset val="1"/>
      </rPr>
      <t xml:space="preserve">', 'ok', j.id + ' #' + ((resp &amp;&amp; resp.run_id) || '?'));`</t>
    </r>
  </si>
  <si>
    <t xml:space="preserve"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</si>
  <si>
    <t xml:space="preserve">DEF-052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</si>
  <si>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（附帶）</t>
    </r>
  </si>
  <si>
    <t xml:space="preserve">公司行動帳本列不顯示該筆連帶的重組費用，只有刪除確認框與編輯框看得到</t>
  </si>
  <si>
    <t xml:space="preserve">公司行動 › 補登 2884 分割 1→2＋重組費用 50 → 帳本列「2026-09-24 台灣券商 分割 2884 玉山金控 — 每 1 股 → 2 股 —」，無費用；API 列有 reorg_fee</t>
  </si>
  <si>
    <r>
      <rPr>
        <sz val="10"/>
        <rFont val="Arial"/>
        <family val="0"/>
        <charset val="1"/>
      </rPr>
      <t xml:space="preserve">web/ledger.js:1119 `tr.appendChild(el('td', 'col-text', a.note || ''));`——renderActions </t>
    </r>
    <r>
      <rPr>
        <sz val="10"/>
        <rFont val="Noto Sans CJK SC"/>
        <family val="2"/>
      </rPr>
      <t xml:space="preserve">從未讀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:1005 </t>
    </r>
    <r>
      <rPr>
        <sz val="10"/>
        <rFont val="Noto Sans CJK SC"/>
        <family val="2"/>
      </rPr>
      <t xml:space="preserve">刪除框讀）；</t>
    </r>
    <r>
      <rPr>
        <sz val="10"/>
        <rFont val="Arial"/>
        <family val="0"/>
        <charset val="1"/>
      </rPr>
      <t xml:space="preserve">portfolio_dash/export/ledgers_report.py:372 `f'&lt;td class="l"&gt;{_esc(a.note or "")}&lt;/td&gt;'`</t>
    </r>
    <r>
      <rPr>
        <sz val="10"/>
        <rFont val="Noto Sans CJK SC"/>
        <family val="2"/>
      </rPr>
      <t xml:space="preserve">（公司行動表無費用欄），</t>
    </r>
    <r>
      <rPr>
        <sz val="10"/>
        <rFont val="Arial"/>
        <family val="0"/>
        <charset val="1"/>
      </rPr>
      <t xml:space="preserve">:384 </t>
    </r>
    <r>
      <rPr>
        <sz val="10"/>
        <rFont val="Noto Sans CJK SC"/>
        <family val="2"/>
      </rPr>
      <t xml:space="preserve">註腳「公司行動不移動現金，故本節無金額合計。」</t>
    </r>
  </si>
  <si>
    <t xml:space="preserve">驗證者 R2 觀察，owner 指示本輪開單附規格。定位：web/ledger.js:1079 renderActions 未讀 a.reorg_fee（:1005 只在刪除框用）。規格見 docs/audit/2026-09-24-r3-dev-specs.md §5
R4 複驗通過（黑箱＋驗證者變異）</t>
  </si>
  <si>
    <t xml:space="preserve">DEF-053</t>
  </si>
  <si>
    <t xml:space="preserve">新增洞察任務精靈建立預警觸發任務時，toast 直接顯示識別字「on_alert」（「：on_alert 任務預設停用，確認監聽規則後再啟用」）</t>
  </si>
  <si>
    <t xml:space="preserve">洞察管線 › 新增洞察任務 → 觸發選「預警觸發」→ 建立 → toast 副行含「on_alert」</t>
  </si>
  <si>
    <r>
      <rPr>
        <sz val="10"/>
        <rFont val="Arial"/>
        <family val="0"/>
        <charset val="1"/>
      </rPr>
      <t xml:space="preserve">web/pipeline-wizard.js:374 `payload.name + (payload.enabled ? '' : '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任務預設停用，確認監聽規則後再啟用</t>
    </r>
    <r>
      <rPr>
        <sz val="10"/>
        <rFont val="Arial"/>
        <family val="0"/>
        <charset val="1"/>
      </rPr>
      <t xml:space="preserve">'));`</t>
    </r>
  </si>
  <si>
    <t xml:space="preserve"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</si>
  <si>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DEF-054</t>
  </si>
  <si>
    <t xml:space="preserve">與 DEF-046 同根因的錯卡 #97（symbol＝moomoo_my、2026-08-23「moomoo.com 交易暫停」）仍在持倉健診</t>
  </si>
  <si>
    <t xml:space="preserve">讀 /api/insights 全部卡片：symbol 含 moomoo 的只剩 #97</t>
  </si>
  <si>
    <t xml:space="preserve"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</si>
  <si>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）：刪除。用 </t>
    </r>
    <r>
      <rPr>
        <sz val="10"/>
        <rFont val="Arial"/>
        <family val="0"/>
        <charset val="1"/>
      </rPr>
      <t xml:space="preserve">scripts/delete_insight_cards.py --id 97</t>
    </r>
    <r>
      <rPr>
        <sz val="10"/>
        <rFont val="Noto Sans CJK SC"/>
        <family val="2"/>
      </rPr>
      <t xml:space="preserve">（先備份、稽核）。規格見 </t>
    </r>
    <r>
      <rPr>
        <sz val="10"/>
        <rFont val="Arial"/>
        <family val="0"/>
        <charset val="1"/>
      </rPr>
      <t xml:space="preserve">docs/audit/2026-09-24-r3-dev-specs.md §7
R4 </t>
    </r>
    <r>
      <rPr>
        <sz val="10"/>
        <rFont val="Noto Sans CJK SC"/>
        <family val="2"/>
      </rPr>
      <t xml:space="preserve">複驗通過（黑箱＋驗證者變異）</t>
    </r>
  </si>
  <si>
    <t xml:space="preserve">DEF-055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</si>
  <si>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</si>
  <si>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的費率快照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）未清理；另編輯已清理交易時，預覽回應仍以 </t>
    </r>
    <r>
      <rPr>
        <sz val="10"/>
        <rFont val="Arial"/>
        <family val="0"/>
        <charset val="1"/>
      </rPr>
      <t xml:space="preserve">fee×0.77 </t>
    </r>
    <r>
      <rPr>
        <sz val="10"/>
        <rFont val="Noto Sans CJK SC"/>
        <family val="2"/>
      </rPr>
      <t xml:space="preserve">給出 </t>
    </r>
    <r>
      <rPr>
        <sz val="10"/>
        <rFont val="Arial"/>
        <family val="0"/>
        <charset val="1"/>
      </rPr>
      <t xml:space="preserve">rebate_estimate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#29 → 219</t>
    </r>
    <r>
      <rPr>
        <sz val="10"/>
        <rFont val="Noto Sans CJK SC"/>
        <family val="2"/>
      </rPr>
      <t xml:space="preserve">）</t>
    </r>
  </si>
  <si>
    <t xml:space="preserve">交易帳本 API：#33、#44 snapshot discount 0.23／rebate_rate 0.77；編輯 #29 開框 → POST /api/input/manual/preview（replaces_txn_id 29、fee_override 285）回 rebate_estimate "219"（畫面未顯示）</t>
  </si>
  <si>
    <r>
      <rPr>
        <sz val="10"/>
        <rFont val="Arial"/>
        <family val="0"/>
        <charset val="1"/>
      </rPr>
      <t xml:space="preserve">portfolio_dash/api/routers/input_center.py:957-958 `decimal_str(forecast_tw_rebate(draft.fee, rule.rebate_rate, discount=rule.discount))` / `if rule is not None and rule.rebate_rate &gt; _ZERO and rebate_applies(rule.discount)`——</t>
    </r>
    <r>
      <rPr>
        <sz val="10"/>
        <rFont val="Noto Sans CJK SC"/>
        <family val="2"/>
      </rPr>
      <t xml:space="preserve">預覽帶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＋原費用時，這筆費用依被取代列快照的折扣收取，預覽卻讀今天的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；資料面：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2026-01-10 3008 </t>
    </r>
    <r>
      <rPr>
        <sz val="10"/>
        <rFont val="Noto Sans CJK SC"/>
        <family val="2"/>
      </rPr>
      <t xml:space="preserve">買，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--scope uncredited </t>
    </r>
    <r>
      <rPr>
        <sz val="10"/>
        <rFont val="Noto Sans CJK SC"/>
        <family val="2"/>
      </rPr>
      <t xml:space="preserve">清理時因該月已入帳而未選到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</si>
  <si>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一併清理（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，先備份、稽核）；預覽帶 </t>
    </r>
    <r>
      <rPr>
        <sz val="10"/>
        <rFont val="Arial"/>
        <family val="0"/>
        <charset val="1"/>
      </rPr>
      <t xml:space="preserve">replaces_txn_id </t>
    </r>
    <r>
      <rPr>
        <sz val="10"/>
        <rFont val="Noto Sans CJK SC"/>
        <family val="2"/>
      </rPr>
      <t xml:space="preserve">時改以原列快照判斷。規格見 </t>
    </r>
    <r>
      <rPr>
        <sz val="10"/>
        <rFont val="Arial"/>
        <family val="0"/>
        <charset val="1"/>
      </rPr>
      <t xml:space="preserve">docs/audit/2026-09-24-r3-dev-specs.md §8
R4 </t>
    </r>
    <r>
      <rPr>
        <sz val="10"/>
        <rFont val="Noto Sans CJK SC"/>
        <family val="2"/>
      </rPr>
      <t xml:space="preserve">複驗通過（黑箱＋驗證者變異）</t>
    </r>
  </si>
  <si>
    <t xml:space="preserve">DEF-056</t>
  </si>
  <si>
    <t xml:space="preserve">未來日期的交易／期初庫存／換匯會立即計入持股與 XIRR（只有股利依 DEF-016 到入帳日才計入）；各帳本列也沒有「未來日期」標示</t>
  </si>
  <si>
    <t xml:space="preserve">開發者 R3 決策項 ③：LedgerBundle.received_by 只切股利（shared/models/ledger.py:178 docstring 註明交易未切）。驗證者 DEF-016 複驗時另見：未來股利寫入後帳本列無任何「入帳日前不計入」標示</t>
  </si>
  <si>
    <r>
      <rPr>
        <sz val="10"/>
        <rFont val="Arial"/>
        <family val="0"/>
        <charset val="1"/>
      </rPr>
      <t xml:space="preserve">portfolio_dash/shared/models/ledger.py:200 `self, dividends=[d for d in self.dividends if d.effective_date &lt;= day])`——</t>
    </r>
    <r>
      <rPr>
        <sz val="10"/>
        <rFont val="Noto Sans CJK SC"/>
        <family val="2"/>
      </rPr>
      <t xml:space="preserve">估值切點只切股利；</t>
    </r>
    <r>
      <rPr>
        <sz val="10"/>
        <rFont val="Arial"/>
        <family val="0"/>
        <charset val="1"/>
      </rPr>
      <t xml:space="preserve">portfolio/dashboard.py:473 `cash_movements = list_cash_movements(conn)`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:467 `for s in list_fx_conversions(conn)`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現金流、交易與融資成本、換匯未切）；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（稅務包換匯與收支未切）；</t>
    </r>
    <r>
      <rPr>
        <sz val="10"/>
        <rFont val="Arial"/>
        <family val="0"/>
        <charset val="1"/>
      </rPr>
      <t xml:space="preserve">api/routers/input_center.py:334 `shares = current_shares(conn, account, sym)`</t>
    </r>
    <r>
      <rPr>
        <sz val="10"/>
        <rFont val="Noto Sans CJK SC"/>
        <family val="2"/>
      </rPr>
      <t xml:space="preserve">（賣出提示取所有日期淨股數）；</t>
    </r>
    <r>
      <rPr>
        <sz val="10"/>
        <rFont val="Arial"/>
        <family val="0"/>
        <charset val="1"/>
      </rPr>
      <t xml:space="preserve">api/routers/symbol.py:283 `return current_shares(conn, account_id, symbol, index=index) - shares_naive(…, None)`</t>
    </r>
    <r>
      <rPr>
        <sz val="10"/>
        <rFont val="Noto Sans CJK SC"/>
        <family val="2"/>
      </rPr>
      <t xml:space="preserve">（抽屜整本帳）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複驗未過根因：</t>
    </r>
    <r>
      <rPr>
        <sz val="10"/>
        <rFont val="Arial"/>
        <family val="0"/>
        <charset val="1"/>
      </rPr>
      <t xml:space="preserve">web/cash.js:405 `tr.appendChild(el('td', 'num', f.date(r.date)));`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）——現金收支明細逐列只讀日期，從未讀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已送的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；表頭（</t>
    </r>
    <r>
      <rPr>
        <sz val="10"/>
        <rFont val="Arial"/>
        <family val="0"/>
        <charset val="1"/>
      </rPr>
      <t xml:space="preserve">:395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resp.current_balance</t>
    </r>
    <r>
      <rPr>
        <sz val="10"/>
        <rFont val="Noto Sans CJK SC"/>
        <family val="2"/>
      </rPr>
      <t xml:space="preserve">（今天的餘額），而明細 </t>
    </r>
    <r>
      <rPr>
        <sz val="10"/>
        <rFont val="Arial"/>
        <family val="0"/>
        <charset val="1"/>
      </rPr>
      <t xml:space="preserve">newest-first</t>
    </r>
    <r>
      <rPr>
        <sz val="10"/>
        <rFont val="Noto Sans CJK SC"/>
        <family val="2"/>
      </rPr>
      <t xml:space="preserve">，未來列正好排在表頭正下方，第一列的餘額（</t>
    </r>
    <r>
      <rPr>
        <sz val="10"/>
        <rFont val="Arial"/>
        <family val="0"/>
        <charset val="1"/>
      </rPr>
      <t xml:space="preserve">:416</t>
    </r>
    <r>
      <rPr>
        <sz val="10"/>
        <rFont val="Noto Sans CJK SC"/>
        <family val="2"/>
      </rPr>
      <t xml:space="preserve">）其實是投影。同類漏網第二處：</t>
    </r>
    <r>
      <rPr>
        <sz val="10"/>
        <rFont val="Arial"/>
        <family val="0"/>
        <charset val="1"/>
      </rPr>
      <t xml:space="preserve">portfolio_dash/api/routers/symbol.py:593 dividend_events</t>
    </r>
    <r>
      <rPr>
        <sz val="10"/>
        <rFont val="Noto Sans CJK SC"/>
        <family val="2"/>
      </rPr>
      <t xml:space="preserve">（個股抽屜「配息史」）列出每一筆股利，未來入帳的股利沒有任何旗標，</t>
    </r>
    <r>
      <rPr>
        <sz val="10"/>
        <rFont val="Arial"/>
        <family val="0"/>
        <charset val="1"/>
      </rPr>
      <t xml:space="preserve">web/detail.js:983 </t>
    </r>
    <r>
      <rPr>
        <sz val="10"/>
        <rFont val="Noto Sans CJK SC"/>
        <family val="2"/>
      </rPr>
      <t xml:space="preserve">也只印日期。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的標示守門是手挑的表格清單（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個帳本分頁＋資金頁兩個列表），清單外的表格不會被檢查</t>
    </r>
  </si>
  <si>
    <t xml:space="preserve">R5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</si>
  <si>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）：一律依估值日切（選項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）——交易、期初、換匯與股利相同，到該日才計入持股、總報酬與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；帳本列加「未來日期：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需補此期望（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同步）。規格見 </t>
    </r>
    <r>
      <rPr>
        <sz val="10"/>
        <rFont val="Arial"/>
        <family val="0"/>
        <charset val="1"/>
      </rPr>
      <t xml:space="preserve">docs/audit/2026-09-24-r3-dev-specs.md §9
R4 </t>
    </r>
    <r>
      <rPr>
        <sz val="10"/>
        <rFont val="Noto Sans CJK SC"/>
        <family val="2"/>
      </rPr>
      <t xml:space="preserve">部分通過：修法：</t>
    </r>
    <r>
      <rPr>
        <sz val="10"/>
        <rFont val="Arial"/>
        <family val="0"/>
        <charset val="1"/>
      </rPr>
      <t xml:space="preserve">cash.js </t>
    </r>
    <r>
      <rPr>
        <sz val="10"/>
        <rFont val="Noto Sans CJK SC"/>
        <family val="2"/>
      </rPr>
      <t xml:space="preserve">的現金收支明細讀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，比照列印報告在第一筆未來列前加分隔說明「以下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筆為未來日期（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之後），不計入目前餘額；其餘額欄為投影」，未來列加「未來日期：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起計入」標示；同類掃描所有以 </t>
    </r>
    <r>
      <rPr>
        <sz val="10"/>
        <rFont val="Arial"/>
        <family val="0"/>
        <charset val="1"/>
      </rPr>
      <t xml:space="preserve">/api/cash/statement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counts_from </t>
    </r>
    <r>
      <rPr>
        <sz val="10"/>
        <rFont val="Noto Sans CJK SC"/>
        <family val="2"/>
      </rPr>
      <t xml:space="preserve">渲染的畫面（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③：六類都依日期切、個股抽屜不列未來列，掃描結果註明即可）。補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：寫一筆未來費用後，明細中該列有標示且分隔說明存在；變異（不讀 </t>
    </r>
    <r>
      <rPr>
        <sz val="10"/>
        <rFont val="Arial"/>
        <family val="0"/>
        <charset val="1"/>
      </rPr>
      <t xml:space="preserve">future</t>
    </r>
    <r>
      <rPr>
        <sz val="10"/>
        <rFont val="Noto Sans CJK SC"/>
        <family val="2"/>
      </rPr>
      <t xml:space="preserve">）→ 失敗（規格見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複驗通過（黑箱＋驗證者變異）。附註：觀察：寫入未來股利期間收件匣由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變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（該筆被視為已記入），刪除後回到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，行為一致</t>
    </r>
  </si>
  <si>
    <t xml:space="preserve">DEF-057</t>
  </si>
  <si>
    <r>
      <rPr>
        <sz val="10"/>
        <rFont val="Arial"/>
        <family val="0"/>
        <charset val="1"/>
      </rPr>
      <t xml:space="preserve">H-03</t>
    </r>
    <r>
      <rPr>
        <sz val="10"/>
        <rFont val="Noto Sans CJK SC"/>
        <family val="2"/>
      </rPr>
      <t xml:space="preserve">（附帶）</t>
    </r>
  </si>
  <si>
    <t xml:space="preserve">系統提示詞與新聞整理提示詞沒有版本記錄（策略提示詞已依 DEF-033 做完整版本）</t>
  </si>
  <si>
    <t xml:space="preserve">開發者 R3 決策項 ④；PUT /api/system-prompt、POST /api/system-prompt/reset、PUT /api/news-prompt 皆直接覆寫</t>
  </si>
  <si>
    <r>
      <rPr>
        <sz val="10"/>
        <rFont val="Arial"/>
        <family val="0"/>
        <charset val="1"/>
      </rPr>
      <t xml:space="preserve">portfolio_dash/llm_insight/system_prompt.py:68 `"ON CONFLICT(id) DO UPDATE SET body = excluded.body, updated_at = excluded.updated_at",`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set_system_prompt :62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portfolio_dash/news/organizer_prompt.py:83 </t>
    </r>
    <r>
      <rPr>
        <sz val="10"/>
        <rFont val="Noto Sans CJK SC"/>
        <family val="2"/>
      </rPr>
      <t xml:space="preserve">同句（</t>
    </r>
    <r>
      <rPr>
        <sz val="10"/>
        <rFont val="Arial"/>
        <family val="0"/>
        <charset val="1"/>
      </rPr>
      <t xml:space="preserve">set_news_prompt :77</t>
    </r>
    <r>
      <rPr>
        <sz val="10"/>
        <rFont val="Noto Sans CJK SC"/>
        <family val="2"/>
      </rPr>
      <t xml:space="preserve">）——兩個提示詞都直接覆寫單列設定、不留歷史；呼叫端 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</si>
  <si>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）：系統提示詞與新聞整理提示詞比照 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做版本記錄（任務自評提示詞不做）。規格見 </t>
    </r>
    <r>
      <rPr>
        <sz val="10"/>
        <rFont val="Arial"/>
        <family val="0"/>
        <charset val="1"/>
      </rPr>
      <t xml:space="preserve">docs/audit/2026-09-24-r3-dev-specs.md §10
R4 </t>
    </r>
    <r>
      <rPr>
        <sz val="10"/>
        <rFont val="Noto Sans CJK SC"/>
        <family val="2"/>
      </rPr>
      <t xml:space="preserve">複驗通過（黑箱＋驗證者變異）。附註：不可回復的痕跡：兩則提示詞的版本記錄各多出測試版本（系統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；新聞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updated_at </t>
    </r>
    <r>
      <rPr>
        <sz val="10"/>
        <rFont val="Noto Sans CJK SC"/>
        <family val="2"/>
      </rPr>
      <t xml:space="preserve">變為 </t>
    </r>
    <r>
      <rPr>
        <sz val="10"/>
        <rFont val="Arial"/>
        <family val="0"/>
        <charset val="1"/>
      </rPr>
      <t xml:space="preserve">2026-09-25 07:18</t>
    </r>
    <r>
      <rPr>
        <sz val="10"/>
        <rFont val="Noto Sans CJK SC"/>
        <family val="2"/>
      </rPr>
      <t xml:space="preserve">，屬設計上保留的歷史。新聞彈窗「整理提示詞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」未黑箱：部署後新聞管線尚未執行（前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），需等下一次新聞整理。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⑧：重置不另存版本、策略歷史獨立表，兩項維持
</t>
    </r>
    <r>
      <rPr>
        <sz val="10"/>
        <rFont val="Arial"/>
        <family val="0"/>
        <charset val="1"/>
      </rPr>
      <t xml:space="preserve">2026-10-01 </t>
    </r>
    <r>
      <rPr>
        <sz val="10"/>
        <rFont val="Noto Sans CJK SC"/>
        <family val="2"/>
      </rPr>
      <t xml:space="preserve">補驗（結案後，依 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題；唯讀、不改程式、不另開一輪）——新聞彈窗「整理提示詞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」通過：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web/news.js </t>
    </r>
    <r>
      <rPr>
        <sz val="10"/>
        <rFont val="Noto Sans CJK SC"/>
        <family val="2"/>
      </rPr>
      <t xml:space="preserve">自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未改動（</t>
    </r>
    <r>
      <rPr>
        <sz val="10"/>
        <rFont val="Arial"/>
        <family val="0"/>
        <charset val="1"/>
      </rPr>
      <t xml:space="preserve">git </t>
    </r>
    <r>
      <rPr>
        <sz val="10"/>
        <rFont val="Noto Sans CJK SC"/>
        <family val="2"/>
      </rPr>
      <t xml:space="preserve">比對））：新聞庫 </t>
    </r>
    <r>
      <rPr>
        <sz val="10"/>
        <rFont val="Arial"/>
        <family val="0"/>
        <charset val="1"/>
      </rPr>
      <t xml:space="preserve">70 </t>
    </r>
    <r>
      <rPr>
        <sz val="10"/>
        <rFont val="Noto Sans CJK SC"/>
        <family val="2"/>
      </rPr>
      <t xml:space="preserve">則中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有值者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則，皆為 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開發者手動新聞整理 </t>
    </r>
    <r>
      <rPr>
        <sz val="10"/>
        <rFont val="Arial"/>
        <family val="0"/>
        <charset val="1"/>
      </rPr>
      <t xml:space="preserve">#244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2026-09-30 10:49</t>
    </r>
    <r>
      <rPr>
        <sz val="10"/>
        <rFont val="Noto Sans CJK SC"/>
        <family val="2"/>
      </rPr>
      <t xml:space="preserve">，「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檔標的：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整理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則」）產生，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則的花費與 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news_organize </t>
    </r>
    <r>
      <rPr>
        <sz val="10"/>
        <rFont val="Noto Sans CJK SC"/>
        <family val="2"/>
      </rPr>
      <t xml:space="preserve">用量逐筆相同；逐則開彈窗，頁尾皆顯示「整理提示詞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」（例「玉山金併購三商美邦人壽後獲利展望樂觀…」：</t>
    </r>
    <r>
      <rPr>
        <sz val="10"/>
        <rFont val="Arial"/>
        <family val="0"/>
        <charset val="1"/>
      </rPr>
      <t xml:space="preserve">gemini-2.5-flash-lite · token 1,319 · $0.0002 </t>
    </r>
    <r>
      <rPr>
        <sz val="10"/>
        <rFont val="Noto Sans CJK SC"/>
        <family val="2"/>
      </rPr>
      <t xml:space="preserve">整理提示詞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），滑鼠提示「此則摘要以新聞整理提示詞 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產生…」，連結到 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提示詞（</t>
    </r>
    <r>
      <rPr>
        <sz val="10"/>
        <rFont val="Arial"/>
        <family val="0"/>
        <charset val="1"/>
      </rPr>
      <t xml:space="preserve">settings.html#prompts/news-prompt</t>
    </r>
    <r>
      <rPr>
        <sz val="10"/>
        <rFont val="Noto Sans CJK SC"/>
        <family val="2"/>
      </rPr>
      <t xml:space="preserve">），該處「新聞整理提示詞 已自訂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」、版本記錄「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2026-09-25 07:18 </t>
    </r>
    <r>
      <rPr>
        <sz val="10"/>
        <rFont val="Noto Sans CJK SC"/>
        <family val="2"/>
      </rPr>
      <t xml:space="preserve">回復（回復自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）」，與 </t>
    </r>
    <r>
      <rPr>
        <sz val="10"/>
        <rFont val="Arial"/>
        <family val="0"/>
        <charset val="1"/>
      </rPr>
      <t xml:space="preserve">/api/news-prompt current_version 4 </t>
    </r>
    <r>
      <rPr>
        <sz val="10"/>
        <rFont val="Noto Sans CJK SC"/>
        <family val="2"/>
      </rPr>
      <t xml:space="preserve">一致。沒有版本的 </t>
    </r>
    <r>
      <rPr>
        <sz val="10"/>
        <rFont val="Arial"/>
        <family val="0"/>
        <charset val="1"/>
      </rPr>
      <t xml:space="preserve">65 </t>
    </r>
    <r>
      <rPr>
        <sz val="10"/>
        <rFont val="Noto Sans CJK SC"/>
        <family val="2"/>
      </rPr>
      <t xml:space="preserve">則不顯示版本標記（抽樣：有模型無版本、無模型、僅標題各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則開彈窗確認）：其中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則有模型無版本，正是 </t>
    </r>
    <r>
      <rPr>
        <sz val="10"/>
        <rFont val="Arial"/>
        <family val="0"/>
        <charset val="1"/>
      </rPr>
      <t xml:space="preserve">2026-07-16 #76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07-21 #86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#87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08-24 #125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）四次手動整理的合計，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則無模型為 </t>
    </r>
    <r>
      <rPr>
        <sz val="10"/>
        <rFont val="Arial"/>
        <family val="0"/>
        <charset val="1"/>
      </rPr>
      <t xml:space="preserve">07-06 #56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#58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organized 43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則僅標題；這些整理都早於 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部署（</t>
    </r>
    <r>
      <rPr>
        <sz val="10"/>
        <rFont val="Arial"/>
        <family val="0"/>
        <charset val="1"/>
      </rPr>
      <t xml:space="preserve">2026-09-25 R4</t>
    </r>
    <r>
      <rPr>
        <sz val="10"/>
        <rFont val="Noto Sans CJK SC"/>
        <family val="2"/>
      </rPr>
      <t xml:space="preserve">），當時尚無版本欄，空值屬歷史資料，不是漏記——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之後唯一一次新聞整理，它產生的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則全部帶版本</t>
    </r>
  </si>
  <si>
    <t xml:space="preserve">DEF-058</t>
  </si>
  <si>
    <t xml:space="preserve">洞察管線頁首「最近批次」卡數與成本口徑不一致：預警一次派發 7 個 run，顯示「7 卡 本批成本 $0.001」（實際合計 $0.0050487，只取了最後一個 run）</t>
  </si>
  <si>
    <t xml:space="preserve">排程中心 alert_scan 立即執行（#185）→ 派發 insight:9 run #186～#192（合計 $0.0050487）→ 洞察管線頁首「最近批次 2026-09-24 21:40・7 卡 本批成本 $0.001」；/api/insight-tasks/status last_batch {cards 7, cost_usd "0.0005979"}</t>
  </si>
  <si>
    <r>
      <rPr>
        <sz val="10"/>
        <rFont val="Arial"/>
        <family val="0"/>
        <charset val="1"/>
      </rPr>
      <t xml:space="preserve">portfolio_dash/api/insight_service.py:1174 `"ORDER BY id DESC LIMIT 1",` </t>
    </r>
    <r>
      <rPr>
        <sz val="10"/>
        <rFont val="Noto Sans CJK SC"/>
        <family val="2"/>
      </rPr>
      <t xml:space="preserve">配 </t>
    </r>
    <r>
      <rPr>
        <sz val="10"/>
        <rFont val="Arial"/>
        <family val="0"/>
        <charset val="1"/>
      </rPr>
      <t xml:space="preserve">:1185 `"cost_usd": row["cost_usd"] if row["cost_usd"] is not None else "0",`——</t>
    </r>
    <r>
      <rPr>
        <sz val="10"/>
        <rFont val="Noto Sans CJK SC"/>
        <family val="2"/>
      </rPr>
      <t xml:space="preserve">卡數（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）對 </t>
    </r>
    <r>
      <rPr>
        <sz val="10"/>
        <rFont val="Arial"/>
        <family val="0"/>
        <charset val="1"/>
      </rPr>
      <t xml:space="preserve">created_at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started_at </t>
    </r>
    <r>
      <rPr>
        <sz val="10"/>
        <rFont val="Noto Sans CJK SC"/>
        <family val="2"/>
      </rPr>
      <t xml:space="preserve">的整個集合計數，成本只取最後一個 </t>
    </r>
    <r>
      <rPr>
        <sz val="10"/>
        <rFont val="Arial"/>
        <family val="0"/>
        <charset val="1"/>
      </rPr>
      <t xml:space="preserve">run</t>
    </r>
  </si>
  <si>
    <t xml:space="preserve"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</si>
  <si>
    <t xml:space="preserve">DEF-059</t>
  </si>
  <si>
    <t xml:space="preserve">「全部已註冊標的」（mode:all_registered）任務會把已封存標的也納入產卡</t>
  </si>
  <si>
    <t xml:space="preserve">開發者 R3 決策項 ⑤；api/insight_service.py:148 _all_registered_symbols 回傳 list_instruments 全部</t>
  </si>
  <si>
    <r>
      <rPr>
        <sz val="10"/>
        <rFont val="Arial"/>
        <family val="0"/>
        <charset val="1"/>
      </rPr>
      <t xml:space="preserve">portfolio_dash/api/insight_service.py:152 `return sorted({i.symbol for i in list_instruments(conn)})`——</t>
    </r>
    <r>
      <rPr>
        <sz val="10"/>
        <rFont val="Noto Sans CJK SC"/>
        <family val="2"/>
      </rPr>
      <t xml:space="preserve">全部已註冊標的含已封存；</t>
    </r>
    <r>
      <rPr>
        <sz val="10"/>
        <rFont val="Arial"/>
        <family val="0"/>
        <charset val="1"/>
      </rPr>
      <t xml:space="preserve">:170 _resolve_universe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:1267 _resolve_universe_raw </t>
    </r>
    <r>
      <rPr>
        <sz val="10"/>
        <rFont val="Noto Sans CJK SC"/>
        <family val="2"/>
      </rPr>
      <t xml:space="preserve">為兩份相同分支；前端鏡像 </t>
    </r>
    <r>
      <rPr>
        <sz val="10"/>
        <rFont val="Arial"/>
        <family val="0"/>
        <charset val="1"/>
      </rPr>
      <t xml:space="preserve">web/pipeline.js:176 `registered: rows.filter(function (r) { return r.registered; })` </t>
    </r>
    <r>
      <rPr>
        <sz val="10"/>
        <rFont val="Noto Sans CJK SC"/>
        <family val="2"/>
      </rPr>
      <t xml:space="preserve">同樣含封存（精靈的標的數與預估成本多算）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</si>
  <si>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）：排除已封存標的（標的數、預估成本、乾跑預檢與實際產卡一致）。規格見 </t>
    </r>
    <r>
      <rPr>
        <sz val="10"/>
        <rFont val="Arial"/>
        <family val="0"/>
        <charset val="1"/>
      </rPr>
      <t xml:space="preserve">docs/audit/2026-09-24-r3-dev-specs.md §12
R4 </t>
    </r>
    <r>
      <rPr>
        <sz val="10"/>
        <rFont val="Noto Sans CJK SC"/>
        <family val="2"/>
      </rPr>
      <t xml:space="preserve">複驗通過（黑箱＋驗證者變異）。附註：還原觸發設計上的缺口補抓：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價格由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點變 </t>
    </r>
    <r>
      <rPr>
        <sz val="10"/>
        <rFont val="Arial"/>
        <family val="0"/>
        <charset val="1"/>
      </rPr>
      <t xml:space="preserve">122 </t>
    </r>
    <r>
      <rPr>
        <sz val="10"/>
        <rFont val="Noto Sans CJK SC"/>
        <family val="2"/>
      </rPr>
      <t xml:space="preserve">點（新增 </t>
    </r>
    <r>
      <rPr>
        <sz val="10"/>
        <rFont val="Arial"/>
        <family val="0"/>
        <charset val="1"/>
      </rPr>
      <t xml:space="preserve">09-17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09-24 </t>
    </r>
    <r>
      <rPr>
        <sz val="10"/>
        <rFont val="Noto Sans CJK SC"/>
        <family val="2"/>
      </rPr>
      <t xml:space="preserve">五筆供應商真實收盤價），既有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點數值不變、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筆刪除；不影響持倉六段。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⑦：報價類抓取宇宙也全部排除封存 → 開 </t>
    </r>
    <r>
      <rPr>
        <sz val="10"/>
        <rFont val="Arial"/>
        <family val="0"/>
        <charset val="1"/>
      </rPr>
      <t xml:space="preserve">DEF-064</t>
    </r>
  </si>
  <si>
    <t xml:space="preserve">DEF-060</t>
  </si>
  <si>
    <t xml:space="preserve">分拆存檔後再改日期，子公司起始價仍留在舊日期</t>
  </si>
  <si>
    <t xml:space="preserve">開發者 R3 決策項 ⑩；PUT /api/ledgers/corporate-actions/{id} 改日期時未處理種子價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</si>
  <si>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restated,`——edit_corporate_action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:2055</t>
    </r>
    <r>
      <rPr>
        <sz val="10"/>
        <rFont val="Noto Sans CJK SC"/>
        <family val="2"/>
      </rPr>
      <t xml:space="preserve">）在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reconcile </t>
    </r>
    <r>
      <rPr>
        <sz val="10"/>
        <rFont val="Noto Sans CJK SC"/>
        <family val="2"/>
      </rPr>
      <t xml:space="preserve">後直接回傳，全函式沒有任何起始價處理，也從不讀 </t>
    </r>
    <r>
      <rPr>
        <sz val="10"/>
        <rFont val="Arial"/>
        <family val="0"/>
        <charset val="1"/>
      </rPr>
      <t xml:space="preserve">body.to_symbol_price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</si>
  <si>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）：一併搬到新日期（舊日期種子仍完整時搬移；新日期已有正式報價時依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規則不寫並說明）。與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一起修。規格見 </t>
    </r>
    <r>
      <rPr>
        <sz val="10"/>
        <rFont val="Arial"/>
        <family val="0"/>
        <charset val="1"/>
      </rPr>
      <t xml:space="preserve">docs/audit/2026-09-24-r3-dev-specs.md §13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</si>
  <si>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DEF-061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</si>
  <si>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（附帶）</t>
    </r>
  </si>
  <si>
    <t xml:space="preserve">股利帳本「編輯更正」未走新增路徑的驗證器，缺 4 種股利型別的檢查</t>
  </si>
  <si>
    <t xml:space="preserve">開發者 R3 決策項 ⑪；ledgers.py:778 edit_dividend 只檢查型別字串與金額守恆（check_amounts）</t>
  </si>
  <si>
    <r>
      <rPr>
        <sz val="10"/>
        <rFont val="Arial"/>
        <family val="0"/>
        <charset val="1"/>
      </rPr>
      <t xml:space="preserve">portfolio_dash/api/routers/ledgers.py:800 `amount_issue = check_amounts(body.gross, body.withhold, body.net)`——edit_dividend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:778</t>
    </r>
    <r>
      <rPr>
        <sz val="10"/>
        <rFont val="Noto Sans CJK SC"/>
        <family val="2"/>
      </rPr>
      <t xml:space="preserve">）只做 </t>
    </r>
    <r>
      <rPr>
        <sz val="10"/>
        <rFont val="Arial"/>
        <family val="0"/>
        <charset val="1"/>
      </rPr>
      <t xml:space="preserve">:793 </t>
    </r>
    <r>
      <rPr>
        <sz val="10"/>
        <rFont val="Noto Sans CJK SC"/>
        <family val="2"/>
      </rPr>
      <t xml:space="preserve">型別字串與 </t>
    </r>
    <r>
      <rPr>
        <sz val="10"/>
        <rFont val="Arial"/>
        <family val="0"/>
        <charset val="1"/>
      </rPr>
      <t xml:space="preserve">:800 </t>
    </r>
    <r>
      <rPr>
        <sz val="10"/>
        <rFont val="Noto Sans CJK SC"/>
        <family val="2"/>
      </rPr>
      <t xml:space="preserve">金額守恆，缺 </t>
    </r>
    <r>
      <rPr>
        <sz val="10"/>
        <rFont val="Arial"/>
        <family val="0"/>
        <charset val="1"/>
      </rPr>
      <t xml:space="preserve">dividend_type_mismatch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us_cash_dividend_no_withholding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net_dividend_withholding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reinvest_shares_required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:770 `withhold: Decimal`</t>
    </r>
    <r>
      <rPr>
        <sz val="10"/>
        <rFont val="Noto Sans CJK SC"/>
        <family val="2"/>
      </rPr>
      <t xml:space="preserve">（必填）＋</t>
    </r>
    <r>
      <rPr>
        <sz val="10"/>
        <rFont val="Arial"/>
        <family val="0"/>
        <charset val="1"/>
      </rPr>
      <t xml:space="preserve">web/ledger.js:679 `withhold: fWh.value || '0'`</t>
    </r>
    <r>
      <rPr>
        <sz val="10"/>
        <rFont val="Noto Sans CJK SC"/>
        <family val="2"/>
      </rPr>
      <t xml:space="preserve">，使「美股現金股利未填預扣稅」在更正門永遠不可能出現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</si>
  <si>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）：下一輪就抽出共用驗證器 </t>
    </r>
    <r>
      <rPr>
        <sz val="10"/>
        <rFont val="Arial"/>
        <family val="0"/>
        <charset val="1"/>
      </rPr>
      <t xml:space="preserve">validate_dividend(replacing=)</t>
    </r>
    <r>
      <rPr>
        <sz val="10"/>
        <rFont val="Noto Sans CJK SC"/>
        <family val="2"/>
      </rPr>
      <t xml:space="preserve">，新增與更正共用。規格見 </t>
    </r>
    <r>
      <rPr>
        <sz val="10"/>
        <rFont val="Arial"/>
        <family val="0"/>
        <charset val="1"/>
      </rPr>
      <t xml:space="preserve">docs/audit/2026-09-24-r3-dev-specs.md §14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</si>
  <si>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DEF-062</t>
  </si>
  <si>
    <t xml:space="preserve">新增洞察任務精靈「預警觸發」的監聽規則 15 個勾選框中，8 個直接顯示規則 id（missing_price、drawdown_from_peak、vol_spike、rebalance_drift、consensus_change、portfolio_drawdown、currency_weight、target_cross）</t>
  </si>
  <si>
    <t xml:space="preserve">洞察管線 › ＋新增洞察任務 → 觸發選「預警觸發」→ 監聽規則清單：7 個中文、8 個 id；同一組規則在 系統設定 › 預警規則 15 條都有中文名（高點回撤、波動突升、配置漂移…）</t>
  </si>
  <si>
    <r>
      <rPr>
        <sz val="10"/>
        <rFont val="Arial"/>
        <family val="0"/>
        <charset val="1"/>
      </rPr>
      <t xml:space="preserve">web/pipeline-wizard.js:29 `function ruleLabel(id) { return RULE_LABELS[id] || id; }`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:24-28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只列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條，</t>
    </r>
    <r>
      <rPr>
        <sz val="10"/>
        <rFont val="Arial"/>
        <family val="0"/>
        <charset val="1"/>
      </rPr>
      <t xml:space="preserve">:223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ruleLabel(r.id) </t>
    </r>
    <r>
      <rPr>
        <sz val="10"/>
        <rFont val="Noto Sans CJK SC"/>
        <family val="2"/>
      </rPr>
      <t xml:space="preserve">印出勾選框）。源頭是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不帶名稱：</t>
    </r>
    <r>
      <rPr>
        <sz val="10"/>
        <rFont val="Arial"/>
        <family val="0"/>
        <charset val="1"/>
      </rPr>
      <t xml:space="preserve">portfolio_dash/api/routers/strategy.py:42 `"id": rid, "enabled": rule.enabled,`</t>
    </r>
    <r>
      <rPr>
        <sz val="10"/>
        <rFont val="Noto Sans CJK SC"/>
        <family val="2"/>
      </rPr>
      <t xml:space="preserve">，所以前端各自維護對照表——另兩份是 </t>
    </r>
    <r>
      <rPr>
        <sz val="10"/>
        <rFont val="Arial"/>
        <family val="0"/>
        <charset val="1"/>
      </rPr>
      <t xml:space="preserve">web/settings-alerts.js:97 `const m = META[w.id] || { name: w.id, … }`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portfolio_dash/ops/notify.py:72 </t>
    </r>
    <r>
      <rPr>
        <sz val="10"/>
        <rFont val="Noto Sans CJK SC"/>
        <family val="2"/>
      </rPr>
      <t xml:space="preserve">起的 </t>
    </r>
    <r>
      <rPr>
        <sz val="10"/>
        <rFont val="Arial"/>
        <family val="0"/>
        <charset val="1"/>
      </rPr>
      <t xml:space="preserve">RULE_CATALOG</t>
    </r>
    <r>
      <rPr>
        <sz val="10"/>
        <rFont val="Noto Sans CJK SC"/>
        <family val="2"/>
      </rPr>
      <t xml:space="preserve">（用詞不同，</t>
    </r>
    <r>
      <rPr>
        <sz val="10"/>
        <rFont val="Arial"/>
        <family val="0"/>
        <charset val="1"/>
      </rPr>
      <t xml:space="preserve">:367 </t>
    </r>
    <r>
      <rPr>
        <sz val="10"/>
        <rFont val="Noto Sans CJK SC"/>
        <family val="2"/>
      </rPr>
      <t xml:space="preserve">推播查不到也退回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</t>
    </r>
  </si>
  <si>
    <t xml:space="preserve"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</si>
  <si>
    <t xml:space="preserve">DEF-063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</si>
  <si>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起不會再被覆蓋或刪除，畫面上也沒有地方能移除</t>
    </r>
  </si>
  <si>
    <t xml:space="preserve">開發者 R4 決策項 ④；R4 的 write_seed_price 只寫空白日期、刪除只收回 child_seed_json 記錄的列，舊孤兒因此永久留下</t>
  </si>
  <si>
    <t xml:space="preserve"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</si>
  <si>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先備份再刪並寫稽核，可選 </t>
    </r>
    <r>
      <rPr>
        <sz val="10"/>
        <rFont val="Arial"/>
        <family val="0"/>
        <charset val="1"/>
      </rPr>
      <t xml:space="preserve">--backfill </t>
    </r>
    <r>
      <rPr>
        <sz val="10"/>
        <rFont val="Noto Sans CJK SC"/>
        <family val="2"/>
      </rPr>
      <t xml:space="preserve">取回被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蓋掉的正式報價）。規格見 </t>
    </r>
    <r>
      <rPr>
        <sz val="10"/>
        <rFont val="Arial"/>
        <family val="0"/>
        <charset val="1"/>
      </rPr>
      <t xml:space="preserve">docs/audit/2026-09-25-r4-dev-specs.md §3
R5 </t>
    </r>
    <r>
      <rPr>
        <sz val="10"/>
        <rFont val="Noto Sans CJK SC"/>
        <family val="2"/>
      </rPr>
      <t xml:space="preserve">複驗通過（黑箱＋驗證者變異）</t>
    </r>
  </si>
  <si>
    <t xml:space="preserve">DEF-064</t>
  </si>
  <si>
    <t xml:space="preserve">報價類抓取宇宙（pricing/ingest.py 的 tw_universe／all_universe，影響 FinMind 籌碼、估值、基本面、月營收與共識共 5 個排程）仍含已封存標的，消耗外部額度</t>
  </si>
  <si>
    <t xml:space="preserve">開發者 R4 決策項 ⑦；ingest.py:52-57、:60-73 讀 instruments 全表，無 archived 條件（對照 scheduler/jobs.py:1292 報價宇宙已排除封存、DEF-059 洞察宇宙已排除）</t>
  </si>
  <si>
    <r>
      <rPr>
        <sz val="10"/>
        <rFont val="Arial"/>
        <family val="0"/>
        <charset val="1"/>
      </rPr>
      <t xml:space="preserve">portfolio_dash/pricing/ingest.py:55 `"SELECT symbol FROM instruments WHERE market = 'TW'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：籌碼、估值、基本面）與 </t>
    </r>
    <r>
      <rPr>
        <sz val="10"/>
        <rFont val="Arial"/>
        <family val="0"/>
        <charset val="1"/>
      </rPr>
      <t xml:space="preserve">:68 `"SELECT symbol, market, board FROM instruments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：共識、基本面聯集）（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）——讀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全表，沒有 </t>
    </r>
    <r>
      <rPr>
        <sz val="10"/>
        <rFont val="Arial"/>
        <family val="0"/>
        <charset val="1"/>
      </rPr>
      <t xml:space="preserve">archived </t>
    </r>
    <r>
      <rPr>
        <sz val="10"/>
        <rFont val="Noto Sans CJK SC"/>
        <family val="2"/>
      </rPr>
      <t xml:space="preserve">條件。依裁定「持倉永不排除」驗證前提時另發現「持有 ⇒ 未封存」在程式裡不成立：</t>
    </r>
    <r>
      <rPr>
        <sz val="10"/>
        <rFont val="Arial"/>
        <family val="0"/>
        <charset val="1"/>
      </rPr>
      <t xml:space="preserve">portfolio_dash/api/routers/instruments.py:58 `return any(current_shares(conn, aid, symbol) &gt; 0 for aid in account_ids)` </t>
    </r>
    <r>
      <rPr>
        <sz val="10"/>
        <rFont val="Noto Sans CJK SC"/>
        <family val="2"/>
      </rPr>
      <t xml:space="preserve">看不到放空、也把只靠未來日期賣出清倉的部位讀成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portfolio_dash/data_ingestion/store.py:1636 </t>
    </r>
    <r>
      <rPr>
        <sz val="10"/>
        <rFont val="Noto Sans CJK SC"/>
        <family val="2"/>
      </rPr>
      <t xml:space="preserve">等刪除／修改入口不會重新啟用標的（原本只有 </t>
    </r>
    <r>
      <rPr>
        <sz val="10"/>
        <rFont val="Arial"/>
        <family val="0"/>
        <charset val="1"/>
      </rPr>
      <t xml:space="preserve">insert_transaction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upsert_opening </t>
    </r>
    <r>
      <rPr>
        <sz val="10"/>
        <rFont val="Noto Sans CJK SC"/>
        <family val="2"/>
      </rPr>
      <t xml:space="preserve">兩處）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</si>
  <si>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）：全部排除已封存標的（持倉永不排除），與 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jobs.py:1292 </t>
    </r>
    <r>
      <rPr>
        <sz val="10"/>
        <rFont val="Noto Sans CJK SC"/>
        <family val="2"/>
      </rPr>
      <t xml:space="preserve">共用同一判定。規格見 </t>
    </r>
    <r>
      <rPr>
        <sz val="10"/>
        <rFont val="Arial"/>
        <family val="0"/>
        <charset val="1"/>
      </rPr>
      <t xml:space="preserve">docs/audit/2026-09-25-r4-dev-specs.md §4
R5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
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）附帶決策項：①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（收件匣掃描排除封存）；②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（「持有」徽章改用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</t>
    </r>
  </si>
  <si>
    <t xml:space="preserve">DEF-065</t>
  </si>
  <si>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</si>
  <si>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間歇性回 </t>
    </r>
    <r>
      <rPr>
        <sz val="10"/>
        <rFont val="Arial"/>
        <family val="0"/>
        <charset val="1"/>
      </rPr>
      <t xml:space="preserve">500 internal_error</t>
    </r>
    <r>
      <rPr>
        <sz val="10"/>
        <rFont val="Noto Sans CJK SC"/>
        <family val="2"/>
      </rPr>
      <t xml:space="preserve">，使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全套不穩定（驗證者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次各有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則失敗，都只因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</si>
  <si>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 1ee7771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→ </t>
    </r>
    <r>
      <rPr>
        <sz val="10"/>
        <rFont val="Arial"/>
        <family val="0"/>
        <charset val="1"/>
      </rPr>
      <t xml:space="preserve">287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test_def057_global_prompt_versions_flow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287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test_def033_prompt_versions_flow</t>
    </r>
    <r>
      <rPr>
        <sz val="10"/>
        <rFont val="Noto Sans CJK SC"/>
        <family val="2"/>
      </rPr>
      <t xml:space="preserve">＋驗證者加了回應記錄的副本）、</t>
    </r>
    <r>
      <rPr>
        <sz val="10"/>
        <rFont val="Arial"/>
        <family val="0"/>
        <charset val="1"/>
      </rPr>
      <t xml:space="preserve">289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；副本記到「</t>
    </r>
    <r>
      <rPr>
        <sz val="10"/>
        <rFont val="Arial"/>
        <family val="0"/>
        <charset val="1"/>
      </rPr>
      <t xml:space="preserve">500 GET http://127.0.0.1:39179/api/ui-prefs {"error":{"code":"internal_error","message":"</t>
    </r>
    <r>
      <rPr>
        <sz val="10"/>
        <rFont val="Noto Sans CJK SC"/>
        <family val="2"/>
      </rPr>
      <t xml:space="preserve">系統發生未預期的錯誤，請稍後再試</t>
    </r>
    <r>
      <rPr>
        <sz val="10"/>
        <rFont val="Arial"/>
        <family val="0"/>
        <charset val="1"/>
      </rPr>
      <t xml:space="preserve">"}}</t>
    </r>
    <r>
      <rPr>
        <sz val="10"/>
        <rFont val="Noto Sans CJK SC"/>
        <family val="2"/>
      </rPr>
      <t xml:space="preserve">」；所有失敗都在最後的 </t>
    </r>
    <r>
      <rPr>
        <sz val="10"/>
        <rFont val="Arial"/>
        <family val="0"/>
        <charset val="1"/>
      </rPr>
      <t xml:space="preserve">errors == [] </t>
    </r>
    <r>
      <rPr>
        <sz val="10"/>
        <rFont val="Noto Sans CJK SC"/>
        <family val="2"/>
      </rPr>
      <t xml:space="preserve">斷言，功能斷言皆通過；單獨重跑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次、壓力下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輪、全新伺服器 </t>
    </r>
    <r>
      <rPr>
        <sz val="10"/>
        <rFont val="Arial"/>
        <family val="0"/>
        <charset val="1"/>
      </rPr>
      <t xml:space="preserve">12×54 </t>
    </r>
    <r>
      <rPr>
        <sz val="10"/>
        <rFont val="Noto Sans CJK SC"/>
        <family val="2"/>
      </rPr>
      <t xml:space="preserve">個並發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皆未重現</t>
    </r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</si>
  <si>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以一般讀取判斷「是否已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:28 `seeded = conn.execute("SELECT 1 FROM settings_meta …")`</t>
    </r>
    <r>
      <rPr>
        <sz val="10"/>
        <rFont val="Noto Sans CJK SC"/>
        <family val="2"/>
      </rPr>
      <t xml:space="preserve">），再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並 </t>
    </r>
    <r>
      <rPr>
        <sz val="10"/>
        <rFont val="Arial"/>
        <family val="0"/>
        <charset val="1"/>
      </rPr>
      <t xml:space="preserve">INSERT settings_meta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:34</t>
    </r>
    <r>
      <rPr>
        <sz val="10"/>
        <rFont val="Noto Sans CJK SC"/>
        <family val="2"/>
      </rPr>
      <t xml:space="preserve">），兩個連線同時第一次使用某類別時都讀到「未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」，第二個的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拋 </t>
    </r>
    <r>
      <rPr>
        <sz val="10"/>
        <rFont val="Arial"/>
        <family val="0"/>
        <charset val="1"/>
      </rPr>
      <t xml:space="preserve">`sqlite3.IntegrityError: UNIQUE constraint failed: settings_meta.category` → 500</t>
    </r>
    <r>
      <rPr>
        <sz val="10"/>
        <rFont val="Noto Sans CJK SC"/>
        <family val="2"/>
      </rPr>
      <t xml:space="preserve">。觸發點：</t>
    </r>
    <r>
      <rPr>
        <sz val="10"/>
        <rFont val="Arial"/>
        <family val="0"/>
        <charset val="1"/>
      </rPr>
      <t xml:space="preserve">portfolio_dash/shared/ui_prefs.py:57 get_ui_prefs </t>
    </r>
    <r>
      <rPr>
        <sz val="10"/>
        <rFont val="Noto Sans CJK SC"/>
        <family val="2"/>
      </rPr>
      <t xml:space="preserve">每次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都呼叫 </t>
    </r>
    <r>
      <rPr>
        <sz val="10"/>
        <rFont val="Arial"/>
        <family val="0"/>
        <charset val="1"/>
      </rPr>
      <t xml:space="preserve">ensure_ui_prefs_seeded</t>
    </r>
    <r>
      <rPr>
        <sz val="10"/>
        <rFont val="Noto Sans CJK SC"/>
        <family val="2"/>
      </rPr>
      <t xml:space="preserve">，而 </t>
    </r>
    <r>
      <rPr>
        <sz val="10"/>
        <rFont val="Arial"/>
        <family val="0"/>
        <charset val="1"/>
      </rPr>
      <t xml:space="preserve">ui_prefs </t>
    </r>
    <r>
      <rPr>
        <sz val="10"/>
        <rFont val="Noto Sans CJK SC"/>
        <family val="2"/>
      </rPr>
      <t xml:space="preserve">從未在開機時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載入時同時送出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web/shell.js:867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web/settings-prefs.js:28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web/settings-llm.js:631</t>
    </r>
    <r>
      <rPr>
        <sz val="10"/>
        <rFont val="Noto Sans CJK SC"/>
        <family val="2"/>
      </rPr>
      <t xml:space="preserve">），全新資料庫的第一次載入就會競態——驗證者兩次失敗的 </t>
    </r>
    <r>
      <rPr>
        <sz val="10"/>
        <rFont val="Arial"/>
        <family val="0"/>
        <charset val="1"/>
      </rPr>
      <t xml:space="preserve">test_def057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test_def033 </t>
    </r>
    <r>
      <rPr>
        <sz val="10"/>
        <rFont val="Noto Sans CJK SC"/>
        <family val="2"/>
      </rPr>
      <t xml:space="preserve">都從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開始</t>
    </r>
  </si>
  <si>
    <t xml:space="preserve"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</si>
  <si>
    <t xml:space="preserve">DEF-066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</si>
  <si>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</si>
  <si>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重試與備援模型實際不可用：專案未安裝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重試路徑一出錯就丟「</t>
    </r>
    <r>
      <rPr>
        <sz val="10"/>
        <rFont val="Arial"/>
        <family val="0"/>
        <charset val="1"/>
      </rPr>
      <t xml:space="preserve">tenacity import failed</t>
    </r>
    <r>
      <rPr>
        <sz val="10"/>
        <rFont val="Noto Sans CJK SC"/>
        <family val="2"/>
      </rPr>
      <t xml:space="preserve">」蓋掉原錯誤，備援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因此失敗；運行紀錄明細直接寫入英文例外原文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</si>
  <si>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：依開發者指示於 排程中心 ›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「立即執行」（</t>
    </r>
    <r>
      <rPr>
        <sz val="10"/>
        <rFont val="Arial"/>
        <family val="0"/>
        <charset val="1"/>
      </rPr>
      <t xml:space="preserve">run #195</t>
    </r>
    <r>
      <rPr>
        <sz val="10"/>
        <rFont val="Noto Sans CJK SC"/>
        <family val="2"/>
      </rPr>
      <t xml:space="preserve">）→ 派發 </t>
    </r>
    <r>
      <rPr>
        <sz val="10"/>
        <rFont val="Arial"/>
        <family val="0"/>
        <charset val="1"/>
      </rPr>
      <t xml:space="preserve">insight:9 run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 → #196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#201 </t>
    </r>
    <r>
      <rPr>
        <sz val="10"/>
        <rFont val="Noto Sans CJK SC"/>
        <family val="2"/>
      </rPr>
      <t xml:space="preserve">為「部分」，明細「</t>
    </r>
    <r>
      <rPr>
        <sz val="10"/>
        <rFont val="Arial"/>
        <family val="0"/>
        <charset val="1"/>
      </rPr>
      <t xml:space="preserve">llm_unavailable_mid_run: provider error (haiku-4.5): tenacity import failed please run `pip install tenacity`. ErrorNo module named 'tenacity'</t>
    </r>
    <r>
      <rPr>
        <sz val="10"/>
        <rFont val="Noto Sans CJK SC"/>
        <family val="2"/>
      </rPr>
      <t xml:space="preserve">」；同批主模型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兩次回傳截斷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EOF while parsing</t>
    </r>
    <r>
      <rPr>
        <sz val="10"/>
        <rFont val="Noto Sans CJK SC"/>
        <family val="2"/>
      </rPr>
      <t xml:space="preserve">）才轉備援。專案 </t>
    </r>
    <r>
      <rPr>
        <sz val="10"/>
        <rFont val="Arial"/>
        <family val="0"/>
        <charset val="1"/>
      </rPr>
      <t xml:space="preserve">venv `import tenacity` → ModuleNotFoundError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uv.lock </t>
    </r>
    <r>
      <rPr>
        <sz val="10"/>
        <rFont val="Noto Sans CJK SC"/>
        <family val="2"/>
      </rPr>
      <t xml:space="preserve">無此相依</t>
    </r>
  </si>
  <si>
    <r>
      <rPr>
        <sz val="10"/>
        <rFont val="Arial"/>
        <family val="0"/>
        <charset val="1"/>
      </rPr>
      <t xml:space="preserve">portfolio_dash/shared/llm.py:329 `num_retries=model.max_retries or 0,`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:530 </t>
    </r>
    <r>
      <rPr>
        <sz val="10"/>
        <rFont val="Noto Sans CJK SC"/>
        <family val="2"/>
      </rPr>
      <t xml:space="preserve">同一行；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num_retries&gt;0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包裝層（</t>
    </r>
    <r>
      <rPr>
        <sz val="10"/>
        <rFont val="Arial"/>
        <family val="0"/>
        <charset val="1"/>
      </rPr>
      <t xml:space="preserve">litellm/utils.py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:1681-1720</t>
    </r>
    <r>
      <rPr>
        <sz val="10"/>
        <rFont val="Noto Sans CJK SC"/>
        <family val="2"/>
      </rPr>
      <t xml:space="preserve">）把任何 </t>
    </r>
    <r>
      <rPr>
        <sz val="10"/>
        <rFont val="Arial"/>
        <family val="0"/>
        <charset val="1"/>
      </rPr>
      <t xml:space="preserve">openai.APIError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）轉給 </t>
    </r>
    <r>
      <rPr>
        <sz val="10"/>
        <rFont val="Arial"/>
        <family val="0"/>
        <charset val="1"/>
      </rPr>
      <t xml:space="preserve">litellm.completion_with_retries</t>
    </r>
    <r>
      <rPr>
        <sz val="10"/>
        <rFont val="Noto Sans CJK SC"/>
        <family val="2"/>
      </rPr>
      <t xml:space="preserve">，它在執行期 </t>
    </r>
    <r>
      <rPr>
        <sz val="10"/>
        <rFont val="Arial"/>
        <family val="0"/>
        <charset val="1"/>
      </rPr>
      <t xml:space="preserve">`import tenacity`</t>
    </r>
    <r>
      <rPr>
        <sz val="10"/>
        <rFont val="Noto Sans CJK SC"/>
        <family val="2"/>
      </rPr>
      <t xml:space="preserve">（未安裝、不在 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），丟出「</t>
    </r>
    <r>
      <rPr>
        <sz val="10"/>
        <rFont val="Arial"/>
        <family val="0"/>
        <charset val="1"/>
      </rPr>
      <t xml:space="preserve">tenacity import failed…</t>
    </r>
    <r>
      <rPr>
        <sz val="10"/>
        <rFont val="Noto Sans CJK SC"/>
        <family val="2"/>
      </rPr>
      <t xml:space="preserve">」蓋掉供應商原本的錯誤，重試沒有發生，備援模型同樣失敗；</t>
    </r>
    <r>
      <rPr>
        <sz val="10"/>
        <rFont val="Arial"/>
        <family val="0"/>
        <charset val="1"/>
      </rPr>
      <t xml:space="preserve">portfolio_dash/llm_insight/generate.py:434 `stop_detail = f"{stop_reason}: {str(exc)[:300]}"`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英文原樣寫進運行紀錄</t>
    </r>
  </si>
  <si>
    <t xml:space="preserve">R6</t>
  </si>
  <si>
    <t xml:space="preserve"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</si>
  <si>
    <t xml:space="preserve">DEF-067</t>
  </si>
  <si>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全部標的失敗仍記為「成功」：排程中心顯示「成功　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檔失敗（…）」，狀態與明細互相矛盾（</t>
    </r>
    <r>
      <rPr>
        <sz val="10"/>
        <rFont val="Arial"/>
        <family val="0"/>
        <charset val="1"/>
      </rPr>
      <t xml:space="preserve">E-05 ③</t>
    </r>
    <r>
      <rPr>
        <sz val="10"/>
        <rFont val="Noto Sans CJK SC"/>
        <family val="2"/>
      </rPr>
      <t xml:space="preserve">）</t>
    </r>
  </si>
  <si>
    <t xml:space="preserve"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</si>
  <si>
    <r>
      <rPr>
        <sz val="10"/>
        <rFont val="Arial"/>
        <family val="0"/>
        <charset val="1"/>
      </rPr>
      <t xml:space="preserve">portfolio_dash/scheduler/jobs.py:626 `return describe_refresh(summary)`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回傳裸字串，經 </t>
    </r>
    <r>
      <rPr>
        <sz val="10"/>
        <rFont val="Arial"/>
        <family val="0"/>
        <charset val="1"/>
      </rPr>
      <t xml:space="preserve">jobs.py:210 `return result if isinstance(result, JobOutcome) else JobOutcome("ok", result)` </t>
    </r>
    <r>
      <rPr>
        <sz val="10"/>
        <rFont val="Noto Sans CJK SC"/>
        <family val="2"/>
      </rPr>
      <t xml:space="preserve">一律記為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，全部標的失敗仍顯示「成功」</t>
    </r>
  </si>
  <si>
    <t xml:space="preserve"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</si>
  <si>
    <t xml:space="preserve">更新報價全部失敗時，提示仍說「其餘已更新，重新整理頁面即可看到新價」，且不提匯率失敗（E-11）</t>
  </si>
  <si>
    <t xml:space="preserve"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</si>
  <si>
    <r>
      <rPr>
        <sz val="10"/>
        <rFont val="Arial"/>
        <family val="0"/>
        <charset val="1"/>
      </rPr>
      <t xml:space="preserve">web/shell.js:469 `lost.length + ' </t>
    </r>
    <r>
      <rPr>
        <sz val="10"/>
        <rFont val="Noto Sans CJK SC"/>
        <family val="2"/>
      </rPr>
      <t xml:space="preserve">檔持倉未更新：</t>
    </r>
    <r>
      <rPr>
        <sz val="10"/>
        <rFont val="Arial"/>
        <family val="0"/>
        <charset val="1"/>
      </rPr>
      <t xml:space="preserve">' + lost.join('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') + '</t>
    </r>
    <r>
      <rPr>
        <sz val="10"/>
        <rFont val="Noto Sans CJK SC"/>
        <family val="2"/>
      </rPr>
      <t xml:space="preserve">。其餘已更新，重新整理頁面即可看到新價。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:467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）——部分完成分支固定接「其餘已更新」，不讀已更新數與 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也沒有提供已更新數</t>
    </r>
  </si>
  <si>
    <t xml:space="preserve">驗證者 R5 新發現（E-11 首次可執行）。定位：web/shell.js:463-470 partial 分支固定接「其餘已更新」、只讀 held_failed。規格見 docs/audit/2026-09-25-r5-dev-specs.md §6
R6 複驗通過（黑箱重放＋驗證者變異）</t>
  </si>
  <si>
    <t xml:space="preserve">DEF-069</t>
  </si>
  <si>
    <t xml:space="preserve">影子卡出現在正式清單：/api/insights（平面、group=symbol、symbol=）都含 is_shadow 卡；AI 洞察 › 持倉健診 9 檔全部以影子卡當標題卡，同批生效卡被收進歷史；個股抽屜 AI 建議同樣會拿到影子卡（G-08 ①）</t>
  </si>
  <si>
    <t xml:space="preserve"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</si>
  <si>
    <r>
      <rPr>
        <sz val="10"/>
        <rFont val="Arial"/>
        <family val="0"/>
        <charset val="1"/>
      </rPr>
      <t xml:space="preserve">portfolio_dash/llm_insight/insights_store.py:553 `clauses: list[str] = []`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共用的 </t>
    </r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is_shadow = 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平面、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symbol= </t>
    </r>
    <r>
      <rPr>
        <sz val="10"/>
        <rFont val="Noto Sans CJK SC"/>
        <family val="2"/>
      </rPr>
      <t xml:space="preserve">三種形狀都把影子卡當一般卡回傳，而且較新的影子卡排在最前面（儀表板用的 </t>
    </r>
    <r>
      <rPr>
        <sz val="10"/>
        <rFont val="Arial"/>
        <family val="0"/>
        <charset val="1"/>
      </rPr>
      <t xml:space="preserve">latest_cards </t>
    </r>
    <r>
      <rPr>
        <sz val="10"/>
        <rFont val="Noto Sans CJK SC"/>
        <family val="2"/>
      </rPr>
      <t xml:space="preserve">有過濾，所以儀表板正常）</t>
    </r>
  </si>
  <si>
    <t xml:space="preserve"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</si>
  <si>
    <t xml:space="preserve">DEF-070</t>
  </si>
  <si>
    <t xml:space="preserve">「同時影子評估上限」以任務的累計影子卡張數計算：第一批 9 張不受上限 2 約束，之後永遠不再產影子——晉升後的新版本（v3）永遠無法被評估或晉升；portfolio 任務累計 2 張即停、達不到最小批次數 3</t>
  </si>
  <si>
    <t xml:space="preserve"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</si>
  <si>
    <r>
      <rPr>
        <sz val="10"/>
        <rFont val="Arial"/>
        <family val="0"/>
        <charset val="1"/>
      </rPr>
      <t xml:space="preserve">portfolio_dash/api/insight_service.py:436 `if _shadow_card_count(conn, it.id) &gt;= int(str(cfg["max_shadows"])):`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）——上限拿「該任務歷來全部影子卡張數」（</t>
    </r>
    <r>
      <rPr>
        <sz val="10"/>
        <rFont val="Arial"/>
        <family val="0"/>
        <charset val="1"/>
      </rPr>
      <t xml:space="preserve">:402-407</t>
    </r>
    <r>
      <rPr>
        <sz val="10"/>
        <rFont val="Noto Sans CJK SC"/>
        <family val="2"/>
      </rPr>
      <t xml:space="preserve">，不限版本、不限期間）比較，第一批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張不受上限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約束，之後永遠不再產影子；另 </t>
    </r>
    <r>
      <rPr>
        <sz val="10"/>
        <rFont val="Arial"/>
        <family val="0"/>
        <charset val="1"/>
      </rPr>
      <t xml:space="preserve">:1005 `shadow_score = es.combo_score(conn, it.id, is_shadow=True)` </t>
    </r>
    <r>
      <rPr>
        <sz val="10"/>
        <rFont val="Noto Sans CJK SC"/>
        <family val="2"/>
      </rPr>
      <t xml:space="preserve">把各版本的影子評分混在一起算</t>
    </r>
  </si>
  <si>
    <t xml:space="preserve"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</si>
  <si>
    <t xml:space="preserve">DEF-071</t>
  </si>
  <si>
    <t xml:space="preserve"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</si>
  <si>
    <t xml:space="preserve"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</si>
  <si>
    <r>
      <rPr>
        <sz val="10"/>
        <rFont val="Arial"/>
        <family val="0"/>
        <charset val="1"/>
      </rPr>
      <t xml:space="preserve">web/pipeline.js:802 `var ba = el('button', 'btn btn-sm', '</t>
    </r>
    <r>
      <rPr>
        <sz val="10"/>
        <rFont val="Noto Sans CJK SC"/>
        <family val="2"/>
      </rPr>
      <t xml:space="preserve">封存</t>
    </r>
    <r>
      <rPr>
        <sz val="10"/>
        <rFont val="Arial"/>
        <family val="0"/>
        <charset val="1"/>
      </rPr>
      <t xml:space="preserve">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）——任務抽屜 ④ 校正版本鏈每個版本只有這個按鈕，</t>
    </r>
    <r>
      <rPr>
        <sz val="10"/>
        <rFont val="Arial"/>
        <family val="0"/>
        <charset val="1"/>
      </rPr>
      <t xml:space="preserve">PUT /api/insight-tasks/{id}/active-calibration </t>
    </r>
    <r>
      <rPr>
        <sz val="10"/>
        <rFont val="Noto Sans CJK SC"/>
        <family val="2"/>
      </rPr>
      <t xml:space="preserve">沒有任何前端呼叫點；</t>
    </r>
    <r>
      <rPr>
        <sz val="10"/>
        <rFont val="Arial"/>
        <family val="0"/>
        <charset val="1"/>
      </rPr>
      <t xml:space="preserve">:56 </t>
    </r>
    <r>
      <rPr>
        <sz val="10"/>
        <rFont val="Noto Sans CJK SC"/>
        <family val="2"/>
      </rPr>
      <t xml:space="preserve">診斷 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的修復鈕「前往校正版本鏈」落地後沒有可按的東西</t>
    </r>
  </si>
  <si>
    <t xml:space="preserve"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</si>
  <si>
    <t xml:space="preserve">門 2（個股抽屜「補登公司行動」）預填的帳戶是清單第一個（Moomoo MY），不是對帳不一致的持有帳戶（台灣券商）；單一帳戶持有時抽屜沒有帳戶篩選鈕，無法先切換</t>
  </si>
  <si>
    <t xml:space="preserve"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</si>
  <si>
    <r>
      <rPr>
        <sz val="10"/>
        <rFont val="Arial"/>
        <family val="0"/>
        <charset val="1"/>
      </rPr>
      <t xml:space="preserve">web/detail.js:1272 `account_id: filterAcct || '',`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）——抽屜未篩選帳戶時傳空字串；共用表單 </t>
    </r>
    <r>
      <rPr>
        <sz val="10"/>
        <rFont val="Arial"/>
        <family val="0"/>
        <charset val="1"/>
      </rPr>
      <t xml:space="preserve">web/corp-action-form.js:798 `if (a.account_id === prefill.account_id) o.selected = true;` </t>
    </r>
    <r>
      <rPr>
        <sz val="10"/>
        <rFont val="Noto Sans CJK SC"/>
        <family val="2"/>
      </rPr>
      <t xml:space="preserve">對空字串無一相符，瀏覽器預設選第一個選項（</t>
    </r>
    <r>
      <rPr>
        <sz val="10"/>
        <rFont val="Arial"/>
        <family val="0"/>
        <charset val="1"/>
      </rPr>
      <t xml:space="preserve">/api/accounts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排序，第一個是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），所以落在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而不是對帳不一致的台灣券商</t>
    </r>
  </si>
  <si>
    <t xml:space="preserve"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</si>
  <si>
    <t xml:space="preserve">DEF-073</t>
  </si>
  <si>
    <t xml:space="preserve"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</si>
  <si>
    <r>
      <rPr>
        <sz val="10"/>
        <rFont val="Arial"/>
        <family val="0"/>
        <charset val="1"/>
      </rPr>
      <t xml:space="preserve">demo alert_scan #195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18 alert(s) [</t>
    </r>
    <r>
      <rPr>
        <sz val="10"/>
        <rFont val="Noto Sans CJK SC"/>
        <family val="2"/>
      </rPr>
      <t xml:space="preserve">單一標的集中度、…</t>
    </r>
    <r>
      <rPr>
        <sz val="10"/>
        <rFont val="Arial"/>
        <family val="0"/>
        <charset val="1"/>
      </rPr>
      <t xml:space="preserve">], 7 dispatched</t>
    </r>
    <r>
      <rPr>
        <sz val="10"/>
        <rFont val="Noto Sans CJK SC"/>
        <family val="2"/>
      </rPr>
      <t xml:space="preserve">；…」；本機專用測試環境（同一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daily digest 2026-09-25</t>
    </r>
    <r>
      <rPr>
        <sz val="10"/>
        <rFont val="Noto Sans CJK SC"/>
        <family val="2"/>
      </rPr>
      <t xml:space="preserve">：組合 —，警示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，…」；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流程中 </t>
    </r>
    <r>
      <rPr>
        <sz val="10"/>
        <rFont val="Arial"/>
        <family val="0"/>
        <charset val="1"/>
      </rPr>
      <t xml:space="preserve">generate_calibrations </t>
    </r>
    <r>
      <rPr>
        <sz val="10"/>
        <rFont val="Noto Sans CJK SC"/>
        <family val="2"/>
      </rPr>
      <t xml:space="preserve">在最低樣本數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版）、越權內文被拒（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版）、正常產生（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版）三種情況明細皆「</t>
    </r>
    <r>
      <rPr>
        <sz val="10"/>
        <rFont val="Arial"/>
        <family val="0"/>
        <charset val="1"/>
      </rPr>
      <t xml:space="preserve">calibration pass complete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</si>
  <si>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portfolio_dash/scheduler/jobs.py:1051 `f"{len(alerts)} alert(s) [...], {dispatched} dispatched; 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 `return "evaluate pass complete"`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 `return "calibration pass complete"`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）——運行紀錄明細由英文句組成；評分與校正工作丟掉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的結果，不論產生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版、被驗證器拒絕或產生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版，明細都一樣。同類：</t>
    </r>
    <r>
      <rPr>
        <sz val="10"/>
        <rFont val="Arial"/>
        <family val="0"/>
        <charset val="1"/>
      </rPr>
      <t xml:space="preserve">api/digest_service.py:512 `f"daily digest {…}"`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:684 weekly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jobs.py:1132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 news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 `backup ok -&gt; …`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`{written} snapshot(s) written`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處「</t>
    </r>
    <r>
      <rPr>
        <sz val="10"/>
        <rFont val="Arial"/>
        <family val="0"/>
        <charset val="1"/>
      </rPr>
      <t xml:space="preserve">no … runner registered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generate.py:250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（洞察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、列舉碼或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英文當明細）、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117-121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notify</t>
    </r>
    <r>
      <rPr>
        <sz val="10"/>
        <rFont val="Noto Sans CJK SC"/>
        <family val="2"/>
      </rPr>
      <t xml:space="preserve">：…」、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manual: organized …</t>
    </r>
    <r>
      <rPr>
        <sz val="10"/>
        <rFont val="Noto Sans CJK SC"/>
        <family val="2"/>
      </rPr>
      <t xml:space="preserve">」</t>
    </r>
  </si>
  <si>
    <t xml:space="preserve"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</si>
  <si>
    <t xml:space="preserve">DEF-074</t>
  </si>
  <si>
    <t xml:space="preserve">股利收件匣的掃描宇宙（api/dividend_inbox.py:216-222）仍含已封存但有買入歷史的標的，同一排程的後備路徑卻已排除封存——同一工作兩套口徑</t>
  </si>
  <si>
    <t xml:space="preserve">開發者 R5 決策項 ①（DEF-064 附帶）：dividend_inbox 以 list_instruments 中「有最早取得日」的標的組成掃描清單，不看封存；後備路徑走 build_worklist（DEF-064 共用判定）</t>
  </si>
  <si>
    <r>
      <rPr>
        <sz val="10"/>
        <rFont val="Arial"/>
        <family val="0"/>
        <charset val="1"/>
      </rPr>
      <t xml:space="preserve">portfolio_dash/api/dividend_inbox.py:220 `for i in list_instruments(conn)`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:216-222</t>
    </r>
    <r>
      <rPr>
        <sz val="10"/>
        <rFont val="Noto Sans CJK SC"/>
        <family val="2"/>
      </rPr>
      <t xml:space="preserve">）——股利收件匣排程的掃描宇宙只依「有最早取得日」過濾、不看封存；同一個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排程的後備路徑（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）已走 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的共用判定排除封存，同一工作兩套口徑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</si>
  <si>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）①：</t>
    </r>
    <r>
      <rPr>
        <sz val="10"/>
        <rFont val="Arial"/>
        <family val="0"/>
        <charset val="1"/>
      </rPr>
      <t xml:space="preserve">B——</t>
    </r>
    <r>
      <rPr>
        <sz val="10"/>
        <rFont val="Noto Sans CJK SC"/>
        <family val="2"/>
      </rPr>
      <t xml:space="preserve">改走共用判定，排除已封存（持有中的標的不會被封存，不影響持倉配息）。規格見 </t>
    </r>
    <r>
      <rPr>
        <sz val="10"/>
        <rFont val="Arial"/>
        <family val="0"/>
        <charset val="1"/>
      </rPr>
      <t xml:space="preserve">docs/audit/2026-09-25-r5-dev-specs.md §11
R6 </t>
    </r>
    <r>
      <rPr>
        <sz val="10"/>
        <rFont val="Noto Sans CJK SC"/>
        <family val="2"/>
      </rPr>
      <t xml:space="preserve">複驗通過（黑箱重放＋驗證者變異）</t>
    </r>
  </si>
  <si>
    <t xml:space="preserve">DEF-075</t>
  </si>
  <si>
    <t xml:space="preserve">觀察清單「持有」徽章與永久移除守門仍用舊判定（current_shares &gt; 0，全日期淨額）：只靠未來日期賣出清倉、或放空中的標的顯示「觀察」，按移除卻回 422「持倉中的標的不可移除或封存」</t>
  </si>
  <si>
    <t xml:space="preserve"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</si>
  <si>
    <r>
      <rPr>
        <sz val="10"/>
        <rFont val="Arial"/>
        <family val="0"/>
        <charset val="1"/>
      </rPr>
      <t xml:space="preserve">portfolio_dash/api/routers/instruments.py:62 `return any(current_shares(conn, aid, symbol) &gt; 0 for aid in account_ids)`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用在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（觀察清單徽章 </t>
    </r>
    <r>
      <rPr>
        <sz val="10"/>
        <rFont val="Arial"/>
        <family val="0"/>
        <charset val="1"/>
      </rPr>
      <t xml:space="preserve">held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（永久移除守門），是全日期淨額且只看多單；封存／移除（</t>
    </r>
    <r>
      <rPr>
        <sz val="10"/>
        <rFont val="Arial"/>
        <family val="0"/>
        <charset val="1"/>
      </rPr>
      <t xml:space="preserve">:673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:702</t>
    </r>
    <r>
      <rPr>
        <sz val="10"/>
        <rFont val="Noto Sans CJK SC"/>
        <family val="2"/>
      </rPr>
      <t xml:space="preserve">）已用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，兩邊判定不同，所以只靠未來日期賣出清倉或放空中的標的顯示「觀察」、按移除卻回 </t>
    </r>
    <r>
      <rPr>
        <sz val="10"/>
        <rFont val="Arial"/>
        <family val="0"/>
        <charset val="1"/>
      </rPr>
      <t xml:space="preserve">422</t>
    </r>
  </si>
  <si>
    <t xml:space="preserve"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</si>
  <si>
    <t xml:space="preserve">DEF-076</t>
  </si>
  <si>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strategy/alerts.py:357</t>
    </r>
    <r>
      <rPr>
        <sz val="10"/>
        <rFont val="Noto Sans CJK SC"/>
        <family val="2"/>
      </rPr>
      <t xml:space="preserve">），規則名是「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額度偏低」——同一條預警兩種名稱</t>
    </r>
  </si>
  <si>
    <t xml:space="preserve">開發者 R5 決策項 ⑤（DEF-062 附帶）：預警規則頁與 /api/alert-rules 為「AI 額度偏低」，預警事件標題與 LLM 提示詞中的預警標題為「LLM 額度偏低」</t>
  </si>
  <si>
    <r>
      <rPr>
        <sz val="10"/>
        <rFont val="Arial"/>
        <family val="0"/>
        <charset val="1"/>
      </rPr>
      <t xml:space="preserve">portfolio_dash/strategy/alerts.py:357 `id="quota_low", sev=sev, rule="quota_low", title="LLM </t>
    </r>
    <r>
      <rPr>
        <sz val="10"/>
        <rFont val="Noto Sans CJK SC"/>
        <family val="2"/>
      </rPr>
      <t xml:space="preserve">額度偏低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）——事件標題與規則名「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shared/alert_rule_names.py</t>
    </r>
    <r>
      <rPr>
        <sz val="10"/>
        <rFont val="Noto Sans CJK SC"/>
        <family val="2"/>
      </rPr>
      <t xml:space="preserve">）用詞不同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</si>
  <si>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）⑤：統一為「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額度偏低」（接受提示詞中預警標題改變造成當日快取一次性未命中）。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在通知中心的訂閱開關本次未裁定，維持現狀。規格見 </t>
    </r>
    <r>
      <rPr>
        <sz val="10"/>
        <rFont val="Arial"/>
        <family val="0"/>
        <charset val="1"/>
      </rPr>
      <t xml:space="preserve">docs/audit/2026-09-25-r5-dev-specs.md §13
R6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對話裁定（畫面其他「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」字樣一併改稱「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」）驗收。附註：門檻 </t>
    </r>
    <r>
      <rPr>
        <sz val="10"/>
        <rFont val="Arial"/>
        <family val="0"/>
        <charset val="1"/>
      </rPr>
      <t xml:space="preserve">1.00 → 4.00 → 1.00 </t>
    </r>
    <r>
      <rPr>
        <sz val="10"/>
        <rFont val="Noto Sans CJK SC"/>
        <family val="2"/>
      </rPr>
      <t xml:space="preserve">為設定頁操作（系統紀錄留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設定變更」），已還原。觀察：排程中心 › 系統操作紀錄 中修正前寫入的舊列仍顯示「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設定變更／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操作」（本機環境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的列），開發者比照裁定 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保留；如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希望舊列也改稱，可由讀取時對照動作標籤處理，不影響本張結案</t>
    </r>
  </si>
  <si>
    <r>
      <rPr>
        <sz val="10"/>
        <rFont val="Arial"/>
        <family val="0"/>
        <charset val="1"/>
      </rPr>
      <t xml:space="preserve">J-01</t>
    </r>
    <r>
      <rPr>
        <sz val="10"/>
        <rFont val="Noto Sans CJK SC"/>
        <family val="2"/>
      </rPr>
      <t xml:space="preserve">（附帶）</t>
    </r>
  </si>
  <si>
    <t xml:space="preserve">匯率三角一致性拿各匯率的「最新一筆」比較：三條腿日期不同時顯示 ok:false，實際沒有資料錯誤（R5 J-01：USD/TWD 推導 31.799144 vs 直接 31.829000、gap −0.0938%、ok:false）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</si>
  <si>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尚未更新時，推導值只到兩腿都有的舊日期，與直接值不同日相比而判紅</t>
    </r>
  </si>
  <si>
    <r>
      <rPr>
        <sz val="10"/>
        <rFont val="Arial"/>
        <family val="0"/>
        <charset val="1"/>
      </rPr>
      <t xml:space="preserve">portfolio_dash/portfolio/dashboard.py:196-197 `implied = leg1.rate * leg2.rate` / `direct = direct_read.rate`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）——三條腿都是 </t>
    </r>
    <r>
      <rPr>
        <sz val="10"/>
        <rFont val="Arial"/>
        <family val="0"/>
        <charset val="1"/>
      </rPr>
      <t xml:space="preserve">get_fx </t>
    </r>
    <r>
      <rPr>
        <sz val="10"/>
        <rFont val="Noto Sans CJK SC"/>
        <family val="2"/>
      </rPr>
      <t xml:space="preserve">取到的「最新一筆」，日期不同也照樣相比，</t>
    </r>
    <r>
      <rPr>
        <sz val="10"/>
        <rFont val="Arial"/>
        <family val="0"/>
        <charset val="1"/>
      </rPr>
      <t xml:space="preserve">:210 </t>
    </r>
    <r>
      <rPr>
        <sz val="10"/>
        <rFont val="Noto Sans CJK SC"/>
        <family val="2"/>
      </rPr>
      <t xml:space="preserve">判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；呼叫點 </t>
    </r>
    <r>
      <rPr>
        <sz val="10"/>
        <rFont val="Arial"/>
        <family val="0"/>
        <charset val="1"/>
      </rPr>
      <t xml:space="preserve">:982 </t>
    </r>
    <r>
      <rPr>
        <sz val="10"/>
        <rFont val="Noto Sans CJK SC"/>
        <family val="2"/>
      </rPr>
      <t xml:space="preserve">只傳最新值，沒有歷史可讀
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根因（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web/styles.css:1240 `.fresh-note` </t>
    </r>
    <r>
      <rPr>
        <sz val="10"/>
        <rFont val="Noto Sans CJK SC"/>
        <family val="2"/>
      </rPr>
      <t xml:space="preserve">預設 </t>
    </r>
    <r>
      <rPr>
        <sz val="10"/>
        <rFont val="Arial"/>
        <family val="0"/>
        <charset val="1"/>
      </rPr>
      <t xml:space="preserve">color: var(--amber)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background: var(--amber-soft)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web/app.js:1393 </t>
    </r>
    <r>
      <rPr>
        <sz val="10"/>
        <rFont val="Noto Sans CJK SC"/>
        <family val="2"/>
      </rPr>
      <t xml:space="preserve">三種狀態都建成 </t>
    </r>
    <r>
      <rPr>
        <sz val="10"/>
        <rFont val="Arial"/>
        <family val="0"/>
        <charset val="1"/>
      </rPr>
      <t xml:space="preserve">`el('div', 'fresh-note')`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:1399 `if (t.ok === false) n.style.color = 'var(--amber)'` </t>
    </r>
    <r>
      <rPr>
        <sz val="10"/>
        <rFont val="Noto Sans CJK SC"/>
        <family val="2"/>
      </rPr>
      <t xml:space="preserve">只能在琥珀預設上再加琥珀——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顏色無法移除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的預設色，</t>
    </r>
    <r>
      <rPr>
        <sz val="10"/>
        <rFont val="Arial"/>
        <family val="0"/>
        <charset val="1"/>
      </rPr>
      <t xml:space="preserve">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沒有任何樣式蓋掉預設。同類：</t>
    </r>
    <r>
      <rPr>
        <sz val="10"/>
        <rFont val="Arial"/>
        <family val="0"/>
        <charset val="1"/>
      </rPr>
      <t xml:space="preserve">web/settings-llm.js:71-74 </t>
    </r>
    <r>
      <rPr>
        <sz val="10"/>
        <rFont val="Noto Sans CJK SC"/>
        <family val="2"/>
      </rPr>
      <t xml:space="preserve">額度偏低以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設琥珀，只有 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（啟用中）清除，已關閉（</t>
    </r>
    <r>
      <rPr>
        <sz val="10"/>
        <rFont val="Arial"/>
        <family val="0"/>
        <charset val="1"/>
      </rPr>
      <t xml:space="preserve">:63-65</t>
    </r>
    <r>
      <rPr>
        <sz val="10"/>
        <rFont val="Noto Sans CJK SC"/>
        <family val="2"/>
      </rPr>
      <t xml:space="preserve">）與額度歸零（</t>
    </r>
    <r>
      <rPr>
        <sz val="10"/>
        <rFont val="Arial"/>
        <family val="0"/>
        <charset val="1"/>
      </rPr>
      <t xml:space="preserve">:66-69</t>
    </r>
    <r>
      <rPr>
        <sz val="10"/>
        <rFont val="Noto Sans CJK SC"/>
        <family val="2"/>
      </rPr>
      <t xml:space="preserve">）分支沿用上一次的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琥珀；</t>
    </r>
    <r>
      <rPr>
        <sz val="10"/>
        <rFont val="Arial"/>
        <family val="0"/>
        <charset val="1"/>
      </rPr>
      <t xml:space="preserve">web/app.js:1360</t>
    </r>
    <r>
      <rPr>
        <sz val="10"/>
        <rFont val="Noto Sans CJK SC"/>
        <family val="2"/>
      </rPr>
      <t xml:space="preserve">「推導」標籤用 </t>
    </r>
    <r>
      <rPr>
        <sz val="10"/>
        <rFont val="Arial"/>
        <family val="0"/>
        <charset val="1"/>
      </rPr>
      <t xml:space="preserve">.badge-stale-mini</t>
    </r>
    <r>
      <rPr>
        <sz val="10"/>
        <rFont val="Noto Sans CJK SC"/>
        <family val="2"/>
      </rPr>
      <t xml:space="preserve">（過期的琥珀徽章）。</t>
    </r>
  </si>
  <si>
    <t xml:space="preserve">R7</t>
  </si>
  <si>
    <t xml:space="preserve"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</si>
  <si>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</si>
  <si>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模型抽屜的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輸入欄是 </t>
    </r>
    <r>
      <rPr>
        <sz val="10"/>
        <rFont val="Arial"/>
        <family val="0"/>
        <charset val="1"/>
      </rPr>
      <t xml:space="preserve">type="text"</t>
    </r>
    <r>
      <rPr>
        <sz val="10"/>
        <rFont val="Noto Sans CJK SC"/>
        <family val="2"/>
      </rPr>
      <t xml:space="preserve">（重設後輸入的新金鑰以明文顯示、</t>
    </r>
    <r>
      <rPr>
        <sz val="10"/>
        <rFont val="Arial"/>
        <family val="0"/>
        <charset val="1"/>
      </rPr>
      <t xml:space="preserve">autocomplete </t>
    </r>
    <r>
      <rPr>
        <sz val="10"/>
        <rFont val="Noto Sans CJK SC"/>
        <family val="2"/>
      </rPr>
      <t xml:space="preserve">空）；同類祕密輸入欄共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個（模型金鑰、資料來源 </t>
    </r>
    <r>
      <rPr>
        <sz val="10"/>
        <rFont val="Arial"/>
        <family val="0"/>
        <charset val="1"/>
      </rPr>
      <t xml:space="preserve">API Key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bot token</t>
    </r>
    <r>
      <rPr>
        <sz val="10"/>
        <rFont val="Noto Sans CJK SC"/>
        <family val="2"/>
      </rPr>
      <t xml:space="preserve">）都不是密碼欄位</t>
    </r>
  </si>
  <si>
    <t xml:space="preserve">本機專用測試環境（H-01）：模型抽屜 #dr-key 按「重設」後 type=text、placeholder「輸入新的 API Key…」；讀碼：web/settings.html:631、:533、:550，web/settings-datasources.js 重設對話框 inp.type = 'text'</t>
  </si>
  <si>
    <r>
      <rPr>
        <sz val="10"/>
        <rFont val="Arial"/>
        <family val="0"/>
        <charset val="1"/>
      </rPr>
      <t xml:space="preserve">web/settings.html:631 `&lt;input class="input" id="dr-key" readonly="readonly" spellcheck="false"&gt;`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，未指定 </t>
    </r>
    <r>
      <rPr>
        <sz val="10"/>
        <rFont val="Arial"/>
        <family val="0"/>
        <charset val="1"/>
      </rPr>
      <t xml:space="preserve">type </t>
    </r>
    <r>
      <rPr>
        <sz val="10"/>
        <rFont val="Noto Sans CJK SC"/>
        <family val="2"/>
      </rPr>
      <t xml:space="preserve">即 </t>
    </r>
    <r>
      <rPr>
        <sz val="10"/>
        <rFont val="Arial"/>
        <family val="0"/>
        <charset val="1"/>
      </rPr>
      <t xml:space="preserve">text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:533 #nt-ntfy-token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 #nt-tg-token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web/settings-datasources.js:218 `inp.type = 'text';`——</t>
    </r>
    <r>
      <rPr>
        <sz val="10"/>
        <rFont val="Noto Sans CJK SC"/>
        <family val="2"/>
      </rPr>
      <t xml:space="preserve">祕密輸入欄是明文欄位，輸入或貼上的金鑰直接顯示</t>
    </r>
  </si>
  <si>
    <t xml:space="preserve"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</si>
  <si>
    <t xml:space="preserve">DEF-079</t>
  </si>
  <si>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</si>
  <si>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校正版本以錯誤依據產生：沒有生效版時第一版的失誤樣本為 0 筆，之後的版本以最新版而非生效版的內文為底</t>
  </si>
  <si>
    <t xml:space="preserve"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</si>
  <si>
    <r>
      <rPr>
        <sz val="10"/>
        <rFont val="Arial"/>
        <family val="0"/>
        <charset val="1"/>
      </rPr>
      <t xml:space="preserve">portfolio_dash/api/insight_service.py:902 `active_version = active[-1].version if active else 1`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）——沒有生效版的任務，卡片與評分的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，卻用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取樣本，第一版在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筆失誤樣本下產生（實測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 →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筆樣本）；同段 </t>
    </r>
    <r>
      <rPr>
        <sz val="10"/>
        <rFont val="Arial"/>
        <family val="0"/>
        <charset val="1"/>
      </rPr>
      <t xml:space="preserve">:901 `active_body = active[-1].body if active else ""` </t>
    </r>
    <r>
      <rPr>
        <sz val="10"/>
        <rFont val="Noto Sans CJK SC"/>
        <family val="2"/>
      </rPr>
      <t xml:space="preserve">以最新版（可能是未採用或已輸掉的影子）為底，而不是生效版</t>
    </r>
  </si>
  <si>
    <t xml:space="preserve">開發者 R6 修 DEF-070 時發現；owner 2026-09-26 在對話中裁定本輪一起修。
R6 複驗通過（黑箱重放＋驗證者變異）</t>
  </si>
  <si>
    <t xml:space="preserve">DEF-080</t>
  </si>
  <si>
    <t xml:space="preserve">校正產生的觸發條件讀取任務全部歷史，同一批舊失誤每週重複觸發產生新版本</t>
  </si>
  <si>
    <t xml:space="preserve"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</si>
  <si>
    <r>
      <rPr>
        <sz val="10"/>
        <rFont val="Arial"/>
        <family val="0"/>
        <charset val="1"/>
      </rPr>
      <t xml:space="preserve">portfolio_dash/api/insight_service.py:891 `resolved = es.resolved_sample_count(conn, it.id)`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），以及 </t>
    </r>
    <r>
      <rPr>
        <sz val="10"/>
        <rFont val="Arial"/>
        <family val="0"/>
        <charset val="1"/>
      </rPr>
      <t xml:space="preserve">:892 combo_score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:893 consecutive_misses——</t>
    </r>
    <r>
      <rPr>
        <sz val="10"/>
        <rFont val="Noto Sans CJK SC"/>
        <family val="2"/>
      </rPr>
      <t xml:space="preserve">三者都讀任務的全部生效卡歷史；產生新版本不會「消耗」掉用過的失誤，下個週日同一批失誤又觸發一次</t>
    </r>
  </si>
  <si>
    <r>
      <rPr>
        <sz val="10"/>
        <rFont val="Arial"/>
        <family val="0"/>
        <charset val="1"/>
      </rPr>
      <t xml:space="preserve">H-07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</si>
  <si>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戰績「各洞察任務命中率」與「預測明細」以「任務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」稱呼洞察任務，不是任務名稱</t>
    </r>
  </si>
  <si>
    <t xml:space="preserve"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</si>
  <si>
    <r>
      <rPr>
        <sz val="10"/>
        <rFont val="Arial"/>
        <family val="0"/>
        <charset val="1"/>
      </rPr>
      <t xml:space="preserve">web/insights.html:688 `el('span', 'name',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c.insight_type_id)`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 `el('td', 'col-text',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r.insight_type_id)`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GET /api/ai-score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portfolio_dash/api/routers/insights.py:914 `return payload`</t>
    </r>
    <r>
      <rPr>
        <sz val="10"/>
        <rFont val="Noto Sans CJK SC"/>
        <family val="2"/>
      </rPr>
      <t xml:space="preserve">）的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只帶 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，畫面沒有名稱可印</t>
    </r>
  </si>
  <si>
    <t xml:space="preserve"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</si>
  <si>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洞察卡的代號檢核把括號內「已註冊標的的英文名稱」當成未知代號：</t>
    </r>
    <r>
      <rPr>
        <sz val="10"/>
        <rFont val="Arial"/>
        <family val="0"/>
        <charset val="1"/>
      </rPr>
      <t xml:space="preserve">#209 </t>
    </r>
    <r>
      <rPr>
        <sz val="10"/>
        <rFont val="Noto Sans CJK SC"/>
        <family val="2"/>
      </rPr>
      <t xml:space="preserve">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」即標「未知代碼：</t>
    </r>
    <r>
      <rPr>
        <sz val="10"/>
        <rFont val="Arial"/>
        <family val="0"/>
        <charset val="1"/>
      </rPr>
      <t xml:space="preserve">LARGAN…</t>
    </r>
    <r>
      <rPr>
        <sz val="10"/>
        <rFont val="Noto Sans CJK SC"/>
        <family val="2"/>
      </rPr>
      <t xml:space="preserve">可能是模型幻覺」</t>
    </r>
  </si>
  <si>
    <t xml:space="preserve">R8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</si>
  <si>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洞察卡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卡片提到的代號不在持倉、觀察清單或已註冊標的中，可能是模型幻覺」；</t>
    </r>
    <r>
      <rPr>
        <sz val="10"/>
        <rFont val="Arial"/>
        <family val="0"/>
        <charset val="1"/>
      </rPr>
      <t xml:space="preserve">GET /api/insights #209 figure_flags.unknown_symbols ["LARGAN"]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/api/instruments 3008 name "LARGAN"</t>
    </r>
    <r>
      <rPr>
        <sz val="10"/>
        <rFont val="Noto Sans CJK SC"/>
        <family val="2"/>
      </rPr>
      <t xml:space="preserve">（持有中）；同句前文「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」即為該標的</t>
    </r>
  </si>
  <si>
    <r>
      <rPr>
        <sz val="10"/>
        <rFont val="Arial"/>
        <family val="0"/>
        <charset val="1"/>
      </rPr>
      <t xml:space="preserve">portfolio_dash/llm_insight/figure_check.py:151 `_CODE_RE` </t>
    </r>
    <r>
      <rPr>
        <sz val="10"/>
        <rFont val="Noto Sans CJK SC"/>
        <family val="2"/>
      </rPr>
      <t xml:space="preserve">把括號內以大寫字母開頭、≤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讀成代號；</t>
    </r>
    <r>
      <rPr>
        <sz val="10"/>
        <rFont val="Arial"/>
        <family val="0"/>
        <charset val="1"/>
      </rPr>
      <t xml:space="preserve">:460-474 `_unknown_symbols`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`_known_forms(known_symbols)`</t>
    </r>
    <r>
      <rPr>
        <sz val="10"/>
        <rFont val="Noto Sans CJK SC"/>
        <family val="2"/>
      </rPr>
      <t xml:space="preserve">（已登錄代號及其去後綴形）；</t>
    </r>
    <r>
      <rPr>
        <sz val="10"/>
        <rFont val="Arial"/>
        <family val="0"/>
        <charset val="1"/>
      </rPr>
      <t xml:space="preserve">portfolio_dash/api/routers/insights.py:1150 `_known_symbols` </t>
    </r>
    <r>
      <rPr>
        <sz val="10"/>
        <rFont val="Noto Sans CJK SC"/>
        <family val="2"/>
      </rPr>
      <t xml:space="preserve">也只讀 </t>
    </r>
    <r>
      <rPr>
        <sz val="10"/>
        <rFont val="Arial"/>
        <family val="0"/>
        <charset val="1"/>
      </rPr>
      <t xml:space="preserve">`i.symbol`——</t>
    </r>
    <r>
      <rPr>
        <sz val="10"/>
        <rFont val="Noto Sans CJK SC"/>
        <family val="2"/>
      </rPr>
      <t xml:space="preserve">已登錄標的的 </t>
    </r>
    <r>
      <rPr>
        <sz val="10"/>
        <rFont val="Arial"/>
        <family val="0"/>
        <charset val="1"/>
      </rPr>
      <t xml:space="preserve">`name` </t>
    </r>
    <r>
      <rPr>
        <sz val="10"/>
        <rFont val="Noto Sans CJK SC"/>
        <family val="2"/>
      </rPr>
      <t xml:space="preserve">從未進入檢核（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；規則自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未變）</t>
    </r>
  </si>
  <si>
    <t xml:space="preserve">R9</t>
  </si>
  <si>
    <t xml:space="preserve"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</si>
  <si>
    <t xml:space="preserve">DEF-083</t>
  </si>
  <si>
    <t xml:space="preserve">主模型失敗時的備援模型（haiku-4.5，經 OpenRouter）一律被供應商以 HTTP 400 拒絕：送出的 JSON Schema 含 Decimal 欄位的負向前瞻正規式「(?!…)」，Anthropic 結構化輸出不支援 → 備援在真實供應商上完全失效</t>
  </si>
  <si>
    <t xml:space="preserve">R10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</si>
  <si>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目標下限設 </t>
    </r>
    <r>
      <rPr>
        <sz val="10"/>
        <rFont val="Arial"/>
        <family val="0"/>
        <charset val="1"/>
      </rPr>
      <t xml:space="preserve">999 → </t>
    </r>
    <r>
      <rPr>
        <sz val="10"/>
        <rFont val="Noto Sans CJK SC"/>
        <family val="2"/>
      </rPr>
      <t xml:space="preserve">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立即執行（</t>
    </r>
    <r>
      <rPr>
        <sz val="10"/>
        <rFont val="Arial"/>
        <family val="0"/>
        <charset val="1"/>
      </rPr>
      <t xml:space="preserve">run #213</t>
    </r>
    <r>
      <rPr>
        <sz val="10"/>
        <rFont val="Noto Sans CJK SC"/>
        <family val="2"/>
      </rPr>
      <t xml:space="preserve">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張）→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呼叫失敗，本次停止（尚未產出卡片）：主模型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）」。資料中心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2026-09-28 17:27:27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provider_error</t>
    </r>
    <r>
      <rPr>
        <sz val="10"/>
        <rFont val="Noto Sans CJK SC"/>
        <family val="2"/>
      </rPr>
      <t xml:space="preserve">）原文：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轉送 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Google </t>
    </r>
    <r>
      <rPr>
        <sz val="10"/>
        <rFont val="Noto Sans CJK SC"/>
        <family val="2"/>
      </rPr>
      <t xml:space="preserve">四個供應商皆回 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GET /api/llm/config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default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vision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master </t>
    </r>
    <r>
      <rPr>
        <sz val="10"/>
        <rFont val="Noto Sans CJK SC"/>
        <family val="2"/>
      </rPr>
      <t xml:space="preserve">三個角色的備援都是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openrouter</t>
    </r>
    <r>
      <rPr>
        <sz val="10"/>
        <rFont val="Noto Sans CJK SC"/>
        <family val="2"/>
      </rPr>
      <t xml:space="preserve">）。本機（同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、假端點擷取實際送出的請求、非憑證假金鑰）：</t>
    </r>
    <r>
      <rPr>
        <sz val="10"/>
        <rFont val="Arial"/>
        <family val="0"/>
        <charset val="1"/>
      </rPr>
      <t xml:space="preserve">openrouter/anthropic/claude-haiku-4.5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openrouter/google/gemini-2.5-flash-lite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litellm supports_response_schema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，送出 </t>
    </r>
    <r>
      <rPr>
        <sz val="10"/>
        <rFont val="Arial"/>
        <family val="0"/>
        <charset val="1"/>
      </rPr>
      <t xml:space="preserve">response_format json_schema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」，其中 </t>
    </r>
    <r>
      <rPr>
        <sz val="10"/>
        <rFont val="Arial"/>
        <family val="0"/>
        <charset val="1"/>
      </rPr>
      <t xml:space="preserve">prediction.target_pct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產生）
另一條不依賴主模型失敗、可固定重現的路徑（驗證者 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› 模型選「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」→ 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解析：失敗記錄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provider_error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Invalid regex in pattern field: Quantifier '?' without preceding element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Schema type 'oneOf' is not supported</t>
    </r>
    <r>
      <rPr>
        <sz val="10"/>
        <rFont val="Noto Sans CJK SC"/>
        <family val="2"/>
      </rPr>
      <t xml:space="preserve">」），隨即改由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只寫「✓ 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筆草稿」，畫面「模型：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」（花費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；交易帳本仍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</t>
    </r>
  </si>
  <si>
    <r>
      <rPr>
        <sz val="10"/>
        <rFont val="Arial"/>
        <family val="0"/>
        <charset val="1"/>
      </rPr>
      <t xml:space="preserve">portfolio_dash/shared/llm.py:175-187 `_response_format_for`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`schema.model_json_schema()`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:185</t>
    </r>
    <r>
      <rPr>
        <sz val="10"/>
        <rFont val="Noto Sans CJK SC"/>
        <family val="2"/>
      </rPr>
      <t xml:space="preserve">）原樣當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送出；</t>
    </r>
    <r>
      <rPr>
        <sz val="10"/>
        <rFont val="Arial"/>
        <family val="0"/>
        <charset val="1"/>
      </rPr>
      <t xml:space="preserve">:453-454 </t>
    </r>
    <r>
      <rPr>
        <sz val="10"/>
        <rFont val="Noto Sans CJK SC"/>
        <family val="2"/>
      </rPr>
      <t xml:space="preserve">只要 </t>
    </r>
    <r>
      <rPr>
        <sz val="10"/>
        <rFont val="Arial"/>
        <family val="0"/>
        <charset val="1"/>
      </rPr>
      <t xml:space="preserve">`litellm.supports_response_schema`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 </t>
    </r>
    <r>
      <rPr>
        <sz val="10"/>
        <rFont val="Noto Sans CJK SC"/>
        <family val="2"/>
      </rPr>
      <t xml:space="preserve">就附上（已安裝 </t>
    </r>
    <r>
      <rPr>
        <sz val="10"/>
        <rFont val="Arial"/>
        <family val="0"/>
        <charset val="1"/>
      </rPr>
      <t xml:space="preserve">litellm 1.88.1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openrouter/anthropic/*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openrouter/google/*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」（負向前瞻；</t>
    </r>
    <r>
      <rPr>
        <sz val="10"/>
        <rFont val="Arial"/>
        <family val="0"/>
        <charset val="1"/>
      </rPr>
      <t xml:space="preserve">llm_insight/cards.py:33 target_pct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data_ingestion/agents.py:85-86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119-123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152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個欄位），</t>
    </r>
    <r>
      <rPr>
        <sz val="10"/>
        <rFont val="Arial"/>
        <family val="0"/>
        <charset val="1"/>
      </rPr>
      <t xml:space="preserve">agents.py:171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AnyDraft </t>
    </r>
    <r>
      <rPr>
        <sz val="10"/>
        <rFont val="Noto Sans CJK SC"/>
        <family val="2"/>
      </rPr>
      <t xml:space="preserve">判別聯集產生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discriminator——Anthropic </t>
    </r>
    <r>
      <rPr>
        <sz val="10"/>
        <rFont val="Noto Sans CJK SC"/>
        <family val="2"/>
      </rPr>
      <t xml:space="preserve">拒前瞻、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:203-209 </t>
    </r>
    <r>
      <rPr>
        <sz val="10"/>
        <rFont val="Noto Sans CJK SC"/>
        <family val="2"/>
      </rPr>
      <t xml:space="preserve">註解稱 </t>
    </r>
    <r>
      <rPr>
        <sz val="10"/>
        <rFont val="Arial"/>
        <family val="0"/>
        <charset val="1"/>
      </rPr>
      <t xml:space="preserve">openrouter/* </t>
    </r>
    <r>
      <rPr>
        <sz val="10"/>
        <rFont val="Noto Sans CJK SC"/>
        <family val="2"/>
      </rPr>
      <t xml:space="preserve">一律不支援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，與已安裝版本不符。畫面沒說明的根因：</t>
    </r>
    <r>
      <rPr>
        <sz val="10"/>
        <rFont val="Arial"/>
        <family val="0"/>
        <charset val="1"/>
      </rPr>
      <t xml:space="preserve">llm.py:594-601 complete_structured_meta </t>
    </r>
    <r>
      <rPr>
        <sz val="10"/>
        <rFont val="Noto Sans CJK SC"/>
        <family val="2"/>
      </rPr>
      <t xml:space="preserve">回傳第一個成功的候選、丟掉之前的失敗；</t>
    </r>
    <r>
      <rPr>
        <sz val="10"/>
        <rFont val="Arial"/>
        <family val="0"/>
        <charset val="1"/>
      </rPr>
      <t xml:space="preserve">agents.py:221-229 `_latest_meta` </t>
    </r>
    <r>
      <rPr>
        <sz val="10"/>
        <rFont val="Noto Sans CJK SC"/>
        <family val="2"/>
      </rPr>
      <t xml:space="preserve">由最新一筆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反推模型，無從得知發生過備援（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</si>
  <si>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R11</t>
  </si>
  <si>
    <t xml:space="preserve"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</si>
  <si>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抽取失敗記錄中「模型坦承無法歸類」（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）的紀錄不記模型：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空白、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，下載的 </t>
    </r>
    <r>
      <rPr>
        <sz val="10"/>
        <rFont val="Arial"/>
        <family val="0"/>
        <charset val="1"/>
      </rPr>
      <t xml:space="preserve">.jsonl </t>
    </r>
    <r>
      <rPr>
        <sz val="10"/>
        <rFont val="Noto Sans CJK SC"/>
        <family val="2"/>
      </rPr>
      <t xml:space="preserve">無從得知是哪個模型的回覆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</si>
  <si>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抽取失敗記錄「</t>
    </r>
    <r>
      <rPr>
        <sz val="10"/>
        <rFont val="Arial"/>
        <family val="0"/>
        <charset val="1"/>
      </rPr>
      <t xml:space="preserve">21 / 300 </t>
    </r>
    <r>
      <rPr>
        <sz val="10"/>
        <rFont val="Noto Sans CJK SC"/>
        <family val="2"/>
      </rPr>
      <t xml:space="preserve">筆」→ 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/api/llm-fail-log/export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筆：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 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model ""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；其餘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insight_generate </t>
    </r>
    <r>
      <rPr>
        <sz val="10"/>
        <rFont val="Noto Sans CJK SC"/>
        <family val="2"/>
      </rPr>
      <t xml:space="preserve">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#518 </t>
    </r>
    <r>
      <rPr>
        <sz val="10"/>
        <rFont val="Noto Sans CJK SC"/>
        <family val="2"/>
      </rPr>
      <t xml:space="preserve">為本輪 </t>
    </r>
    <r>
      <rPr>
        <sz val="10"/>
        <rFont val="Arial"/>
        <family val="0"/>
        <charset val="1"/>
      </rPr>
      <t xml:space="preserve">F-05 </t>
    </r>
    <r>
      <rPr>
        <sz val="10"/>
        <rFont val="Noto Sans CJK SC"/>
        <family val="2"/>
      </rPr>
      <t xml:space="preserve">貼上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列時模型回覆「</t>
    </r>
    <r>
      <rPr>
        <sz val="10"/>
        <rFont val="Arial"/>
        <family val="0"/>
        <charset val="1"/>
      </rPr>
      <t xml:space="preserve">invalid date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invalid symbol</t>
    </r>
    <r>
      <rPr>
        <sz val="10"/>
        <rFont val="Noto Sans CJK SC"/>
        <family val="2"/>
      </rPr>
      <t xml:space="preserve">」，同一次呼叫的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17:59:27 google/gemini-2.5-flash-lite ai_agents_input 0.0005814</t>
    </r>
    <r>
      <rPr>
        <sz val="10"/>
        <rFont val="Noto Sans CJK SC"/>
        <family val="2"/>
      </rPr>
      <t xml:space="preserve">）有模型</t>
    </r>
  </si>
  <si>
    <r>
      <rPr>
        <sz val="10"/>
        <rFont val="Arial"/>
        <family val="0"/>
        <charset val="1"/>
      </rPr>
      <t xml:space="preserve">portfolio_dash/data_ingestion/agents.py:558-570 `fail_log.record(conn, agent="ai_agents_input", outcome="unparsed_rows", source_text=…, prompt=…, raw_output=…, error_reason=…)` </t>
    </r>
    <r>
      <rPr>
        <sz val="10"/>
        <rFont val="Noto Sans CJK SC"/>
        <family val="2"/>
      </rPr>
      <t xml:space="preserve">未傳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；呼叫端手上也沒有：</t>
    </r>
    <r>
      <rPr>
        <sz val="10"/>
        <rFont val="Arial"/>
        <family val="0"/>
        <charset val="1"/>
      </rPr>
      <t xml:space="preserve">:533 </t>
    </r>
    <r>
      <rPr>
        <sz val="10"/>
        <rFont val="Noto Sans CJK SC"/>
        <family val="2"/>
      </rPr>
      <t xml:space="preserve">注入的 </t>
    </r>
    <r>
      <rPr>
        <sz val="10"/>
        <rFont val="Arial"/>
        <family val="0"/>
        <charset val="1"/>
      </rPr>
      <t xml:space="preserve">completer </t>
    </r>
    <r>
      <rPr>
        <sz val="10"/>
        <rFont val="Noto Sans CJK SC"/>
        <family val="2"/>
      </rPr>
      <t xml:space="preserve">預設為 </t>
    </r>
    <r>
      <rPr>
        <sz val="10"/>
        <rFont val="Arial"/>
        <family val="0"/>
        <charset val="1"/>
      </rPr>
      <t xml:space="preserve">complete_structured</t>
    </r>
    <r>
      <rPr>
        <sz val="10"/>
        <rFont val="Noto Sans CJK SC"/>
        <family val="2"/>
      </rPr>
      <t xml:space="preserve">，只回傳解析後的值，模型與計費的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列都留在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裡（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</si>
  <si>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</si>
  <si>
    <t xml:space="preserve">DEF-085</t>
  </si>
  <si>
    <t xml:space="preserve">乾跑預檢「✕ AI 額度 額度耗盡（剩餘 $-0.01000）」R6 列沒有修正指引（無按鈕、無「補充額度／前往額度設定」字樣），結論只說「修復上方紅色項目後重跑預檢」</t>
  </si>
  <si>
    <t xml:space="preserve"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</si>
  <si>
    <r>
      <rPr>
        <sz val="10"/>
        <rFont val="Arial"/>
        <family val="0"/>
        <charset val="1"/>
      </rPr>
      <t xml:space="preserve">portfolio_dash/api/insight_service.py:1725-1731 `_RULE_FIX` </t>
    </r>
    <r>
      <rPr>
        <sz val="10"/>
        <rFont val="Noto Sans CJK SC"/>
        <family val="2"/>
      </rPr>
      <t xml:space="preserve">不含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（註解：額度加值不在 </t>
    </r>
    <r>
      <rPr>
        <sz val="10"/>
        <rFont val="Arial"/>
        <family val="0"/>
        <charset val="1"/>
      </rPr>
      <t xml:space="preserve">§7.2 </t>
    </r>
    <r>
      <rPr>
        <sz val="10"/>
        <rFont val="Noto Sans CJK SC"/>
        <family val="2"/>
      </rPr>
      <t xml:space="preserve">列舉），也不含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:1865-1876 `_g7` </t>
    </r>
    <r>
      <rPr>
        <sz val="10"/>
        <rFont val="Noto Sans CJK SC"/>
        <family val="2"/>
      </rPr>
      <t xml:space="preserve">未設大師模型的警告 </t>
    </r>
    <r>
      <rPr>
        <sz val="10"/>
        <rFont val="Arial"/>
        <family val="0"/>
        <charset val="1"/>
      </rPr>
      <t xml:space="preserve">"fix": None——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web/pipeline.js:60-61 </t>
    </r>
    <r>
      <rPr>
        <sz val="10"/>
        <rFont val="Noto Sans CJK SC"/>
        <family val="2"/>
      </rPr>
      <t xml:space="preserve">早已定義 </t>
    </r>
    <r>
      <rPr>
        <sz val="10"/>
        <rFont val="Arial"/>
        <family val="0"/>
        <charset val="1"/>
      </rPr>
      <t xml:space="preserve">fund_quota</t>
    </r>
    <r>
      <rPr>
        <sz val="10"/>
        <rFont val="Noto Sans CJK SC"/>
        <family val="2"/>
      </rPr>
      <t xml:space="preserve">「前往額度設定」與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「前往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大師設定」，後端從未送出；</t>
    </r>
    <r>
      <rPr>
        <sz val="10"/>
        <rFont val="Arial"/>
        <family val="0"/>
        <charset val="1"/>
      </rPr>
      <t xml:space="preserve">web/pipeline-preflight.js:33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存在時畫按鈕。金額：</t>
    </r>
    <r>
      <rPr>
        <sz val="10"/>
        <rFont val="Arial"/>
        <family val="0"/>
        <charset val="1"/>
      </rPr>
      <t xml:space="preserve">portfolio_dash/llm_insight/gating.py:168 `f"</t>
    </r>
    <r>
      <rPr>
        <sz val="10"/>
        <rFont val="Noto Sans CJK SC"/>
        <family val="2"/>
      </rPr>
      <t xml:space="preserve">額度耗盡（剩餘 </t>
    </r>
    <r>
      <rPr>
        <sz val="10"/>
        <rFont val="Arial"/>
        <family val="0"/>
        <charset val="1"/>
      </rPr>
      <t xml:space="preserve">${ctx.budget_remaining}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shared/llm_config.py:312 </t>
    </r>
    <r>
      <rPr>
        <sz val="10"/>
        <rFont val="Noto Sans CJK SC"/>
        <family val="2"/>
      </rPr>
      <t xml:space="preserve">直接印原始 </t>
    </r>
    <r>
      <rPr>
        <sz val="10"/>
        <rFont val="Arial"/>
        <family val="0"/>
        <charset val="1"/>
      </rPr>
      <t xml:space="preserve">Decimal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），管線節點 </t>
    </r>
    <r>
      <rPr>
        <sz val="10"/>
        <rFont val="Arial"/>
        <family val="0"/>
        <charset val="1"/>
      </rPr>
      <t xml:space="preserve">llm_insight/pipeline_status.py:169 </t>
    </r>
    <r>
      <rPr>
        <sz val="10"/>
        <rFont val="Noto Sans CJK SC"/>
        <family val="2"/>
      </rPr>
      <t xml:space="preserve">則量化成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位（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</si>
  <si>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</si>
  <si>
    <t xml:space="preserve">G-01, H-02</t>
  </si>
  <si>
    <t xml:space="preserve"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</si>
  <si>
    <t xml:space="preserve">R12</t>
  </si>
  <si>
    <t xml:space="preserve"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</si>
  <si>
    <t xml:space="preserve"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</si>
  <si>
    <t xml:space="preserve">DEF-087</t>
  </si>
  <si>
    <t xml:space="preserve">守門測試 pytest 1 failed：export 套件出現未列入白名單的裸 str()（ledger_audit.py `_display` 的別名合併），J-06「全綠」不成立</t>
  </si>
  <si>
    <t xml:space="preserve">R13</t>
  </si>
  <si>
    <t xml:space="preserve">本機乾淨 worktree（830056c，無未提交變更）：`pytest`（非 e2e 全套）→ 1 failed／6,851 passed／5 skipped，失敗的是 tests/contract/test_exports_never_print_scientific_notation.py::test_every_bare_str_in_the_export_package_is_listed，AssertionError「Left contains 1 more item: {('ledger_audit.py', '_display'): 1}」。單獨重跑該測試：830056c、e8bcf53 各兩次皆 failed，2fe60ce 10 passed。同一環境 ruff 全過、mypy --strict 983 檔 0、e2e 322／322（211 個伺服器行程 traceback 0、5xx 0）、守門變異 3 組皆攔</t>
  </si>
  <si>
    <t xml:space="preserve">新開</t>
  </si>
  <si>
    <t xml:space="preserve">驗證者 R13 發現。讀碼定位（根因欄留給修復方）：portfolio_dash/export/ledger_audit.py:209 `"、".join(str(a) for a in items)`（e8bcf53 item 8 新增的 aliases 欄顯示）；該守門測試（2fe60ce 新增）要求 export 套件內每個裸 str() 都列在 _ALLOWED_STR（tests/contract/test_exports_never_print_scientific_notation.py:87-99），e8bcf53 未補列 → 自 e8bcf53 起紅燈，R12（d2e5e08）時 J-06 全綠，屬回歸。別名皆為文字，demo 的帳本操作稽核匯出（J-03／J-04，445 列）未見科學記號；影響是閘門不綠、J-06 不成立。修法由修復方決定（列入白名單並註明理由，或改走既有的文字格式化），請附變異測試</t>
  </si>
  <si>
    <t xml:space="preserve">AI 代號辨識對台股中文名稱回傳的別名一律為空：「別名」欄未預填，登錄後也沒有別名（F-01 ②③）</t>
  </si>
  <si>
    <t xml:space="preserve">demo（830056c）觀察清單 › 加入 → 輸入「長榮航」→ 自動 ai-resolve 1 次 → 回 2618／TW／長榮航／Industrials、confidence high、verified、aliases []；「別名」欄空白；確認後 POST /api/instruments 201（aliases []），標的管理顯示 2618 長榮航、沒有別名。同日以同一端點重放 6 次：長榮航、長榮航空 → 2618 長榮航 []；華航 → 2610 []；聯電、聯華電子 → 2303 聯電 []；對照「英特爾」（市場 US）→ INTC Intel Corporation ["英特爾"]</t>
  </si>
  <si>
    <t xml:space="preserve">驗證者 R13 發現。讀碼推定（根因欄留給修復方）：portfolio_dash/api/routers/instruments.py:413 以報價來源的名稱取代模型回的 name（台股為交易所簡稱，如「長榮航」「聯電」），:420-421 只把 reply.aliases 交給 auto_aliases（portfolio_dash/api/instrument_service.py:149-174，經 normalize_aliases 去掉與 name 相同者）；而提示詞 v3（portfolio_dash/llm_insight/official_templates.py 的範例：name「聯華電子」、aliases「聯電」）引導模型把正式名放 name、簡稱放 aliases——簡稱在 name 被換成來源簡稱後與 name 相同而被濾掉，模型給的正式名又不在候選內，結果為空。美股因來源名為英文全名（Intel Corporation），中文別名得以保留。模型原始回覆未留存，此為依程式與提示詞的推定，請修復方以實際回覆確認。花費：F-01 三列 0.0005196；驗證者重放 6 列 0.0010429</t>
  </si>
  <si>
    <t xml:space="preserve">DEF-089</t>
  </si>
  <si>
    <t xml:space="preserve">洞察卡以中文名稱的前段稱呼標的（如「玉山金 (2884)」），名稱檢核刻意接受，但手冊 G-01 ⑤ 要求名稱須為標的管理登錄的名稱或別名之一 → G-01 ⑤ 不成立</t>
  </si>
  <si>
    <t xml:space="preserve">demo（830056c）G-01：以與精靈相同的 POST 建立 per_symbol 任務 #32（2884）→ run #257 ok「產生 1 張卡」；卡 #264（haiku-4.5）兩處寫「玉山金 (2884)」，2884 登錄名稱「玉山金控」、別名「E.SUN」「玉山」；執行明細沒有名稱不符，卡片未標記。同類：demo 全部 225 張卡的名稱／代號配對一致 87 種，另有中文名稱前段 9 處，皆由同一規則放行</t>
  </si>
  <si>
    <t xml:space="preserve">待裁定</t>
  </si>
  <si>
    <t xml:space="preserve">驗證者 R13 發現。讀碼定位：portfolio_dash/llm_insight/name_check.py:19-22（模組說明：中文名稱「任何兩字以上的開頭」皆可，例「玉山金」for 玉山金控、「群聯」for 群聯電子）、:57 _MIN_CJK_PREFIX = 2、:90-97 _ends_with_name。程式刻意接受簡稱前段；手冊 G-01 ⑤（Owner 2026-10-01 改寫）寫「名稱都是該代號在標的管理登錄的名稱或別名之一」，兩者衝突 → 規格未定、OBSERVE。請 Owner 裁定：A 改期望、程式不改——⑤ 改為「登錄名稱、別名，或中文名稱兩字以上的開頭」，G-01 改判 PASS、本張改判非缺陷（手冊期望由開發者依裁定改寫）；B 改程式、期望不變——取消前段放行，常見簡稱需登錄為別名（例 2884 加「玉山金」），需再一輪修復與複驗。驗證者看法：A 與 830056c 的設計一致、不必改程式；B 較嚴格，但未登錄的常見簡稱會觸發重問或不存卡，宜先補別名</t>
  </si>
  <si>
    <t xml:space="preserve">DEF-090</t>
  </si>
  <si>
    <t xml:space="preserve">倒填出金使之後某幾天轉負卻被寫入：資金池更早已有一段負餘額時，後端只比對整段時間的最低點，新產生的負段只要不比既有最低點深就放行（A-06）</t>
  </si>
  <si>
    <t xml:space="preserve">demo（830056c）：嘉信 Schwab TWD 池的資金對帳單——2026-01-12 換匯出 −220,000（demo 既有資料，至 07-01 入金前為負）、2026-07-17 日終 501,000、07-19 200,000、07-20 195,000、07-21 入金後 2,195,000、目前 800,000。資金收支 › 出金 2026-07-17 348,000 TWD（不超過當日與目前餘額，表單不擋）→ POST /api/cash/movements 201（#140），toast「✓ 寫入成功 出金 348000」；寫入後 07-19／07-20 為 −148,000／−153,000。依題目「若寫入成功需刪除」，檢查程式隨即刪除 #140（帳本操作稽核 #446），分段與案例開始時逐字相同。對照：全期間無負值的 Moomoo MY MYR 池倒填出金 423,806（2026-01-05）→ 422 被擋</t>
  </si>
  <si>
    <t xml:space="preserve">驗證者 R13 發現（6B 下台灣券商 TWD 池已無倒填空間，改用另一個符合前置條件的池才遇到；R12 以前 A-06 用的池沒有既有負值）。讀碼定位：portfolio_dash/data_ingestion/validate.py:1990 `if after.low &lt; min(before.low, _ZERO)`——before／after 只取整段時間的最低點；本例前後皆為 −220,000（2026-01-12），新出現的 07-19～07-20 負段不被視為「加深」。同函式說明（:1963-1967）寫「a withdrawal that INTRODUCES or DEEPENS a below-zero dip … is blocked」「A PRE-EXISTING dip it does not worsen never blocks it」——新產生的負段屬 introduces，實作未擋。換匯的同一檢查 portfolio_dash/data_ingestion/fx_import.py:190 同型，請一併做同類掃描。該段程式自 e6fd9f4（R2）未改，不是回歸。嚴重度中：結果與「出金不可透支」互相矛盾，使用者需自行檢查。修法由修復方決定（例：逐日比較，原本 ≥0 的日子變負、或原本為負的日子更負即擋）</t>
  </si>
  <si>
    <t xml:space="preserve">DEF-091</t>
  </si>
  <si>
    <t xml:space="preserve">倒填出金被擋時，訊息點名的是資金池最低點的日期（M5-07 設計），不是第一個轉負的日期；手冊 A-06 要求指出「哪一天開始為負」</t>
  </si>
  <si>
    <t xml:space="preserve">demo（830056c）A-06M：Moomoo MY MYR 池全期間無負值（31 列，日終最低 345,200.17 於 2026-07-19，目前 502,412.62）；資金收支 › 出金 2026-01-05 423,806 MYR（不超過當日日終 600,000 與目前餘額）→ 422 withdraw_insufficient_balance「此筆出金會使 Moomoo MY 的 MYR 現金於 2026-07-19 降至 −78,605.83（出金日早於資金到位）— 出金不可透支，請先補登入金或換匯」；資金對帳單：2026-01-07 四筆換匯出後日終 420,000 → 加上這筆為 −3,806，是第一個轉負的日子（之後持續為負到 07-21 入金），07-19 為最低點 −78,605.83；資金收支仍 48 列、分段逐字相同</t>
  </si>
  <si>
    <t xml:space="preserve">驗證者 R13 發現。擋下正確，只有點名的日期與手冊不同。讀碼定位：portfolio_dash/data_ingestion/validate.py:1995 `on=after.low_date`，low_date 為最低點首次出現的日子（:1819-1821，M5-07「naming THE DAY the pool bottoms」）、:178 dip_phrase。R12 以前的 A-06 剛好轉負日＝最低點日（2026-07-17），所以沒遇過。請 Owner 裁定：A 改期望、程式不改——A-06 改為「指出餘額最低的那一天與金額」（M5-07 現行設計），本張改判非缺陷；B 改程式、期望不變——訊息改點名第一個轉負的日子（可並列最低點），需再一輪修復與複驗。驗證者看法：B 對使用者較直接（要在第一個轉負日前補資金）；A 不需改程式</t>
  </si>
  <si>
    <t xml:space="preserve">左半（橘）由修復方填，右半（藍）由檢驗方填。一列 = 一輪；複驗未過就再加一列，輪次 +1</t>
  </si>
  <si>
    <t xml:space="preserve">輪次</t>
  </si>
  <si>
    <t xml:space="preserve">日期</t>
  </si>
  <si>
    <t xml:space="preserve">【修】問題判定</t>
  </si>
  <si>
    <t xml:space="preserve">【修】根因（檔案:行）</t>
  </si>
  <si>
    <t xml:space="preserve">【修】為何沒被攔到（防線盲點）</t>
  </si>
  <si>
    <t xml:space="preserve">【修】修法（含同類掃描結果）</t>
  </si>
  <si>
    <t xml:space="preserve">【修】同類掃描數字（共N／修M／白名單K）</t>
  </si>
  <si>
    <t xml:space="preserve">【修】測試與變異測試</t>
  </si>
  <si>
    <t xml:space="preserve">【修】commit・部署版本</t>
  </si>
  <si>
    <t xml:space="preserve">【修】自檢證據</t>
  </si>
  <si>
    <t xml:space="preserve">【驗】複驗方式（真實瀏覽器黑箱）</t>
  </si>
  <si>
    <t xml:space="preserve">【驗】判讀邏輯（觀察→假設→排除→定位→判定）</t>
  </si>
  <si>
    <t xml:space="preserve">【驗】實測結果（含數字）</t>
  </si>
  <si>
    <t xml:space="preserve">【驗】判定</t>
  </si>
  <si>
    <t xml:space="preserve">【驗】未解／新增問題</t>
  </si>
  <si>
    <t xml:space="preserve">【驗】執行人・日期</t>
  </si>
  <si>
    <t xml:space="preserve">2026-09-22</t>
  </si>
  <si>
    <t xml:space="preserve">—（本輪由檢驗方發現）</t>
  </si>
  <si>
    <t xml:space="preserve">真實瀏覽器走到該下拉，讀 option 文字；同頁六個帳戶下拉一起比對</t>
  </si>
  <si>
    <t xml:space="preserve"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</si>
  <si>
    <r>
      <rPr>
        <i val="true"/>
        <sz val="10"/>
        <rFont val="Arial"/>
        <family val="0"/>
        <charset val="1"/>
      </rPr>
      <t xml:space="preserve">bk-account = </t>
    </r>
    <r>
      <rPr>
        <i val="true"/>
        <sz val="10"/>
        <rFont val="Noto Sans CJK SC"/>
        <family val="2"/>
      </rPr>
      <t xml:space="preserve">「</t>
    </r>
    <r>
      <rPr>
        <i val="true"/>
        <sz val="10"/>
        <rFont val="Arial"/>
        <family val="0"/>
        <charset val="1"/>
      </rPr>
      <t xml:space="preserve">Moomoo MY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moomoo_my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Charles Schwab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schwab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）」；</t>
    </r>
    <r>
      <rPr>
        <i val="true"/>
        <sz val="10"/>
        <rFont val="Arial"/>
        <family val="0"/>
        <charset val="1"/>
      </rPr>
      <t xml:space="preserve">m-account = </t>
    </r>
    <r>
      <rPr>
        <i val="true"/>
        <sz val="10"/>
        <rFont val="Noto Sans CJK SC"/>
        <family val="2"/>
      </rPr>
      <t xml:space="preserve">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）」。</t>
    </r>
    <r>
      <rPr>
        <i val="true"/>
        <sz val="10"/>
        <rFont val="Arial"/>
        <family val="0"/>
        <charset val="1"/>
      </rPr>
      <t xml:space="preserve">pdNames.account('tw_broker') </t>
    </r>
    <r>
      <rPr>
        <i val="true"/>
        <sz val="10"/>
        <rFont val="Noto Sans CJK SC"/>
        <family val="2"/>
      </rPr>
      <t xml:space="preserve">在同頁可用且回「台灣券商」</t>
    </r>
  </si>
  <si>
    <t xml:space="preserve">開 DEF-範例；同時要問：守門測試為何是綠的</t>
  </si>
  <si>
    <t xml:space="preserve">檢驗方 2026-09-22</t>
  </si>
  <si>
    <t xml:space="preserve">同意根因</t>
  </si>
  <si>
    <r>
      <rPr>
        <i val="true"/>
        <sz val="10"/>
        <rFont val="Arial"/>
        <family val="0"/>
        <charset val="1"/>
      </rPr>
      <t xml:space="preserve">web/broker-import.js:498</t>
    </r>
    <r>
      <rPr>
        <i val="true"/>
        <sz val="10"/>
        <rFont val="Noto Sans CJK SC"/>
        <family val="2"/>
      </rPr>
      <t xml:space="preserve">（帳戶下拉）、</t>
    </r>
    <r>
      <rPr>
        <i val="true"/>
        <sz val="10"/>
        <rFont val="Arial"/>
        <family val="0"/>
        <charset val="1"/>
      </rPr>
      <t xml:space="preserve">:492</t>
    </r>
    <r>
      <rPr>
        <i val="true"/>
        <sz val="10"/>
        <rFont val="Noto Sans CJK SC"/>
        <family val="2"/>
      </rPr>
      <t xml:space="preserve">（券商下拉硬編碼＋</t>
    </r>
    <r>
      <rPr>
        <i val="true"/>
        <sz val="10"/>
        <rFont val="Arial"/>
        <family val="0"/>
        <charset val="1"/>
      </rPr>
      <t xml:space="preserve">raw id fallback</t>
    </r>
    <r>
      <rPr>
        <i val="true"/>
        <sz val="10"/>
        <rFont val="Noto Sans CJK SC"/>
        <family val="2"/>
      </rPr>
      <t xml:space="preserve">）</t>
    </r>
  </si>
  <si>
    <t xml:space="preserve">應該由帳戶名稱守門測試攔下，但它的檔案清單是**手寫**的（只列 cash.js／input.js），這支檔案從來不在掃描範圍；已改為自動找出所有抓帳戶清單端點的 web/*.js</t>
  </si>
  <si>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類別修法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：兩個下拉都改走 </t>
    </r>
    <r>
      <rPr>
        <i val="true"/>
        <sz val="10"/>
        <rFont val="Arial"/>
        <family val="0"/>
        <charset val="1"/>
      </rPr>
      <t xml:space="preserve">names.js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pdNames.accountOption / </t>
    </r>
    <r>
      <rPr>
        <i val="true"/>
        <sz val="10"/>
        <rFont val="Noto Sans CJK SC"/>
        <family val="2"/>
      </rPr>
      <t xml:space="preserve">新增 </t>
    </r>
    <r>
      <rPr>
        <i val="true"/>
        <sz val="10"/>
        <rFont val="Arial"/>
        <family val="0"/>
        <charset val="1"/>
      </rPr>
      <t xml:space="preserve">pdNames.broker</t>
    </r>
    <r>
      <rPr>
        <i val="true"/>
        <sz val="10"/>
        <rFont val="Noto Sans CJK SC"/>
        <family val="2"/>
      </rPr>
      <t xml:space="preserve">）；守門測試的檔案清單原本是手寫的 </t>
    </r>
    <r>
      <rPr>
        <i val="true"/>
        <sz val="10"/>
        <rFont val="Arial"/>
        <family val="0"/>
        <charset val="1"/>
      </rPr>
      <t xml:space="preserve">cash.js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input.js</t>
    </r>
    <r>
      <rPr>
        <i val="true"/>
        <sz val="10"/>
        <rFont val="Noto Sans CJK SC"/>
        <family val="2"/>
      </rPr>
      <t xml:space="preserve">，改為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自動找出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所有抓帳戶清單端點的 </t>
    </r>
    <r>
      <rPr>
        <i val="true"/>
        <sz val="10"/>
        <rFont val="Arial"/>
        <family val="0"/>
        <charset val="1"/>
      </rPr>
      <t xml:space="preserve">web/*.js</t>
    </r>
  </si>
  <si>
    <t xml:space="preserve">全 web/*.js 共 6 個帳戶下拉；1 處違規已修，其餘 5 處本來就合規；白名單 0</t>
  </si>
  <si>
    <t xml:space="preserve">變異測試：把 :498 改回舊寫法 → 3 則測試失敗並點名 broker-import.js；改回來 → 全過</t>
  </si>
  <si>
    <r>
      <rPr>
        <i val="true"/>
        <sz val="10"/>
        <rFont val="Arial"/>
        <family val="0"/>
        <charset val="1"/>
      </rPr>
      <t xml:space="preserve">755c88a</t>
    </r>
    <r>
      <rPr>
        <i val="true"/>
        <sz val="10"/>
        <rFont val="Noto Sans CJK SC"/>
        <family val="2"/>
      </rPr>
      <t xml:space="preserve">（已部署 </t>
    </r>
    <r>
      <rPr>
        <i val="true"/>
        <sz val="10"/>
        <rFont val="Arial"/>
        <family val="0"/>
        <charset val="1"/>
      </rPr>
      <t xml:space="preserve">demo</t>
    </r>
    <r>
      <rPr>
        <i val="true"/>
        <sz val="10"/>
        <rFont val="Noto Sans CJK SC"/>
        <family val="2"/>
      </rPr>
      <t xml:space="preserve">）</t>
    </r>
  </si>
  <si>
    <r>
      <rPr>
        <i val="true"/>
        <sz val="10"/>
        <rFont val="Arial"/>
        <family val="0"/>
        <charset val="1"/>
      </rPr>
      <t xml:space="preserve">ruff clean</t>
    </r>
    <r>
      <rPr>
        <i val="true"/>
        <sz val="10"/>
        <rFont val="Noto Sans CJK SC"/>
        <family val="2"/>
      </rPr>
      <t xml:space="preserve">・</t>
    </r>
    <r>
      <rPr>
        <i val="true"/>
        <sz val="10"/>
        <rFont val="Arial"/>
        <family val="0"/>
        <charset val="1"/>
      </rPr>
      <t xml:space="preserve">mypy --strict 798 </t>
    </r>
    <r>
      <rPr>
        <i val="true"/>
        <sz val="10"/>
        <rFont val="Noto Sans CJK SC"/>
        <family val="2"/>
      </rPr>
      <t xml:space="preserve">檔 </t>
    </r>
    <r>
      <rPr>
        <i val="true"/>
        <sz val="10"/>
        <rFont val="Arial"/>
        <family val="0"/>
        <charset val="1"/>
      </rPr>
      <t xml:space="preserve">0 </t>
    </r>
    <r>
      <rPr>
        <i val="true"/>
        <sz val="10"/>
        <rFont val="Noto Sans CJK SC"/>
        <family val="2"/>
      </rPr>
      <t xml:space="preserve">問題・</t>
    </r>
    <r>
      <rPr>
        <i val="true"/>
        <sz val="10"/>
        <rFont val="Arial"/>
        <family val="0"/>
        <charset val="1"/>
      </rPr>
      <t xml:space="preserve">pytest </t>
    </r>
    <r>
      <rPr>
        <i val="true"/>
        <sz val="10"/>
        <rFont val="Noto Sans CJK SC"/>
        <family val="2"/>
      </rPr>
      <t xml:space="preserve">非 </t>
    </r>
    <r>
      <rPr>
        <i val="true"/>
        <sz val="10"/>
        <rFont val="Arial"/>
        <family val="0"/>
        <charset val="1"/>
      </rPr>
      <t xml:space="preserve">e2e 5,217 passed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2 skipped</t>
    </r>
  </si>
  <si>
    <t xml:space="preserve">重放 R1 的原始步驟（同一條使用者路徑），再把六個帳戶下拉逐字比對；另把兩支守門測試取回獨立執行並自行做一次變異測試</t>
  </si>
  <si>
    <t xml:space="preserve"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</si>
  <si>
    <t xml:space="preserve">六個下拉逐字一致（含 bk-account）；券商下拉為「嘉信 Schwab」；變異測試重現：改回舊寫法 → 3 則失敗、訊息點名該檔</t>
  </si>
  <si>
    <t xml:space="preserve">複驗通過 → 結案</t>
  </si>
  <si>
    <t xml:space="preserve">無</t>
  </si>
  <si>
    <t xml:space="preserve">2026-09-23</t>
  </si>
  <si>
    <t xml:space="preserve">真實瀏覽器點「下載該年度稅務包 ZIP」（攔截 blob 不落地）→ 解壓讀 summary.md／realized_gains_2026.csv；同頁再從匯出中心下載一次比對；以 /api/dashboard 的 realized.rows 與 returns.by_currency 做數值比對</t>
  </si>
  <si>
    <t xml:space="preserve"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</si>
  <si>
    <t xml:space="preserve">對帳欄 TWD 36804.55597014925373134328360 vs 儀表板 42004.55597014925373134328360（差 5200.0000）；USD 兩邊皆 97.300573928633231474982722（相符）</t>
  </si>
  <si>
    <t xml:space="preserve">開 DEF-001；需由修復方決定：把 kind=dividend 併入對帳欄，或在 summary.md 加一行差額說明（金額＋來源）；申報欄 16,004.56 目前正確，修法不得動到它</t>
  </si>
  <si>
    <t xml:space="preserve">檢驗方 2026-09-23</t>
  </si>
  <si>
    <t xml:space="preserve">真實瀏覽器 390×844 模擬（resize_window），走訪後逐一量 scrollWidth 與越界元素；對可疑處展開 details 後再量、window.scrollTo(600) 驗證可橫捲、截圖目視</t>
  </si>
  <si>
    <t xml:space="preserve"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</si>
  <si>
    <t xml:space="preserve">展開前 scrollWidth 390；展開後 3,673（viewport 390）；11 張表寬 1780／3073／660／707／617／986／1510／747／768／3652／775 px</t>
  </si>
  <si>
    <t xml:space="preserve">開 DEF-002；請一併掃描其他未包 .table-wrap 的 table（同類），不要只修這一處</t>
  </si>
  <si>
    <t xml:space="preserve">真實瀏覽器讀 AI 洞察各分頁卡片的信心 chip 文字與 title；以 GET /api/insights?limit=500 逐卡比對 prediction／confidence 欄位</t>
  </si>
  <si>
    <t xml:space="preserve"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</si>
  <si>
    <r>
      <rPr>
        <sz val="10"/>
        <rFont val="Arial"/>
        <family val="0"/>
        <charset val="1"/>
      </rPr>
      <t xml:space="preserve">prediction=null 40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confidence=null 15 </t>
    </r>
    <r>
      <rPr>
        <sz val="10"/>
        <rFont val="Noto Sans CJK SC"/>
        <family val="2"/>
      </rPr>
      <t xml:space="preserve">張（顯示純描述）、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有值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張（顯示信心 </t>
    </r>
    <r>
      <rPr>
        <sz val="10"/>
        <rFont val="Arial"/>
        <family val="0"/>
        <charset val="1"/>
      </rPr>
      <t xml:space="preserve">N%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有值但 </t>
    </r>
    <r>
      <rPr>
        <sz val="10"/>
        <rFont val="Arial"/>
        <family val="0"/>
        <charset val="1"/>
      </rPr>
      <t xml:space="preserve">confidence=null 0 </t>
    </r>
    <r>
      <rPr>
        <sz val="10"/>
        <rFont val="Noto Sans CJK SC"/>
        <family val="2"/>
      </rPr>
      <t xml:space="preserve">張</t>
    </r>
  </si>
  <si>
    <t xml:space="preserve">開 DEF-003；請 owner 裁定：無 prediction 的卡是否仍顯示信心值</t>
  </si>
  <si>
    <t xml:space="preserve">真實瀏覽器 CSV 匯入頁，六類範本逐一下載後原文貼回，讀預覽表 &lt;tr&gt; 文字，並對照 POST /api/import/preview 回應 rows[].data</t>
  </si>
  <si>
    <t xml:space="preserve"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</si>
  <si>
    <t xml:space="preserve">資金 7 列、股利 2 列、換匯 2 列、期初 2 列、公司行動 3 列：金額／比例欄 0 列有顯示；期初列日期 2/2 顯示「—」</t>
  </si>
  <si>
    <t xml:space="preserve">開 DEF-004；請一併檢查券商對帳單轉換報告的預覽欄位是否同樣只為交易設計</t>
  </si>
  <si>
    <t xml:space="preserve">真實瀏覽器，先以 JS 設值、再以實體鍵盤（triple-click → ctrl+a → Backspace → type "1.5"）各輸入一次，讀欄位值、試算區文字與 POST /api/ledgers/corporate-actions/preview 請求本文</t>
  </si>
  <si>
    <t xml:space="preserve"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</si>
  <si>
    <t xml:space="preserve">輸入 1.5 → 欄位 15；試算 100 股→20 股、均價 93.20→466.00；登錄鈕 enabled；0 筆寫入（測畢取消）</t>
  </si>
  <si>
    <t xml:space="preserve">開 DEF-005；請掃描所有會「清洗」數字輸入的欄位（同類：replace(/[^0-9]/g) 等），確認沒有其他把小數悄悄改成整數的地方</t>
  </si>
  <si>
    <t xml:space="preserve">真實瀏覽器讀每種方向 chip 的 className 與 getComputedStyle 背景／文字色</t>
  </si>
  <si>
    <t xml:space="preserve"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</si>
  <si>
    <t xml:space="preserve">入金／折讓款：實心灰；出金：外框灰；無綠／紅色</t>
  </si>
  <si>
    <t xml:space="preserve">開 DEF-006；請 owner 裁定：改手冊期望（中性色）或改 CSS（綠／扣款色）</t>
  </si>
  <si>
    <t xml:space="preserve">真實瀏覽器；同一操作以「快速連續填入」與「每步等待＋實體鍵盤」各做一次，讀 POST /api/cash/movements 本文與 /api/ledgers/cash 回寫值；再讀原始碼定位</t>
  </si>
  <si>
    <t xml:space="preserve"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</si>
  <si>
    <t xml:space="preserve">快速：acq_home_amount 31699（錯）；放慢：31500（對）；提示「參考值：2026-09-23 收盤」vs API as_of 2026-09-22</t>
  </si>
  <si>
    <t xml:space="preserve">開 DEF-007；同類：換匯中心 fx-estimate 自動回填（web/cash.js:1172 起）是否也會蓋掉使用者手動輸入，請一併掃描</t>
  </si>
  <si>
    <t xml:space="preserve">真實瀏覽器操作出金表單（A-06 路徑）＋對當日透支以相同本文直送 API（前端已擋，只用來看後端訊息），讀 422 回應與 toast 文字</t>
  </si>
  <si>
    <t xml:space="preserve"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</si>
  <si>
    <t xml:space="preserve">當日分支：無日期；兩分支皆「TW Broker」；toast 附 withdraw_insufficient_balance／validation_error</t>
  </si>
  <si>
    <t xml:space="preserve">開 DEF-008；同類掃描：後端所有使用者可見訊息中直接引用 accounts.name 的地方；toast 是否應顯示錯誤碼</t>
  </si>
  <si>
    <t xml:space="preserve">真實瀏覽器點折讓款列的編輯，讀對話框欄位 disabled 狀態與說明文字（未儲存）</t>
  </si>
  <si>
    <t xml:space="preserve"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</si>
  <si>
    <t xml:space="preserve">日期／類型／備註 disabled；金額 enabled；儲存鈕可按</t>
  </si>
  <si>
    <t xml:space="preserve">開 DEF-009；請 owner 裁定：折讓款金額能否在資金收支直接修改，或只能從收件匣復原後重新確認</t>
  </si>
  <si>
    <t xml:space="preserve">以 GET /api/ledgers/transactions 讀每筆 fee_snapshot，對照 GET /api/rebates 各月 trades 的 expected</t>
  </si>
  <si>
    <t xml:space="preserve"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</si>
  <si>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交易計入預估：</t>
    </r>
    <r>
      <rPr>
        <sz val="10"/>
        <rFont val="Arial"/>
        <family val="0"/>
        <charset val="1"/>
      </rPr>
      <t xml:space="preserve">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2×153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2026-06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219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341</t>
    </r>
  </si>
  <si>
    <t xml:space="preserve">開 DEF-010；請 owner 裁定：清理這批快照，或讓預估器略過 discount&lt;1 的交易</t>
  </si>
  <si>
    <t xml:space="preserve">真實瀏覽器確認折讓款入帳前後各取一次 /api/dashboard kpis 逐欄比對；讀收件匣文案；測畢刪除該筆還原</t>
  </si>
  <si>
    <t xml:space="preserve"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</si>
  <si>
    <r>
      <rPr>
        <sz val="10"/>
        <rFont val="Arial"/>
        <family val="0"/>
        <charset val="1"/>
      </rPr>
      <t xml:space="preserve">xirr +0.000657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total_return_fx_complete +620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+620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不變；文案仍寫不計入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／損益</t>
    </r>
  </si>
  <si>
    <t xml:space="preserve">開 DEF-011；同類：其他提到「不計入 XIRR」的文案（如 AI-D42 前寫的說明、tooltip）請一併掃描</t>
  </si>
  <si>
    <t xml:space="preserve">真實瀏覽器逐筆寫入，每步讀 position_preview／GET /api/dashboard realized.rows 與 holdings；另補做一次「只寫 ① 後預覽 ②」取得賣出當下的草稿數字作對照；全部刪除後逐位元比對</t>
  </si>
  <si>
    <t xml:space="preserve"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</si>
  <si>
    <t xml:space="preserve">系統：cost_removed 5,690.00／realized −1,223.00／期末成本 17,070.00／均價 56.90；時間順序：6,046.67／−1,579.67／16,713.33／55.7111；差額 356.67 TWD</t>
  </si>
  <si>
    <t xml:space="preserve"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</si>
  <si>
    <t xml:space="preserve">真實瀏覽器切換兩個 checkbox，讀 checked／disabled 狀態與 POST /api/input/manual/preview 本文與回應；檢視 web/input.js 相關邏輯</t>
  </si>
  <si>
    <t xml:space="preserve"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</si>
  <si>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short </t>
    </r>
    <r>
      <rPr>
        <sz val="10"/>
        <rFont val="Noto Sans CJK SC"/>
        <family val="2"/>
      </rPr>
      <t xml:space="preserve">同時送出；</t>
    </r>
    <r>
      <rPr>
        <sz val="10"/>
        <rFont val="Arial"/>
        <family val="0"/>
        <charset val="1"/>
      </rPr>
      <t xml:space="preserve">tax 679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issues</t>
    </r>
    <r>
      <rPr>
        <sz val="10"/>
        <rFont val="Noto Sans CJK SC"/>
        <family val="2"/>
      </rPr>
      <t xml:space="preserve">；帳本列只有「賣」</t>
    </r>
    <r>
      <rPr>
        <sz val="10"/>
        <rFont val="Arial"/>
        <family val="0"/>
        <charset val="1"/>
      </rPr>
      <t xml:space="preserve">chip</t>
    </r>
  </si>
  <si>
    <t xml:space="preserve">開 DEF-013；請 owner 裁定當沖＋放空的組合規則</t>
  </si>
  <si>
    <t xml:space="preserve">真實瀏覽器手動交易表單，讀 POST /api/input/manual/preview issues 與草稿文字，實際寫入一次確認後端也接受，再刪除還原</t>
  </si>
  <si>
    <t xml:space="preserve"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</si>
  <si>
    <t xml:space="preserve">早於期初庫存日：issues=[]、201 寫入；未來日期：warn 並擋確認鍵</t>
  </si>
  <si>
    <t xml:space="preserve">開 DEF-014；期初庫存與其建檔日之前的交易如何共存需先定規格；同類：CSV 匯入與券商對帳單匯入的日期檢核是否一致</t>
  </si>
  <si>
    <t xml:space="preserve">真實瀏覽器按「重新偵測」，讀 toast（MutationObserver 紀錄）、狀態列文字與 API 回應全文；搜尋頁面上是否有 tooltip 或展開明細</t>
  </si>
  <si>
    <t xml:space="preserve"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</si>
  <si>
    <r>
      <rPr>
        <sz val="10"/>
        <rFont val="Arial"/>
        <family val="0"/>
        <charset val="1"/>
      </rPr>
      <t xml:space="preserve">refreshed="14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；無代號、無原因</t>
    </r>
  </si>
  <si>
    <t xml:space="preserve">開 DEF-015；對照 dividends_daily 的訊息會列出失敗代號（「failed: SPCX, TSLA」），兩條路徑口徑不一致</t>
  </si>
  <si>
    <t xml:space="preserve">確認前後各讀一次 /api/dashboard kpis 與 trend、/api/cash 與對帳單；再對照 portfolio_dash/portfolio/returns.py xirr_reporting 的現金流組法</t>
  </si>
  <si>
    <t xml:space="preserve"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</si>
  <si>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+0.0100</t>
    </r>
    <r>
      <rPr>
        <sz val="10"/>
        <rFont val="Noto Sans CJK SC"/>
        <family val="2"/>
      </rPr>
      <t xml:space="preserve">；該現金流日期晚於估值日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天</t>
    </r>
  </si>
  <si>
    <t xml:space="preserve">開 DEF-016；同類：總報酬已即時認列這筆股利（調整成本已沖減），現金池要到 10-08 才入帳，三個口徑（損益／現金／XIRR）請一併定義</t>
  </si>
  <si>
    <t xml:space="preserve">真實瀏覽器股利表單寫入，記錄網路請求；刪除後讀 /api/import/batches 與畫面「最近匯入」；再以批次復原清除</t>
  </si>
  <si>
    <t xml:space="preserve"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</si>
  <si>
    <t xml:space="preserve">寫入後 batches 0→1；刪帳本列後仍 1；批次復原 deleted:0 後 0</t>
  </si>
  <si>
    <t xml:space="preserve">開 DEF-017；同類：期初庫存表單等其他「手動」表單是否也走匯入管線</t>
  </si>
  <si>
    <t xml:space="preserve">真實瀏覽器股利表單寫入，前後讀 /api/dashboard holdings 與 /api/cash；讀表單「套用模式」說明</t>
  </si>
  <si>
    <t xml:space="preserve"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</si>
  <si>
    <r>
      <rPr>
        <sz val="10"/>
        <rFont val="Arial"/>
        <family val="0"/>
        <charset val="1"/>
      </rPr>
      <t xml:space="preserve">shares +0.028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original_cost 13,515→13,515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+296.74 TWD</t>
    </r>
  </si>
  <si>
    <t xml:space="preserve">開 DEF-018；若維持 $0 成本模型，請同步修訂手冊 C-04b 期望；若改為計入成本，影響既有 DRIP 列與稅務包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</si>
  <si>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</si>
  <si>
    <t xml:space="preserve">真實瀏覽器，復原後讀 .sym-picker 按鈕文字，並同時讀 /api/input/holdings、/api/dashboard 對照；記錄復原後前端重新抓取的端點</t>
  </si>
  <si>
    <t xml:space="preserve"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</si>
  <si>
    <t xml:space="preserve">復原後挑選清單 85.067255／158.87（應 85.039255／158.93）；重新整理頁面後正確</t>
  </si>
  <si>
    <t xml:space="preserve">開 DEF-019</t>
  </si>
  <si>
    <t xml:space="preserve">真實瀏覽器登錄→刪除，前後以 /api/cash、/api/ledgers/cash 與四段 JSON 比對（持倉還原、現金未還原）</t>
  </si>
  <si>
    <t xml:space="preserve"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</si>
  <si>
    <t xml:space="preserve">刪行動後 TWD 池 6,067,545（應 6,067,595），出金 #46 殘留</t>
  </si>
  <si>
    <t xml:space="preserve">開 DEF-020；D-07（EXCHANGE 2 換 1、重組費 30）已再現：刪除行動 id 9 後出金 #47 殘留。編輯行動改費用時是否同步未測</t>
  </si>
  <si>
    <t xml:space="preserve">真實瀏覽器登錄→刪除；前後以 /api/instruments 列表與四段 JSON 比對（持倉／成本／現金還原，目標價未還原）</t>
  </si>
  <si>
    <t xml:space="preserve"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</si>
  <si>
    <t xml:space="preserve">刪除換股後 2882 目標價 40／55 殘留、2884 目標價消失（應為 2884＝40／55、2882＝空）</t>
  </si>
  <si>
    <t xml:space="preserve">開 DEF-021；若 owner 維持「不可逆」設計，至少要在試算提示與刪除確認框說明；是否改為可逆請 owner 裁定</t>
  </si>
  <si>
    <t xml:space="preserve">真實瀏覽器操作，比對瀏覽器本地時間（Wed Sep 23 2026 04:40 GMT+0800）與 API 回應的 set_at；以原始碼確認時區</t>
  </si>
  <si>
    <t xml:space="preserve"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</si>
  <si>
    <t xml:space="preserve">台北 9/23 設定的目標價被記為 2026-09-22；同日分割誤報「早於這筆分割」</t>
  </si>
  <si>
    <t xml:space="preserve">開 DEF-022；其他以 datetime.now(UTC).date() 產生「業務日期」的地方未逐一清查</t>
  </si>
  <si>
    <t xml:space="preserve">真實瀏覽器製造情境，讀 /api/dashboard.unapplied_actions、儀表板 DOM（含 title 屬性）、公司行動帳本列與個股抽屜</t>
  </si>
  <si>
    <t xml:space="preserve"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</si>
  <si>
    <t xml:space="preserve">有未套用行動時儀表板無入口；原因句顯示 tw_broker</t>
  </si>
  <si>
    <t xml:space="preserve">開 DEF-023；刪除交易會讓既有公司行動失去依據時，刪除確認框是否該先警告（目前直接刪除）</t>
  </si>
  <si>
    <t xml:space="preserve">真實瀏覽器貼上 CSV → 讀 /api/import/preview 與 /api/import/commit 原始回應；每次寫入後以六段 JSON＋計數比對確認帳本未變</t>
  </si>
  <si>
    <t xml:space="preserve"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</si>
  <si>
    <t xml:space="preserve">預覽「✓ 可寫入」→ 寫入 0 筆，被勾選的列只顯示「跳過」；賣超訊息的持股數含錯誤列（200.5）</t>
  </si>
  <si>
    <t xml:space="preserve">開 DEF-024；其他「一定寫不進去」但不在 structural 名單的錯誤（例如日期早於期初、帳戶市場不符）是否也被算進批次持股，未逐一測</t>
  </si>
  <si>
    <t xml:space="preserve">真實瀏覽器；讀 preview／commit 回應與對話框文字；與 B-11 手動賣超的確認流程對照</t>
  </si>
  <si>
    <t xml:space="preserve"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</si>
  <si>
    <t xml:space="preserve">賣超列可經一次通用確認寫入</t>
  </si>
  <si>
    <t xml:space="preserve">開 DEF-025；若維持可寫入：確認框至少要點名是哪幾列、說明成本基礎歸零的後果，且預設不勾選</t>
  </si>
  <si>
    <t xml:space="preserve">真實瀏覽器匯出→貼上預覽；人工改表頭後寫入 2 列，再以匯出檔比對新舊列，最後批次復原並逐位元比對</t>
  </si>
  <si>
    <t xml:space="preserve"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</si>
  <si>
    <t xml:space="preserve">原樣匯回 0/56 列可寫入；改表頭後 fee_rule_snapshot 遺失</t>
  </si>
  <si>
    <t xml:space="preserve">開 DEF-026；股利／換匯／期初／公司行動／資金 5 類帳本的匯出→匯回未逐一測（公司行動匯出欄為 ratio_to／ratio_from／from_symbol，推測同類）</t>
  </si>
  <si>
    <t xml:space="preserve">真實瀏覽器上傳檔案→全部寫入；讀 /api/import/commit 請求本文與 /api/dashboard；之後以最近匯入 › 復原（批次 8）並逐位元比對</t>
  </si>
  <si>
    <t xml:space="preserve"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</si>
  <si>
    <t xml:space="preserve">賣超列被自動確認寫入：AAPL −914.96 股、成本 0、XIRR 空白</t>
  </si>
  <si>
    <t xml:space="preserve">開 DEF-027；同一機制對其他 needs_confirm 類警告（重複交易、日期早於期初等）也一律自動確認，未逐一測</t>
  </si>
  <si>
    <t xml:space="preserve">真實瀏覽器上傳，搜尋整頁 DOM（含隱藏元素）是否出現轉出列內容（例如代號 ALFA）；對照 /api/broker/convert 回應</t>
  </si>
  <si>
    <t xml:space="preserve"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</si>
  <si>
    <t xml:space="preserve">轉換報告只有筆數，無逐列明細</t>
  </si>
  <si>
    <t xml:space="preserve">開 DEF-028</t>
  </si>
  <si>
    <t xml:space="preserve">真實瀏覽器；讀 /api/broker/convert 請求與回應（blocking／advisory 皆為空）；寫入後以批次復原並逐位元比對</t>
  </si>
  <si>
    <t xml:space="preserve"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</si>
  <si>
    <t xml:space="preserve">嘉信對帳單寫進 Moomoo MY 帳戶無任何警告</t>
  </si>
  <si>
    <t xml:space="preserve">開 DEF-029；帳戶是否該記錄所屬券商（目前 account 與 broker 沒有對應欄位）由 owner 決定</t>
  </si>
  <si>
    <t xml:space="preserve">真實瀏覽器按鈕；讀 /api/scheduler/runs 與 /api/scheduler/jobs；對照 AI 洞察 › 產生洞察（POST /api/insight-types/10/run）同一任務可成功（#156）</t>
  </si>
  <si>
    <t xml:space="preserve"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</si>
  <si>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insight:10 </t>
    </r>
    <r>
      <rPr>
        <sz val="10"/>
        <rFont val="Noto Sans CJK SC"/>
        <family val="2"/>
      </rPr>
      <t xml:space="preserve">立即執行皆失敗（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）</t>
    </r>
  </si>
  <si>
    <t xml:space="preserve">開 DEF-030；排程觸發（cron）走 insight runner，demo 排程器關閉未能實測</t>
  </si>
  <si>
    <t xml:space="preserve">真實瀏覽器點擊兩次，攔截網路請求（0 支）與對話框（0 個）；讀原始碼確認</t>
  </si>
  <si>
    <t xml:space="preserve"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</si>
  <si>
    <t xml:space="preserve">編輯標的無作用</t>
  </si>
  <si>
    <t xml:space="preserve">開 DEF-031</t>
  </si>
  <si>
    <t xml:space="preserve">真實瀏覽器讀精靈文字與勾選框；對照 /api/insight-tasks/status 的 13 檔與 /api/dashboard holdings 14 列</t>
  </si>
  <si>
    <t xml:space="preserve"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</si>
  <si>
    <t xml:space="preserve">精靈顯示 14 檔／14 卡，實際 13</t>
  </si>
  <si>
    <t xml:space="preserve">開 DEF-032</t>
  </si>
  <si>
    <t xml:space="preserve">真實瀏覽器檢視策略卡所有控制項；讀 API 回應欄位（id, name, body, enabled, archived, created_at, updated_at, scope）</t>
  </si>
  <si>
    <t xml:space="preserve"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</si>
  <si>
    <t xml:space="preserve">無版本記錄／回復</t>
  </si>
  <si>
    <t xml:space="preserve">開 DEF-033</t>
  </si>
  <si>
    <t xml:space="preserve">真實瀏覽器；一次用座標實點、一次用 DOM click，攔截 PUT 數量與 toast 數量；在乾淨頁面與切換分頁後各對照一次</t>
  </si>
  <si>
    <t xml:space="preserve"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</si>
  <si>
    <t xml:space="preserve">一次點擊 3 次 PUT／3 個 toast</t>
  </si>
  <si>
    <t xml:space="preserve">開 DEF-034；同頁其他在 boot() 內綁定的控制項是否同樣累積監聽，未逐一測</t>
  </si>
  <si>
    <t xml:space="preserve">真實瀏覽器解析兩次；檢查每個 td 的子元素與 contenteditable，並模擬點擊／雙擊價格格</t>
  </si>
  <si>
    <t xml:space="preserve"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</si>
  <si>
    <t xml:space="preserve">草稿不可編輯；帳戶顯示原名</t>
  </si>
  <si>
    <t xml:space="preserve">開 DEF-035；股利／資金等其他 AI 草稿表格（1808、1825 行）同樣以原名輸出</t>
  </si>
  <si>
    <t xml:space="preserve">真實瀏覽器解析；讀 POST /api/input/ai/preview 回應 rows[].status／data</t>
  </si>
  <si>
    <t xml:space="preserve"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</si>
  <si>
    <t xml:space="preserve">矛盾金額未被標示</t>
  </si>
  <si>
    <t xml:space="preserve">開 DEF-036</t>
  </si>
  <si>
    <t xml:space="preserve">真實瀏覽器設定目標價並觸發排程；比對 /api/alerts 36 條預警、/api/scheduler/runs 18 次派發與 /api/insights 17 張新卡</t>
  </si>
  <si>
    <t xml:space="preserve"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</si>
  <si>
    <t xml:space="preserve">產生 symbol=moomoo_my 的卡；卡片無觸發預警紀錄</t>
  </si>
  <si>
    <t xml:space="preserve">開 DEF-037；只持有於觀察清單的標的（1234、2308、AMD…）也因 drawdown_from_peak 產生「持倉提點」卡，是否應派發由 owner 決定</t>
  </si>
  <si>
    <t xml:space="preserve">真實瀏覽器讀 button.title 與點擊連結後的 URL／可見內容</t>
  </si>
  <si>
    <t xml:space="preserve"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</si>
  <si>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與功能矛盾；連結落點錯誤</t>
    </r>
  </si>
  <si>
    <t xml:space="preserve">開 DEF-038</t>
  </si>
  <si>
    <t xml:space="preserve">同意驗證者。以 B-18 資料重現：舊排序 cost_removed 5,690.00／已實現 −1,223.00／持倉成本 17,070.00（與驗證者逐位相同）；依輸入順序應為 6,046.67／−1,579.67／16,713.33。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</si>
  <si>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`SELL = 30`</t>
    </r>
  </si>
  <si>
    <t xml:space="preserve"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</si>
  <si>
    <t xml:space="preserve"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</si>
  <si>
    <t xml:space="preserve"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</si>
  <si>
    <t xml:space="preserve"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</si>
  <si>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</si>
  <si>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</si>
  <si>
    <t xml:space="preserve"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</si>
  <si>
    <t xml:space="preserve"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</si>
  <si>
    <t xml:space="preserve">草稿 realized −1,579.67；三筆寫入後帳本 −1,579.67（R1 為 −1,223）；成本移除 6,046.67；CSV 同日賣在買前被判賣超；變異 3 failed／3 passed；#97～#99 刪除後逐位元還原</t>
  </si>
  <si>
    <t xml:space="preserve">檢驗方 2026-09-24</t>
  </si>
  <si>
    <t xml:space="preserve">同意驗證者。validate_transaction 沒讀 opening_inventory.build_date，也沒有「早於帳戶最早紀錄」的提示。</t>
  </si>
  <si>
    <t xml:space="preserve">portfolio_dash/data_ingestion/validate.py:516 `if today is not None and inp.trade_date &gt; today:`</t>
  </si>
  <si>
    <t xml:space="preserve"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</si>
  <si>
    <t xml:space="preserve"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</si>
  <si>
    <t xml:space="preserve"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</si>
  <si>
    <t xml:space="preserve"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</si>
  <si>
    <t xml:space="preserve">真實瀏覽器：交易帳本 › 手動交易草稿兩例＋一次實際寫入後刪除；讀 POST /api/input/manual/preview 的 issues</t>
  </si>
  <si>
    <t xml:space="preserve"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</si>
  <si>
    <t xml:space="preserve">兩種提示依設計出現；勾選確認後寫入 #102 201，刪除後 cmp D014 same:true</t>
  </si>
  <si>
    <t xml:space="preserve"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</si>
  <si>
    <t xml:space="preserve">同意驗證者，兩個根因：預覽把錯誤列的股數算成持股；commit 把被擋下的列算成「跳過」且前端顯示成功。</t>
  </si>
  <si>
    <r>
      <rPr>
        <sz val="10"/>
        <rFont val="Arial"/>
        <family val="0"/>
        <charset val="1"/>
      </rPr>
      <t xml:space="preserve">validate.py:322-327 `for other in batch: if other is exclude: continue`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只用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input_center.py:1325-1328 `accept -= {r.index for r in preview.rows if …}`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:1340 `out = {"written": …, "skipped": len(summary.skipped)}`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…, '</t>
    </r>
    <r>
      <rPr>
        <sz val="10"/>
        <rFont val="Noto Sans CJK SC"/>
        <family val="2"/>
      </rPr>
      <t xml:space="preserve">成功 </t>
    </r>
    <r>
      <rPr>
        <sz val="10"/>
        <rFont val="Arial"/>
        <family val="0"/>
        <charset val="1"/>
      </rPr>
      <t xml:space="preserve">' + written + ' </t>
    </r>
    <r>
      <rPr>
        <sz val="10"/>
        <rFont val="Noto Sans CJK SC"/>
        <family val="2"/>
      </rPr>
      <t xml:space="preserve">筆・跳過 </t>
    </r>
    <r>
      <rPr>
        <sz val="10"/>
        <rFont val="Arial"/>
        <family val="0"/>
        <charset val="1"/>
      </rPr>
      <t xml:space="preserve">' + skipped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')`</t>
    </r>
  </si>
  <si>
    <r>
      <rPr>
        <sz val="10"/>
        <rFont val="Arial"/>
        <family val="0"/>
        <charset val="1"/>
      </rPr>
      <t xml:space="preserve">transaction_structural_issues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論證「其餘 </t>
    </r>
    <r>
      <rPr>
        <sz val="10"/>
        <rFont val="Arial"/>
        <family val="0"/>
        <charset val="1"/>
      </rPr>
      <t xml:space="preserve">hard kind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key-level</t>
    </r>
    <r>
      <rPr>
        <sz val="10"/>
        <rFont val="Noto Sans CJK SC"/>
        <family val="2"/>
      </rPr>
      <t xml:space="preserve">，不可能造成假抵補」，</t>
    </r>
    <r>
      <rPr>
        <sz val="10"/>
        <rFont val="Arial"/>
        <family val="0"/>
        <charset val="1"/>
      </rPr>
      <t xml:space="preserve">L12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）加入 </t>
    </r>
    <r>
      <rPr>
        <sz val="10"/>
        <rFont val="Arial"/>
        <family val="0"/>
        <charset val="1"/>
      </rPr>
      <t xml:space="preserve">row-level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時沒回頭更新這個論證；</t>
    </r>
    <r>
      <rPr>
        <sz val="10"/>
        <rFont val="Arial"/>
        <family val="0"/>
        <charset val="1"/>
      </rPr>
      <t xml:space="preserve">test_import_commit_select_rederives_transactions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_BROKEN_COVER </t>
    </r>
    <r>
      <rPr>
        <sz val="10"/>
        <rFont val="Noto Sans CJK SC"/>
        <family val="2"/>
      </rPr>
      <t xml:space="preserve">只測負價（</t>
    </r>
    <r>
      <rPr>
        <sz val="10"/>
        <rFont val="Arial"/>
        <family val="0"/>
        <charset val="1"/>
      </rPr>
      <t xml:space="preserve">structural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skipped == 2</t>
    </r>
    <r>
      <rPr>
        <sz val="10"/>
        <rFont val="Noto Sans CJK SC"/>
        <family val="2"/>
      </rPr>
      <t xml:space="preserve">；前端沒有任何測試檢查措辭，</t>
    </r>
    <r>
      <rPr>
        <sz val="10"/>
        <rFont val="Arial"/>
        <family val="0"/>
        <charset val="1"/>
      </rPr>
      <t xml:space="preserve">e2e test_sweep_remediation_flows </t>
    </r>
    <r>
      <rPr>
        <sz val="10"/>
        <rFont val="Noto Sans CJK SC"/>
        <family val="2"/>
      </rPr>
      <t xml:space="preserve">甚至把「跳過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筆」釘成正確。補：錯誤列不得抵補的契約測試、逐列原因測試、前端 </t>
    </r>
    <r>
      <rPr>
        <sz val="10"/>
        <rFont val="Arial"/>
        <family val="0"/>
        <charset val="1"/>
      </rPr>
      <t xml:space="preserve">outcome </t>
    </r>
    <r>
      <rPr>
        <sz val="10"/>
        <rFont val="Noto Sans CJK SC"/>
        <family val="2"/>
      </rPr>
      <t xml:space="preserve">文字測試。</t>
    </r>
  </si>
  <si>
    <t xml:space="preserve"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</si>
  <si>
    <t xml:space="preserve"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</si>
  <si>
    <t xml:space="preserve"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</si>
  <si>
    <t xml:space="preserve">真實瀏覽器：交易帳本 › 貼上 CSV 預覽＋寫入；讀 POST /api/import/preview、/commit 回應 skipped_rows</t>
  </si>
  <si>
    <t xml:space="preserve"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</si>
  <si>
    <r>
      <rPr>
        <sz val="10"/>
        <rFont val="Arial"/>
        <family val="0"/>
        <charset val="1"/>
      </rPr>
      <t xml:space="preserve">① error </t>
    </r>
    <r>
      <rPr>
        <sz val="10"/>
        <rFont val="Noto Sans CJK SC"/>
        <family val="2"/>
      </rPr>
      <t xml:space="preserve">列不再計入後續持股；② 取消勾選後寫入 → 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「⚠ 寫入完成（有列被擋下）：成功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筆・被擋下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 … 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：賣出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股」，</t>
    </r>
    <r>
      <rPr>
        <sz val="10"/>
        <rFont val="Arial"/>
        <family val="0"/>
        <charset val="1"/>
      </rPr>
      <t xml:space="preserve">skipped_rows </t>
    </r>
    <r>
      <rPr>
        <sz val="10"/>
        <rFont val="Noto Sans CJK SC"/>
        <family val="2"/>
      </rPr>
      <t xml:space="preserve">代碼 </t>
    </r>
    <r>
      <rPr>
        <sz val="10"/>
        <rFont val="Arial"/>
        <family val="0"/>
        <charset val="1"/>
      </rPr>
      <t xml:space="preserve">deselected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sell_exceeds_holdings</t>
    </r>
    <r>
      <rPr>
        <sz val="10"/>
        <rFont val="Noto Sans CJK SC"/>
        <family val="2"/>
      </rPr>
      <t xml:space="preserve">；帳本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筆寫入，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相同</t>
    </r>
  </si>
  <si>
    <t xml:space="preserve">小瑕疵（不另開）：toast 顯示「! ⚠」雙符號</t>
  </si>
  <si>
    <t xml:space="preserve">同意驗證者：提示可見但沒有入口，原因句嵌後端裸 id。</t>
  </si>
  <si>
    <r>
      <rPr>
        <sz val="10"/>
        <rFont val="Arial"/>
        <family val="0"/>
        <charset val="1"/>
      </rPr>
      <t xml:space="preserve">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ledgers.py:1521-1538</t>
    </r>
    <r>
      <rPr>
        <sz val="10"/>
        <rFont val="Noto Sans CJK SC"/>
        <family val="2"/>
      </rPr>
      <t xml:space="preserve">（列無 </t>
    </r>
    <r>
      <rPr>
        <sz val="10"/>
        <rFont val="Arial"/>
        <family val="0"/>
        <charset val="1"/>
      </rPr>
      <t xml:space="preserve">unapplied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web/ledger.js:609 `delWithConfirm(...)`</t>
    </r>
  </si>
  <si>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只掃前端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.account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，後端句子裡嵌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accounts.name </t>
    </r>
    <r>
      <rPr>
        <sz val="10"/>
        <rFont val="Noto Sans CJK SC"/>
        <family val="2"/>
      </rPr>
      <t xml:space="preserve">沒有靜態守門，而後端根本沒有中文帳戶名可用，每個訊息作者各自選裸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或英文名。契約測試只驗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unapplied_actions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test_dashboard_never_500_on_bad_action.py</t>
    </r>
    <r>
      <rPr>
        <sz val="10"/>
        <rFont val="Noto Sans CJK SC"/>
        <family val="2"/>
      </rPr>
      <t xml:space="preserve">），沒有測試要求任何頁面渲染它。補：後端記號守門（</t>
    </r>
    <r>
      <rPr>
        <sz val="10"/>
        <rFont val="Arial"/>
        <family val="0"/>
        <charset val="1"/>
      </rPr>
      <t xml:space="preserve">AST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解析縫測試＋「儀表板必須渲染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區塊」靜態測試＋清單列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契約測試。</t>
    </r>
  </si>
  <si>
    <t xml:space="preserve"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</si>
  <si>
    <t xml:space="preserve"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</si>
  <si>
    <t xml:space="preserve"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</si>
  <si>
    <t xml:space="preserve">真實瀏覽器：台灣券商買 2882 100 股（2026-09-22，#103）→ 登錄 2882 分割 1→2（2026-09-23，#15）→ 刪除該筆買進 → 看公司行動帳本、儀表板、深連結；測畢刪除行動並比對</t>
  </si>
  <si>
    <t xml:space="preserve"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</si>
  <si>
    <r>
      <rPr>
        <sz val="10"/>
        <rFont val="Arial"/>
        <family val="0"/>
        <charset val="1"/>
      </rPr>
      <t xml:space="preserve">badge</t>
    </r>
    <r>
      <rPr>
        <sz val="10"/>
        <rFont val="Noto Sans CJK SC"/>
        <family val="2"/>
      </rPr>
      <t xml:space="preserve">、刪除警告、深連結、中文名皆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；儀表板區塊因提前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永不顯示；</t>
    </r>
    <r>
      <rPr>
        <sz val="10"/>
        <rFont val="Arial"/>
        <family val="0"/>
        <charset val="1"/>
      </rPr>
      <t xml:space="preserve">cmp D023 same:true</t>
    </r>
  </si>
  <si>
    <t xml:space="preserve"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</si>
  <si>
    <t xml:space="preserve">同意驗證者。1.5 被洗成 15，試算與登錄鈕照常可用。</t>
  </si>
  <si>
    <t xml:space="preserve">web/corp-action-form.js:158 `const cleaned = n.value.replace(/[^0-9]/g, '');`</t>
  </si>
  <si>
    <t xml:space="preserve"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</si>
  <si>
    <r>
      <rPr>
        <sz val="10"/>
        <rFont val="Arial"/>
        <family val="0"/>
        <charset val="1"/>
      </rPr>
      <t xml:space="preserve">intBox </t>
    </r>
    <r>
      <rPr>
        <sz val="10"/>
        <rFont val="Noto Sans CJK SC"/>
        <family val="2"/>
      </rPr>
      <t xml:space="preserve">不再改寫值；</t>
    </r>
    <r>
      <rPr>
        <sz val="10"/>
        <rFont val="Arial"/>
        <family val="0"/>
        <charset val="1"/>
      </rPr>
      <t xml:space="preserve">INT_TERM=/^0*[1-9][0-9]*$/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ratioTermsValid()</t>
    </r>
    <r>
      <rPr>
        <sz val="10"/>
        <rFont val="Noto Sans CJK SC"/>
        <family val="2"/>
      </rPr>
      <t xml:space="preserve">：欄位 </t>
    </r>
    <r>
      <rPr>
        <sz val="10"/>
        <rFont val="Arial"/>
        <family val="0"/>
        <charset val="1"/>
      </rPr>
      <t xml:space="preserve">.ca-int-bad </t>
    </r>
    <r>
      <rPr>
        <sz val="10"/>
        <rFont val="Noto Sans CJK SC"/>
        <family val="2"/>
      </rPr>
      <t xml:space="preserve">紅框、行內錯誤「比例只收整數（不要填算好的小數）」、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先檢查（試算不送）、</t>
    </r>
    <r>
      <rPr>
        <sz val="10"/>
        <rFont val="Arial"/>
        <family val="0"/>
        <charset val="1"/>
      </rPr>
      <t xml:space="preserve">syncSave() </t>
    </r>
    <r>
      <rPr>
        <sz val="10"/>
        <rFont val="Noto Sans CJK SC"/>
        <family val="2"/>
      </rPr>
      <t xml:space="preserve">讓登錄鈕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，試算區「✕ 比例只收整數…請改成對帳單上的兩個整數後再試算」。後端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不動。同類 </t>
    </r>
    <r>
      <rPr>
        <sz val="10"/>
        <rFont val="Arial"/>
        <family val="0"/>
        <charset val="1"/>
      </rPr>
      <t xml:space="preserve">broker-import.js:360 `String(parseInt(to, 10))`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截成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進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）由 </t>
    </r>
    <r>
      <rPr>
        <sz val="10"/>
        <rFont val="Arial"/>
        <family val="0"/>
        <charset val="1"/>
      </rPr>
      <t xml:space="preserve">Agent B </t>
    </r>
    <r>
      <rPr>
        <sz val="10"/>
        <rFont val="Noto Sans CJK SC"/>
        <family val="2"/>
      </rPr>
      <t xml:space="preserve">一併修：比例欄改 </t>
    </r>
    <r>
      <rPr>
        <sz val="10"/>
        <rFont val="Arial"/>
        <family val="0"/>
        <charset val="1"/>
      </rPr>
      <t xml:space="preserve">type=text inputmode=numeric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ratioValid() </t>
    </r>
    <r>
      <rPr>
        <sz val="10"/>
        <rFont val="Noto Sans CJK SC"/>
        <family val="2"/>
      </rPr>
      <t xml:space="preserve">只接受正整數字串、行內「請輸入正整數（例如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）」、值原樣送出。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</si>
  <si>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（排除 </t>
    </r>
    <r>
      <rPr>
        <sz val="10"/>
        <rFont val="Arial"/>
        <family val="0"/>
        <charset val="1"/>
      </rPr>
      <t xml:space="preserve">echarts</t>
    </r>
    <r>
      <rPr>
        <sz val="10"/>
        <rFont val="Noto Sans CJK SC"/>
        <family val="2"/>
      </rPr>
      <t xml:space="preserve">）數字剝除／</t>
    </r>
    <r>
      <rPr>
        <sz val="10"/>
        <rFont val="Arial"/>
        <family val="0"/>
        <charset val="1"/>
      </rPr>
      <t xml:space="preserve">parseInt </t>
    </r>
    <r>
      <rPr>
        <sz val="10"/>
        <rFont val="Noto Sans CJK SC"/>
        <family val="2"/>
      </rPr>
      <t xml:space="preserve">截斷回寫共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檔：修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corp-action-form.js:158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broker-import.js:360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settings-alerts.js:423 `parseInt(sel.value, 10)`——select </t>
    </r>
    <r>
      <rPr>
        <sz val="10"/>
        <rFont val="Noto Sans CJK SC"/>
        <family val="2"/>
      </rPr>
      <t xml:space="preserve">年份選項本來就是整數、不回寫）；另審過但不屬此類：</t>
    </r>
    <r>
      <rPr>
        <sz val="10"/>
        <rFont val="Arial"/>
        <family val="0"/>
        <charset val="1"/>
      </rPr>
      <t xml:space="preserve">cash.js:80 </t>
    </r>
    <r>
      <rPr>
        <sz val="10"/>
        <rFont val="Noto Sans CJK SC"/>
        <family val="2"/>
      </rPr>
      <t xml:space="preserve">前導零正規化不回寫、</t>
    </r>
    <r>
      <rPr>
        <sz val="10"/>
        <rFont val="Arial"/>
        <family val="0"/>
        <charset val="1"/>
      </rPr>
      <t xml:space="preserve">input.js:1286/1878 dataset </t>
    </r>
    <r>
      <rPr>
        <sz val="10"/>
        <rFont val="Noto Sans CJK SC"/>
        <family val="2"/>
      </rPr>
      <t xml:space="preserve">索引、</t>
    </r>
    <r>
      <rPr>
        <sz val="10"/>
        <rFont val="Arial"/>
        <family val="0"/>
        <charset val="1"/>
      </rPr>
      <t xml:space="preserve">export.js:59 </t>
    </r>
    <r>
      <rPr>
        <sz val="10"/>
        <rFont val="Noto Sans CJK SC"/>
        <family val="2"/>
      </rPr>
      <t xml:space="preserve">伺服器年份、</t>
    </r>
    <r>
      <rPr>
        <sz val="10"/>
        <rFont val="Arial"/>
        <family val="0"/>
        <charset val="1"/>
      </rPr>
      <t xml:space="preserve">rebalance.js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alerts.js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pager.js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digest.js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Math.floor/round</t>
    </r>
    <r>
      <rPr>
        <sz val="10"/>
        <rFont val="Noto Sans CJK SC"/>
        <family val="2"/>
      </rPr>
      <t xml:space="preserve">（版面／分頁／天數）。</t>
    </r>
  </si>
  <si>
    <t xml:space="preserve"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</si>
  <si>
    <t xml:space="preserve">真實瀏覽器：交易帳本 › 公司行動 › ＋補登 → 分割，以鍵盤在「每持有」欄鍵入 1.5、「變成」欄鍵入 3</t>
  </si>
  <si>
    <t xml:space="preserve"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</si>
  <si>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不再被改寫；紅框＋行內錯誤＋試算不送＋登錄鈕停用</t>
    </r>
  </si>
  <si>
    <t xml:space="preserve">同意驗證者。兩支請求非原子；刪除只刪行動列，出金留在資金收支。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</si>
  <si>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data_ingestion/store.py:1111 `conn.execute("DELETE FROM corporate_actions WHERE id=?", (action_id,))`</t>
    </r>
  </si>
  <si>
    <t xml:space="preserve"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</si>
  <si>
    <r>
      <rPr>
        <sz val="10"/>
        <rFont val="Arial"/>
        <family val="0"/>
        <charset val="1"/>
      </rPr>
      <t xml:space="preserve">schema additive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cash_movements.corporate_action_id INTEGER</t>
    </r>
    <r>
      <rPr>
        <sz val="10"/>
        <rFont val="Noto Sans CJK SC"/>
        <family val="2"/>
      </rPr>
      <t xml:space="preserve">＋索引。</t>
    </r>
    <r>
      <rPr>
        <sz val="10"/>
        <rFont val="Arial"/>
        <family val="0"/>
        <charset val="1"/>
      </rPr>
      <t xml:space="preserve">store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insert_cash_movement(corporate_action_id=)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update/delete_cash_movement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commit= </t>
    </r>
    <r>
      <rPr>
        <sz val="10"/>
        <rFont val="Noto Sans CJK SC"/>
        <family val="2"/>
      </rPr>
      <t xml:space="preserve">參數、</t>
    </r>
    <r>
      <rPr>
        <sz val="10"/>
        <rFont val="Arial"/>
        <family val="0"/>
        <charset val="1"/>
      </rPr>
      <t xml:space="preserve">linked_cash_movements()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delete_corporate_action(commit=) </t>
    </r>
    <r>
      <rPr>
        <sz val="10"/>
        <rFont val="Noto Sans CJK SC"/>
        <family val="2"/>
      </rPr>
      <t xml:space="preserve">在同一交易內連帶刪除關聯出金（每列寫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ledgers.py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ActionBody.reorg_fee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reorg_fee_ccy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_reorg_fee_refusal() </t>
    </r>
    <r>
      <rPr>
        <sz val="10"/>
        <rFont val="Noto Sans CJK SC"/>
        <family val="2"/>
      </rPr>
      <t xml:space="preserve">用現金門同一個 </t>
    </r>
    <r>
      <rPr>
        <sz val="10"/>
        <rFont val="Arial"/>
        <family val="0"/>
        <charset val="1"/>
      </rPr>
      <t xml:space="preserve">validate_cash_movement</t>
    </r>
    <r>
      <rPr>
        <sz val="10"/>
        <rFont val="Noto Sans CJK SC"/>
        <family val="2"/>
      </rPr>
      <t xml:space="preserve">（含日期感知透支守門）在任何寫入前驗證，被拒就整筆 </t>
    </r>
    <r>
      <rPr>
        <sz val="10"/>
        <rFont val="Arial"/>
        <family val="0"/>
        <charset val="1"/>
      </rPr>
      <t xml:space="preserve">400/422</t>
    </r>
    <r>
      <rPr>
        <sz val="10"/>
        <rFont val="Noto Sans CJK SC"/>
        <family val="2"/>
      </rPr>
      <t xml:space="preserve">「重組費用無法登錄，公司行動也未寫入：…」；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insert_corporate_action×N → move_target_band(commit=False) → insert_cash_movement(commit=False) →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的同一 </t>
    </r>
    <r>
      <rPr>
        <sz val="10"/>
        <rFont val="Arial"/>
        <family val="0"/>
        <charset val="1"/>
      </rPr>
      <t xml:space="preserve">try/rollback </t>
    </r>
    <r>
      <rPr>
        <sz val="10"/>
        <rFont val="Noto Sans CJK SC"/>
        <family val="2"/>
      </rPr>
      <t xml:space="preserve">內；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同步費用（缺省不動／空字串刪／值更新）；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單筆／整組走 </t>
    </r>
    <r>
      <rPr>
        <sz val="10"/>
        <rFont val="Arial"/>
        <family val="0"/>
        <charset val="1"/>
      </rPr>
      <t xml:space="preserve">_delete_actions()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fee_deleted[]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列帶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。前端：單一請求；成功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註明；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刪除確認框明列「會一併刪除這筆行動的重組費用出金：日期 出金 金額 幣別（帳戶）」；編輯 </t>
    </r>
    <r>
      <rPr>
        <sz val="10"/>
        <rFont val="Arial"/>
        <family val="0"/>
        <charset val="1"/>
      </rPr>
      <t xml:space="preserve">modal </t>
    </r>
    <r>
      <rPr>
        <sz val="10"/>
        <rFont val="Noto Sans CJK SC"/>
        <family val="2"/>
      </rPr>
      <t xml:space="preserve">加重組費用欄。</t>
    </r>
  </si>
  <si>
    <t xml:space="preserve"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</si>
  <si>
    <t xml:space="preserve"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</si>
  <si>
    <t xml:space="preserve">真實瀏覽器：公司行動 2884 每 1 股→2 股＋重組費用 50 登錄 → 刪除；另以重組費用 99,999,999 測原子性</t>
  </si>
  <si>
    <t xml:space="preserve"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</si>
  <si>
    <t xml:space="preserve">單一請求、刪除連帶刪出金、費用被拒時整筆不寫；cmp D020 same:true</t>
  </si>
  <si>
    <t xml:space="preserve">觀察（不另開）：公司行動帳本列未顯示該筆的重組費用（只有編輯框有），使用者要到刪除框才知道有連帶出金</t>
  </si>
  <si>
    <t xml:space="preserve">同意驗證者。docstring 宣稱「入口會說明」，入口從未說；刪除不回搬。</t>
  </si>
  <si>
    <r>
      <rPr>
        <sz val="10"/>
        <rFont val="Arial"/>
        <family val="0"/>
        <charset val="1"/>
      </rPr>
      <t xml:space="preserve">store.py:220 `⚠ **Not reversible.** Deleting the EXCHANGE does not move the band back.`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ledgers.py:1899 `delete_corporate_action(conn, action_id)`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corp-action-form.js:263-265</t>
    </r>
  </si>
  <si>
    <r>
      <rPr>
        <sz val="10"/>
        <rFont val="Arial"/>
        <family val="0"/>
        <charset val="1"/>
      </rPr>
      <t xml:space="preserve">tests/data_ingestion/test_band_moves_on_exchange.py </t>
    </r>
    <r>
      <rPr>
        <sz val="10"/>
        <rFont val="Noto Sans CJK SC"/>
        <family val="2"/>
      </rPr>
      <t xml:space="preserve">只釘「搬移」的三個性質，沒有任何測試描述刪除後的狀態；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把「入口會說明」當成既成事實，沒有測試驗證入口文案是否存在。補：可逆／不可逆兩條路由測試＋入口文案靜態測試。</t>
    </r>
  </si>
  <si>
    <t xml:space="preserve"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</si>
  <si>
    <r>
      <rPr>
        <sz val="10"/>
        <rFont val="Arial"/>
        <family val="0"/>
        <charset val="1"/>
      </rPr>
      <t xml:space="preserve">EXCHANGE </t>
    </r>
    <r>
      <rPr>
        <sz val="10"/>
        <rFont val="Noto Sans CJK SC"/>
        <family val="2"/>
      </rPr>
      <t xml:space="preserve">隨行動搬移的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設定共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：目標價（修）、目標權重（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補修）；批次復原路徑（</t>
    </r>
    <r>
      <rPr>
        <sz val="10"/>
        <rFont val="Arial"/>
        <family val="0"/>
        <charset val="1"/>
      </rPr>
      <t xml:space="preserve">provenance.py:194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不回搬）由收尾包 </t>
    </r>
    <r>
      <rPr>
        <sz val="10"/>
        <rFont val="Arial"/>
        <family val="0"/>
        <charset val="1"/>
      </rPr>
      <t xml:space="preserve">I-3 </t>
    </r>
    <r>
      <rPr>
        <sz val="10"/>
        <rFont val="Noto Sans CJK SC"/>
        <family val="2"/>
      </rPr>
      <t xml:space="preserve">處理。</t>
    </r>
  </si>
  <si>
    <t xml:space="preserve"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</si>
  <si>
    <t xml:space="preserve">真實瀏覽器：觀察清單設 2884 目標價 40／55 → 公司行動 換股 2884→2882 每 1 換 1 → 刪除（可逆）；再登錄一次、把 2882 改為 42／55 後重新載入頁面再刪除（不可逆）</t>
  </si>
  <si>
    <t xml:space="preserve"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</si>
  <si>
    <t xml:space="preserve">可逆與不可逆兩條路徑的試算、刪除框、API、toast 皆一致；測畢 26 檔目標價全為空，cmp D021 same:true</t>
  </si>
  <si>
    <t xml:space="preserve"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</si>
  <si>
    <t xml:space="preserve">同意驗證者，且是一類：業務日期用非 app 時鐘產生。</t>
  </si>
  <si>
    <t xml:space="preserve">store.py:122 `stamp = (today or datetime.now(UTC).date()).isoformat()`</t>
  </si>
  <si>
    <r>
      <rPr>
        <sz val="10"/>
        <rFont val="Arial"/>
        <family val="0"/>
        <charset val="1"/>
      </rPr>
      <t xml:space="preserve">Q6 </t>
    </r>
    <r>
      <rPr>
        <sz val="10"/>
        <rFont val="Noto Sans CJK SC"/>
        <family val="2"/>
      </rPr>
      <t xml:space="preserve">只寫在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，沒有守門掃描；</t>
    </r>
    <r>
      <rPr>
        <sz val="10"/>
        <rFont val="Arial"/>
        <family val="0"/>
        <charset val="1"/>
      </rPr>
      <t xml:space="preserve">tests/pricing/test_new_quote_providers.py:139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`row.as_of == date.today()`——</t>
    </r>
    <r>
      <rPr>
        <sz val="10"/>
        <rFont val="Noto Sans CJK SC"/>
        <family val="2"/>
      </rPr>
      <t xml:space="preserve">把錯的時鐘釘成規格。補：</t>
    </r>
    <r>
      <rPr>
        <sz val="10"/>
        <rFont val="Arial"/>
        <family val="0"/>
        <charset val="1"/>
      </rPr>
      <t xml:space="preserve">tests/architecture/test_business_dates_use_app_clock.py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 </t>
    </r>
    <r>
      <rPr>
        <sz val="10"/>
        <rFont val="Arial"/>
        <family val="0"/>
        <charset val="1"/>
      </rPr>
      <t xml:space="preserve">portfolio_dash/**/*.py </t>
    </r>
    <r>
      <rPr>
        <sz val="10"/>
        <rFont val="Noto Sans CJK SC"/>
        <family val="2"/>
      </rPr>
      <t xml:space="preserve">排除 </t>
    </r>
    <r>
      <rPr>
        <sz val="10"/>
        <rFont val="Arial"/>
        <family val="0"/>
        <charset val="1"/>
      </rPr>
      <t xml:space="preserve">shared/clock.py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*.utcnow()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*.now(...).date()</t>
    </r>
    <r>
      <rPr>
        <sz val="10"/>
        <rFont val="Noto Sans CJK SC"/>
        <family val="2"/>
      </rPr>
      <t xml:space="preserve">；白名單需附理由且不得過期，目前為空；偵測力自證）。</t>
    </r>
  </si>
  <si>
    <r>
      <rPr>
        <sz val="10"/>
        <rFont val="Arial"/>
        <family val="0"/>
        <charset val="1"/>
      </rPr>
      <t xml:space="preserve">store.py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app_now().date()</t>
    </r>
    <r>
      <rPr>
        <sz val="10"/>
        <rFont val="Noto Sans CJK SC"/>
        <family val="2"/>
      </rPr>
      <t xml:space="preserve">；全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同類一律改 </t>
    </r>
    <r>
      <rPr>
        <sz val="10"/>
        <rFont val="Arial"/>
        <family val="0"/>
        <charset val="1"/>
      </rPr>
      <t xml:space="preserve">app_now()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pricing/providers 7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（最新報價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TWSE </t>
    </r>
    <r>
      <rPr>
        <sz val="10"/>
        <rFont val="Noto Sans CJK SC"/>
        <family val="2"/>
      </rPr>
      <t xml:space="preserve">日檔參數）、</t>
    </r>
    <r>
      <rPr>
        <sz val="10"/>
        <rFont val="Arial"/>
        <family val="0"/>
        <charset val="1"/>
      </rPr>
      <t xml:space="preserve">shared/llm_usage_reads.py:127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日用量視窗）、</t>
    </r>
    <r>
      <rPr>
        <sz val="10"/>
        <rFont val="Arial"/>
        <family val="0"/>
        <charset val="1"/>
      </rPr>
      <t xml:space="preserve">data_ingestion/agents.py:465 datetime.now(_TAIPEI).date()</t>
    </r>
    <r>
      <rPr>
        <sz val="10"/>
        <rFont val="Noto Sans CJK SC"/>
        <family val="2"/>
      </rPr>
      <t xml:space="preserve">（私有時區常數繞過 </t>
    </r>
    <r>
      <rPr>
        <sz val="10"/>
        <rFont val="Arial"/>
        <family val="0"/>
        <charset val="1"/>
      </rPr>
      <t xml:space="preserve">shared/clock</t>
    </r>
    <r>
      <rPr>
        <sz val="10"/>
        <rFont val="Noto Sans CJK SC"/>
        <family val="2"/>
      </rPr>
      <t xml:space="preserve">，改 </t>
    </r>
    <r>
      <rPr>
        <sz val="10"/>
        <rFont val="Arial"/>
        <family val="0"/>
        <charset val="1"/>
      </rPr>
      <t xml:space="preserve">app_now() </t>
    </r>
    <r>
      <rPr>
        <sz val="10"/>
        <rFont val="Noto Sans CJK SC"/>
        <family val="2"/>
      </rPr>
      <t xml:space="preserve">並刪 </t>
    </r>
    <r>
      <rPr>
        <sz val="10"/>
        <rFont val="Arial"/>
        <family val="0"/>
        <charset val="1"/>
      </rPr>
      <t xml:space="preserve">_TAIPEI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test_new_quote_providers.py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monkeypatch app_now </t>
    </r>
    <r>
      <rPr>
        <sz val="10"/>
        <rFont val="Noto Sans CJK SC"/>
        <family val="2"/>
      </rPr>
      <t xml:space="preserve">至「台北 </t>
    </r>
    <r>
      <rPr>
        <sz val="10"/>
        <rFont val="Arial"/>
        <family val="0"/>
        <charset val="1"/>
      </rPr>
      <t xml:space="preserve">03:00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前一天」固定時刻。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瞬時戳（</t>
    </r>
    <r>
      <rPr>
        <sz val="10"/>
        <rFont val="Arial"/>
        <family val="0"/>
        <charset val="1"/>
      </rPr>
      <t xml:space="preserve">.isoformat() </t>
    </r>
    <r>
      <rPr>
        <sz val="10"/>
        <rFont val="Noto Sans CJK SC"/>
        <family val="2"/>
      </rPr>
      <t xml:space="preserve">帶時區 </t>
    </r>
    <r>
      <rPr>
        <sz val="10"/>
        <rFont val="Arial"/>
        <family val="0"/>
        <charset val="1"/>
      </rPr>
      <t xml:space="preserve">instant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store.py:69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fee_overrides.py:262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evaluations_store.py:220/245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llm_config.py:360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config_store.py:35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scheduler/jobs.py:1419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api/app.py:252</t>
    </r>
    <r>
      <rPr>
        <sz val="10"/>
        <rFont val="Noto Sans CJK SC"/>
        <family val="2"/>
      </rPr>
      <t xml:space="preserve">）不屬此類，守門只抓 </t>
    </r>
    <r>
      <rPr>
        <sz val="10"/>
        <rFont val="Arial"/>
        <family val="0"/>
        <charset val="1"/>
      </rPr>
      <t xml:space="preserve">.date()</t>
    </r>
    <r>
      <rPr>
        <sz val="10"/>
        <rFont val="Noto Sans CJK SC"/>
        <family val="2"/>
      </rPr>
      <t xml:space="preserve">。</t>
    </r>
  </si>
  <si>
    <t xml:space="preserve"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</si>
  <si>
    <t xml:space="preserve"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</si>
  <si>
    <t xml:space="preserve">真實瀏覽器：UTC 2026-09-23T18:32Z（台北 2026-09-24 02:32）於觀察清單設 2884 目標價，再以換股試算／登錄讀 band_move.set_at</t>
  </si>
  <si>
    <t xml:space="preserve"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</si>
  <si>
    <r>
      <rPr>
        <sz val="10"/>
        <rFont val="Arial"/>
        <family val="0"/>
        <charset val="1"/>
      </rPr>
      <t xml:space="preserve">set_at</t>
    </r>
    <r>
      <rPr>
        <sz val="10"/>
        <rFont val="Noto Sans CJK SC"/>
        <family val="2"/>
      </rPr>
      <t xml:space="preserve">＝台北日期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仍是 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）</t>
    </r>
  </si>
  <si>
    <t xml:space="preserve"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</si>
  <si>
    <r>
      <rPr>
        <sz val="10"/>
        <rFont val="Arial"/>
        <family val="0"/>
        <charset val="1"/>
      </rPr>
      <t xml:space="preserve">(a) web/broker-import.js:423 `kind, csv_text: text, ack_warnings: true,`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(b) api/routers/broker_import.py:136-139 `"openings_needing_cost": […]`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web/broker-import.js:378 `rows.push([…, o.symbol, o.shares, cost, …])`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(c) data_ingestion/broker/convert.py:122 `for e in sorted(grouped.trades, key=lambda x: (x.trade_date, x.line_no)):`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grouping.py:456</t>
    </r>
  </si>
  <si>
    <r>
      <rPr>
        <sz val="10"/>
        <rFont val="Arial"/>
        <family val="0"/>
        <charset val="1"/>
      </rPr>
      <t xml:space="preserve">(a) tests/e2e/test_broker_web_import_flow.py:148-154</t>
    </r>
    <r>
      <rPr>
        <sz val="10"/>
        <rFont val="Noto Sans CJK SC"/>
        <family val="2"/>
      </rPr>
      <t xml:space="preserve">（舊）斷言第一個 </t>
    </r>
    <r>
      <rPr>
        <sz val="10"/>
        <rFont val="Arial"/>
        <family val="0"/>
        <charset val="1"/>
      </rPr>
      <t xml:space="preserve">commit status==200 </t>
    </r>
    <r>
      <rPr>
        <sz val="10"/>
        <rFont val="Noto Sans CJK SC"/>
        <family val="2"/>
      </rPr>
      <t xml:space="preserve">且「全部寫入完成」——語料的 </t>
    </r>
    <r>
      <rPr>
        <sz val="10"/>
        <rFont val="Arial"/>
        <family val="0"/>
        <charset val="1"/>
      </rPr>
      <t xml:space="preserve">PREH </t>
    </r>
    <r>
      <rPr>
        <sz val="10"/>
        <rFont val="Noto Sans CJK SC"/>
        <family val="2"/>
      </rPr>
      <t xml:space="preserve">賣出本身就是對空帳本的賣超，該測試把整批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釘成正確行為；沒有 </t>
    </r>
    <r>
      <rPr>
        <sz val="10"/>
        <rFont val="Arial"/>
        <family val="0"/>
        <charset val="1"/>
      </rPr>
      <t xml:space="preserve">contract </t>
    </r>
    <r>
      <rPr>
        <sz val="10"/>
        <rFont val="Noto Sans CJK SC"/>
        <family val="2"/>
      </rPr>
      <t xml:space="preserve">守門掃 </t>
    </r>
    <r>
      <rPr>
        <sz val="10"/>
        <rFont val="Arial"/>
        <family val="0"/>
        <charset val="1"/>
      </rPr>
      <t xml:space="preserve">`ack_warnings: true` </t>
    </r>
    <r>
      <rPr>
        <sz val="10"/>
        <rFont val="Noto Sans CJK SC"/>
        <family val="2"/>
      </rPr>
      <t xml:space="preserve">字面值（</t>
    </r>
    <r>
      <rPr>
        <sz val="10"/>
        <rFont val="Arial"/>
        <family val="0"/>
        <charset val="1"/>
      </rPr>
      <t xml:space="preserve">test_web_native_dialogs.py </t>
    </r>
    <r>
      <rPr>
        <sz val="10"/>
        <rFont val="Noto Sans CJK SC"/>
        <family val="2"/>
      </rPr>
      <t xml:space="preserve">只掃 </t>
    </r>
    <r>
      <rPr>
        <sz val="10"/>
        <rFont val="Arial"/>
        <family val="0"/>
        <charset val="1"/>
      </rPr>
      <t xml:space="preserve">window.confirm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(b) test_the_corpus_finds_the_pre_history_position </t>
    </r>
    <r>
      <rPr>
        <sz val="10"/>
        <rFont val="Noto Sans CJK SC"/>
        <family val="2"/>
      </rPr>
      <t xml:space="preserve">只釘檔案內 </t>
    </r>
    <r>
      <rPr>
        <sz val="10"/>
        <rFont val="Arial"/>
        <family val="0"/>
        <charset val="1"/>
      </rPr>
      <t xml:space="preserve">{"PREH": 80}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合成語料 </t>
    </r>
    <r>
      <rPr>
        <sz val="10"/>
        <rFont val="Arial"/>
        <family val="0"/>
        <charset val="1"/>
      </rPr>
      <t xml:space="preserve">tests/golden/broker/schwab_2024.csv </t>
    </r>
    <r>
      <rPr>
        <sz val="10"/>
        <rFont val="Noto Sans CJK SC"/>
        <family val="2"/>
      </rPr>
      <t xml:space="preserve">是最舊在前，與真實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相反，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順序恰好等於時間順序。補：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字面值守門（全站每個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字面值須在 </t>
    </r>
    <r>
      <rPr>
        <sz val="10"/>
        <rFont val="Arial"/>
        <family val="0"/>
        <charset val="1"/>
      </rPr>
      <t xml:space="preserve">dialog 30 </t>
    </r>
    <r>
      <rPr>
        <sz val="10"/>
        <rFont val="Noto Sans CJK SC"/>
        <family val="2"/>
      </rPr>
      <t xml:space="preserve">行內）、帳本對照的 </t>
    </r>
    <r>
      <rPr>
        <sz val="10"/>
        <rFont val="Arial"/>
        <family val="0"/>
        <charset val="1"/>
      </rPr>
      <t xml:space="preserve">opening gap </t>
    </r>
    <r>
      <rPr>
        <sz val="10"/>
        <rFont val="Noto Sans CJK SC"/>
        <family val="2"/>
      </rPr>
      <t xml:space="preserve">測試、最新在前語料與方向偵測測試。</t>
    </r>
  </si>
  <si>
    <r>
      <rPr>
        <sz val="10"/>
        <rFont val="Arial"/>
        <family val="0"/>
        <charset val="1"/>
      </rPr>
      <t xml:space="preserve">(a) commitStep() </t>
    </r>
    <r>
      <rPr>
        <sz val="10"/>
        <rFont val="Noto Sans CJK SC"/>
        <family val="2"/>
      </rPr>
      <t xml:space="preserve">先送 </t>
    </r>
    <r>
      <rPr>
        <sz val="10"/>
        <rFont val="Arial"/>
        <family val="0"/>
        <charset val="1"/>
      </rPr>
      <t xml:space="preserve">ack_warnings:false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422 warnings_unacknowledged →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/api/import/preview </t>
    </r>
    <r>
      <rPr>
        <sz val="10"/>
        <rFont val="Noto Sans CJK SC"/>
        <family val="2"/>
      </rPr>
      <t xml:space="preserve">取逐列 </t>
    </r>
    <r>
      <rPr>
        <sz val="10"/>
        <rFont val="Arial"/>
        <family val="0"/>
        <charset val="1"/>
      </rPr>
      <t xml:space="preserve">status/reason → </t>
    </r>
    <r>
      <rPr>
        <sz val="10"/>
        <rFont val="Noto Sans CJK SC"/>
        <family val="2"/>
      </rPr>
      <t xml:space="preserve">專案 </t>
    </r>
    <r>
      <rPr>
        <sz val="10"/>
        <rFont val="Arial"/>
        <family val="0"/>
        <charset val="1"/>
      </rPr>
      <t xml:space="preserve">modal</t>
    </r>
    <r>
      <rPr>
        <sz val="10"/>
        <rFont val="Noto Sans CJK SC"/>
        <family val="2"/>
      </rPr>
      <t xml:space="preserve">「匯入警告確認 —— 交易」逐列顯示代號、日期、類型、股數、伺服器原句；賣超列加「→ 賣超：確認後成本基礎永久捨棄（待釐清），之後再買回也不會還原」；</t>
    </r>
    <r>
      <rPr>
        <sz val="10"/>
        <rFont val="Arial"/>
        <family val="0"/>
        <charset val="1"/>
      </rPr>
      <t xml:space="preserve">checkbox </t>
    </r>
    <r>
      <rPr>
        <sz val="10"/>
        <rFont val="Noto Sans CJK SC"/>
        <family val="2"/>
      </rPr>
      <t xml:space="preserve">預設不勾；「寫入勾選的警告列」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勾時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；另有「略過所有警告列，只寫入其他列」與「取消」；確認後只把勾選列以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索引重送（伺服器 </t>
    </r>
    <r>
      <rPr>
        <sz val="10"/>
        <rFont val="Arial"/>
        <family val="0"/>
        <charset val="1"/>
      </rPr>
      <t xml:space="preserve">QA-01 shrink-only </t>
    </r>
    <r>
      <rPr>
        <sz val="10"/>
        <rFont val="Noto Sans CJK SC"/>
        <family val="2"/>
      </rPr>
      <t xml:space="preserve">規則等價逐列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）；每個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各自對話框。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後端 </t>
    </r>
    <r>
      <rPr>
        <sz val="10"/>
        <rFont val="Arial"/>
        <family val="0"/>
        <charset val="1"/>
      </rPr>
      <t xml:space="preserve">_opening_gaps()</t>
    </r>
    <r>
      <rPr>
        <sz val="10"/>
        <rFont val="Noto Sans CJK SC"/>
        <family val="2"/>
      </rPr>
      <t xml:space="preserve">：對每個 </t>
    </r>
    <r>
      <rPr>
        <sz val="10"/>
        <rFont val="Arial"/>
        <family val="0"/>
        <charset val="1"/>
      </rPr>
      <t xml:space="preserve">prehistory </t>
    </r>
    <r>
      <rPr>
        <sz val="10"/>
        <rFont val="Noto Sans CJK SC"/>
        <family val="2"/>
      </rPr>
      <t xml:space="preserve">代號讀 </t>
    </r>
    <r>
      <rPr>
        <sz val="10"/>
        <rFont val="Arial"/>
        <family val="0"/>
        <charset val="1"/>
      </rPr>
      <t xml:space="preserve">holdings.shares_through(conn, account, symbol, on=</t>
    </r>
    <r>
      <rPr>
        <sz val="10"/>
        <rFont val="Noto Sans CJK SC"/>
        <family val="2"/>
      </rPr>
      <t xml:space="preserve">對帳單首日前一天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satisfied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openings_build_date</t>
    </r>
    <r>
      <rPr>
        <sz val="10"/>
        <rFont val="Noto Sans CJK SC"/>
        <family val="2"/>
      </rPr>
      <t xml:space="preserve">；前端 </t>
    </r>
    <r>
      <rPr>
        <sz val="10"/>
        <rFont val="Arial"/>
        <family val="0"/>
        <charset val="1"/>
      </rPr>
      <t xml:space="preserve">satisfied </t>
    </r>
    <r>
      <rPr>
        <sz val="10"/>
        <rFont val="Noto Sans CJK SC"/>
        <family val="2"/>
      </rPr>
      <t xml:space="preserve">者「期初庫存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不需補：帳本在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股…」、未滿足者「對帳單需要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股，帳本在 </t>
    </r>
    <r>
      <rPr>
        <sz val="10"/>
        <rFont val="Arial"/>
        <family val="0"/>
        <charset val="1"/>
      </rPr>
      <t xml:space="preserve">2024-01-02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股，仍缺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股」，期初列寫入 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ir.py RawEvent.seq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chrono_key(e)=(trade_date, source_file, seq, line_no)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schwab.py newest_first(posted_dates)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posted date </t>
    </r>
    <r>
      <rPr>
        <sz val="10"/>
        <rFont val="Noto Sans CJK SC"/>
        <family val="2"/>
      </rPr>
      <t xml:space="preserve">走勢判讀檔案方向（單調不增＝最新在前；單調不減＝最舊在前；其餘／單日→券商慣例最新在前，絕不落回 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順序）；</t>
    </r>
    <r>
      <rPr>
        <sz val="10"/>
        <rFont val="Arial"/>
        <family val="0"/>
        <charset val="1"/>
      </rPr>
      <t xml:space="preserve">convert.py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grouping.py </t>
    </r>
    <r>
      <rPr>
        <sz val="10"/>
        <rFont val="Noto Sans CJK SC"/>
        <family val="2"/>
      </rPr>
      <t xml:space="preserve">全改 </t>
    </r>
    <r>
      <rPr>
        <sz val="10"/>
        <rFont val="Arial"/>
        <family val="0"/>
        <charset val="1"/>
      </rPr>
      <t xml:space="preserve">chrono_key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列序 </t>
    </r>
    <r>
      <rPr>
        <sz val="10"/>
        <rFont val="Arial"/>
        <family val="0"/>
        <charset val="1"/>
      </rPr>
      <t xml:space="preserve">insert → id </t>
    </r>
    <r>
      <rPr>
        <sz val="10"/>
        <rFont val="Noto Sans CJK SC"/>
        <family val="2"/>
      </rPr>
      <t xml:space="preserve">升冪＝時間序，與 </t>
    </r>
    <r>
      <rPr>
        <sz val="10"/>
        <rFont val="Arial"/>
        <family val="0"/>
        <charset val="1"/>
      </rPr>
      <t xml:space="preserve">DEF-012 </t>
    </r>
    <r>
      <rPr>
        <sz val="10"/>
        <rFont val="Noto Sans CJK SC"/>
        <family val="2"/>
      </rPr>
      <t xml:space="preserve">規則相符。</t>
    </r>
  </si>
  <si>
    <t xml:space="preserve"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</si>
  <si>
    <t xml:space="preserve"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</si>
  <si>
    <t xml:space="preserve"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</si>
  <si>
    <t xml:space="preserve"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</si>
  <si>
    <t xml:space="preserve">第一次 commit 422 → 逐列確認框（預設不勾、確認鈕 disabled）→ 取消後 0 寫入、六段 JSON 相同；期初缺口 914.96 股正確；變異：單元守門 3 passed（攔不到），e2e 2 failed（攔得到）</t>
  </si>
  <si>
    <t xml:space="preserve">單元守門只認字面值 ack_warnings: true，等價寫法要靠 e2e 才攔得到——建議把 e2e 納入每輪 J-06；新開 DEF-039：對帳單轉換的股數顯示 28 位原始小數</t>
  </si>
  <si>
    <t xml:space="preserve">同意驗證者。</t>
  </si>
  <si>
    <t xml:space="preserve">web/broker-import.js:264-266 `const counts = (c.commit_order||[]).map((k) =&gt; KIND_ZH[k] + ' ' + c.counts[k]).join(' · ')`</t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</si>
  <si>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to_contain_text("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") </t>
    </r>
    <r>
      <rPr>
        <sz val="10"/>
        <rFont val="Noto Sans CJK SC"/>
        <family val="2"/>
      </rPr>
      <t xml:space="preserve">與比對批次筆數；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測試只比 </t>
    </r>
    <r>
      <rPr>
        <sz val="10"/>
        <rFont val="Arial"/>
        <family val="0"/>
        <charset val="1"/>
      </rPr>
      <t xml:space="preserve">files </t>
    </r>
    <r>
      <rPr>
        <sz val="10"/>
        <rFont val="Noto Sans CJK SC"/>
        <family val="2"/>
      </rPr>
      <t xml:space="preserve">文字；沒有任何斷言檢視列。補：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對來源 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守恆的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四張表列數與 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區文案。</t>
    </r>
  </si>
  <si>
    <t xml:space="preserve"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</si>
  <si>
    <t xml:space="preserve">報告只出筆數的轉換結果面 共 1／修 1／白名單 0。</t>
  </si>
  <si>
    <r>
      <rPr>
        <sz val="10"/>
        <rFont val="Arial"/>
        <family val="0"/>
        <charset val="1"/>
      </rPr>
      <t xml:space="preserve">test_broker_import_api.py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test_every_converted_row_is_listed_and_its_cells_render_the_file_byte_for_byte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數＝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render_kind(kind, cells)==files[kind]</t>
    </r>
    <r>
      <rPr>
        <sz val="10"/>
        <rFont val="Noto Sans CJK SC"/>
        <family val="2"/>
      </rPr>
      <t xml:space="preserve">、金額欄皆字串）、</t>
    </r>
    <r>
      <rPr>
        <sz val="10"/>
        <rFont val="Arial"/>
        <family val="0"/>
        <charset val="1"/>
      </rPr>
      <t xml:space="preserve">test_every_source_row_is_either_a_row_or_named_as_dropped_with_its_destination</t>
    </r>
    <r>
      <rPr>
        <sz val="10"/>
        <rFont val="Noto Sans CJK SC"/>
        <family val="2"/>
      </rPr>
      <t xml:space="preserve">（兩檔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ref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守恆）；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斷言四張表列數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區含「已合併為一筆股利」「互相抵銷」、按鈕「寫入勾選列（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）」；取消勾 </t>
    </r>
    <r>
      <rPr>
        <sz val="10"/>
        <rFont val="Arial"/>
        <family val="0"/>
        <charset val="1"/>
      </rPr>
      <t xml:space="preserve">#bk-row-transactions-10 → 21 → </t>
    </r>
    <r>
      <rPr>
        <sz val="10"/>
        <rFont val="Noto Sans CJK SC"/>
        <family val="2"/>
      </rPr>
      <t xml:space="preserve">只寫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筆。變異 </t>
    </r>
    <r>
      <rPr>
        <sz val="10"/>
        <rFont val="Arial"/>
        <family val="0"/>
        <charset val="1"/>
      </rPr>
      <t xml:space="preserve">M5</t>
    </r>
    <r>
      <rPr>
        <sz val="10"/>
        <rFont val="Noto Sans CJK SC"/>
        <family val="2"/>
      </rPr>
      <t xml:space="preserve">（路由 </t>
    </r>
    <r>
      <rPr>
        <sz val="10"/>
        <rFont val="Arial"/>
        <family val="0"/>
        <charset val="1"/>
      </rPr>
      <t xml:space="preserve">dropped:[]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集合不等）。改回後通過。</t>
    </r>
  </si>
  <si>
    <t xml:space="preserve">重放 R1 步驟：券商對帳單上傳 repo 內合成樣本 schwab_2024.csv（15 列），讀轉換區的表格、勾選框與「沒有成為獨立帳本列的原始列」區塊；不寫入</t>
  </si>
  <si>
    <t xml:space="preserve"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</si>
  <si>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列來源全部可見（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列可勾選寫入＋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組被合併／抵銷含去向）；變異 </t>
    </r>
    <r>
      <rPr>
        <sz val="10"/>
        <rFont val="Arial"/>
        <family val="0"/>
        <charset val="1"/>
      </rPr>
      <t xml:space="preserve">1 failed</t>
    </r>
  </si>
  <si>
    <r>
      <rPr>
        <sz val="10"/>
        <rFont val="Arial"/>
        <family val="0"/>
        <charset val="1"/>
      </rPr>
      <t xml:space="preserve">broker_import.py:174 `if body.account not in {a.account_id for a in list_accounts(conn)}:`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broker-import.js:221 `currency: 'USD',`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:503-507 `accounts.forEach((a) =&gt; { … asel.appendChild(o); })`</t>
    </r>
  </si>
  <si>
    <r>
      <rPr>
        <sz val="10"/>
        <rFont val="Arial"/>
        <family val="0"/>
        <charset val="1"/>
      </rPr>
      <t xml:space="preserve">test_an_unknown_account_is_refused </t>
    </r>
    <r>
      <rPr>
        <sz val="10"/>
        <rFont val="Noto Sans CJK SC"/>
        <family val="2"/>
      </rPr>
      <t xml:space="preserve">只測不存在；沒有 </t>
    </r>
    <r>
      <rPr>
        <sz val="10"/>
        <rFont val="Arial"/>
        <family val="0"/>
        <charset val="1"/>
      </rPr>
      <t xml:space="preserve">broker×account </t>
    </r>
    <r>
      <rPr>
        <sz val="10"/>
        <rFont val="Noto Sans CJK SC"/>
        <family val="2"/>
      </rPr>
      <t xml:space="preserve">配對測試；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`#bk-account option[value='tw_broker']` </t>
    </r>
    <r>
      <rPr>
        <sz val="10"/>
        <rFont val="Noto Sans CJK SC"/>
        <family val="2"/>
      </rPr>
      <t xml:space="preserve">存在——把缺陷釘成期望。補：錯配 </t>
    </r>
    <r>
      <rPr>
        <sz val="10"/>
        <rFont val="Arial"/>
        <family val="0"/>
        <charset val="1"/>
      </rPr>
      <t xml:space="preserve">blocking </t>
    </r>
    <r>
      <rPr>
        <sz val="10"/>
        <rFont val="Noto Sans CJK SC"/>
        <family val="2"/>
      </rPr>
      <t xml:space="preserve">測試（兩個帳戶參數化）＋</t>
    </r>
    <r>
      <rPr>
        <sz val="10"/>
        <rFont val="Arial"/>
        <family val="0"/>
        <charset val="1"/>
      </rPr>
      <t xml:space="preserve">adapters </t>
    </r>
    <r>
      <rPr>
        <sz val="10"/>
        <rFont val="Noto Sans CJK SC"/>
        <family val="2"/>
      </rPr>
      <t xml:space="preserve">清單測試＋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選單只有相符帳戶。</t>
    </r>
  </si>
  <si>
    <r>
      <rPr>
        <sz val="10"/>
        <rFont val="Arial"/>
        <family val="0"/>
        <charset val="1"/>
      </rPr>
      <t xml:space="preserve">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ACCOUNT_BROKERS={"schwab": {"schwab", "charles schwab"}}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adapter → accounts.broker </t>
    </r>
    <r>
      <rPr>
        <sz val="10"/>
        <rFont val="Noto Sans CJK SC"/>
        <family val="2"/>
      </rPr>
      <t xml:space="preserve">欄值，小寫比對）＋</t>
    </r>
    <r>
      <rPr>
        <sz val="10"/>
        <rFont val="Arial"/>
        <family val="0"/>
        <charset val="1"/>
      </rPr>
      <t xml:space="preserve">serves_account()</t>
    </r>
    <r>
      <rPr>
        <sz val="10"/>
        <rFont val="Noto Sans CJK SC"/>
        <family val="2"/>
      </rPr>
      <t xml:space="preserve">；路由解析前 </t>
    </r>
    <r>
      <rPr>
        <sz val="10"/>
        <rFont val="Arial"/>
        <family val="0"/>
        <charset val="1"/>
      </rPr>
      <t xml:space="preserve">_broker_mismatch()</t>
    </r>
    <r>
      <rPr>
        <sz val="10"/>
        <rFont val="Noto Sans CJK SC"/>
        <family val="2"/>
      </rPr>
      <t xml:space="preserve">，不符回 </t>
    </r>
    <r>
      <rPr>
        <sz val="10"/>
        <rFont val="Arial"/>
        <family val="0"/>
        <charset val="1"/>
      </rPr>
      <t xml:space="preserve">200 ok:false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blocking issue account_broker_mismatch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broker_id </t>
    </r>
    <r>
      <rPr>
        <sz val="10"/>
        <rFont val="Noto Sans CJK SC"/>
        <family val="2"/>
      </rPr>
      <t xml:space="preserve">結構欄位，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「帳戶 </t>
    </r>
    <r>
      <rPr>
        <sz val="10"/>
        <rFont val="Arial"/>
        <family val="0"/>
        <charset val="1"/>
      </rPr>
      <t xml:space="preserve">{account:tw_broker} </t>
    </r>
    <r>
      <rPr>
        <sz val="10"/>
        <rFont val="Noto Sans CJK SC"/>
        <family val="2"/>
      </rPr>
      <t xml:space="preserve">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（對帳單格式），一列都不會轉換」，用 </t>
    </r>
    <r>
      <rPr>
        <sz val="10"/>
        <rFont val="Arial"/>
        <family val="0"/>
        <charset val="1"/>
      </rPr>
      <t xml:space="preserve">shared.account_ref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GET /api/broker/adapters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accounts_by_broker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registry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list_accounts </t>
    </r>
    <r>
      <rPr>
        <sz val="10"/>
        <rFont val="Noto Sans CJK SC"/>
        <family val="2"/>
      </rPr>
      <t xml:space="preserve">算，前端不持有對照表）；前端 </t>
    </r>
    <r>
      <rPr>
        <sz val="10"/>
        <rFont val="Arial"/>
        <family val="0"/>
        <charset val="1"/>
      </rPr>
      <t xml:space="preserve">fillAccountOptions() </t>
    </r>
    <r>
      <rPr>
        <sz val="10"/>
        <rFont val="Noto Sans CJK SC"/>
        <family val="2"/>
      </rPr>
      <t xml:space="preserve">只列相符帳戶（無則「（沒有屬於這家券商的帳戶）」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），券商改選時重建；</t>
    </r>
    <r>
      <rPr>
        <sz val="10"/>
        <rFont val="Arial"/>
        <family val="0"/>
        <charset val="1"/>
      </rPr>
      <t xml:space="preserve">currency </t>
    </r>
    <r>
      <rPr>
        <sz val="10"/>
        <rFont val="Noto Sans CJK SC"/>
        <family val="2"/>
      </rPr>
      <t xml:space="preserve">改所選帳戶 </t>
    </r>
    <r>
      <rPr>
        <sz val="10"/>
        <rFont val="Arial"/>
        <family val="0"/>
        <charset val="1"/>
      </rPr>
      <t xml:space="preserve">settlement_ccy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BLOCK_ZH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pdNames.broker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組句。</t>
    </r>
  </si>
  <si>
    <t xml:space="preserve"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</si>
  <si>
    <r>
      <rPr>
        <sz val="10"/>
        <rFont val="Arial"/>
        <family val="0"/>
        <charset val="1"/>
      </rPr>
      <t xml:space="preserve">test_a_statement_aimed_at_another_brokers_account_is_a_BLOCKING_refusal[tw_broker|moomoo_my]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ok false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files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rows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{account:&lt;id&gt;} </t>
    </r>
    <r>
      <rPr>
        <sz val="10"/>
        <rFont val="Noto Sans CJK SC"/>
        <family val="2"/>
      </rPr>
      <t xml:space="preserve">且不含 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Charles Schwab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test_the_matching_account_converts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test_the_adapter_list_names_the_accounts_each_broker_serves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斷言選單只有「嘉信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）」、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moomoo_my count 0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M3</t>
    </r>
    <r>
      <rPr>
        <sz val="10"/>
        <rFont val="Noto Sans CJK SC"/>
        <family val="2"/>
      </rPr>
      <t xml:space="preserve">（刪掉 </t>
    </r>
    <r>
      <rPr>
        <sz val="10"/>
        <rFont val="Arial"/>
        <family val="0"/>
        <charset val="1"/>
      </rPr>
      <t xml:space="preserve">_broker_mismatch </t>
    </r>
    <r>
      <rPr>
        <sz val="10"/>
        <rFont val="Noto Sans CJK SC"/>
        <family val="2"/>
      </rPr>
      <t xml:space="preserve">呼叫）→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`assert True is False`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tw_broker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各一）。改回後通過。</t>
    </r>
  </si>
  <si>
    <t xml:space="preserve">重放 R1 步驟：券商對帳單頁檢查「匯入到帳戶」下拉，嘗試選非嘉信帳戶；再以 API 送 {account: moomoo_my, broker: schwab} 核對後端拒絕內容。本機變異：拿掉 _broker_mismatch 判斷</t>
  </si>
  <si>
    <t xml:space="preserve"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</si>
  <si>
    <t xml:space="preserve">下拉只列嘉信帳戶；API 錯配回 blocking account_broker_mismatch；變異 2 failed</t>
  </si>
  <si>
    <t xml:space="preserve">同意驗證者。儀表板 returns.by_currency.&lt;ccy&gt;.realized 是 Book.realized.by_currency（所有種類加總，含 kind=dividend 的結清後配息），對帳欄卻套用申報口徑，差 5,200 無說明。申報欄 16,004.56 正確，一字未動。</t>
  </si>
  <si>
    <r>
      <rPr>
        <sz val="10"/>
        <rFont val="Arial"/>
        <family val="0"/>
        <charset val="1"/>
      </rPr>
      <t xml:space="preserve">export/tax.py:89 `if r.kind not in ("sale", "short_cover"): continue`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之前）</t>
    </r>
  </si>
  <si>
    <r>
      <rPr>
        <sz val="10"/>
        <rFont val="Arial"/>
        <family val="0"/>
        <charset val="1"/>
      </rPr>
      <t xml:space="preserve">test_export_tax.py </t>
    </r>
    <r>
      <rPr>
        <sz val="10"/>
        <rFont val="Noto Sans CJK SC"/>
        <family val="2"/>
      </rPr>
      <t xml:space="preserve">只驗每列 </t>
    </r>
    <r>
      <rPr>
        <sz val="10"/>
        <rFont val="Arial"/>
        <family val="0"/>
        <charset val="1"/>
      </rPr>
      <t xml:space="preserve">realized_adjusted </t>
    </r>
    <r>
      <rPr>
        <sz val="10"/>
        <rFont val="Noto Sans CJK SC"/>
        <family val="2"/>
      </rPr>
      <t xml:space="preserve">與申報行，沒有任何測試拿對帳行去比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；稅務測試的固定帳本都沒有「結清後配息」，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帳本沒有賣出。補：新測試以字串逐位元比對儀表板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值，並加含結清後配息、跨年度兩種固定帳本。</t>
    </r>
  </si>
  <si>
    <t xml:space="preserve"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</si>
  <si>
    <t xml:space="preserve"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</si>
  <si>
    <t xml:space="preserve"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</si>
  <si>
    <t xml:space="preserve">真實瀏覽器：交易帳本 › 稅務包（2026 年度）→ 攔截下載的 ZIP 於頁內解壓讀 summary.md，與 GET /api/dashboard returns.by_currency 比對</t>
  </si>
  <si>
    <t xml:space="preserve"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</si>
  <si>
    <t xml:space="preserve">對帳欄與儀表板逐字一致，差額 5,200 有具名拆分</t>
  </si>
  <si>
    <t xml:space="preserve"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</si>
  <si>
    <r>
      <rPr>
        <sz val="10"/>
        <rFont val="Arial"/>
        <family val="0"/>
        <charset val="1"/>
      </rPr>
      <t xml:space="preserve">export/ledgers.py:56 `sql = f"SELECT * FROM {table}"`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csv_import.py:107 `canon = [canonical_header(f) for f in fieldnames]`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fees.py:111 `return {"engine": "supplied", "fee": str(fee), "tax": str(tax)}`</t>
    </r>
  </si>
  <si>
    <r>
      <rPr>
        <sz val="10"/>
        <rFont val="Arial"/>
        <family val="0"/>
        <charset val="1"/>
      </rPr>
      <t xml:space="preserve">test_import_template.py </t>
    </r>
    <r>
      <rPr>
        <sz val="10"/>
        <rFont val="Noto Sans CJK SC"/>
        <family val="2"/>
      </rPr>
      <t xml:space="preserve">只驗「範本↔解析器」；</t>
    </r>
    <r>
      <rPr>
        <sz val="10"/>
        <rFont val="Arial"/>
        <family val="0"/>
        <charset val="1"/>
      </rPr>
      <t xml:space="preserve">test_export_ledger.py </t>
    </r>
    <r>
      <rPr>
        <sz val="10"/>
        <rFont val="Noto Sans CJK SC"/>
        <family val="2"/>
      </rPr>
      <t xml:space="preserve">反而把匯出表頭 </t>
    </r>
    <r>
      <rPr>
        <sz val="10"/>
        <rFont val="Arial"/>
        <family val="0"/>
        <charset val="1"/>
      </rPr>
      <t xml:space="preserve">id,account_id,… </t>
    </r>
    <r>
      <rPr>
        <sz val="10"/>
        <rFont val="Noto Sans CJK SC"/>
        <family val="2"/>
      </rPr>
      <t xml:space="preserve">釘死卻從沒接到匯入端——「匯出↔解析器」完全沒有守門。補：</t>
    </r>
    <r>
      <rPr>
        <sz val="10"/>
        <rFont val="Arial"/>
        <family val="0"/>
        <charset val="1"/>
      </rPr>
      <t xml:space="preserve">test_every_export_column_has_an_import_decision</t>
    </r>
    <r>
      <rPr>
        <sz val="10"/>
        <rFont val="Noto Sans CJK SC"/>
        <family val="2"/>
      </rPr>
      <t xml:space="preserve">（走 </t>
    </r>
    <r>
      <rPr>
        <sz val="10"/>
        <rFont val="Arial"/>
        <family val="0"/>
        <charset val="1"/>
      </rPr>
      <t xml:space="preserve">EXPORT_KINDS </t>
    </r>
    <r>
      <rPr>
        <sz val="10"/>
        <rFont val="Noto Sans CJK SC"/>
        <family val="2"/>
      </rPr>
      <t xml:space="preserve">與每表 </t>
    </r>
    <r>
      <rPr>
        <sz val="10"/>
        <rFont val="Arial"/>
        <family val="0"/>
        <charset val="1"/>
      </rPr>
      <t xml:space="preserve">PRAGMA table_info</t>
    </r>
    <r>
      <rPr>
        <sz val="10"/>
        <rFont val="Noto Sans CJK SC"/>
        <family val="2"/>
      </rPr>
      <t xml:space="preserve">，每個匯出欄必須是範本欄、別名、交易端額外讀取欄、或列在匯出專用欄清單附理由；任何表新增欄位會在這裡失敗）。</t>
    </r>
  </si>
  <si>
    <r>
      <rPr>
        <sz val="10"/>
        <rFont val="Arial"/>
        <family val="0"/>
        <charset val="1"/>
      </rPr>
      <t xml:space="preserve">csv_import.py </t>
    </r>
    <r>
      <rPr>
        <sz val="10"/>
        <rFont val="Noto Sans CJK SC"/>
        <family val="2"/>
      </rPr>
      <t xml:space="preserve">集中一處定義並附「匯出欄名↔範本欄名」對照：</t>
    </r>
    <r>
      <rPr>
        <sz val="10"/>
        <rFont val="Arial"/>
        <family val="0"/>
        <charset val="1"/>
      </rPr>
      <t xml:space="preserve">EXPORT_COLUMN_ALIASES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account_id→account </t>
    </r>
    <r>
      <rPr>
        <sz val="10"/>
        <rFont val="Noto Sans CJK SC"/>
        <family val="2"/>
      </rPr>
      <t xml:space="preserve">六類、</t>
    </r>
    <r>
      <rPr>
        <sz val="10"/>
        <rFont val="Arial"/>
        <family val="0"/>
        <charset val="1"/>
      </rPr>
      <t xml:space="preserve">quantity→shares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fees→fee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trade_date→date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EXPORT_ONLY_COLUMNS</t>
    </r>
    <r>
      <rPr>
        <sz val="10"/>
        <rFont val="Noto Sans CJK SC"/>
        <family val="2"/>
      </rPr>
      <t xml:space="preserve">（附忽略理由）、</t>
    </r>
    <r>
      <rPr>
        <sz val="10"/>
        <rFont val="Arial"/>
        <family val="0"/>
        <charset val="1"/>
      </rPr>
      <t xml:space="preserve">TRANSACTION_IMPORT_ONLY_COLUMNS={fee_rule_snapshot}</t>
    </r>
    <r>
      <rPr>
        <sz val="10"/>
        <rFont val="Noto Sans CJK SC"/>
        <family val="2"/>
      </rPr>
      <t xml:space="preserve">；別名在共用 </t>
    </r>
    <r>
      <rPr>
        <sz val="10"/>
        <rFont val="Arial"/>
        <family val="0"/>
        <charset val="1"/>
      </rPr>
      <t xml:space="preserve">normalize_import_csv </t>
    </r>
    <r>
      <rPr>
        <sz val="10"/>
        <rFont val="Noto Sans CJK SC"/>
        <family val="2"/>
      </rPr>
      <t xml:space="preserve">套用（六類一起生效，不改路由）；同時有 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時以範本欄為準、另一欄標示已忽略；交易匯入讀 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（扁平字串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都供給時經 </t>
    </r>
    <r>
      <rPr>
        <sz val="10"/>
        <rFont val="Arial"/>
        <family val="0"/>
        <charset val="1"/>
      </rPr>
      <t xml:space="preserve">fees.supplied_snapshot(carried=…) </t>
    </r>
    <r>
      <rPr>
        <sz val="10"/>
        <rFont val="Noto Sans CJK SC"/>
        <family val="2"/>
      </rPr>
      <t xml:space="preserve">原樣保存（含 </t>
    </r>
    <r>
      <rPr>
        <sz val="10"/>
        <rFont val="Arial"/>
        <family val="0"/>
        <charset val="1"/>
      </rPr>
      <t xml:space="preserve">{}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空白時改由引擎計算、舊快照丟棄並提示「已忽略欄位：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（…）」；無效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中文硬錯誤；</t>
    </r>
    <r>
      <rPr>
        <sz val="10"/>
        <rFont val="Arial"/>
        <family val="0"/>
        <charset val="1"/>
      </rPr>
      <t xml:space="preserve">unread_columns_issues() </t>
    </r>
    <r>
      <rPr>
        <sz val="10"/>
        <rFont val="Noto Sans CJK SC"/>
        <family val="2"/>
      </rPr>
      <t xml:space="preserve">對交易每列提示「已忽略欄位：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import_batch_id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source_row_hash</t>
    </r>
    <r>
      <rPr>
        <sz val="10"/>
        <rFont val="Noto Sans CJK SC"/>
        <family val="2"/>
      </rPr>
      <t xml:space="preserve">（匯出檔的系統欄位，寫入時由系統重新產生）」；範本欄名與 </t>
    </r>
    <r>
      <rPr>
        <sz val="10"/>
        <rFont val="Arial"/>
        <family val="0"/>
        <charset val="1"/>
      </rPr>
      <t xml:space="preserve">export/ledgers.py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corporate_action_id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band_move_json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weight_move_json </t>
    </r>
    <r>
      <rPr>
        <sz val="10"/>
        <rFont val="Noto Sans CJK SC"/>
        <family val="2"/>
      </rPr>
      <t xml:space="preserve">列入匯出專用欄。其他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類的「已忽略欄位」提示由收尾包 </t>
    </r>
    <r>
      <rPr>
        <sz val="10"/>
        <rFont val="Arial"/>
        <family val="0"/>
        <charset val="1"/>
      </rPr>
      <t xml:space="preserve">I-4 </t>
    </r>
    <r>
      <rPr>
        <sz val="10"/>
        <rFont val="Noto Sans CJK SC"/>
        <family val="2"/>
      </rPr>
      <t xml:space="preserve">補齊。</t>
    </r>
  </si>
  <si>
    <t xml:space="preserve"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</si>
  <si>
    <t xml:space="preserve"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</si>
  <si>
    <t xml:space="preserve">真實瀏覽器：交易帳本 › 匯出 CSV 原檔直接貼回「貼上 CSV」預覽並寫入 2 列，再以批次復原</t>
  </si>
  <si>
    <t xml:space="preserve"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</si>
  <si>
    <t xml:space="preserve">匯出→貼回可無損往返；復原後 cmp D026 same:true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</si>
  <si>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</si>
  <si>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同意驗證者。後端預覽已送出所有值，是前端只有一張交易用的表。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</si>
  <si>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固定表頭；</t>
    </r>
    <r>
      <rPr>
        <sz val="10"/>
        <rFont val="Arial"/>
        <family val="0"/>
        <charset val="1"/>
      </rPr>
      <t xml:space="preserve">web/input.js:1256 `tr.appendChild(el('td', 'num', f.shares(d.quantity !== undefined ? d.quantity : d.shares)));`</t>
    </r>
  </si>
  <si>
    <r>
      <rPr>
        <sz val="10"/>
        <rFont val="Arial"/>
        <family val="0"/>
        <charset val="1"/>
      </rPr>
      <t xml:space="preserve">test_import_template </t>
    </r>
    <r>
      <rPr>
        <sz val="10"/>
        <rFont val="Noto Sans CJK SC"/>
        <family val="2"/>
      </rPr>
      <t xml:space="preserve">只檢查範本在後端能解析，不檢查頁面畫了什麼；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只跑交易這一類；沒有任何測試比對「預覽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的鍵」與「前端的欄位」。補：以真的預覽端點跑每類範本、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每個鍵都必須被該類欄位讀到（或列白名單附理由）的契約測試＋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類範本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</si>
  <si>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input.js:1275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CSV_COLS</t>
    </r>
    <r>
      <rPr>
        <sz val="10"/>
        <rFont val="Noto Sans CJK SC"/>
        <family val="2"/>
      </rPr>
      <t xml:space="preserve">（每類各自定義欄名、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、格式器）；日期各讀自己的鍵（期初讀 </t>
    </r>
    <r>
      <rPr>
        <sz val="10"/>
        <rFont val="Arial"/>
        <family val="0"/>
        <charset val="1"/>
      </rPr>
      <t xml:space="preserve">build_date</t>
    </r>
    <r>
      <rPr>
        <sz val="10"/>
        <rFont val="Noto Sans CJK SC"/>
        <family val="2"/>
      </rPr>
      <t xml:space="preserve">）；金額一律用 </t>
    </r>
    <r>
      <rPr>
        <sz val="10"/>
        <rFont val="Arial"/>
        <family val="0"/>
        <charset val="1"/>
      </rPr>
      <t xml:space="preserve">fmt </t>
    </r>
    <r>
      <rPr>
        <sz val="10"/>
        <rFont val="Noto Sans CJK SC"/>
        <family val="2"/>
      </rPr>
      <t xml:space="preserve">格式化字串不做算術；換匯「</t>
    </r>
    <r>
      <rPr>
        <sz val="10"/>
        <rFont val="Arial"/>
        <family val="0"/>
        <charset val="1"/>
      </rPr>
      <t xml:space="preserve">32,000 TWD → 1,000.00 USD</t>
    </r>
    <r>
      <rPr>
        <sz val="10"/>
        <rFont val="Noto Sans CJK SC"/>
        <family val="2"/>
      </rPr>
      <t xml:space="preserve">」；比例「每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股」（兩數不相除，寫法與帳本相同）；帳戶一律 </t>
    </r>
    <r>
      <rPr>
        <sz val="10"/>
        <rFont val="Arial"/>
        <family val="0"/>
        <charset val="1"/>
      </rPr>
      <t xml:space="preserve">acctZh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pdNames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renderCsvHead </t>
    </r>
    <r>
      <rPr>
        <sz val="10"/>
        <rFont val="Noto Sans CJK SC"/>
        <family val="2"/>
      </rPr>
      <t xml:space="preserve">在切換類型與重畫時重寫 </t>
    </r>
    <r>
      <rPr>
        <sz val="10"/>
        <rFont val="Arial"/>
        <family val="0"/>
        <charset val="1"/>
      </rPr>
      <t xml:space="preserve">#csv-head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renderCsvPreview(preview, kind) </t>
    </r>
    <r>
      <rPr>
        <sz val="10"/>
        <rFont val="Noto Sans CJK SC"/>
        <family val="2"/>
      </rPr>
      <t xml:space="preserve">用發出請求時的類別；代碼型欄位（現金類型、公司行動類型）前端存一份中文對照，由測試逐鍵比對後端 </t>
    </r>
    <r>
      <rPr>
        <sz val="10"/>
        <rFont val="Arial"/>
        <family val="0"/>
        <charset val="1"/>
      </rPr>
      <t xml:space="preserve">CASH_KIND_ZH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KIND_ZH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</si>
  <si>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內用交易欄位畫多類資料的表共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預覽，涵蓋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三張原本依類別分欄、只有帳戶欄有問題（併入 </t>
    </r>
    <r>
      <rPr>
        <sz val="10"/>
        <rFont val="Arial"/>
        <family val="0"/>
        <charset val="1"/>
      </rPr>
      <t xml:space="preserve">DEF-035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。欄位：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個鍵，修前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個沒有欄位顯示，修後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個有顯示，白名單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（交易的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，自由文字，寫入後在交易帳本看得到）。券商對帳單轉換報告的逐列預覽由 </t>
    </r>
    <r>
      <rPr>
        <sz val="10"/>
        <rFont val="Arial"/>
        <family val="0"/>
        <charset val="1"/>
      </rPr>
      <t xml:space="preserve">DEF-028 </t>
    </r>
    <r>
      <rPr>
        <sz val="10"/>
        <rFont val="Noto Sans CJK SC"/>
        <family val="2"/>
      </rPr>
      <t xml:space="preserve">處理。</t>
    </r>
  </si>
  <si>
    <t xml:space="preserve"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</si>
  <si>
    <t xml:space="preserve">真實瀏覽器：交易帳本 › 貼上 CSV，逐一選 5 種範本（交易／股利／資金／換匯／公司行動）→ 預覽</t>
  </si>
  <si>
    <t xml:space="preserve"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</si>
  <si>
    <r>
      <rPr>
        <sz val="10"/>
        <rFont val="Arial"/>
        <family val="0"/>
        <charset val="1"/>
      </rPr>
      <t xml:space="preserve">5/5 </t>
    </r>
    <r>
      <rPr>
        <sz val="10"/>
        <rFont val="Noto Sans CJK SC"/>
        <family val="2"/>
      </rPr>
      <t xml:space="preserve">範本預覽使用各自表頭與值</t>
    </r>
  </si>
  <si>
    <t xml:space="preserve">防護偏弱：以「只換表頭」變異測試 18 passed 未抓到，只有 regex 釘住 key 的那支測試會失敗；建議補一支以預覽內容（非原始碼字串）驗證的測試</t>
  </si>
  <si>
    <t xml:space="preserve">同意驗證者。復原是 broker-import.js 做的，它只重抓批次清單和帳本表格；交易輸入頁的持倉快取只有 input.js 自己寫入時才會清掉。</t>
  </si>
  <si>
    <r>
      <rPr>
        <sz val="10"/>
        <rFont val="Arial"/>
        <family val="0"/>
        <charset val="1"/>
      </rPr>
      <t xml:space="preserve">web/broker-import.js:229 `try { await window.pdLedgerRefresh(); } catch (e) {…}`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web/input.js:2112 `Object.keys(acctHoldingsCache).forEach((k) =&gt; { delete acctHoldingsCache[k]; });`</t>
    </r>
  </si>
  <si>
    <t xml:space="preserve"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</si>
  <si>
    <t xml:space="preserve"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</si>
  <si>
    <r>
      <rPr>
        <sz val="10"/>
        <rFont val="Arial"/>
        <family val="0"/>
        <charset val="1"/>
      </rPr>
      <t xml:space="preserve">trades.html </t>
    </r>
    <r>
      <rPr>
        <sz val="10"/>
        <rFont val="Noto Sans CJK SC"/>
        <family val="2"/>
      </rPr>
      <t xml:space="preserve">上會改帳本的成功路徑共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 5 </t>
    </r>
    <r>
      <rPr>
        <sz val="10"/>
        <rFont val="Noto Sans CJK SC"/>
        <family val="2"/>
      </rPr>
      <t xml:space="preserve">處收斂到同一函式，外部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處經接管的 </t>
    </r>
    <r>
      <rPr>
        <sz val="10"/>
        <rFont val="Arial"/>
        <family val="0"/>
        <charset val="1"/>
      </rPr>
      <t xml:space="preserve">window.pdLedgerRefresh</t>
    </r>
    <r>
      <rPr>
        <sz val="10"/>
        <rFont val="Noto Sans CJK SC"/>
        <family val="2"/>
      </rPr>
      <t xml:space="preserve">）／白名單→跨包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ledger.js:235 mutationOk()→boot()</t>
    </r>
    <r>
      <rPr>
        <sz val="10"/>
        <rFont val="Noto Sans CJK SC"/>
        <family val="2"/>
      </rPr>
      <t xml:space="preserve">，收尾包 </t>
    </r>
    <r>
      <rPr>
        <sz val="10"/>
        <rFont val="Arial"/>
        <family val="0"/>
        <charset val="1"/>
      </rPr>
      <t xml:space="preserve">I-7</t>
    </r>
    <r>
      <rPr>
        <sz val="10"/>
        <rFont val="Noto Sans CJK SC"/>
        <family val="2"/>
      </rPr>
      <t xml:space="preserve">）。</t>
    </r>
  </si>
  <si>
    <t xml:space="preserve"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</si>
  <si>
    <t xml:space="preserve">真實瀏覽器：手動輸入「賣出 2603」草稿開著時，於同頁復原匯入批次 11；讀網路請求與草稿持股提示</t>
  </si>
  <si>
    <t xml:space="preserve"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</si>
  <si>
    <t xml:space="preserve">復原後草稿持股即時更新；復原對話框文案已改為「將刪除這批匯入寫進帳本的 2 筆交易紀錄（來源：貼上 CSV）…」；cmp 相同</t>
  </si>
  <si>
    <r>
      <rPr>
        <sz val="10"/>
        <rFont val="Arial"/>
        <family val="0"/>
        <charset val="1"/>
      </rPr>
      <t xml:space="preserve">web/input.js:1773/1808/1825 `tr.appendChild(el('td', 'col-text', d.account_id || ''));`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api/routers/input_center.py:1554 `if not body.text.strip() and not images:`</t>
    </r>
  </si>
  <si>
    <r>
      <rPr>
        <sz val="10"/>
        <rFont val="Arial"/>
        <family val="0"/>
        <charset val="1"/>
      </rPr>
      <t xml:space="preserve">test_account_name_single_source </t>
    </r>
    <r>
      <rPr>
        <sz val="10"/>
        <rFont val="Noto Sans CJK SC"/>
        <family val="2"/>
      </rPr>
      <t xml:space="preserve">只抓 </t>
    </r>
    <r>
      <rPr>
        <sz val="10"/>
        <rFont val="Arial"/>
        <family val="0"/>
        <charset val="1"/>
      </rPr>
      <t xml:space="preserve">.account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，明確放行 </t>
    </r>
    <r>
      <rPr>
        <sz val="10"/>
        <rFont val="Arial"/>
        <family val="0"/>
        <charset val="1"/>
      </rPr>
      <t xml:space="preserve">.account_id</t>
    </r>
    <r>
      <rPr>
        <sz val="10"/>
        <rFont val="Noto Sans CJK SC"/>
        <family val="2"/>
      </rPr>
      <t xml:space="preserve">（理由是「換成顯示名就是修法」），卻從沒檢查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上畫面前有沒有真的換掉；該守門的 </t>
    </r>
    <r>
      <rPr>
        <sz val="10"/>
        <rFont val="Arial"/>
        <family val="0"/>
        <charset val="1"/>
      </rPr>
      <t xml:space="preserve">_PENDING </t>
    </r>
    <r>
      <rPr>
        <sz val="10"/>
        <rFont val="Noto Sans CJK SC"/>
        <family val="2"/>
      </rPr>
      <t xml:space="preserve">早在 </t>
    </r>
    <r>
      <rPr>
        <sz val="10"/>
        <rFont val="Arial"/>
        <family val="0"/>
        <charset val="1"/>
      </rPr>
      <t xml:space="preserve">2026-09-16 </t>
    </r>
    <r>
      <rPr>
        <sz val="10"/>
        <rFont val="Noto Sans CJK SC"/>
        <family val="2"/>
      </rPr>
      <t xml:space="preserve">清空（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不在其中），所以有缺陷時仍是綠燈。補：</t>
    </r>
    <r>
      <rPr>
        <sz val="10"/>
        <rFont val="Arial"/>
        <family val="0"/>
        <charset val="1"/>
      </rPr>
      <t xml:space="preserve">test_no_surface_renders_a_raw_account_id</t>
    </r>
    <r>
      <rPr>
        <sz val="10"/>
        <rFont val="Noto Sans CJK SC"/>
        <family val="2"/>
      </rPr>
      <t xml:space="preserve">（正向對照＋</t>
    </r>
    <r>
      <rPr>
        <sz val="10"/>
        <rFont val="Arial"/>
        <family val="0"/>
        <charset val="1"/>
      </rPr>
      <t xml:space="preserve">_ID_PENDING </t>
    </r>
    <r>
      <rPr>
        <sz val="10"/>
        <rFont val="Noto Sans CJK SC"/>
        <family val="2"/>
      </rPr>
      <t xml:space="preserve">過期檢查）。</t>
    </r>
  </si>
  <si>
    <t xml:space="preserve"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</si>
  <si>
    <t xml:space="preserve"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</si>
  <si>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則；新增 </t>
    </r>
    <r>
      <rPr>
        <sz val="10"/>
        <rFont val="Arial"/>
        <family val="0"/>
        <charset val="1"/>
      </rPr>
      <t xml:space="preserve">tests/contract/test_def035_ai_drafts_editable.py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tests/contract/test_def035_ai_edit_door.py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換成一呼叫就報錯的替身，證明編輯重新檢核不叫模型；格式錯誤回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中文）、</t>
    </r>
    <r>
      <rPr>
        <sz val="10"/>
        <rFont val="Arial"/>
        <family val="0"/>
        <charset val="1"/>
      </rPr>
      <t xml:space="preserve">tests/data_ingestion/test_def035_ai_revalidate.py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e2e test_ai_drafts_are_editable_and_a_contradicted_amount_is_not_preticked</t>
    </r>
    <r>
      <rPr>
        <sz val="10"/>
        <rFont val="Noto Sans CJK SC"/>
        <family val="2"/>
      </rPr>
      <t xml:space="preserve">（股數 </t>
    </r>
    <r>
      <rPr>
        <sz val="10"/>
        <rFont val="Arial"/>
        <family val="0"/>
        <charset val="1"/>
      </rPr>
      <t xml:space="preserve">10→1000 →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20→855 → </t>
    </r>
    <r>
      <rPr>
        <sz val="10"/>
        <rFont val="Noto Sans CJK SC"/>
        <family val="2"/>
      </rPr>
      <t xml:space="preserve">輸入「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」框變紅、原字保留、寫入鈕停用 → 修正 → 寫入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為編輯後值、</t>
    </r>
    <r>
      <rPr>
        <sz val="10"/>
        <rFont val="Arial"/>
        <family val="0"/>
        <charset val="1"/>
      </rPr>
      <t xml:space="preserve">source_name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輸入」）。變異（原始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放回唯讀分支）→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raw account id(s) rendered…input.js: ["…d.account_id || ''…"]</t>
    </r>
    <r>
      <rPr>
        <sz val="10"/>
        <rFont val="Noto Sans CJK SC"/>
        <family val="2"/>
      </rPr>
      <t xml:space="preserve">」；變異（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門忽略 </t>
    </r>
    <r>
      <rPr>
        <sz val="10"/>
        <rFont val="Arial"/>
        <family val="0"/>
        <charset val="1"/>
      </rPr>
      <t xml:space="preserve">drafts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「請提供對帳單文字或至少一張截圖」；</t>
    </r>
    <r>
      <rPr>
        <sz val="10"/>
        <rFont val="Arial"/>
        <family val="0"/>
        <charset val="1"/>
      </rPr>
      <t xml:space="preserve">e2e count 0</t>
    </r>
    <r>
      <rPr>
        <sz val="10"/>
        <rFont val="Noto Sans CJK SC"/>
        <family val="2"/>
      </rPr>
      <t xml:space="preserve">）；變異（前端改回走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則失敗。改回後通過。</t>
    </r>
  </si>
  <si>
    <t xml:space="preserve">真實瀏覽器：交易帳本 › AI 輸入 貼 4 行（2884 買 100@46.45／2884 買 100@46 成交金額 50,000／嘉信 AAPL 賣 2@330／閒聊）→ 解析 → 檢查草稿每格控制項 → 把第 2 列價格改成 500 → 不寫入</t>
  </si>
  <si>
    <t xml:space="preserve"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</si>
  <si>
    <t xml:space="preserve">草稿可逐欄編輯、編輯後重驗不花費、中文帳戶名；未寫入，cmp D035 只差額度 0.0005936（本次解析花費）</t>
  </si>
  <si>
    <t xml:space="preserve">agents.py:92 `note: str | None = None`</t>
  </si>
  <si>
    <t xml:space="preserve">資料結構裡沒有這個欄位，語料格式也表達不出來；加上 extra="forbid"，模型根本無處可放。語料與線上評估只比 CSV 欄位。補：語料格式加 stated_amount／amount_check 並要求三種判定都有案例、確定性重播。</t>
  </si>
  <si>
    <r>
      <rPr>
        <sz val="10"/>
        <rFont val="Arial"/>
        <family val="0"/>
        <charset val="1"/>
      </rPr>
      <t xml:space="preserve">TxnDraft.stated_amount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agents.py:102</t>
    </r>
    <r>
      <rPr>
        <sz val="10"/>
        <rFont val="Noto Sans CJK SC"/>
        <family val="2"/>
      </rPr>
      <t xml:space="preserve">，模型只抄不算，不是帳本欄位、不進寫入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_append_amount_check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agents.py:337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把明示金額跟三個候選值比對：股數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價格、＋引擎費稅（買方應付）、−費稅（賣方淨收）；</t>
    </r>
    <r>
      <rPr>
        <sz val="10"/>
        <rFont val="Arial"/>
        <family val="0"/>
        <charset val="1"/>
      </rPr>
      <t xml:space="preserve">STATED_AMOUNT_TOLERANCE=Decimal("0.01")</t>
    </r>
    <r>
      <rPr>
        <sz val="10"/>
        <rFont val="Noto Sans CJK SC"/>
        <family val="2"/>
      </rPr>
      <t xml:space="preserve">（股數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價格的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）；三者都不符 → 需確認的 </t>
    </r>
    <r>
      <rPr>
        <sz val="10"/>
        <rFont val="Arial"/>
        <family val="0"/>
        <charset val="1"/>
      </rPr>
      <t xml:space="preserve">amount_mismatch</t>
    </r>
    <r>
      <rPr>
        <sz val="10"/>
        <rFont val="Noto Sans CJK SC"/>
        <family val="2"/>
      </rPr>
      <t xml:space="preserve">「金額矛盾：文字寫成交金額 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，但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× 46 = 4,600</t>
    </r>
    <r>
      <rPr>
        <sz val="10"/>
        <rFont val="Noto Sans CJK SC"/>
        <family val="2"/>
      </rPr>
      <t xml:space="preserve">，差距超過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；請確認股數、價格與金額後再勾選寫入」，</t>
    </r>
    <r>
      <rPr>
        <sz val="10"/>
        <rFont val="Arial"/>
        <family val="0"/>
        <charset val="1"/>
      </rPr>
      <t xml:space="preserve">payload amount_mismatch="1"</t>
    </r>
    <r>
      <rPr>
        <sz val="10"/>
        <rFont val="Noto Sans CJK SC"/>
        <family val="2"/>
      </rPr>
      <t xml:space="preserve">，不補任何欄位、不代選；前端不預設勾選、另顯示「⚠ 金額矛盾」、勾選後寫入前再確認一次。提示詞 </t>
    </r>
    <r>
      <rPr>
        <sz val="10"/>
        <rFont val="Arial"/>
        <family val="0"/>
        <charset val="1"/>
      </rPr>
      <t xml:space="preserve">AI_INPUT_PROMPT_VERSION v7.4→v8</t>
    </r>
    <r>
      <rPr>
        <sz val="10"/>
        <rFont val="Noto Sans CJK SC"/>
        <family val="2"/>
      </rPr>
      <t xml:space="preserve">（新增規則「只抄不算、不為了對上而改股數或價格、不要放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」＋一致／矛盾對照範例）；</t>
    </r>
    <r>
      <rPr>
        <sz val="10"/>
        <rFont val="Arial"/>
        <family val="0"/>
        <charset val="1"/>
      </rPr>
      <t xml:space="preserve">LIBRARY_VERSION official-v25 (2026-09-23)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test_prompt_registry </t>
    </r>
    <r>
      <rPr>
        <sz val="10"/>
        <rFont val="Noto Sans CJK SC"/>
        <family val="2"/>
      </rPr>
      <t xml:space="preserve">通過。</t>
    </r>
  </si>
  <si>
    <t xml:space="preserve"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</si>
  <si>
    <t xml:space="preserve"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</si>
  <si>
    <t xml:space="preserve">同上一次 AI 解析：「2026/09/22 台灣券商 買進 玉山金 2884 100股 成交價 46 成交金額 50,000 元」</t>
  </si>
  <si>
    <t xml:space="preserve"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</si>
  <si>
    <t xml:space="preserve">矛盾被標示 warn、預設不勾；修正後即解除</t>
  </si>
  <si>
    <t xml:space="preserve">同意驗證者。攔住 acq-rate 回應、使用者填 31.5 後放行：舊碼欄位變成 33、模式被切回「匯率」；提示句標輸入日。</t>
  </si>
  <si>
    <r>
      <rPr>
        <sz val="10"/>
        <rFont val="Arial"/>
        <family val="0"/>
        <charset val="1"/>
      </rPr>
      <t xml:space="preserve">web/cash.js:936-939 `if (seq !== acqPrefillSeq) return; … $('#cm-acq-mode').value = 'rate'; $('#cm-acq').value = r.rate;`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:941</t>
    </r>
  </si>
  <si>
    <t xml:space="preserve"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</si>
  <si>
    <r>
      <rPr>
        <sz val="10"/>
        <rFont val="Arial"/>
        <family val="0"/>
        <charset val="1"/>
      </rPr>
      <t xml:space="preserve">cash.js:122-144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writeIfUntouched(input, expected, next)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之後的寫入只能取代頁面已知的值（空值或上次自動填的值），其他一律視為使用者輸入不動；</t>
    </r>
    <r>
      <rPr>
        <sz val="10"/>
        <rFont val="Arial"/>
        <family val="0"/>
        <charset val="1"/>
      </rPr>
      <t xml:space="preserve">autoFill</t>
    </r>
    <r>
      <rPr>
        <sz val="10"/>
        <rFont val="Noto Sans CJK SC"/>
        <family val="2"/>
      </rPr>
      <t xml:space="preserve">（記下「這是頁面填的」）、</t>
    </r>
    <r>
      <rPr>
        <sz val="10"/>
        <rFont val="Arial"/>
        <family val="0"/>
        <charset val="1"/>
      </rPr>
      <t xml:space="preserve">resetField</t>
    </r>
    <r>
      <rPr>
        <sz val="10"/>
        <rFont val="Noto Sans CJK SC"/>
        <family val="2"/>
      </rPr>
      <t xml:space="preserve">（換帳戶／幣別時同步清空）。</t>
    </r>
    <r>
      <rPr>
        <sz val="10"/>
        <rFont val="Arial"/>
        <family val="0"/>
        <charset val="1"/>
      </rPr>
      <t xml:space="preserve">prefillAcq</t>
    </r>
    <r>
      <rPr>
        <sz val="10"/>
        <rFont val="Noto Sans CJK SC"/>
        <family val="2"/>
      </rPr>
      <t xml:space="preserve">：永不切換模式；「家幣金額」模式只在提示顯示參考值；提示句用 </t>
    </r>
    <r>
      <rPr>
        <sz val="10"/>
        <rFont val="Arial"/>
        <family val="0"/>
        <charset val="1"/>
      </rPr>
      <t xml:space="preserve">r.as_of</t>
    </r>
    <r>
      <rPr>
        <sz val="10"/>
        <rFont val="Noto Sans CJK SC"/>
        <family val="2"/>
      </rPr>
      <t xml:space="preserve">（「參考值：</t>
    </r>
    <r>
      <rPr>
        <sz val="10"/>
        <rFont val="Arial"/>
        <family val="0"/>
        <charset val="1"/>
      </rPr>
      <t xml:space="preserve">2026-06-09 </t>
    </r>
    <r>
      <rPr>
        <sz val="10"/>
        <rFont val="Noto Sans CJK SC"/>
        <family val="2"/>
      </rPr>
      <t xml:space="preserve">收盤…（</t>
    </r>
    <r>
      <rPr>
        <sz val="10"/>
        <rFont val="Arial"/>
        <family val="0"/>
        <charset val="1"/>
      </rPr>
      <t xml:space="preserve">2026-06-10 </t>
    </r>
    <r>
      <rPr>
        <sz val="10"/>
        <rFont val="Noto Sans CJK SC"/>
        <family val="2"/>
      </rPr>
      <t xml:space="preserve">尚無收盤匯率，採最近一個交易日）」）；沒寫入時標明「未覆寫你輸入的值」；從「匯率」切到「家幣金額」只撤回頁面自己填的匯率。同類：換匯試算 </t>
    </r>
    <r>
      <rPr>
        <sz val="10"/>
        <rFont val="Arial"/>
        <family val="0"/>
        <charset val="1"/>
      </rPr>
      <t xml:space="preserve">runEstimate </t>
    </r>
    <r>
      <rPr>
        <sz val="10"/>
        <rFont val="Noto Sans CJK SC"/>
        <family val="2"/>
      </rPr>
      <t xml:space="preserve">回填（被擋時轉「已手動指定」）、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撤回、「重新試算」明確交回頁面、兩張表單送出成功後只清掉剛送出的值。其他檔案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處真實風險由收尾包 </t>
    </r>
    <r>
      <rPr>
        <sz val="10"/>
        <rFont val="Arial"/>
        <family val="0"/>
        <charset val="1"/>
      </rPr>
      <t xml:space="preserve">I-12 </t>
    </r>
    <r>
      <rPr>
        <sz val="10"/>
        <rFont val="Noto Sans CJK SC"/>
        <family val="2"/>
      </rPr>
      <t xml:space="preserve">抽成共用 </t>
    </r>
    <r>
      <rPr>
        <sz val="10"/>
        <rFont val="Arial"/>
        <family val="0"/>
        <charset val="1"/>
      </rPr>
      <t xml:space="preserve">helper </t>
    </r>
    <r>
      <rPr>
        <sz val="10"/>
        <rFont val="Noto Sans CJK SC"/>
        <family val="2"/>
      </rPr>
      <t xml:space="preserve">一併處理。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</si>
  <si>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async </t>
    </r>
    <r>
      <rPr>
        <sz val="10"/>
        <rFont val="Noto Sans CJK SC"/>
        <family val="2"/>
      </rPr>
      <t xml:space="preserve">函式 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之後」與 </t>
    </r>
    <r>
      <rPr>
        <sz val="10"/>
        <rFont val="Arial"/>
        <family val="0"/>
        <charset val="1"/>
      </rPr>
      <t xml:space="preserve">.then( </t>
    </r>
    <r>
      <rPr>
        <sz val="10"/>
        <rFont val="Noto Sans CJK SC"/>
        <family val="2"/>
      </rPr>
      <t xml:space="preserve">回呼裡的 </t>
    </r>
    <r>
      <rPr>
        <sz val="10"/>
        <rFont val="Arial"/>
        <family val="0"/>
        <charset val="1"/>
      </rPr>
      <t xml:space="preserve">`.value =`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45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cash.js 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（另收進 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處同步重設）；白名單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新建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option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巢狀同步事件處理、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pristine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dirty </t>
    </r>
    <r>
      <rPr>
        <sz val="10"/>
        <rFont val="Noto Sans CJK SC"/>
        <family val="2"/>
      </rPr>
      <t xml:space="preserve">旗標：</t>
    </r>
    <r>
      <rPr>
        <sz val="10"/>
        <rFont val="Arial"/>
        <family val="0"/>
        <charset val="1"/>
      </rPr>
      <t xml:space="preserve">input.js:574/575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ledger.js:479/480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inst-quickadd.js:463/465/496</t>
    </r>
    <r>
      <rPr>
        <sz val="10"/>
        <rFont val="Noto Sans CJK SC"/>
        <family val="2"/>
      </rPr>
      <t xml:space="preserve">）；跨包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settings-prompts.js:99/546/598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settings-prefs.js:27/37/44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export.js:80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input.js:1557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settings-users.js:146-148 → </t>
    </r>
    <r>
      <rPr>
        <sz val="10"/>
        <rFont val="Noto Sans CJK SC"/>
        <family val="2"/>
      </rPr>
      <t xml:space="preserve">收尾包 </t>
    </r>
    <r>
      <rPr>
        <sz val="10"/>
        <rFont val="Arial"/>
        <family val="0"/>
        <charset val="1"/>
      </rPr>
      <t xml:space="preserve">I-12</t>
    </r>
    <r>
      <rPr>
        <sz val="10"/>
        <rFont val="Noto Sans CJK SC"/>
        <family val="2"/>
      </rPr>
      <t xml:space="preserve">）。</t>
    </r>
  </si>
  <si>
    <t xml:space="preserve"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</si>
  <si>
    <t xml:space="preserve">真實瀏覽器：資金管理 › 出金入金，於頁內把 GET /api/cash/acq-rate 人為延遲 4 秒，期間填入 嘉信 USD 2026-09-23 入金 1,000、匯率 31.5 → 等回應全部到達後寫入，再刪除</t>
  </si>
  <si>
    <t xml:space="preserve"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</si>
  <si>
    <t xml:space="preserve">延遲回應不覆寫；提示日期＝匯率實際日；寫入 31,500；刪除後 cmp D007 same:true</t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</si>
  <si>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A-06</t>
    </r>
  </si>
  <si>
    <t xml:space="preserve">同意驗證者。透支訊息有五個出處三種寫法；toast 副行印出錯誤碼。</t>
  </si>
  <si>
    <r>
      <rPr>
        <sz val="10"/>
        <rFont val="Arial"/>
        <family val="0"/>
        <charset val="1"/>
      </rPr>
      <t xml:space="preserve">validate.py:1793 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web/shell.js:720 `if (sub) txt.appendChild(el('div', 'sub', sub));`</t>
    </r>
  </si>
  <si>
    <r>
      <rPr>
        <sz val="10"/>
        <rFont val="Arial"/>
        <family val="0"/>
        <charset val="1"/>
      </rPr>
      <t xml:space="preserve">test_cash_movement_guard_contract.py </t>
    </r>
    <r>
      <rPr>
        <sz val="10"/>
        <rFont val="Noto Sans CJK SC"/>
        <family val="2"/>
      </rPr>
      <t xml:space="preserve">逐字釘住，但它的預期值本身就含「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」與「</t>
    </r>
    <r>
      <rPr>
        <sz val="10"/>
        <rFont val="Arial"/>
        <family val="0"/>
        <charset val="1"/>
      </rPr>
      <t xml:space="preserve">3033798.0000</t>
    </r>
    <r>
      <rPr>
        <sz val="10"/>
        <rFont val="Noto Sans CJK SC"/>
        <family val="2"/>
      </rPr>
      <t xml:space="preserve">」——把缺陷釘成規格；</t>
    </r>
    <r>
      <rPr>
        <sz val="10"/>
        <rFont val="Arial"/>
        <family val="0"/>
        <charset val="1"/>
      </rPr>
      <t xml:space="preserve">Agent A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守門只認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裡的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account.name</t>
    </r>
    <r>
      <rPr>
        <sz val="10"/>
        <rFont val="Noto Sans CJK SC"/>
        <family val="2"/>
      </rPr>
      <t xml:space="preserve">，看不到不同變數名（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body.account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acct_id</t>
    </r>
    <r>
      <rPr>
        <sz val="10"/>
        <rFont val="Noto Sans CJK SC"/>
        <family val="2"/>
      </rPr>
      <t xml:space="preserve">）與間接嵌入（</t>
    </r>
    <r>
      <rPr>
        <sz val="10"/>
        <rFont val="Arial"/>
        <family val="0"/>
        <charset val="1"/>
      </rPr>
      <t xml:space="preserve">_acct_name=account.name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account_name=</t>
    </r>
    <r>
      <rPr>
        <sz val="10"/>
        <rFont val="Noto Sans CJK SC"/>
        <family val="2"/>
      </rPr>
      <t xml:space="preserve">）；沒有測試看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副行；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檔頭註解甚至規定把 </t>
    </r>
    <r>
      <rPr>
        <sz val="10"/>
        <rFont val="Arial"/>
        <family val="0"/>
        <charset val="1"/>
      </rPr>
      <t xml:space="preserve">err.code </t>
    </r>
    <r>
      <rPr>
        <sz val="10"/>
        <rFont val="Noto Sans CJK SC"/>
        <family val="2"/>
      </rPr>
      <t xml:space="preserve">當第三參數傳。盲點已補：守門改用更寬的 </t>
    </r>
    <r>
      <rPr>
        <sz val="10"/>
        <rFont val="Arial"/>
        <family val="0"/>
        <charset val="1"/>
      </rPr>
      <t xml:space="preserve">regex</t>
    </r>
    <r>
      <rPr>
        <sz val="10"/>
        <rFont val="Noto Sans CJK SC"/>
        <family val="2"/>
      </rPr>
      <t xml:space="preserve">＋關鍵字／預設值掃描，多找到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處。</t>
    </r>
  </si>
  <si>
    <t xml:space="preserve"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</si>
  <si>
    <t xml:space="preserve"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</si>
  <si>
    <t xml:space="preserve"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</si>
  <si>
    <t xml:space="preserve">真實瀏覽器：資金管理 › 台灣券商 2026-07-14 出金 4,000,000（前端放行、後端擋）；另以 API 送今日出金 6,067,596（餘額 6,067,595）</t>
  </si>
  <si>
    <t xml:space="preserve"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</si>
  <si>
    <t xml:space="preserve">兩條分支句型一致，無英文名、無原始碼、有日期；未寫入任何列（資金 34 列不變）</t>
  </si>
  <si>
    <t xml:space="preserve">同意驗證者：是文案錯，行為符合 AI-D42（returns.py XIRR_CASH_KINDS 明列 REBATE）。</t>
  </si>
  <si>
    <r>
      <rPr>
        <sz val="10"/>
        <rFont val="Arial"/>
        <family val="0"/>
        <charset val="1"/>
      </rPr>
      <t xml:space="preserve">web/dividend-inbox.html:69 `…&lt;b&gt;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</t>
    </r>
  </si>
  <si>
    <t xml:space="preserve">沒有測試把文案跟 AI-D42 的行為綁在一起；標點與語言守門只檢查形式。補：以 portfolio/returns.py::XIRR_CASH_KINDS 為錨的文案守門（HTML 去標籤後整行再讀一次，因為被 &lt;b&gt; 切開的句子原本看不到）。</t>
  </si>
  <si>
    <t xml:space="preserve"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</si>
  <si>
    <t xml:space="preserve"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</si>
  <si>
    <t xml:space="preserve"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</si>
  <si>
    <t xml:space="preserve">真實瀏覽器：收件匣 › 待確認退款（折讓款）區塊標題、每張卡與頁尾說明文字</t>
  </si>
  <si>
    <t xml:space="preserve"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</si>
  <si>
    <t xml:space="preserve">三處文案與實際影響一致</t>
  </si>
  <si>
    <r>
      <rPr>
        <sz val="10"/>
        <rFont val="Arial"/>
        <family val="0"/>
        <charset val="1"/>
      </rPr>
      <t xml:space="preserve">api/dividend_inbox.py:208 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pricing/registry.py:101 `except Exception:  # noqa: BLE001 … continue`</t>
    </r>
  </si>
  <si>
    <r>
      <rPr>
        <sz val="10"/>
        <rFont val="Arial"/>
        <family val="0"/>
        <charset val="1"/>
      </rPr>
      <t xml:space="preserve">RefreshSummary </t>
    </r>
    <r>
      <rPr>
        <sz val="10"/>
        <rFont val="Noto Sans CJK SC"/>
        <family val="2"/>
      </rPr>
      <t xml:space="preserve">沒有欄位可放理由；沒有測試斷言收件匣的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文字；兩套格式器（排程 </t>
    </r>
    <r>
      <rPr>
        <sz val="10"/>
        <rFont val="Arial"/>
        <family val="0"/>
        <charset val="1"/>
      </rPr>
      <t xml:space="preserve">_summarize </t>
    </r>
    <r>
      <rPr>
        <sz val="10"/>
        <rFont val="Noto Sans CJK SC"/>
        <family val="2"/>
      </rPr>
      <t xml:space="preserve">與收件匣）從沒被放在一起比對。補：</t>
    </r>
    <r>
      <rPr>
        <sz val="10"/>
        <rFont val="Arial"/>
        <family val="0"/>
        <charset val="1"/>
      </rPr>
      <t xml:space="preserve">registry </t>
    </r>
    <r>
      <rPr>
        <sz val="10"/>
        <rFont val="Noto Sans CJK SC"/>
        <family val="2"/>
      </rPr>
      <t xml:space="preserve">記理由、格式器句型、收件匣與排程同一句的測試。</t>
    </r>
  </si>
  <si>
    <r>
      <rPr>
        <sz val="10"/>
        <rFont val="Arial"/>
        <family val="0"/>
        <charset val="1"/>
      </rPr>
      <t xml:space="preserve">pricing/registry.py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fetch_dividends_explained</t>
    </r>
    <r>
      <rPr>
        <sz val="10"/>
        <rFont val="Noto Sans CJK SC"/>
        <family val="2"/>
      </rPr>
      <t xml:space="preserve">（每檔記理由「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逾時／連線失敗／回應錯誤／無配息資料」；整個市場沒有來源時「無可用的配息資料來源」；原 </t>
    </r>
    <r>
      <rPr>
        <sz val="10"/>
        <rFont val="Arial"/>
        <family val="0"/>
        <charset val="1"/>
      </rPr>
      <t xml:space="preserve">fetch_dividends </t>
    </r>
    <r>
      <rPr>
        <sz val="10"/>
        <rFont val="Noto Sans CJK SC"/>
        <family val="2"/>
      </rPr>
      <t xml:space="preserve">三元組介面不變）；</t>
    </r>
    <r>
      <rPr>
        <sz val="10"/>
        <rFont val="Arial"/>
        <family val="0"/>
        <charset val="1"/>
      </rPr>
      <t xml:space="preserve">RefreshSummary.failed_reasons</t>
    </r>
    <r>
      <rPr>
        <sz val="10"/>
        <rFont val="Noto Sans CJK SC"/>
        <family val="2"/>
      </rPr>
      <t xml:space="preserve">；唯一格式器 </t>
    </r>
    <r>
      <rPr>
        <sz val="10"/>
        <rFont val="Arial"/>
        <family val="0"/>
        <charset val="1"/>
      </rPr>
      <t xml:space="preserve">pricing/refresh.py::describe_refresh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無配息資料）」）＋</t>
    </r>
    <r>
      <rPr>
        <sz val="10"/>
        <rFont val="Arial"/>
        <family val="0"/>
        <charset val="1"/>
      </rPr>
      <t xml:space="preserve">refresh_failures </t>
    </r>
    <r>
      <rPr>
        <sz val="10"/>
        <rFont val="Noto Sans CJK SC"/>
        <family val="2"/>
      </rPr>
      <t xml:space="preserve">結構化；</t>
    </r>
    <r>
      <rPr>
        <sz val="10"/>
        <rFont val="Arial"/>
        <family val="0"/>
        <charset val="1"/>
      </rPr>
      <t xml:space="preserve">api/dividend_inbox.py RefreshOutcome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（句尾「・待確認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筆」）；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回應改 </t>
    </r>
    <r>
      <rPr>
        <sz val="10"/>
        <rFont val="Arial"/>
        <family val="0"/>
        <charset val="1"/>
      </rPr>
      <t xml:space="preserve">refreshed:{updated, failed:[{symbol, reason}], text}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text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scan_job </t>
    </r>
    <r>
      <rPr>
        <sz val="10"/>
        <rFont val="Noto Sans CJK SC"/>
        <family val="2"/>
      </rPr>
      <t xml:space="preserve">寫進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的是同一句；</t>
    </r>
    <r>
      <rPr>
        <sz val="10"/>
        <rFont val="Arial"/>
        <family val="0"/>
        <charset val="1"/>
      </rPr>
      <t xml:space="preserve">scheduler/jobs.py dividends_daily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fallback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web/inbox.js </t>
    </r>
    <r>
      <rPr>
        <sz val="10"/>
        <rFont val="Noto Sans CJK SC"/>
        <family val="2"/>
      </rPr>
      <t xml:space="preserve">部分失敗時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警告樣式並在面板留一行「上次偵測：…」。</t>
    </r>
  </si>
  <si>
    <t xml:space="preserve">「配息刷新」彙總的產生處共 3／修 3；其他 _summarize 呼叫（報價、歷史、匯率、基準、回補）9 處仍英文無理由（M10-02 釘住）→ 由 Agent G 於 DEF-030 同類補修。</t>
  </si>
  <si>
    <t xml:space="preserve"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</si>
  <si>
    <t xml:space="preserve">真實瀏覽器：收件匣 › 待確認匯入 › 重新偵測（外部來源 yfinance）</t>
  </si>
  <si>
    <t xml:space="preserve"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</si>
  <si>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與狀態列點名 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與原因；收件匣仍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</t>
    </r>
  </si>
  <si>
    <t xml:space="preserve">觀察（不另開、交 owner 參考）：TSLA 本來就不配息，「無配息資料」被歸為「失敗」並把整次偵測標成「部分標的失敗」的警告色；可考慮把「來源回應成功但無配息」與「抓取失敗」分開</t>
  </si>
  <si>
    <t xml:space="preserve">同意驗證者。手動股利表單走匯入管線（刻意的單一驗證門），但批次計數與帳本脫節。</t>
  </si>
  <si>
    <r>
      <rPr>
        <sz val="10"/>
        <rFont val="Arial"/>
        <family val="0"/>
        <charset val="1"/>
      </rPr>
      <t xml:space="preserve">input_center.py:1510 `"SELECT id, kind, broker, source_name, source_sha256, imported_at, row_count, status FROM import_batches …"`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（不處理批次）</t>
    </r>
  </si>
  <si>
    <r>
      <rPr>
        <sz val="10"/>
        <rFont val="Arial"/>
        <family val="0"/>
        <charset val="1"/>
      </rPr>
      <t xml:space="preserve">provenance </t>
    </r>
    <r>
      <rPr>
        <sz val="10"/>
        <rFont val="Noto Sans CJK SC"/>
        <family val="2"/>
      </rPr>
      <t xml:space="preserve">的測試只驗證「批次復原 → 刪帳本列」這個方向，從沒驗證「刪帳本列 → 批次」。補：四類參數化＋公司行動＋驗證者原案例的契約測試。</t>
    </r>
  </si>
  <si>
    <t xml:space="preserve"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</si>
  <si>
    <t xml:space="preserve"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</si>
  <si>
    <t xml:space="preserve"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</si>
  <si>
    <t xml:space="preserve">真實瀏覽器：交易帳本 › 股利表單寫入 2884 現金股利 100（2026-09-23）→ 於帳本股利分頁刪除 → 同頁回 CSV 匯入看「最近匯入」並按復原</t>
  </si>
  <si>
    <t xml:space="preserve"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</si>
  <si>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正確；同頁清單與復原對話框未刷新，仍寫「將刪除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筆」而實刪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筆；</t>
    </r>
    <r>
      <rPr>
        <sz val="10"/>
        <rFont val="Arial"/>
        <family val="0"/>
        <charset val="1"/>
      </rPr>
      <t xml:space="preserve">cmp D017 same:true</t>
    </r>
  </si>
  <si>
    <t xml:space="preserve">部分通過</t>
  </si>
  <si>
    <t xml:space="preserve">帳本任一刪除（交易／股利／換匯／資金／公司行動）成功後，同頁「最近匯入」清單需重抓 /api/import/batches；或復原對話框開啟前先重抓該批次最新 row_count</t>
  </si>
  <si>
    <t xml:space="preserve">同意驗證者。修前實測 1,440px 時 scrollWidth 3,874、390px 時 3,673；兩層原因：變數表沒包捲動容器＋td nowrap。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</si>
  <si>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web/styles.css:866 `table.data td { white-space: nowrap; }`</t>
    </r>
  </si>
  <si>
    <t xml:space="preserve"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</si>
  <si>
    <t xml:space="preserve"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</si>
  <si>
    <t xml:space="preserve"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</si>
  <si>
    <t xml:space="preserve"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</si>
  <si>
    <t xml:space="preserve">真實瀏覽器模擬 390×844 → 系統設定 #prompts → 展開「數據變數總表 38 個變數」；另以同源 iframe（390px）掃 13 個頁面／分頁的 scrollWidth（J-05）</t>
  </si>
  <si>
    <t xml:space="preserve"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</si>
  <si>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展開後 </t>
    </r>
    <r>
      <rPr>
        <sz val="10"/>
        <rFont val="Arial"/>
        <family val="0"/>
        <charset val="1"/>
      </rPr>
      <t xml:space="preserve">scrollWidth 390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頁皆無整頁橫捲</t>
    </r>
  </si>
  <si>
    <t xml:space="preserve"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</si>
  <si>
    <t xml:space="preserve">同意驗證者。按鈕只有 toast；乾跑預檢 R2/R4 的 edit_universe 修正動作導向的也是這顆按鈕。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</si>
  <si>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…);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:51 `edit_universe: { … run: function (t) { openDrawer(t, 'input'); } }`</t>
    </r>
  </si>
  <si>
    <t xml:space="preserve"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</si>
  <si>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ppUniverseModal </t>
    </r>
    <r>
      <rPr>
        <sz val="10"/>
        <rFont val="Noto Sans CJK SC"/>
        <family val="2"/>
      </rPr>
      <t xml:space="preserve">對話框（全部持倉／含觀察標的／自選）；自選用共用 </t>
    </r>
    <r>
      <rPr>
        <sz val="10"/>
        <rFont val="Arial"/>
        <family val="0"/>
        <charset val="1"/>
      </rPr>
      <t xml:space="preserve">ppUniversePicker</t>
    </r>
    <r>
      <rPr>
        <sz val="10"/>
        <rFont val="Noto Sans CJK SC"/>
        <family val="2"/>
      </rPr>
      <t xml:space="preserve">（一個代號一列、名稱、帳戶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pdNames.accountShort</t>
    </r>
    <r>
      <rPr>
        <sz val="10"/>
        <rFont val="Noto Sans CJK SC"/>
        <family val="2"/>
      </rPr>
      <t xml:space="preserve">、觀察標的標「觀察」、全選／全部持倉／清除、即時「將分析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檔標的・每次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張洞察卡」）；儲存由單一 </t>
    </r>
    <r>
      <rPr>
        <sz val="10"/>
        <rFont val="Arial"/>
        <family val="0"/>
        <charset val="1"/>
      </rPr>
      <t xml:space="preserve">helper taskBody(full, patch) </t>
    </r>
    <r>
      <rPr>
        <sz val="10"/>
        <rFont val="Noto Sans CJK SC"/>
        <family val="2"/>
      </rPr>
      <t xml:space="preserve">組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只改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setEnabled </t>
    </r>
    <r>
      <rPr>
        <sz val="10"/>
        <rFont val="Noto Sans CJK SC"/>
        <family val="2"/>
      </rPr>
      <t xml:space="preserve">也改走，兩處不會各漏欄位）；儲存後重整任務卡並以最新資料重開抽屜，「② 輸入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檔標的」由後端重算；</t>
    </r>
    <r>
      <rPr>
        <sz val="10"/>
        <rFont val="Arial"/>
        <family val="0"/>
        <charset val="1"/>
      </rPr>
      <t xml:space="preserve">edit_universe </t>
    </r>
    <r>
      <rPr>
        <sz val="10"/>
        <rFont val="Noto Sans CJK SC"/>
        <family val="2"/>
      </rPr>
      <t xml:space="preserve">修正動作直接開此對話框；非單一標的範圍的任務仍開抽屜；</t>
    </r>
    <r>
      <rPr>
        <sz val="10"/>
        <rFont val="Arial"/>
        <family val="0"/>
        <charset val="1"/>
      </rPr>
      <t xml:space="preserve">pipeline-hub.html </t>
    </r>
    <r>
      <rPr>
        <sz val="10"/>
        <rFont val="Noto Sans CJK SC"/>
        <family val="2"/>
      </rPr>
      <t xml:space="preserve">加載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pipeline.css .pp-uni-*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</si>
  <si>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 </t>
    </r>
    <r>
      <rPr>
        <sz val="10"/>
        <rFont val="Noto Sans CJK SC"/>
        <family val="2"/>
      </rPr>
      <t xml:space="preserve">四檔 </t>
    </r>
    <r>
      <rPr>
        <sz val="10"/>
        <rFont val="Arial"/>
        <family val="0"/>
        <charset val="1"/>
      </rPr>
      <t xml:space="preserve">click </t>
    </r>
    <r>
      <rPr>
        <sz val="10"/>
        <rFont val="Noto Sans CJK SC"/>
        <family val="2"/>
      </rPr>
      <t xml:space="preserve">處理器＋修正動作死路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pipeline.js:463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pipeline-preflight.js:43 </t>
    </r>
    <r>
      <rPr>
        <sz val="10"/>
        <rFont val="Noto Sans CJK SC"/>
        <family val="2"/>
      </rPr>
      <t xml:space="preserve">未對映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時的 </t>
    </r>
    <r>
      <rPr>
        <sz val="10"/>
        <rFont val="Arial"/>
        <family val="0"/>
        <charset val="1"/>
      </rPr>
      <t xml:space="preserve">toast——</t>
    </r>
    <r>
      <rPr>
        <sz val="10"/>
        <rFont val="Noto Sans CJK SC"/>
        <family val="2"/>
      </rPr>
      <t xml:space="preserve">新增比對測試證明不可達：後端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種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全在前端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裡）；四檔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其餘都伴隨實際動作。</t>
    </r>
  </si>
  <si>
    <t xml:space="preserve"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</si>
  <si>
    <t xml:space="preserve">真實瀏覽器：以精靈建立暫存任務「QA R2 暫存任務（DEF-031）」（自選 2884、個股健檢策略、關閉自我校正；乾跑預檢不花費）→ 開「② 輸入」抽屜 → 編輯標的 → 加勾 2330 → 儲存標的 → 刪除暫存任務</t>
  </si>
  <si>
    <t xml:space="preserve"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</si>
  <si>
    <t xml:space="preserve">編輯標的可用且寫回；暫存任務已刪除、無花費</t>
  </si>
  <si>
    <t xml:space="preserve">同意驗證者，並發現延伸後果：兩個 AAPL 都勾會存成 ["AAPL","AAPL"]，後端自選模式沒去重 → 同一代號產生 2 張卡、收 2 次費用。</t>
  </si>
  <si>
    <r>
      <rPr>
        <sz val="10"/>
        <rFont val="Arial"/>
        <family val="0"/>
        <charset val="1"/>
      </rPr>
      <t xml:space="preserve">web/pipeline-wizard.js:82 `REF.held = (…holdings…).map(function (h) { return h.symbol;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insight_service.py:142 `return list(syms) if isinstance(syms, list) else []`</t>
    </r>
  </si>
  <si>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測試資料裡沒有任何代號同時在兩個帳戶；已有的 </t>
    </r>
    <r>
      <rPr>
        <sz val="10"/>
        <rFont val="Arial"/>
        <family val="0"/>
        <charset val="1"/>
      </rPr>
      <t xml:space="preserve">_seed_dual_account </t>
    </r>
    <r>
      <rPr>
        <sz val="10"/>
        <rFont val="Noto Sans CJK SC"/>
        <family val="2"/>
      </rPr>
      <t xml:space="preserve">只被再平衡測試使用；精靈完全沒有測試。補：以 </t>
    </r>
    <r>
      <rPr>
        <sz val="10"/>
        <rFont val="Arial"/>
        <family val="0"/>
        <charset val="1"/>
      </rPr>
      <t xml:space="preserve">golden</t>
    </r>
    <r>
      <rPr>
        <sz val="10"/>
        <rFont val="Noto Sans CJK SC"/>
        <family val="2"/>
      </rPr>
      <t xml:space="preserve">＋第二個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帳戶列跑真正 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</si>
  <si>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新增唯一定義 </t>
    </r>
    <r>
      <rPr>
        <sz val="10"/>
        <rFont val="Arial"/>
        <family val="0"/>
        <charset val="1"/>
      </rPr>
      <t xml:space="preserve">window.ppUniverseSource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ppUniverseSymbols</t>
    </r>
    <r>
      <rPr>
        <sz val="10"/>
        <rFont val="Noto Sans CJK SC"/>
        <family val="2"/>
      </rPr>
      <t xml:space="preserve">（對齊後端解析器）與 </t>
    </r>
    <r>
      <rPr>
        <sz val="10"/>
        <rFont val="Arial"/>
        <family val="0"/>
        <charset val="1"/>
      </rPr>
      <t xml:space="preserve">ppLoadUniverse</t>
    </r>
    <r>
      <rPr>
        <sz val="10"/>
        <rFont val="Noto Sans CJK SC"/>
        <family val="2"/>
      </rPr>
      <t xml:space="preserve">；精靈的計數、成本估算、自選清單與 </t>
    </r>
    <r>
      <rPr>
        <sz val="10"/>
        <rFont val="Arial"/>
        <family val="0"/>
        <charset val="1"/>
      </rPr>
      <t xml:space="preserve">DEF-031 </t>
    </r>
    <r>
      <rPr>
        <sz val="10"/>
        <rFont val="Noto Sans CJK SC"/>
        <family val="2"/>
      </rPr>
      <t xml:space="preserve">對話框用同一套函式與 </t>
    </r>
    <r>
      <rPr>
        <sz val="10"/>
        <rFont val="Arial"/>
        <family val="0"/>
        <charset val="1"/>
      </rPr>
      <t xml:space="preserve">picker</t>
    </r>
    <r>
      <rPr>
        <sz val="10"/>
        <rFont val="Noto Sans CJK SC"/>
        <family val="2"/>
      </rPr>
      <t xml:space="preserve">；自選說明改「勾選持倉或觀察標的」；後端 </t>
    </r>
    <r>
      <rPr>
        <sz val="10"/>
        <rFont val="Arial"/>
        <family val="0"/>
        <charset val="1"/>
      </rPr>
      <t xml:space="preserve">insight_service.py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_custom_symbols</t>
    </r>
    <r>
      <rPr>
        <sz val="10"/>
        <rFont val="Noto Sans CJK SC"/>
        <family val="2"/>
      </rPr>
      <t xml:space="preserve">，兩個解析器都在讀取端去重（保留首次出現順序），已存進資料庫的重複資料一併修正。</t>
    </r>
  </si>
  <si>
    <t xml:space="preserve">前端從持倉列推導代號／數量 共 1／修 1；後端自選模式沒去重 共 2／修 2；白名單 3（app.js:481 帳戶清單、rebalance.js:179 已按代號分組、detail.js:143 刻意以帳戶＋代號為單位）。</t>
  </si>
  <si>
    <t xml:space="preserve"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</si>
  <si>
    <t xml:space="preserve">真實瀏覽器：洞察管線 › ＋新增洞察任務 → 先不排程 → 單一標的 → 看範圍計數與管線預覽 → 自選標的清單</t>
  </si>
  <si>
    <t xml:space="preserve"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</si>
  <si>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檔，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單一勾選框</t>
    </r>
  </si>
  <si>
    <t xml:space="preserve">防護提醒：後端去重的變異測試 5 passed（沒有測試抓到後端回傳重複列），目前靠前端彙整；建議補後端契約測試</t>
  </si>
  <si>
    <t xml:space="preserve"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</si>
  <si>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:627 `t.addEventListener('click', async () =&gt; {`</t>
    </r>
  </si>
  <si>
    <t xml:space="preserve"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</si>
  <si>
    <t xml:space="preserve">改成頁面初始化時執行一次的 IIFE（與同檔 initThreshold／initTopup 同一寫法），boot() 只負責載入資料；開關的顯示狀態由它自己 PUT 的回應更新。</t>
  </si>
  <si>
    <t xml:space="preserve"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</si>
  <si>
    <t xml:space="preserve"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</si>
  <si>
    <t xml:space="preserve">真實瀏覽器：系統設定 › AI 與額度，低額度警示 1.00→1.50→1.00（各離開欄位一次）→ 點一下「代號查無時自動 AI 辨識」開關 → 再點一下還原</t>
  </si>
  <si>
    <t xml:space="preserve"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</si>
  <si>
    <t xml:space="preserve">兩次儲存後點一下＝1 次 PUT；閾值與開關皆已還原（1.00、true）</t>
  </si>
  <si>
    <t xml:space="preserve">同意驗證者。另在數據變數總表發現 2 處殘留「其中 N 個待後端新增」「需新增資料快照（spec 06）」，variables.py 已把這些變數註冊為 available=True。</t>
  </si>
  <si>
    <r>
      <rPr>
        <sz val="10"/>
        <rFont val="Arial"/>
        <family val="0"/>
        <charset val="1"/>
      </rPr>
      <t xml:space="preserve">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web/pipeline-hub.html:47 `&lt;a class="pp-asset" href="settings.html"&gt;`</t>
    </r>
  </si>
  <si>
    <t xml:space="preserve">沒有殘留文案的守門，也沒有「連結必須帶分頁且錨點存在」的守門。補：test_def038_residual_copy_and_settings_links（殘留文案清單＋每條 settings 連結必須帶分頁與真實錨點）＋深連結 e2e。</t>
  </si>
  <si>
    <r>
      <rPr>
        <sz val="10"/>
        <rFont val="Arial"/>
        <family val="0"/>
        <charset val="1"/>
      </rPr>
      <t xml:space="preserve">① tooltip </t>
    </r>
    <r>
      <rPr>
        <sz val="10"/>
        <rFont val="Noto Sans CJK SC"/>
        <family val="2"/>
      </rPr>
      <t xml:space="preserve">改「更新報價或重建統計」；</t>
    </r>
    <r>
      <rPr>
        <sz val="10"/>
        <rFont val="Arial"/>
        <family val="0"/>
        <charset val="1"/>
      </rPr>
      <t xml:space="preserve">settings-prompts.js </t>
    </r>
    <r>
      <rPr>
        <sz val="10"/>
        <rFont val="Noto Sans CJK SC"/>
        <family val="2"/>
      </rPr>
      <t xml:space="preserve">兩處殘留改「其中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個取自外部資料快照」「外部資料快照」、</t>
    </r>
    <r>
      <rPr>
        <sz val="10"/>
        <rFont val="Arial"/>
        <family val="0"/>
        <charset val="1"/>
      </rPr>
      <t xml:space="preserve">:469 </t>
    </r>
    <r>
      <rPr>
        <sz val="10"/>
        <rFont val="Noto Sans CJK SC"/>
        <family val="2"/>
      </rPr>
      <t xml:space="preserve">過期註解更正。②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路由新增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分頁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錨點 語法（</t>
    </r>
    <r>
      <rPr>
        <sz val="10"/>
        <rFont val="Arial"/>
        <family val="0"/>
        <charset val="1"/>
      </rPr>
      <t xml:space="preserve">parseHash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goAnchor</t>
    </r>
    <r>
      <rPr>
        <sz val="10"/>
        <rFont val="Noto Sans CJK SC"/>
        <family val="2"/>
      </rPr>
      <t xml:space="preserve">：找該分頁內帶 </t>
    </r>
    <r>
      <rPr>
        <sz val="10"/>
        <rFont val="Arial"/>
        <family val="0"/>
        <charset val="1"/>
      </rPr>
      <t xml:space="preserve">data-anchor </t>
    </r>
    <r>
      <rPr>
        <sz val="10"/>
        <rFont val="Noto Sans CJK SC"/>
        <family val="2"/>
      </rPr>
      <t xml:space="preserve">的元素，收合的 </t>
    </r>
    <r>
      <rPr>
        <sz val="10"/>
        <rFont val="Arial"/>
        <family val="0"/>
        <charset val="1"/>
      </rPr>
      <t xml:space="preserve">details </t>
    </r>
    <r>
      <rPr>
        <sz val="10"/>
        <rFont val="Noto Sans CJK SC"/>
        <family val="2"/>
      </rPr>
      <t xml:space="preserve">先打開再捲過去；非同步生成用 </t>
    </r>
    <r>
      <rPr>
        <sz val="10"/>
        <rFont val="Arial"/>
        <family val="0"/>
        <charset val="1"/>
      </rPr>
      <t xml:space="preserve">MutationObserver </t>
    </r>
    <r>
      <rPr>
        <sz val="10"/>
        <rFont val="Noto Sans CJK SC"/>
        <family val="2"/>
      </rPr>
      <t xml:space="preserve">等最多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秒並於 </t>
    </r>
    <r>
      <rPr>
        <sz val="10"/>
        <rFont val="Arial"/>
        <family val="0"/>
        <charset val="1"/>
      </rPr>
      <t xml:space="preserve">0.4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1.2 </t>
    </r>
    <r>
      <rPr>
        <sz val="10"/>
        <rFont val="Noto Sans CJK SC"/>
        <family val="2"/>
      </rPr>
      <t xml:space="preserve">秒補捲）；錨點 </t>
    </r>
    <r>
      <rPr>
        <sz val="10"/>
        <rFont val="Arial"/>
        <family val="0"/>
        <charset val="1"/>
      </rPr>
      <t xml:space="preserve">templates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vars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evolution</t>
    </r>
    <r>
      <rPr>
        <sz val="10"/>
        <rFont val="Noto Sans CJK SC"/>
        <family val="2"/>
      </rPr>
      <t xml:space="preserve">；連結：進化設定 </t>
    </r>
    <r>
      <rPr>
        <sz val="10"/>
        <rFont val="Arial"/>
        <family val="0"/>
        <charset val="1"/>
      </rPr>
      <t xml:space="preserve">settings.html#prompts/evolution</t>
    </r>
    <r>
      <rPr>
        <sz val="10"/>
        <rFont val="Noto Sans CJK SC"/>
        <family val="2"/>
      </rPr>
      <t xml:space="preserve">、數據變數庫 </t>
    </r>
    <r>
      <rPr>
        <sz val="10"/>
        <rFont val="Arial"/>
        <family val="0"/>
        <charset val="1"/>
      </rPr>
      <t xml:space="preserve">#prompts/vars</t>
    </r>
    <r>
      <rPr>
        <sz val="10"/>
        <rFont val="Noto Sans CJK SC"/>
        <family val="2"/>
      </rPr>
      <t xml:space="preserve">、分析模板庫與 </t>
    </r>
    <r>
      <rPr>
        <sz val="10"/>
        <rFont val="Arial"/>
        <family val="0"/>
        <charset val="1"/>
      </rPr>
      <t xml:space="preserve">pipeline.js</t>
    </r>
    <r>
      <rPr>
        <sz val="10"/>
        <rFont val="Noto Sans CJK SC"/>
        <family val="2"/>
      </rPr>
      <t xml:space="preserve">／精靈的模板庫連結、</t>
    </r>
    <r>
      <rPr>
        <sz val="10"/>
        <rFont val="Arial"/>
        <family val="0"/>
        <charset val="1"/>
      </rPr>
      <t xml:space="preserve">enable_template #prompts/templates</t>
    </r>
    <r>
      <rPr>
        <sz val="10"/>
        <rFont val="Noto Sans CJK SC"/>
        <family val="2"/>
      </rPr>
      <t xml:space="preserve">。</t>
    </r>
  </si>
  <si>
    <t xml:space="preserve"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</si>
  <si>
    <t xml:space="preserve"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</si>
  <si>
    <t xml:space="preserve">真實瀏覽器：儀表板「⟳重新整理」tooltip；洞察管線 › 點「進化設定 5 項安全邊界」</t>
  </si>
  <si>
    <t xml:space="preserve"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</si>
  <si>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已改；深連結落在自我進化設定</t>
    </r>
  </si>
  <si>
    <t xml:space="preserve"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</si>
  <si>
    <r>
      <rPr>
        <sz val="10"/>
        <rFont val="Arial"/>
        <family val="0"/>
        <charset val="1"/>
      </rPr>
      <t xml:space="preserve">scheduler/jobs.py:1573 `outcome = _outcome_of(_jobs_by_id()[job_id].func(conn, now=now))`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:1575 `outcome = JobOutcome("error", str(exc))`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:143 `"enabled": bool(row["enabled"]),`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web/settings-scheduler.js:124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:432</t>
    </r>
  </si>
  <si>
    <r>
      <rPr>
        <sz val="10"/>
        <rFont val="Arial"/>
        <family val="0"/>
        <charset val="1"/>
      </rPr>
      <t xml:space="preserve">tests/contract/test_scheduler_api.py::test_run_202_inserts_row </t>
    </r>
    <r>
      <rPr>
        <sz val="10"/>
        <rFont val="Noto Sans CJK SC"/>
        <family val="2"/>
      </rPr>
      <t xml:space="preserve">只驗同步的 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與預插列，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說背景執行「由 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單元路徑涵蓋」，但沒有任何單元測試用 </t>
    </r>
    <r>
      <rPr>
        <sz val="10"/>
        <rFont val="Arial"/>
        <family val="0"/>
        <charset val="1"/>
      </rPr>
      <t xml:space="preserve">kind=insight </t>
    </r>
    <r>
      <rPr>
        <sz val="10"/>
        <rFont val="Noto Sans CJK SC"/>
        <family val="2"/>
      </rPr>
      <t xml:space="preserve">的列跑過 </t>
    </r>
    <r>
      <rPr>
        <sz val="10"/>
        <rFont val="Arial"/>
        <family val="0"/>
        <charset val="1"/>
      </rPr>
      <t xml:space="preserve">run_job_func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test_insight_dispatch.py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dispatch_job</t>
    </r>
    <r>
      <rPr>
        <sz val="10"/>
        <rFont val="Noto Sans CJK SC"/>
        <family val="2"/>
      </rPr>
      <t xml:space="preserve">；清單契約只檢查靜態工作的列。補：新測試把背景執行緒改成同步、</t>
    </r>
    <r>
      <rPr>
        <sz val="10"/>
        <rFont val="Arial"/>
        <family val="0"/>
        <charset val="1"/>
      </rPr>
      <t xml:space="preserve">session </t>
    </r>
    <r>
      <rPr>
        <sz val="10"/>
        <rFont val="Noto Sans CJK SC"/>
        <family val="2"/>
      </rPr>
      <t xml:space="preserve">指向測試資料庫真正跑一次 </t>
    </r>
    <r>
      <rPr>
        <sz val="10"/>
        <rFont val="Arial"/>
        <family val="0"/>
        <charset val="1"/>
      </rPr>
      <t xml:space="preserve">worker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以後的流程不再是測試看不到的地方。</t>
    </r>
  </si>
  <si>
    <r>
      <rPr>
        <sz val="10"/>
        <rFont val="Arial"/>
        <family val="0"/>
        <charset val="1"/>
      </rPr>
      <t xml:space="preserve">jobs.py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job_kind()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start_run()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列用 </t>
    </r>
    <r>
      <rPr>
        <sz val="10"/>
        <rFont val="Arial"/>
        <family val="0"/>
        <charset val="1"/>
      </rPr>
      <t xml:space="preserve">start_insight_run </t>
    </r>
    <r>
      <rPr>
        <sz val="10"/>
        <rFont val="Noto Sans CJK SC"/>
        <family val="2"/>
      </rPr>
      <t xml:space="preserve">格式預插、帶 </t>
    </r>
    <r>
      <rPr>
        <sz val="10"/>
        <rFont val="Arial"/>
        <family val="0"/>
        <charset val="1"/>
      </rPr>
      <t xml:space="preserve">payload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insight_task_of()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unknown_job_message()</t>
    </r>
    <r>
      <rPr>
        <sz val="10"/>
        <rFont val="Noto Sans CJK SC"/>
        <family val="2"/>
      </rPr>
      <t xml:space="preserve">；唯一執行器 </t>
    </r>
    <r>
      <rPr>
        <sz val="10"/>
        <rFont val="Arial"/>
        <family val="0"/>
        <charset val="1"/>
      </rPr>
      <t xml:space="preserve">_execute_insight()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、排程中心立即執行、任務入口三個入口都經過它（標記執行中與進度、呼叫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trigger</t>
    </r>
    <r>
      <rPr>
        <sz val="10"/>
        <rFont val="Noto Sans CJK SC"/>
        <family val="2"/>
      </rPr>
      <t xml:space="preserve">、失敗由 </t>
    </r>
    <r>
      <rPr>
        <sz val="10"/>
        <rFont val="Arial"/>
        <family val="0"/>
        <charset val="1"/>
      </rPr>
      <t xml:space="preserve">_record_insight_failure() </t>
    </r>
    <r>
      <rPr>
        <sz val="10"/>
        <rFont val="Noto Sans CJK SC"/>
        <family val="2"/>
      </rPr>
      <t xml:space="preserve">恰好記一次）；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先判斷種類，查不到的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收尾為錯誤句不卡在 </t>
    </r>
    <r>
      <rPr>
        <sz val="10"/>
        <rFont val="Arial"/>
        <family val="0"/>
        <charset val="1"/>
      </rPr>
      <t xml:space="preserve">running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failure_detail(exc)</t>
    </r>
    <r>
      <rPr>
        <sz val="10"/>
        <rFont val="Noto Sans CJK SC"/>
        <family val="2"/>
      </rPr>
      <t xml:space="preserve">「執行失敗：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例外類別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訊息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」同步門與非同步門都用。路由：</t>
    </r>
    <r>
      <rPr>
        <sz val="10"/>
        <rFont val="Arial"/>
        <family val="0"/>
        <charset val="1"/>
      </rPr>
      <t xml:space="preserve">run_job_now </t>
    </r>
    <r>
      <rPr>
        <sz val="10"/>
        <rFont val="Noto Sans CJK SC"/>
        <family val="2"/>
      </rPr>
      <t xml:space="preserve">找不到能執行的 </t>
    </r>
    <r>
      <rPr>
        <sz val="10"/>
        <rFont val="Arial"/>
        <family val="0"/>
        <charset val="1"/>
      </rPr>
      <t xml:space="preserve">id → 404</t>
    </r>
    <r>
      <rPr>
        <sz val="10"/>
        <rFont val="Noto Sans CJK SC"/>
        <family val="2"/>
      </rPr>
      <t xml:space="preserve">「找不到排程工作「</t>
    </r>
    <r>
      <rPr>
        <sz val="10"/>
        <rFont val="Arial"/>
        <family val="0"/>
        <charset val="1"/>
      </rPr>
      <t xml:space="preserve">ghost_job</t>
    </r>
    <r>
      <rPr>
        <sz val="10"/>
        <rFont val="Noto Sans CJK SC"/>
        <family val="2"/>
      </rPr>
      <t xml:space="preserve">」：它不是已登錄的系統工作，也不是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洞察任務的排程」；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列走共用 </t>
    </r>
    <r>
      <rPr>
        <sz val="10"/>
        <rFont val="Arial"/>
        <family val="0"/>
        <charset val="1"/>
      </rPr>
      <t xml:space="preserve">insight_task_run_refusal()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404</t>
    </r>
    <r>
      <rPr>
        <sz val="10"/>
        <rFont val="Noto Sans CJK SC"/>
        <family val="2"/>
      </rPr>
      <t xml:space="preserve">／已刪除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／已暫停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／執行中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insights.py::run_insight_now </t>
    </r>
    <r>
      <rPr>
        <sz val="10"/>
        <rFont val="Noto Sans CJK SC"/>
        <family val="2"/>
      </rPr>
      <t xml:space="preserve">也改用，兩入口錯誤內容相同。清單（</t>
    </r>
    <r>
      <rPr>
        <sz val="10"/>
        <rFont val="Arial"/>
        <family val="0"/>
        <charset val="1"/>
      </rPr>
      <t xml:space="preserve">additive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/api/scheduler/jobs </t>
    </r>
    <r>
      <rPr>
        <sz val="10"/>
        <rFont val="Noto Sans CJK SC"/>
        <family val="2"/>
      </rPr>
      <t xml:space="preserve">每列加 </t>
    </r>
    <r>
      <rPr>
        <sz val="10"/>
        <rFont val="Arial"/>
        <family val="0"/>
        <charset val="1"/>
      </rPr>
      <t xml:space="preserve">kind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洞察任務「每日持倉週報」」，已刪除加註）、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（排程開關且任務啟用）、</t>
    </r>
    <r>
      <rPr>
        <sz val="10"/>
        <rFont val="Arial"/>
        <family val="0"/>
        <charset val="1"/>
      </rPr>
      <t xml:space="preserve">paused_reason</t>
    </r>
    <r>
      <rPr>
        <sz val="10"/>
        <rFont val="Noto Sans CJK SC"/>
        <family val="2"/>
      </rPr>
      <t xml:space="preserve">，暫停時 </t>
    </r>
    <r>
      <rPr>
        <sz val="10"/>
        <rFont val="Arial"/>
        <family val="0"/>
        <charset val="1"/>
      </rPr>
      <t xml:space="preserve">next=null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/api/scheduler/runs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或排程綁定取得，不解析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字串）。前端 </t>
    </r>
    <r>
      <rPr>
        <sz val="10"/>
        <rFont val="Arial"/>
        <family val="0"/>
        <charset val="1"/>
      </rPr>
      <t xml:space="preserve">settings-scheduler.js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labelById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rememberLabels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jobLabel </t>
    </r>
    <r>
      <rPr>
        <sz val="10"/>
        <rFont val="Noto Sans CJK SC"/>
        <family val="2"/>
      </rPr>
      <t xml:space="preserve">多查伺服器名稱；開關讀 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，暫停時鎖住、提示原因、加「前往洞察管線 →」。同類補修：</t>
    </r>
    <r>
      <rPr>
        <sz val="10"/>
        <rFont val="Arial"/>
        <family val="0"/>
        <charset val="1"/>
      </rPr>
      <t xml:space="preserve">_summarize 9 </t>
    </r>
    <r>
      <rPr>
        <sz val="10"/>
        <rFont val="Noto Sans CJK SC"/>
        <family val="2"/>
      </rPr>
      <t xml:space="preserve">處英文彙總改中文全形「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項失敗（來源 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）；失敗：</t>
    </r>
    <r>
      <rPr>
        <sz val="10"/>
        <rFont val="Arial"/>
        <family val="0"/>
        <charset val="1"/>
      </rPr>
      <t xml:space="preserve">8299</t>
    </r>
    <r>
      <rPr>
        <sz val="10"/>
        <rFont val="Noto Sans CJK SC"/>
        <family val="2"/>
      </rPr>
      <t xml:space="preserve">」（有理由才列理由，不捏造；失敗清單永不截斷）。</t>
    </r>
  </si>
  <si>
    <t xml:space="preserve"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</si>
  <si>
    <t xml:space="preserve"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</si>
  <si>
    <t xml:space="preserve">真實瀏覽器：系統設定 › 排程中心，看 insight:* 列名稱 → 市場週報（insight:7）立即執行；再到洞察管線暫停該任務，看排程中心開關，再啟用還原</t>
  </si>
  <si>
    <t xml:space="preserve"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</si>
  <si>
    <t xml:space="preserve">立即執行成功、名稱顯示、暫停狀態同步；任務已重新啟用</t>
  </si>
  <si>
    <t xml:space="preserve">小瑕疵（不另開）：立即執行的 toast 仍寫「✓ 已排入執行 insight:7 #180」（job id 而非任務名）。本案花費 $0.0023063</t>
  </si>
  <si>
    <t xml:space="preserve"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</si>
  <si>
    <r>
      <rPr>
        <sz val="10"/>
        <rFont val="Arial"/>
        <family val="0"/>
        <charset val="1"/>
      </rPr>
      <t xml:space="preserve">jobs.py:918 `symbol=_alert_symbol(alert)`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alerts_bridge.py:285 `fired_symbol=event.symbol,`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generate.py:368 `alert_note = _ON_ALERT_NOTE if is_alert else ""`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insight_service.py:918 `symbol=str(it.id)`</t>
    </r>
  </si>
  <si>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只有字串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，後綴的意義依規則不同（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個規則是代號、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帳戶、</t>
    </r>
    <r>
      <rPr>
        <sz val="10"/>
        <rFont val="Arial"/>
        <family val="0"/>
        <charset val="1"/>
      </rPr>
      <t xml:space="preserve">sector_weight </t>
    </r>
    <r>
      <rPr>
        <sz val="10"/>
        <rFont val="Noto Sans CJK SC"/>
        <family val="2"/>
      </rPr>
      <t xml:space="preserve">產業、</t>
    </r>
    <r>
      <rPr>
        <sz val="10"/>
        <rFont val="Arial"/>
        <family val="0"/>
        <charset val="1"/>
      </rPr>
      <t xml:space="preserve">currency_weight </t>
    </r>
    <r>
      <rPr>
        <sz val="10"/>
        <rFont val="Noto Sans CJK SC"/>
        <family val="2"/>
      </rPr>
      <t xml:space="preserve">幣別）沒有型別區分；兩則舊測試把缺陷釘成正確行為（</t>
    </r>
    <r>
      <rPr>
        <sz val="10"/>
        <rFont val="Arial"/>
        <family val="0"/>
        <charset val="1"/>
      </rPr>
      <t xml:space="preserve">test_alert_scan.py::test_alert_scan_records_events_and_dispatches </t>
    </r>
    <r>
      <rPr>
        <sz val="10"/>
        <rFont val="Noto Sans CJK SC"/>
        <family val="2"/>
      </rPr>
      <t xml:space="preserve">斷言 </t>
    </r>
    <r>
      <rPr>
        <sz val="10"/>
        <rFont val="Arial"/>
        <family val="0"/>
        <charset val="1"/>
      </rPr>
      <t xml:space="preserve">fired_symbol == "schwab"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test_alerts_bridge.py::test_dispatch_runs_each_subscriber_once_and_debounces</t>
    </r>
    <r>
      <rPr>
        <sz val="10"/>
        <rFont val="Noto Sans CJK SC"/>
        <family val="2"/>
      </rPr>
      <t xml:space="preserve">）；提示詞登記測試只檢查常數存在。補：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改必填＋</t>
    </r>
    <r>
      <rPr>
        <sz val="10"/>
        <rFont val="Arial"/>
        <family val="0"/>
        <charset val="1"/>
      </rPr>
      <t xml:space="preserve">validator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一致）＋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守門（每個 </t>
    </r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建構必須寫出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真實規則引擎驗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＋提示詞內容測試；兩則釘錯的舊測試改寫。</t>
    </r>
  </si>
  <si>
    <t xml:space="preserve"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</si>
  <si>
    <t xml:space="preserve"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</si>
  <si>
    <t xml:space="preserve"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</si>
  <si>
    <t xml:space="preserve">真實瀏覽器：系統設定 › 排程中心 › alert_scan 立即執行三次（#181 2884 下限 50；#182 2884 上限 45；#183 2330 上限 1000）→ 比對 job 詳情、派發 run 與新卡欄位 → 目標價全部改回空白</t>
  </si>
  <si>
    <t xml:space="preserve"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</si>
  <si>
    <t xml:space="preserve">帳戶層級預警不再產卡；卡片可追溯觸發預警；本案花費 $0.0007319；26 檔目標價皆已改回空白</t>
  </si>
  <si>
    <r>
      <rPr>
        <sz val="10"/>
        <rFont val="Arial"/>
        <family val="0"/>
        <charset val="1"/>
      </rPr>
      <t xml:space="preserve">①R1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</si>
  <si>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t xml:space="preserve">2026-09-24</t>
  </si>
  <si>
    <t xml:space="preserve">—（Owner 裁定列，本輪未修）</t>
  </si>
  <si>
    <t xml:space="preserve">非複驗：Owner 裁定（驗證者整理 2～3 個方案供選，Owner 選定）</t>
  </si>
  <si>
    <t xml:space="preserve">裁定：以 prediction 為準：prediction 為空的卡一律顯示「純描述・無預測」，不顯示信心值，也不進校準曲線。</t>
  </si>
  <si>
    <t xml:space="preserve">改程式；G-06 期望不變（現行行為不符 → 交開發者）</t>
  </si>
  <si>
    <t xml:space="preserve">依裁定現行行為不符 → 狀態改「新開」交開發者</t>
  </si>
  <si>
    <t xml:space="preserve">裁定：維持中性色：入金實心、出金外框（方向不是損益，不用紅綠），不改 CSS。</t>
  </si>
  <si>
    <t xml:space="preserve">改手冊：A-01／A-04／A-09 期望改為「方向 chip 為中性色：入金實心、出金外框」。依 §5 驗證者不改 .md 與 F 欄，請 owner／開發者下一輪同步</t>
  </si>
  <si>
    <t xml:space="preserve">依裁定改判非缺陷；手冊期望待同步</t>
  </si>
  <si>
    <t xml:space="preserve">裁定：自動入帳類（折讓款等）改為整列可編輯（日期／類型／金額／備註），與手動輸入一致，讓使用者有補救空間；編輯寫入稽核軌跡。</t>
  </si>
  <si>
    <t xml:space="preserve">改程式＋改手冊：A-11② 期望改為「折讓款列整列可編輯（與手動輸入的資金列相同），編輯寫入稽核軌跡」</t>
  </si>
  <si>
    <t xml:space="preserve">裁定：兩者都做：退款預估器對費率快照 discount&lt;1（下單已打折）的交易不預估退款；並清理這 8 筆歷史快照（清理前備份、寫稽核紀錄）。</t>
  </si>
  <si>
    <t xml:space="preserve">改程式＋資料清理；B-16 補「快照已打折（discount&lt;1）的交易不列入退款預估」</t>
  </si>
  <si>
    <t xml:space="preserve">裁定：允許「當沖＋放空」組合（台股現股當沖可先賣後買）；表單加組合說明，交易帳本列標示「當沖」「放空」。</t>
  </si>
  <si>
    <t xml:space="preserve">改程式；B-10③ 期望改為「允許組合，表單有組合說明，帳本列可見兩個標示」</t>
  </si>
  <si>
    <t xml:space="preserve">裁定：入帳日（pay_date）晚於估值日的股利不進 XIRR；總報酬、現金池、XIRR 三個口徑都以實際入帳為準。</t>
  </si>
  <si>
    <t xml:space="preserve">改程式；C-02 補「pay_date 在未來的股利：入帳日前不計入 XIRR 與總報酬」</t>
  </si>
  <si>
    <t xml:space="preserve">裁定：維持 DRIP 以 $0 成本入帳（股利折入成本模型）。</t>
  </si>
  <si>
    <t xml:space="preserve">改手冊：C-04b① 期望改為「股數增加、原始成本不變（$0 成本股），均價依股數重算；表單有說明」。請 owner／開發者下一輪同步 .md 與 F 欄</t>
  </si>
  <si>
    <t xml:space="preserve">裁定：CSV 賣超列比照手動輸入：預設不勾選，確認框逐列點名並寫明「成本基礎會被永久捨棄」，勾選後才寫入。</t>
  </si>
  <si>
    <t xml:space="preserve">改程式＋改手冊：I-06 賣超期望改為「該列預設不勾、需逐列明確確認後才可寫入」（R2 複驗 DEF-026 時 CSV 確認框仍是通用句「部分列有警告（如賣超）」）</t>
  </si>
  <si>
    <t xml:space="preserve">裁定：策略提示詞做完整版本記錄：每次儲存留一版，可檢視差異並回復任一版，洞察卡記錄生成時使用的版本。</t>
  </si>
  <si>
    <t xml:space="preserve">改程式；H-03 期望不變</t>
  </si>
  <si>
    <t xml:space="preserve">—（本輪由檢驗方發現／Owner 裁定）</t>
  </si>
  <si>
    <t xml:space="preserve">真實瀏覽器走完 DEF-027 的券商對帳單流程，讀賣超列的提示文字</t>
  </si>
  <si>
    <t xml:space="preserve"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</si>
  <si>
    <t xml:space="preserve">提示顯示 28 位小數；缺口數值正確</t>
  </si>
  <si>
    <t xml:space="preserve">開 DEF-039</t>
  </si>
  <si>
    <t xml:space="preserve">開發者交接觀察，未另行黑箱重現（刪除不回收已由程式碼與開發者說明確認）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</si>
  <si>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裁定為需修正的行為，轉開發者</t>
    </r>
  </si>
  <si>
    <t xml:space="preserve">開 DEF-040（OBS-1）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</si>
  <si>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三次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#183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/api/alerts </t>
    </r>
    <r>
      <rPr>
        <sz val="10"/>
        <rFont val="Noto Sans CJK SC"/>
        <family val="2"/>
      </rPr>
      <t xml:space="preserve">與派發數</t>
    </r>
  </si>
  <si>
    <t xml:space="preserve">觀察：觀察標的仍在預警清單且屬 on_alert 訂閱規則；Owner 裁定只派發持有中標的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</si>
  <si>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條預警中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條為觀察標的的 </t>
    </r>
    <r>
      <rPr>
        <sz val="10"/>
        <rFont val="Arial"/>
        <family val="0"/>
        <charset val="1"/>
      </rPr>
      <t xml:space="preserve">drawdown_from_peak</t>
    </r>
  </si>
  <si>
    <t xml:space="preserve">開 DEF-041（OBS-2）</t>
  </si>
  <si>
    <t xml:space="preserve">真實瀏覽器 J-03：寫入 #104 → 編輯價格 → 刪除；讀 PUT 本文與回應</t>
  </si>
  <si>
    <t xml:space="preserve">觀察：PUT 回 {ok, fee, tax}，無 issues；開發者自述 ledgers.py 更正門不走驗證器（跨包白名單 1）。Owner 裁定要統一</t>
  </si>
  <si>
    <t xml:space="preserve">編輯成功、統計正確（均價 69.7→71.7）；無日期類提示</t>
  </si>
  <si>
    <t xml:space="preserve">開 DEF-042（OBS-3）</t>
  </si>
  <si>
    <t xml:space="preserve">真實瀏覽器讀洞察管線任務卡；對照 /api/scheduler/runs 的 insight:9 自動 run</t>
  </si>
  <si>
    <t xml:space="preserve">觀察：卡片說不會自動執行，但 run #184 由 alert_scan 自動派發
假設：①on_alert 需另外排程；②狀態判斷漏了 scope
排除：#184 為自動派發，排除①
定位：pipeline_status.py:86
判定：FAIL（低）</t>
  </si>
  <si>
    <t xml:space="preserve">觸發節點誤報 warn；需注意計數多 1</t>
  </si>
  <si>
    <t xml:space="preserve">開 DEF-043</t>
  </si>
  <si>
    <t xml:space="preserve">真實瀏覽器讀排程中心列文字；grep web/*.html 的 script 標籤</t>
  </si>
  <si>
    <t xml:space="preserve">觀察：畫面出現 moomoo_my
假設：①後端沒轉；②前端退化路徑
排除：API 為記號、api.js 註解寫明無 names.js 時印 id
定位：api.js:49＋5 頁缺 names.js
判定：FAIL（低）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</si>
  <si>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頁缺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；排程中心顯示原始 </t>
    </r>
    <r>
      <rPr>
        <sz val="10"/>
        <rFont val="Arial"/>
        <family val="0"/>
        <charset val="1"/>
      </rPr>
      <t xml:space="preserve">id</t>
    </r>
  </si>
  <si>
    <t xml:space="preserve">開 DEF-044</t>
  </si>
  <si>
    <t xml:space="preserve">真實瀏覽器下載（攔截）帳本報告，搜尋帳戶名</t>
  </si>
  <si>
    <t xml:space="preserve">觀察：報告為英文名
定位：ledgers_report.py:439 取 accounts.name
判定：FAIL（低）</t>
  </si>
  <si>
    <t xml:space="preserve">報告 8 處以上英文帳戶名</t>
  </si>
  <si>
    <t xml:space="preserve">開 DEF-045</t>
  </si>
  <si>
    <t xml:space="preserve">真實瀏覽器讀持倉健診清單</t>
  </si>
  <si>
    <t xml:space="preserve">觀察：錯誤卡仍在。屬修復前寫入的舊資料，程式已正確 → 依 §分類為資料殘留，交 owner 裁定</t>
  </si>
  <si>
    <t xml:space="preserve">卡片仍在</t>
  </si>
  <si>
    <t xml:space="preserve">開 DEF-046，Owner 已裁定刪除</t>
  </si>
  <si>
    <t xml:space="preserve">真實瀏覽器按重新偵測，讀 refreshed.failed</t>
  </si>
  <si>
    <t xml:space="preserve">觀察：failed 內只有「無配息資料」一類原因
判定：規格未定，交 owner</t>
  </si>
  <si>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被列為失敗</t>
    </r>
  </si>
  <si>
    <t xml:space="preserve">開 DEF-047，Owner 已裁定</t>
  </si>
  <si>
    <t xml:space="preserve">真實瀏覽器 DEF-014 複驗時的兩個草稿</t>
  </si>
  <si>
    <t xml:space="preserve">觀察：position_preview.old_shares＝目前持股
判定：規格未定，交 owner</t>
  </si>
  <si>
    <t xml:space="preserve">草稿持股為今天的持股</t>
  </si>
  <si>
    <t xml:space="preserve">開 DEF-048，Owner 已裁定</t>
  </si>
  <si>
    <t xml:space="preserve">同意驗證者。R2 把 renderUnappliedBanner() 放進 renderUnregisteredBanner() 的提前 return 之後；demo 標的全部已註冊，所以區塊永遠不出現。刪除警告、帳本「未套用」badge、深連結都正常，只有儀表板入口失效。</t>
  </si>
  <si>
    <r>
      <rPr>
        <sz val="10"/>
        <rFont val="Arial"/>
        <family val="0"/>
        <charset val="1"/>
      </rPr>
      <t xml:space="preserve">web/app.js:112 `renderUnappliedBanner();`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</si>
  <si>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tests/contract/test_unapplied_actions_have_an_entry.py:125 `assert "renderUnappliedBanner();" in _fn(src, "renderUnregisteredBanner")` </t>
    </r>
    <r>
      <rPr>
        <sz val="10"/>
        <rFont val="Noto Sans CJK SC"/>
        <family val="2"/>
      </rPr>
      <t xml:space="preserve">只看字串在不在函式裡，看不到控制流程，等於把錯的位置釘成規格。補：①</t>
    </r>
    <r>
      <rPr>
        <sz val="10"/>
        <rFont val="Arial"/>
        <family val="0"/>
        <charset val="1"/>
      </rPr>
      <t xml:space="preserve">Node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Playwright driver</t>
    </r>
    <r>
      <rPr>
        <sz val="10"/>
        <rFont val="Noto Sans CJK SC"/>
        <family val="2"/>
      </rPr>
      <t xml:space="preserve">）原樣執行 </t>
    </r>
    <r>
      <rPr>
        <sz val="10"/>
        <rFont val="Arial"/>
        <family val="0"/>
        <charset val="1"/>
      </rPr>
      <t xml:space="preserve">app.js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header </t>
    </r>
    <r>
      <rPr>
        <sz val="10"/>
        <rFont val="Noto Sans CJK SC"/>
        <family val="2"/>
      </rPr>
      <t xml:space="preserve">區段（載入真的 </t>
    </r>
    <r>
      <rPr>
        <sz val="10"/>
        <rFont val="Arial"/>
        <family val="0"/>
        <charset val="1"/>
      </rPr>
      <t xml:space="preserve">format.js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），對最小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後檢查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；②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真伺服器＋全部已註冊的 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筆無持倉可套用的 </t>
    </r>
    <r>
      <rPr>
        <sz val="10"/>
        <rFont val="Arial"/>
        <family val="0"/>
        <charset val="1"/>
      </rPr>
      <t xml:space="preserve">SPLIT → #unapplied-banner </t>
    </r>
    <r>
      <rPr>
        <sz val="10"/>
        <rFont val="Noto Sans CJK SC"/>
        <family val="2"/>
      </rPr>
      <t xml:space="preserve">可見、</t>
    </r>
    <r>
      <rPr>
        <sz val="10"/>
        <rFont val="Arial"/>
        <family val="0"/>
        <charset val="1"/>
      </rPr>
      <t xml:space="preserve">#unreg-banner </t>
    </r>
    <r>
      <rPr>
        <sz val="10"/>
        <rFont val="Noto Sans CJK SC"/>
        <family val="2"/>
      </rPr>
      <t xml:space="preserve">不存在、連結可點；③舊斷言改為負向（不得再出現在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內）。</t>
    </r>
  </si>
  <si>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直接依序呼叫 </t>
    </r>
    <r>
      <rPr>
        <sz val="10"/>
        <rFont val="Arial"/>
        <family val="0"/>
        <charset val="1"/>
      </rPr>
      <t xml:space="preserve">renderUnregisteredBanner(); renderUnappliedBanner();</t>
    </r>
    <r>
      <rPr>
        <sz val="10"/>
        <rFont val="Noto Sans CJK SC"/>
        <family val="2"/>
      </rPr>
      <t xml:space="preserve">，兩個區塊各自獨立；刪除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內的呼叫。同類掃描（自寫 </t>
    </r>
    <r>
      <rPr>
        <sz val="10"/>
        <rFont val="Arial"/>
        <family val="0"/>
        <charset val="1"/>
      </rPr>
      <t xml:space="preserve">scan_early_return.py</t>
    </r>
    <r>
      <rPr>
        <sz val="10"/>
        <rFont val="Noto Sans CJK SC"/>
        <family val="2"/>
      </rPr>
      <t xml:space="preserve">：遮蔽字串／註解／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後做括號比對）：找出每個函式頂層 </t>
    </r>
    <r>
      <rPr>
        <sz val="10"/>
        <rFont val="Arial"/>
        <family val="0"/>
        <charset val="1"/>
      </rPr>
      <t xml:space="preserve">`if (…) return` </t>
    </r>
    <r>
      <rPr>
        <sz val="10"/>
        <rFont val="Noto Sans CJK SC"/>
        <family val="2"/>
      </rPr>
      <t xml:space="preserve">之後才呼叫的 </t>
    </r>
    <r>
      <rPr>
        <sz val="10"/>
        <rFont val="Arial"/>
        <family val="0"/>
        <charset val="1"/>
      </rPr>
      <t xml:space="preserve">render/draw/show/build/mount/load/refresh/update* </t>
    </r>
    <r>
      <rPr>
        <sz val="10"/>
        <rFont val="Noto Sans CJK SC"/>
        <family val="2"/>
      </rPr>
      <t xml:space="preserve">函式，逐筆比對 </t>
    </r>
    <r>
      <rPr>
        <sz val="10"/>
        <rFont val="Arial"/>
        <family val="0"/>
        <charset val="1"/>
      </rPr>
      <t xml:space="preserve">guard </t>
    </r>
    <r>
      <rPr>
        <sz val="10"/>
        <rFont val="Noto Sans CJK SC"/>
        <family val="2"/>
      </rPr>
      <t xml:space="preserve">條件與被呼叫者是否相關。</t>
    </r>
  </si>
  <si>
    <t xml:space="preserve"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</si>
  <si>
    <t xml:space="preserve"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</si>
  <si>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</si>
  <si>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</si>
  <si>
    <t xml:space="preserve"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</si>
  <si>
    <t xml:space="preserve"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</si>
  <si>
    <t xml:space="preserve">無未註冊標的時區塊與連結正常顯示並可跳轉；刪除行動後 cmp D023R3 same:true（prices_restated 1 已還原）</t>
  </si>
  <si>
    <t xml:space="preserve">同意驗證者。後端與重新整理後的畫面都正確；同頁操作時，帳本刪除後「最近匯入」沒有重抓，復原對話框又引用快取的 row_count，所以寫「將刪除 1 筆」而實刪 0 筆。</t>
  </si>
  <si>
    <r>
      <rPr>
        <sz val="10"/>
        <rFont val="Arial"/>
        <family val="0"/>
        <charset val="1"/>
      </rPr>
      <t xml:space="preserve">web/input.js:2752 `if (!o.external &amp;&amp; window.pdReloadImportBatches)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</si>
  <si>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tests/contract/test_def017_batches_follow_the_ledger.py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test_def019_single_ledger_refresh.py </t>
    </r>
    <r>
      <rPr>
        <sz val="10"/>
        <rFont val="Noto Sans CJK SC"/>
        <family val="2"/>
      </rPr>
      <t xml:space="preserve">只查字串；沒有任何測試在同一頁刪除後再看最近匯入。補 </t>
    </r>
    <r>
      <rPr>
        <sz val="10"/>
        <rFont val="Arial"/>
        <family val="0"/>
        <charset val="1"/>
      </rPr>
      <t xml:space="preserve">e2e tests/e2e/test_def017_batch_list_follows_ledger_flow.py</t>
    </r>
    <r>
      <rPr>
        <sz val="10"/>
        <rFont val="Noto Sans CJK SC"/>
        <family val="2"/>
      </rPr>
      <t xml:space="preserve">（兩則，真瀏覽器同頁操作）。</t>
    </r>
  </si>
  <si>
    <t xml:space="preserve"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</si>
  <si>
    <t xml:space="preserve"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</si>
  <si>
    <t xml:space="preserve"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</si>
  <si>
    <t xml:space="preserve"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</si>
  <si>
    <t xml:space="preserve"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</si>
  <si>
    <t xml:space="preserve">清單即時「1（原寫入 2）」；框內筆數為當下值；批次已空不開框；cmp D017R3 same:true</t>
  </si>
  <si>
    <t xml:space="preserve"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</si>
  <si>
    <r>
      <rPr>
        <sz val="10"/>
        <rFont val="Arial"/>
        <family val="0"/>
        <charset val="1"/>
      </rPr>
      <t xml:space="preserve">portfolio_dash/api/routers/input_center.py:1364 `if has_warn and not body.ack_warnings:`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:1470 </t>
    </r>
    <r>
      <rPr>
        <sz val="10"/>
        <rFont val="Noto Sans CJK SC"/>
        <family val="2"/>
      </rPr>
      <t xml:space="preserve">通用確認框；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預勾）、</t>
    </r>
    <r>
      <rPr>
        <sz val="10"/>
        <rFont val="Arial"/>
        <family val="0"/>
        <charset val="1"/>
      </rPr>
      <t xml:space="preserve">:2530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通用確認框）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</si>
  <si>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test_broker_import_acknowledges_per_row.py </t>
    </r>
    <r>
      <rPr>
        <sz val="10"/>
        <rFont val="Noto Sans CJK SC"/>
        <family val="2"/>
      </rPr>
      <t xml:space="preserve">是對 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原始碼做字串掃描，只保證一個頁面的原始碼，沒管到三個門共用的伺服器端點；另有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則契約測試把「整檔確認就寫入賣超」釘成正確、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釘住通用確認框。守門全部改測行為：伺服器端 </t>
    </r>
    <r>
      <rPr>
        <sz val="10"/>
        <rFont val="Arial"/>
        <family val="0"/>
        <charset val="1"/>
      </rPr>
      <t xml:space="preserve">TestClient</t>
    </r>
    <r>
      <rPr>
        <sz val="10"/>
        <rFont val="Noto Sans CJK SC"/>
        <family val="2"/>
      </rPr>
      <t xml:space="preserve">、以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實際執行共用確認模組、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真實點擊；字串掃描只保留「不得送出 </t>
    </r>
    <r>
      <rPr>
        <sz val="10"/>
        <rFont val="Arial"/>
        <family val="0"/>
        <charset val="1"/>
      </rPr>
      <t xml:space="preserve">ack_warnings: true </t>
    </r>
    <r>
      <rPr>
        <sz val="10"/>
        <rFont val="Noto Sans CJK SC"/>
        <family val="2"/>
      </rPr>
      <t xml:space="preserve">字面值」的類別檢查。</t>
    </r>
  </si>
  <si>
    <t xml:space="preserve"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</si>
  <si>
    <t xml:space="preserve"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</si>
  <si>
    <t xml:space="preserve"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</si>
  <si>
    <t xml:space="preserve"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</si>
  <si>
    <t xml:space="preserve"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</si>
  <si>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賣超列預設不勾、逐列確認；伺服器拒絕整檔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寫入。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$0.0005528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</si>
  <si>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</si>
  <si>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同意，依 owner 裁定實作完整版本記錄。「同步官方」確認框自己寫「你的自訂修改將遺失」；洞察卡也不記錄生成時用了哪一版。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</si>
  <si>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web/settings-prompts.js:413 `'</t>
    </r>
    <r>
      <rPr>
        <sz val="10"/>
        <rFont val="Noto Sans CJK SC"/>
        <family val="2"/>
      </rPr>
      <t xml:space="preserve">你的自訂修改將遺失，…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llm_insight/insights_store.py:292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無版本欄位）</t>
    </r>
  </si>
  <si>
    <t xml:space="preserve">沒有守門（規格未定，從未要求版本記錄）。新守門全部驗行為：store 13 則、API 契約 10 則、Playwright e2e 1 則、Node 執行頁面函式 1 則。</t>
  </si>
  <si>
    <t xml:space="preserve"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</si>
  <si>
    <t xml:space="preserve"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</si>
  <si>
    <t xml:space="preserve"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</si>
  <si>
    <t xml:space="preserve"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</si>
  <si>
    <t xml:space="preserve"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</si>
  <si>
    <t xml:space="preserve">儲存成 v2、差異正確、回復成 v3＝原文；卡片記錄版號</t>
  </si>
  <si>
    <t xml:space="preserve">本測試在 demo 留下策略 5 的 v2、v3 兩筆版本紀錄（只增不改的設計，內文已回到原文），屬預期寫入</t>
  </si>
  <si>
    <t xml:space="preserve"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</si>
  <si>
    <r>
      <rPr>
        <sz val="10"/>
        <rFont val="Arial"/>
        <family val="0"/>
        <charset val="1"/>
      </rPr>
      <t xml:space="preserve">portfolio_dash/api/routers/ledgers.py:675-676 `would_be = [...]`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`window.pdApi.post('/api/input/manual/preview', {`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:430 `const EDIT_ISSUE_DROP = [...]`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:548 `renderEditIssues(issueBox, []);`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data_ingestion/validate.py:666</t>
    </r>
    <r>
      <rPr>
        <sz val="10"/>
        <rFont val="Noto Sans CJK SC"/>
        <family val="2"/>
      </rPr>
      <t xml:space="preserve">（賣超計數含本列）、</t>
    </r>
    <r>
      <rPr>
        <sz val="10"/>
        <rFont val="Arial"/>
        <family val="0"/>
        <charset val="1"/>
      </rPr>
      <t xml:space="preserve">:768 `if _duplicate_exists(conn, inp):`</t>
    </r>
  </si>
  <si>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只驗「警告出現」，不驗「要確認才能存」與伺服器端；</t>
    </r>
    <r>
      <rPr>
        <sz val="10"/>
        <rFont val="Arial"/>
        <family val="0"/>
        <charset val="1"/>
      </rPr>
      <t xml:space="preserve">ledgers_mutations </t>
    </r>
    <r>
      <rPr>
        <sz val="10"/>
        <rFont val="Noto Sans CJK SC"/>
        <family val="2"/>
      </rPr>
      <t xml:space="preserve">契約只驗重播防護；更正門與新增門是否共用驗證器沒有任何測試。補：後端契約直接打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與取代模式預覽；</t>
    </r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改為開框即預覽、未勾確認不可儲存。</t>
    </r>
  </si>
  <si>
    <r>
      <rPr>
        <sz val="10"/>
        <rFont val="Arial"/>
        <family val="0"/>
        <charset val="1"/>
      </rPr>
      <t xml:space="preserve">validate_transaction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replacing=</t>
    </r>
    <r>
      <rPr>
        <sz val="10"/>
        <rFont val="Noto Sans CJK SC"/>
        <family val="2"/>
      </rPr>
      <t xml:space="preserve">（被取代的原列）：以「帳本去掉此列＋修改後的列」計算——本列不再是自己的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／重複，同日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較大的列不算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；只擋這次修改「引入」的硬性問題（舊列本來就有的狀況仍可改備註）。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：硬性 </t>
    </r>
    <r>
      <rPr>
        <sz val="10"/>
        <rFont val="Arial"/>
        <family val="0"/>
        <charset val="1"/>
      </rPr>
      <t xml:space="preserve">400 → </t>
    </r>
    <r>
      <rPr>
        <sz val="10"/>
        <rFont val="Noto Sans CJK SC"/>
        <family val="2"/>
      </rPr>
      <t xml:space="preserve">重播防護 → 本列賣超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（確認框）→ 寫入，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。預覽新增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。編輯框：開框即預覽（不回寫費用）、每個軟性警告各一個勾選、預覽回來且全部勾選前「儲存」停用；費用／稅回填改走 </t>
    </r>
    <r>
      <rPr>
        <sz val="10"/>
        <rFont val="Arial"/>
        <family val="0"/>
        <charset val="1"/>
      </rPr>
      <t xml:space="preserve">pdField.autoFill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延遲寫入守門）。同類掃描：</t>
    </r>
    <r>
      <rPr>
        <sz val="10"/>
        <rFont val="Arial"/>
        <family val="0"/>
        <charset val="1"/>
      </rPr>
      <t xml:space="preserve">grep -n "@router.put" ledgers.py cash.py</t>
    </r>
    <r>
      <rPr>
        <sz val="10"/>
        <rFont val="Noto Sans CJK SC"/>
        <family val="2"/>
      </rPr>
      <t xml:space="preserve">（所有更正門）。</t>
    </r>
  </si>
  <si>
    <t xml:space="preserve"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</si>
  <si>
    <t xml:space="preserve"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</si>
  <si>
    <t xml:space="preserve"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</si>
  <si>
    <t xml:space="preserve"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</si>
  <si>
    <t xml:space="preserve">日期兩種提示、賣超 422＋確認框皆出現；只改備註可直接儲存且不重寫快照；全部取消或改回，cmp R3_START same:true</t>
  </si>
  <si>
    <t xml:space="preserve">依開發者自述，軟性警告只由畫面把關、伺服器只擋硬錯與賣超（owner 決策項 ⑪，見本輪裁定）</t>
  </si>
  <si>
    <t xml:space="preserve">同意，依 owner 裁定實作：以 prediction 為準。demo 上 40 張無預測卡有 25 張帶信心值，所以 #182 顯示「信心 0%」。</t>
  </si>
  <si>
    <r>
      <rPr>
        <sz val="10"/>
        <rFont val="Arial"/>
        <family val="0"/>
        <charset val="1"/>
      </rPr>
      <t xml:space="preserve">web/insights.html:323 `if (card.confidence == null)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llm_insight/insights_store.py:344 `"confidence": row["confidence"],`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evaluations_store.py:300 `confidence=r["confidence"],`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:404 </t>
    </r>
    <r>
      <rPr>
        <sz val="10"/>
        <rFont val="Noto Sans CJK SC"/>
        <family val="2"/>
      </rPr>
      <t xml:space="preserve">校準母體條件、</t>
    </r>
    <r>
      <rPr>
        <sz val="10"/>
        <rFont val="Arial"/>
        <family val="0"/>
        <charset val="1"/>
      </rPr>
      <t xml:space="preserve">:573 </t>
    </r>
    <r>
      <rPr>
        <sz val="10"/>
        <rFont val="Noto Sans CJK SC"/>
        <family val="2"/>
      </rPr>
      <t xml:space="preserve">信心上限違規率條件</t>
    </r>
  </si>
  <si>
    <t xml:space="preserve"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</si>
  <si>
    <t xml:space="preserve"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</si>
  <si>
    <t xml:space="preserve">共 12／修 11／白名單 1（M9 數值核對改讀原值 stated_confidence：那是模型自己印出的數字，引用不算捏造；改成空會讓 25 張舊卡無端出現「數值待核」）</t>
  </si>
  <si>
    <t xml:space="preserve"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</si>
  <si>
    <t xml:space="preserve">真實瀏覽器：AI 洞察 › 洞察卡；分頁讀 /api/insights 全部 195 張；/api/ai-score</t>
  </si>
  <si>
    <t xml:space="preserve"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</si>
  <si>
    <t xml:space="preserve">無預測卡一律「純描述・無預測」、不帶信心；校準母體不含無預測卡</t>
  </si>
  <si>
    <t xml:space="preserve"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</si>
  <si>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web/cash.js:615/616/628</t>
    </r>
    <r>
      <rPr>
        <sz val="10"/>
        <rFont val="Noto Sans CJK SC"/>
        <family val="2"/>
      </rPr>
      <t xml:space="preserve">（三欄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portfolio_dash/api/rebates.py:228 `py, pm = _prev_month(...)`</t>
    </r>
    <r>
      <rPr>
        <sz val="10"/>
        <rFont val="Noto Sans CJK SC"/>
        <family val="2"/>
      </rPr>
      <t xml:space="preserve">（去重取自列本身）；</t>
    </r>
    <r>
      <rPr>
        <sz val="10"/>
        <rFont val="Arial"/>
        <family val="0"/>
        <charset val="1"/>
      </rPr>
      <t xml:space="preserve">portfolio_dash/data_ingestion/store.py:1737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:1750</t>
    </r>
    <r>
      <rPr>
        <sz val="10"/>
        <rFont val="Noto Sans CJK SC"/>
        <family val="2"/>
      </rPr>
      <t xml:space="preserve">（資金 </t>
    </r>
    <r>
      <rPr>
        <sz val="10"/>
        <rFont val="Arial"/>
        <family val="0"/>
        <charset val="1"/>
      </rPr>
      <t xml:space="preserve">UPDATE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前沒有寫稽核）</t>
    </r>
  </si>
  <si>
    <t xml:space="preserve"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</si>
  <si>
    <t xml:space="preserve"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</si>
  <si>
    <t xml:space="preserve"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</si>
  <si>
    <t xml:space="preserve"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</si>
  <si>
    <t xml:space="preserve">真實瀏覽器：資金管理 › 出金入金 › 折讓款列 #34（2026-02-01 191 TWD「2026-01 折讓款」）→ 編輯：日期改 2026-02-03、金額 190、備註「QA-R3 折讓」→ 儲存 → 看收件匣待確認退款 → 全部改回</t>
  </si>
  <si>
    <t xml:space="preserve"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</si>
  <si>
    <t xml:space="preserve">四欄可改、月份不重開、改回後 cmp D009R3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</si>
  <si>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</si>
  <si>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同意，依 owner 裁定兩者都做。同一個優惠被算兩次；除了收件匣，手動交易草稿的「預估折讓」與再平衡摘要（含列印報告）也有同樣問題，一併修。</t>
  </si>
  <si>
    <r>
      <rPr>
        <sz val="10"/>
        <rFont val="Arial"/>
        <family val="0"/>
        <charset val="1"/>
      </rPr>
      <t xml:space="preserve">portfolio_dash/api/rebates.py:261 `trade_expected = forecast_tw_rebate(t.fees, rate)`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portfolio_dash/strategy/rebalance.py:403</t>
    </r>
  </si>
  <si>
    <r>
      <rPr>
        <sz val="10"/>
        <rFont val="Arial"/>
        <family val="0"/>
        <charset val="1"/>
      </rPr>
      <t xml:space="preserve">test_fee_rule_conflict.py </t>
    </r>
    <r>
      <rPr>
        <sz val="10"/>
        <rFont val="Noto Sans CJK SC"/>
        <family val="2"/>
      </rPr>
      <t xml:space="preserve">只驗設定頁的衝突提示；所有預測器測試的資料都用種子規則（</t>
    </r>
    <r>
      <rPr>
        <sz val="10"/>
        <rFont val="Arial"/>
        <family val="0"/>
        <charset val="1"/>
      </rPr>
      <t xml:space="preserve">discount=1</t>
    </r>
    <r>
      <rPr>
        <sz val="10"/>
        <rFont val="Noto Sans CJK SC"/>
        <family val="2"/>
      </rPr>
      <t xml:space="preserve">），從來沒有一筆已打折的手續費進過預測器；函式簽章只有 </t>
    </r>
    <r>
      <rPr>
        <sz val="10"/>
        <rFont val="Arial"/>
        <family val="0"/>
        <charset val="1"/>
      </rPr>
      <t xml:space="preserve">(fee, rate)</t>
    </r>
    <r>
      <rPr>
        <sz val="10"/>
        <rFont val="Noto Sans CJK SC"/>
        <family val="2"/>
      </rPr>
      <t xml:space="preserve">，忘了傳 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不會出錯。新守門：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改為必填、無預設值的參數（漏傳即 </t>
    </r>
    <r>
      <rPr>
        <sz val="10"/>
        <rFont val="Arial"/>
        <family val="0"/>
        <charset val="1"/>
      </rPr>
      <t xml:space="preserve">mypy </t>
    </r>
    <r>
      <rPr>
        <sz val="10"/>
        <rFont val="Noto Sans CJK SC"/>
        <family val="2"/>
      </rPr>
      <t xml:space="preserve">錯誤與 </t>
    </r>
    <r>
      <rPr>
        <sz val="10"/>
        <rFont val="Arial"/>
        <family val="0"/>
        <charset val="1"/>
      </rPr>
      <t xml:space="preserve">TypeError</t>
    </r>
    <r>
      <rPr>
        <sz val="10"/>
        <rFont val="Noto Sans CJK SC"/>
        <family val="2"/>
      </rPr>
      <t xml:space="preserve">），每個受影響畫面各一則測試。</t>
    </r>
  </si>
  <si>
    <r>
      <rPr>
        <sz val="10"/>
        <rFont val="Arial"/>
        <family val="0"/>
        <charset val="1"/>
      </rPr>
      <t xml:space="preserve">fees.rebate_applies(discount)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fees.booked_discount(snapshot)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forecast_tw_rebate(..., *, discount)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discount&lt;1 </t>
    </r>
    <r>
      <rPr>
        <sz val="10"/>
        <rFont val="Noto Sans CJK SC"/>
        <family val="2"/>
      </rPr>
      <t xml:space="preserve">時回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。收件匣：快照已打折的交易不預估，也不計入該月筆數與手續費合計；草稿提示回空；再平衡該筆算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。資料清理：新增 </t>
    </r>
    <r>
      <rPr>
        <sz val="10"/>
        <rFont val="Arial"/>
        <family val="0"/>
        <charset val="1"/>
      </rPr>
      <t xml:space="preserve">scripts/clean_rebate_snapshots.py</t>
    </r>
    <r>
      <rPr>
        <sz val="10"/>
        <rFont val="Noto Sans CJK SC"/>
        <family val="2"/>
      </rPr>
      <t xml:space="preserve">（預設試跑、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才寫、必須指定 </t>
    </r>
    <r>
      <rPr>
        <sz val="10"/>
        <rFont val="Arial"/>
        <family val="0"/>
        <charset val="1"/>
      </rPr>
      <t xml:space="preserve">--db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--scope</t>
    </r>
    <r>
      <rPr>
        <sz val="10"/>
        <rFont val="Noto Sans CJK SC"/>
        <family val="2"/>
      </rPr>
      <t xml:space="preserve">、可重複執行；每筆交易寫一筆 </t>
    </r>
    <r>
      <rPr>
        <sz val="10"/>
        <rFont val="Arial"/>
        <family val="0"/>
        <charset val="1"/>
      </rPr>
      <t xml:space="preserve">ledger_audit 'update'</t>
    </r>
    <r>
      <rPr>
        <sz val="10"/>
        <rFont val="Noto Sans CJK SC"/>
        <family val="2"/>
      </rPr>
      <t xml:space="preserve">（完整原列）＋一筆 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）。「清理」只把快照的 </t>
    </r>
    <r>
      <rPr>
        <sz val="10"/>
        <rFont val="Arial"/>
        <family val="0"/>
        <charset val="1"/>
      </rPr>
      <t xml:space="preserve">rebate_rate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"0" </t>
    </r>
    <r>
      <rPr>
        <sz val="10"/>
        <rFont val="Noto Sans CJK SC"/>
        <family val="2"/>
      </rPr>
      <t xml:space="preserve">並記下原值與清理依據；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保留（它是實際發生的事），手續費、稅與成本一律不動。依裁定清理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2026-02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先備份再執行（見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欄）。同類掃描：</t>
    </r>
    <r>
      <rPr>
        <sz val="10"/>
        <rFont val="Arial"/>
        <family val="0"/>
        <charset val="1"/>
      </rPr>
      <t xml:space="preserve">forecast_tw_rebate </t>
    </r>
    <r>
      <rPr>
        <sz val="10"/>
        <rFont val="Noto Sans CJK SC"/>
        <family val="2"/>
      </rPr>
      <t xml:space="preserve">全部呼叫點。</t>
    </r>
  </si>
  <si>
    <t xml:space="preserve"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</si>
  <si>
    <t xml:space="preserve"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</si>
  <si>
    <t xml:space="preserve">真實瀏覽器＋API 逐列對帳：收件匣 › 待確認退款三個月份，對照交易帳本各列 fee_rule_snapshot 的 discount／rebate_rate；另編輯已清理的 #29 備註後改回，確認快照不被重寫</t>
  </si>
  <si>
    <t xml:space="preserve"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</si>
  <si>
    <t xml:space="preserve">三個月份預估逐列手算相符；8 筆快照已清理；編輯不會重寫快照</t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</si>
  <si>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</si>
  <si>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t xml:space="preserve">同意，依 owner 裁定實作：允許「當沖＋放空」組合，表單加組合說明，帳本列標示兩者。兩個旗標本來就是 transactions 的欄位（daytrade、short_sale），不需新增欄位。</t>
  </si>
  <si>
    <r>
      <rPr>
        <sz val="10"/>
        <rFont val="Arial"/>
        <family val="0"/>
        <charset val="1"/>
      </rPr>
      <t xml:space="preserve">web/ledger.js:638 `tdSide.appendChild(dirChip(t.side));`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portfolio_dash/api/routers/ledgers.py:205</t>
    </r>
    <r>
      <rPr>
        <sz val="10"/>
        <rFont val="Noto Sans CJK SC"/>
        <family val="2"/>
      </rPr>
      <t xml:space="preserve">（交易列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）</t>
    </r>
  </si>
  <si>
    <t xml:space="preserve">沒有任何測試涵蓋兩旗標同時勾選或帳本列標示。新增契約 4 則＋e2e 1 則。</t>
  </si>
  <si>
    <t xml:space="preserve"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</si>
  <si>
    <t xml:space="preserve"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</si>
  <si>
    <t xml:space="preserve"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</si>
  <si>
    <t xml:space="preserve">真實瀏覽器：手動交易 台灣券商 2454（未持有）賣 1000@1500、同時勾「當沖」「放空」→ 看組合說明 → 寫入 #105 → 交易帳本列與列印帳本報告 → 刪除</t>
  </si>
  <si>
    <t xml:space="preserve"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</si>
  <si>
    <t xml:space="preserve">組合說明、稅率、帳本與列印徽章皆符合 B-10③；刪除後 cmp R3_START same:true</t>
  </si>
  <si>
    <t xml:space="preserve"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</si>
  <si>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portfolio_dash/portfolio/returns.py:215 `add(dv.date, ccy_of(dv.symbol), dv.net)`</t>
    </r>
  </si>
  <si>
    <t xml:space="preserve">沒有守門；stress-audit oracle 也是整本帳比對（同一個錯），情境全是過去日期。補：test_def016 逐一比對 15 個數字面；oracle 補上同一規則的轉錄與對 app 的行為測試。</t>
  </si>
  <si>
    <t xml:space="preserve"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</si>
  <si>
    <t xml:space="preserve"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</si>
  <si>
    <t xml:space="preserve"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</si>
  <si>
    <t xml:space="preserve">真實瀏覽器：交易帳本 › 股利表單 台灣券商 2884 現金股利 1,000（發放日 2026-10-15，晚於今天 2026-09-24）→ 寫入（批次 14）→ 比對儀表板、現金池、個股抽屜 → 刪除</t>
  </si>
  <si>
    <t xml:space="preserve"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</si>
  <si>
    <t xml:space="preserve">未來股利入帳日前不影響任何計算；刪除後 cmp D016R3 same:true</t>
  </si>
  <si>
    <t xml:space="preserve">觀察（不另開）：股利帳本列沒有任何「入帳日前不計入」的標示，使用者看到已寫入卻不見現金增加，可能困惑——與 owner 本輪對「未來日期交易」的裁定一起處理（見 DEF-056）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</si>
  <si>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同寫法）</t>
    </r>
  </si>
  <si>
    <t xml:space="preserve"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</si>
  <si>
    <t xml:space="preserve"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</si>
  <si>
    <t xml:space="preserve"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</si>
  <si>
    <t xml:space="preserve">新增 tests/contract/test_def039_broker_hint_formats_shares.py（3）。變異：fmtShares 改回原字串 → 2 則失敗「'…已有 85.039255 股' in …」；digest.js 改回原寫法 → 類別守門失敗「digest.js:150: … + m.close」。還原後全過。</t>
  </si>
  <si>
    <t xml:space="preserve">真實瀏覽器：交易帳本 › CSV 匯入 › 券商對帳單（嘉信）上傳自製 Schwab 格式檔「09/23/2026 Sell AAPL 1000 @230」→ 讀期初缺口提示；不寫入</t>
  </si>
  <si>
    <t xml:space="preserve"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</si>
  <si>
    <t xml:space="preserve">提示數字已格式化且相減正確；未寫入，cmp R3_START 帳本六段相同（僅額度差為 DEF-025 的 AI 解析）</t>
  </si>
  <si>
    <t xml:space="preserve">同意，依 owner 裁定實作：刪除分拆時一併移除它寫入、且之後未被正式報價覆蓋的子公司起始價；不可移除時在刪除框與 toast 說明原因。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</si>
  <si>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（起始價寫入點）</t>
    </r>
  </si>
  <si>
    <t xml:space="preserve">沒有守門。新增契約 5 則＋e2e 1 則。</t>
  </si>
  <si>
    <t xml:space="preserve"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</si>
  <si>
    <t xml:space="preserve"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</si>
  <si>
    <t xml:space="preserve"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</si>
  <si>
    <t xml:space="preserve"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</si>
  <si>
    <t xml:space="preserve"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</si>
  <si>
    <t xml:space="preserve">正常路徑通過；「當日已有正式報價」時存檔覆蓋、刪除後原報價遺失（本機重現）</t>
  </si>
  <si>
    <t xml:space="preserve"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</si>
  <si>
    <t xml:space="preserve">同意，依 owner 裁定實作：預警觸發的持倉提點只派發持有中的標的。</t>
  </si>
  <si>
    <t xml:space="preserve">portfolio_dash/llm_insight/alerts_bridge.py:375 `for it in subscribers:`</t>
  </si>
  <si>
    <t xml:space="preserve"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</si>
  <si>
    <t xml:space="preserve"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</si>
  <si>
    <t xml:space="preserve"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</si>
  <si>
    <t xml:space="preserve"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</si>
  <si>
    <t xml:space="preserve">真實瀏覽器：系統設定 › 排程中心 › alert_scan 立即執行（run #185，距 R1 派發已逾 24 小時去抖）→ 讀詳情、派發的 run 與新卡</t>
  </si>
  <si>
    <t xml:space="preserve"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</si>
  <si>
    <t xml:space="preserve">觀察標的 7 條不產卡、持有標的 7 條產卡；本案花費 $0.0050487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</si>
  <si>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</si>
  <si>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同意驗證者。乾跑預檢 G1 本身對 on_alert 已回 ok；錯的是觸發節點，以及由它推出的頁首「需注意」計數。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</si>
  <si>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</t>
    </r>
  </si>
  <si>
    <r>
      <rPr>
        <sz val="10"/>
        <rFont val="Arial"/>
        <family val="0"/>
        <charset val="1"/>
      </rPr>
      <t xml:space="preserve">tests/llm_insight/test_pipeline_status.py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案例，也沒有「管線卡片與乾跑結果一致」的測試。新增 </t>
    </r>
    <r>
      <rPr>
        <sz val="10"/>
        <rFont val="Arial"/>
        <family val="0"/>
        <charset val="1"/>
      </rPr>
      <t xml:space="preserve">tests/contract/test_def043_on_alert_trigger_node.py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</si>
  <si>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_trigger </t>
    </r>
    <r>
      <rPr>
        <sz val="10"/>
        <rFont val="Noto Sans CJK SC"/>
        <family val="2"/>
      </rPr>
      <t xml:space="preserve">先判斷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「預警觸發／風險預警命中時自動執行」，判斷順序與乾跑 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相同（</t>
    </r>
    <r>
      <rPr>
        <sz val="10"/>
        <rFont val="Arial"/>
        <family val="0"/>
        <charset val="1"/>
      </rPr>
      <t xml:space="preserve">scope → scheduled → </t>
    </r>
    <r>
      <rPr>
        <sz val="10"/>
        <rFont val="Noto Sans CJK SC"/>
        <family val="2"/>
      </rPr>
      <t xml:space="preserve">手動）。同類掃描：所有對任務做觸發分類的地方。</t>
    </r>
  </si>
  <si>
    <t xml:space="preserve">共 6／修 1／白名單 0（其餘 5 處本來就考慮 on_alert：乾跑 G1、pipeline.js 篩選、抽屜觸發卡、精靈摘要、insights.html triggerChip；排程中心只列排程工作不做觸發分類）</t>
  </si>
  <si>
    <t xml:space="preserve"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</si>
  <si>
    <t xml:space="preserve">真實瀏覽器：洞察管線中心 → 「持倉提點」（預警觸發）任務卡的 ① 觸發節點與頁首任務狀態；/api/insight-tasks/status</t>
  </si>
  <si>
    <t xml:space="preserve"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</si>
  <si>
    <t xml:space="preserve">觸發節點正確、需注意 3→2</t>
  </si>
  <si>
    <t xml:space="preserve"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</si>
  <si>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</si>
  <si>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同意驗證者。帳戶記號縫只在有 names.js 的頁面生效，5 頁退化成原始 id（排程中心「fx_drift 帳戶 moomoo_my」）。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</si>
  <si>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data-center.html:98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`&lt;script src="api.js…"&gt;`</t>
    </r>
  </si>
  <si>
    <t xml:space="preserve"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</si>
  <si>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頁一律把 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放在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之前（含原本已載但排在後面的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頁：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是無相依的 </t>
    </r>
    <r>
      <rPr>
        <sz val="10"/>
        <rFont val="Arial"/>
        <family val="0"/>
        <charset val="1"/>
      </rPr>
      <t xml:space="preserve">IIFE</t>
    </r>
    <r>
      <rPr>
        <sz val="10"/>
        <rFont val="Noto Sans CJK SC"/>
        <family val="2"/>
      </rPr>
      <t xml:space="preserve">，放在後面時較早回來的回應會在 </t>
    </r>
    <r>
      <rPr>
        <sz val="10"/>
        <rFont val="Arial"/>
        <family val="0"/>
        <charset val="1"/>
      </rPr>
      <t xml:space="preserve">resolver </t>
    </r>
    <r>
      <rPr>
        <sz val="10"/>
        <rFont val="Noto Sans CJK SC"/>
        <family val="2"/>
      </rPr>
      <t xml:space="preserve">存在前被解析）；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載入時若沒有 </t>
    </r>
    <r>
      <rPr>
        <sz val="10"/>
        <rFont val="Arial"/>
        <family val="0"/>
        <charset val="1"/>
      </rPr>
      <t xml:space="preserve">pdNames </t>
    </r>
    <r>
      <rPr>
        <sz val="10"/>
        <rFont val="Noto Sans CJK SC"/>
        <family val="2"/>
      </rPr>
      <t xml:space="preserve">就 </t>
    </r>
    <r>
      <rPr>
        <sz val="10"/>
        <rFont val="Arial"/>
        <family val="0"/>
        <charset val="1"/>
      </rPr>
      <t xml:space="preserve">console.error</t>
    </r>
    <r>
      <rPr>
        <sz val="10"/>
        <rFont val="Noto Sans CJK SC"/>
        <family val="2"/>
      </rPr>
      <t xml:space="preserve">（頁面煙霧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要求零 </t>
    </r>
    <r>
      <rPr>
        <sz val="10"/>
        <rFont val="Arial"/>
        <family val="0"/>
        <charset val="1"/>
      </rPr>
      <t xml:space="preserve">console error</t>
    </r>
    <r>
      <rPr>
        <sz val="10"/>
        <rFont val="Noto Sans CJK SC"/>
        <family val="2"/>
      </rPr>
      <t xml:space="preserve">，新頁面漏載會讓建置變紅）。保留「退化成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」而不是讓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自己載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：動態注入是非同步的仍有競態，把名稱表併進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會造成第二個命名來源。</t>
    </r>
  </si>
  <si>
    <t xml:space="preserve">共 11／修 11／白名單 0（5 頁缺 names.js、5 頁順序在後、login 缺）；另 7 頁是無 script 的轉址頁，不在類別內</t>
  </si>
  <si>
    <t xml:space="preserve"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</si>
  <si>
    <t xml:space="preserve">真實瀏覽器：系統設定 › 排程中心 alert_scan 詳情；逐頁讀 11 個 html 的 script 順序</t>
  </si>
  <si>
    <t xml:space="preserve"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</si>
  <si>
    <t xml:space="preserve">排程中心顯示中文帳戶名；11 頁載入順序正確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</si>
  <si>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</si>
  <si>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同意驗證者。同一類問題還出現在「現金收支明細報告」表頭「帳戶 TW Broker（tw_broker）」，一併修。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</si>
  <si>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</si>
  <si>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</t>
    </r>
    <r>
      <rPr>
        <sz val="10"/>
        <rFont val="Arial"/>
        <family val="0"/>
        <charset val="1"/>
      </rPr>
      <t xml:space="preserve">test_account_ref_seam.py</t>
    </r>
    <r>
      <rPr>
        <sz val="10"/>
        <rFont val="Noto Sans CJK SC"/>
        <family val="2"/>
      </rPr>
      <t xml:space="preserve">）本來就掃 </t>
    </r>
    <r>
      <rPr>
        <sz val="10"/>
        <rFont val="Arial"/>
        <family val="0"/>
        <charset val="1"/>
      </rPr>
      <t xml:space="preserve">export/</t>
    </r>
    <r>
      <rPr>
        <sz val="10"/>
        <rFont val="Noto Sans CJK SC"/>
        <family val="2"/>
      </rPr>
      <t xml:space="preserve">，但有兩個盲點：①只比對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插值的整個運算式，被 </t>
    </r>
    <r>
      <rPr>
        <sz val="10"/>
        <rFont val="Arial"/>
        <family val="0"/>
        <charset val="1"/>
      </rPr>
      <t xml:space="preserve">_esc(...) </t>
    </r>
    <r>
      <rPr>
        <sz val="10"/>
        <rFont val="Noto Sans CJK SC"/>
        <family val="2"/>
      </rPr>
      <t xml:space="preserve">包住就對不上；②名稱經 </t>
    </r>
    <r>
      <rPr>
        <sz val="10"/>
        <rFont val="Arial"/>
        <family val="0"/>
        <charset val="1"/>
      </rPr>
      <t xml:space="preserve">dict comprehension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.get() </t>
    </r>
    <r>
      <rPr>
        <sz val="10"/>
        <rFont val="Noto Sans CJK SC"/>
        <family val="2"/>
      </rPr>
      <t xml:space="preserve">流到輸出，從沒出現在插值裡。修盲點：比對前先剝掉 </t>
    </r>
    <r>
      <rPr>
        <sz val="10"/>
        <rFont val="Arial"/>
        <family val="0"/>
        <charset val="1"/>
      </rPr>
      <t xml:space="preserve">_esc/str/escape/html.escape </t>
    </r>
    <r>
      <rPr>
        <sz val="10"/>
        <rFont val="Noto Sans CJK SC"/>
        <family val="2"/>
      </rPr>
      <t xml:space="preserve">包裝；新增偵測「對 </t>
    </r>
    <r>
      <rPr>
        <sz val="10"/>
        <rFont val="Arial"/>
        <family val="0"/>
        <charset val="1"/>
      </rPr>
      <t xml:space="preserve">list_accounts() </t>
    </r>
    <r>
      <rPr>
        <sz val="10"/>
        <rFont val="Noto Sans CJK SC"/>
        <family val="2"/>
      </rPr>
      <t xml:space="preserve">迭代出的列讀 </t>
    </r>
    <r>
      <rPr>
        <sz val="10"/>
        <rFont val="Arial"/>
        <family val="0"/>
        <charset val="1"/>
      </rPr>
      <t xml:space="preserve">.name</t>
    </r>
    <r>
      <rPr>
        <sz val="10"/>
        <rFont val="Noto Sans CJK SC"/>
        <family val="2"/>
      </rPr>
      <t xml:space="preserve">」；允許清單附理由並加「守門會咬」測試。另補行為守門 </t>
    </r>
    <r>
      <rPr>
        <sz val="10"/>
        <rFont val="Arial"/>
        <family val="0"/>
        <charset val="1"/>
      </rPr>
      <t xml:space="preserve">tests/contract/test_def045_exports_never_print_account_labels.py</t>
    </r>
    <r>
      <rPr>
        <sz val="10"/>
        <rFont val="Noto Sans CJK SC"/>
        <family val="2"/>
      </rPr>
      <t xml:space="preserve">：實際下載每一個 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端點（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解開），任何檔案不得含 </t>
    </r>
    <r>
      <rPr>
        <sz val="10"/>
        <rFont val="Arial"/>
        <family val="0"/>
        <charset val="1"/>
      </rPr>
      <t xml:space="preserve">accounts.name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可見文字不得含原始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只允許在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欄與來源註腳出現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</si>
  <si>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ledgers_report </t>
    </r>
    <r>
      <rPr>
        <sz val="10"/>
        <rFont val="Noto Sans CJK SC"/>
        <family val="2"/>
      </rPr>
      <t xml:space="preserve">改輸出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記號（新增 </t>
    </r>
    <r>
      <rPr>
        <sz val="10"/>
        <rFont val="Arial"/>
        <family val="0"/>
        <charset val="1"/>
      </rPr>
      <t xml:space="preserve">_acct_label</t>
    </r>
    <r>
      <rPr>
        <sz val="10"/>
        <rFont val="Noto Sans CJK SC"/>
        <family val="2"/>
      </rPr>
      <t xml:space="preserve">、移除 </t>
    </r>
    <r>
      <rPr>
        <sz val="10"/>
        <rFont val="Arial"/>
        <family val="0"/>
        <charset val="1"/>
      </rPr>
      <t xml:space="preserve">accts dict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cash_statement </t>
    </r>
    <r>
      <rPr>
        <sz val="10"/>
        <rFont val="Noto Sans CJK SC"/>
        <family val="2"/>
      </rPr>
      <t xml:space="preserve">表頭改「帳戶 </t>
    </r>
    <r>
      <rPr>
        <sz val="10"/>
        <rFont val="Arial"/>
        <family val="0"/>
        <charset val="1"/>
      </rPr>
      <t xml:space="preserve">{account_ref}</t>
    </r>
    <r>
      <rPr>
        <sz val="10"/>
        <rFont val="Noto Sans CJK SC"/>
        <family val="2"/>
      </rPr>
      <t xml:space="preserve">」、存在檢查改用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集合；兩份報告下載時經 </t>
    </r>
    <r>
      <rPr>
        <sz val="10"/>
        <rFont val="Arial"/>
        <family val="0"/>
        <charset val="1"/>
      </rPr>
      <t xml:space="preserve">web/api.js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_resolveBlobRefs </t>
    </r>
    <r>
      <rPr>
        <sz val="10"/>
        <rFont val="Noto Sans CJK SC"/>
        <family val="2"/>
      </rPr>
      <t xml:space="preserve">換成中文名並 </t>
    </r>
    <r>
      <rPr>
        <sz val="10"/>
        <rFont val="Arial"/>
        <family val="0"/>
        <charset val="1"/>
      </rPr>
      <t xml:space="preserve">escape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建立的列印報告解析縫）。同類掃描：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模組所有輸出帳戶的位置＋全 </t>
    </r>
    <r>
      <rPr>
        <sz val="10"/>
        <rFont val="Arial"/>
        <family val="0"/>
        <charset val="1"/>
      </rPr>
      <t xml:space="preserve">package AST </t>
    </r>
    <r>
      <rPr>
        <sz val="10"/>
        <rFont val="Noto Sans CJK SC"/>
        <family val="2"/>
      </rPr>
      <t xml:space="preserve">掃描。</t>
    </r>
  </si>
  <si>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（各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與帳本原始表可重新匯入或對帳，需要鍵不是顯示名；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來源註腳與檔名）。全 </t>
    </r>
    <r>
      <rPr>
        <sz val="10"/>
        <rFont val="Arial"/>
        <family val="0"/>
        <charset val="1"/>
      </rPr>
      <t xml:space="preserve">package </t>
    </r>
    <r>
      <rPr>
        <sz val="10"/>
        <rFont val="Noto Sans CJK SC"/>
        <family val="2"/>
      </rPr>
      <t xml:space="preserve">另命中 </t>
    </r>
    <r>
      <rPr>
        <sz val="10"/>
        <rFont val="Arial"/>
        <family val="0"/>
        <charset val="1"/>
      </rPr>
      <t xml:space="preserve">accounts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三個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欄位與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輸入的帳戶名冊，附理由列入允許清單</t>
    </r>
  </si>
  <si>
    <t xml:space="preserve"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</si>
  <si>
    <t xml:space="preserve">真實瀏覽器：交易帳本 › ⎙匯出報告；資金管理 › 台灣券商 › ⎙匯出報告與 ⬇匯出 CSV（皆攔截下載）</t>
  </si>
  <si>
    <t xml:space="preserve"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</si>
  <si>
    <t xml:space="preserve">兩份列印報告皆為中文顯示名</t>
  </si>
  <si>
    <t xml:space="preserve"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</si>
  <si>
    <t xml:space="preserve">（R2 前）portfolio_dash/scheduler/jobs.py:918 `conn, rule_id=alert.rule, symbol=_alert_symbol(alert), now=now,`</t>
  </si>
  <si>
    <t xml:space="preserve">資料殘留，沒有程式守門可攔。新守門是清理腳本自己的 9 則測試，其中「卡片 symbol 是已註冊標的就拒絕」專門擋 #207 這種卡號填錯。</t>
  </si>
  <si>
    <t xml:space="preserve"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</si>
  <si>
    <t xml:space="preserve">含 insight_id 欄的表 共 1（insight_evaluations）／處理 1／白名單 0；不以卡片 id 參照故不刪：alert_dispatch_log、llm_usage（費用已實際發生）、job_runs</t>
  </si>
  <si>
    <t xml:space="preserve">新增 tests/scripts/test_delete_insight_cards.py（9，暫存 DB）。變異：拿掉已註冊標的防護 → 1 則失敗「assert 0 == 2」；不寫稽核 → 2 則「assert 0 == (0 + 3)」；不刪依附列 → 3 則「assert 3 == (3 - 2)」。還原後全過。</t>
  </si>
  <si>
    <t xml:space="preserve">讀 /api/insights 全部 195 張（分頁），以 id 與 symbol 檢查</t>
  </si>
  <si>
    <t xml:space="preserve"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</si>
  <si>
    <r>
      <rPr>
        <sz val="10"/>
        <rFont val="Arial"/>
        <family val="0"/>
        <charset val="1"/>
      </rPr>
      <t xml:space="preserve">#192 </t>
    </r>
    <r>
      <rPr>
        <sz val="10"/>
        <rFont val="Noto Sans CJK SC"/>
        <family val="2"/>
      </rPr>
      <t xml:space="preserve">已刪；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保留正確；同根因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仍在（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本輪裁定刪除，見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</t>
    </r>
  </si>
  <si>
    <t xml:space="preserve">驗證者 R2 交接把錯卡記成 #207，是驗證者的錯誤，已於本輪交接紀錄更正</t>
  </si>
  <si>
    <t xml:space="preserve">同意，依 owner 裁定實作：來源回應成功但沒有配息紀錄不算失敗。錯在來源分類，收件匣 toast、dividend_inbox_scan、dividends_daily 全都繼承了它。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</si>
  <si>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:142 </t>
    </r>
    <r>
      <rPr>
        <sz val="10"/>
        <rFont val="Noto Sans CJK SC"/>
        <family val="2"/>
      </rPr>
      <t xml:space="preserve">空回應與 </t>
    </r>
    <r>
      <rPr>
        <sz val="10"/>
        <rFont val="Arial"/>
        <family val="0"/>
        <charset val="1"/>
      </rPr>
      <t xml:space="preserve">:136-138 </t>
    </r>
    <r>
      <rPr>
        <sz val="10"/>
        <rFont val="Noto Sans CJK SC"/>
        <family val="2"/>
      </rPr>
      <t xml:space="preserve">例外同一分支）</t>
    </r>
  </si>
  <si>
    <r>
      <rPr>
        <sz val="10"/>
        <rFont val="Arial"/>
        <family val="0"/>
        <charset val="1"/>
      </rPr>
      <t xml:space="preserve">tests/api/test_def015_dividend_scan_names_failures.py </t>
    </r>
    <r>
      <rPr>
        <sz val="10"/>
        <rFont val="Noto Sans CJK SC"/>
        <family val="2"/>
      </rPr>
      <t xml:space="preserve">把裁定前的行為釘成規格（</t>
    </r>
    <r>
      <rPr>
        <sz val="10"/>
        <rFont val="Arial"/>
        <family val="0"/>
        <charset val="1"/>
      </rPr>
      <t xml:space="preserve">failed == ["AAPL","TSLA","1155"]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"TSLA": "yfinance </t>
    </r>
    <r>
      <rPr>
        <sz val="10"/>
        <rFont val="Noto Sans CJK SC"/>
        <family val="2"/>
      </rPr>
      <t xml:space="preserve">無配息資料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裁定改寫這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則，並新增 </t>
    </r>
    <r>
      <rPr>
        <sz val="10"/>
        <rFont val="Arial"/>
        <family val="0"/>
        <charset val="1"/>
      </rPr>
      <t xml:space="preserve">tests/api/test_def047_no_dividend_is_not_a_failure.py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</si>
  <si>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fetch_dividends_explained </t>
    </r>
    <r>
      <rPr>
        <sz val="10"/>
        <rFont val="Noto Sans CJK SC"/>
        <family val="2"/>
      </rPr>
      <t xml:space="preserve">多回傳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：沒有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回事件但至少一個乾淨回應 →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（空回應仍會往下一個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試）；全部丟例外或該市場沒有配息來源 →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並附原因。</t>
    </r>
    <r>
      <rPr>
        <sz val="10"/>
        <rFont val="Arial"/>
        <family val="0"/>
        <charset val="1"/>
      </rPr>
      <t xml:space="preserve">RefreshSummary.empty </t>
    </r>
    <r>
      <rPr>
        <sz val="10"/>
        <rFont val="Noto Sans CJK SC"/>
        <family val="2"/>
      </rPr>
      <t xml:space="preserve">為新增欄位；句型改為「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檔失敗（…）」；收件匣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，前端本來就依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決定警告色。同類掃描：所有「抓取結果摘要」把空當失敗的地方。</t>
    </r>
  </si>
  <si>
    <t xml:space="preserve">共 8／修 1／白名單 7（quote_latest、quote_history、fx、fx_history 4：已上市標的或匯率對，空回應就是抓取失敗；各快照 ingest 工作：只有例外才算失敗；news_daily：只報數量；基準指數：只有例外才算失敗）</t>
  </si>
  <si>
    <t xml:space="preserve"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</si>
  <si>
    <t xml:space="preserve">真實瀏覽器：收件匣 › 待確認匯入 › 重新偵測（外部來源）</t>
  </si>
  <si>
    <t xml:space="preserve"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</si>
  <si>
    <t xml:space="preserve">無配息歸「無配息紀錄」、不再警告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</si>
  <si>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</si>
  <si>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同意，依 owner 裁定實作：草稿依帳本重播到交易日，顯示當時的持股與均價，與寫入後重播到該日的結果一致。</t>
  </si>
  <si>
    <r>
      <rPr>
        <sz val="10"/>
        <rFont val="Arial"/>
        <family val="0"/>
        <charset val="1"/>
      </rPr>
      <t xml:space="preserve">portfolio_dash/api/routers/input_center.py:829 `**_old_position_fields(held),`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:729 `final = next((h for h in after.holdings if ...), None)`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:746 `if held is None and not body.short_sale:`</t>
    </r>
  </si>
  <si>
    <r>
      <rPr>
        <sz val="10"/>
        <rFont val="Arial"/>
        <family val="0"/>
        <charset val="1"/>
      </rPr>
      <t xml:space="preserve">tests/api/test_review_r1_preview_mirrors_replay.py::_mirror </t>
    </r>
    <r>
      <rPr>
        <sz val="10"/>
        <rFont val="Noto Sans CJK SC"/>
        <family val="2"/>
      </rPr>
      <t xml:space="preserve">以「寫入後整本帳的終點」為期望（</t>
    </r>
    <r>
      <rPr>
        <sz val="10"/>
        <rFont val="Arial"/>
        <family val="0"/>
        <charset val="1"/>
      </rPr>
      <t xml:space="preserve">M4-01 </t>
    </r>
    <r>
      <rPr>
        <sz val="10"/>
        <rFont val="Noto Sans CJK SC"/>
        <family val="2"/>
      </rPr>
      <t xml:space="preserve">的設計，正是本次被推翻的讀法），</t>
    </r>
    <r>
      <rPr>
        <sz val="10"/>
        <rFont val="Arial"/>
        <family val="0"/>
        <charset val="1"/>
      </rPr>
      <t xml:space="preserve">test_backdated_buy…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1600 </t>
    </r>
    <r>
      <rPr>
        <sz val="10"/>
        <rFont val="Noto Sans CJK SC"/>
        <family val="2"/>
      </rPr>
      <t xml:space="preserve">釘成答案。已改為比對「寫入後重播到交易日」並要求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，期望改為 </t>
    </r>
    <r>
      <rPr>
        <sz val="10"/>
        <rFont val="Arial"/>
        <family val="0"/>
        <charset val="1"/>
      </rPr>
      <t xml:space="preserve">2100</t>
    </r>
    <r>
      <rPr>
        <sz val="10"/>
        <rFont val="Noto Sans CJK SC"/>
        <family val="2"/>
      </rPr>
      <t xml:space="preserve">。</t>
    </r>
  </si>
  <si>
    <t xml:space="preserve"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</si>
  <si>
    <t xml:space="preserve"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</si>
  <si>
    <t xml:space="preserve"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</si>
  <si>
    <t xml:space="preserve">真實瀏覽器：交易帳本 › 手動交易三個草稿——台灣券商 2884 買 100@30 日期 2025-01-02；2884 買 100@46 日期 2026-09-23；8299 賣 100@1700 日期 2026-07-18（不寫入）</t>
  </si>
  <si>
    <t xml:space="preserve"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</si>
  <si>
    <t xml:space="preserve">三個草稿的持股／均價皆為交易日當時；補登加註；不寫入</t>
  </si>
  <si>
    <t xml:space="preserve">真實瀏覽器：CSV 匯入 → 手動賣出 → 復原；對照帳本逐筆刪除；測畢刪賣出並復原批次，cmp D049 same:true</t>
  </si>
  <si>
    <t xml:space="preserve"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</si>
  <si>
    <t xml:space="preserve">批次復原 200 並造成賣超；逐筆刪除 422</t>
  </si>
  <si>
    <t xml:space="preserve">開 DEF-049（owner 指示本輪附規格）</t>
  </si>
  <si>
    <r>
      <rPr>
        <sz val="10"/>
        <rFont val="Arial"/>
        <family val="0"/>
        <charset val="1"/>
      </rPr>
      <t xml:space="preserve">R2 390px iframe </t>
    </r>
    <r>
      <rPr>
        <sz val="10"/>
        <rFont val="Noto Sans CJK SC"/>
        <family val="2"/>
      </rPr>
      <t xml:space="preserve">量測＋截圖</t>
    </r>
  </si>
  <si>
    <t xml:space="preserve">觀察：副標題被截
定位：styles.css:1942
判定：FAIL（低）</t>
  </si>
  <si>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</si>
  <si>
    <t xml:space="preserve">開 DEF-050</t>
  </si>
  <si>
    <t xml:space="preserve">真實瀏覽器兩次立即執行</t>
  </si>
  <si>
    <t xml:space="preserve">觀察：toast 為 job id
定位：settings-scheduler.js:548
判定：FAIL（低）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</si>
  <si>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alert_scan</t>
    </r>
  </si>
  <si>
    <t xml:space="preserve">開 DEF-051</t>
  </si>
  <si>
    <r>
      <rPr>
        <sz val="10"/>
        <rFont val="Arial"/>
        <family val="0"/>
        <charset val="1"/>
      </rPr>
      <t xml:space="preserve">R2 DEF-020 </t>
    </r>
    <r>
      <rPr>
        <sz val="10"/>
        <rFont val="Noto Sans CJK SC"/>
        <family val="2"/>
      </rPr>
      <t xml:space="preserve">複驗時的帳本列</t>
    </r>
  </si>
  <si>
    <t xml:space="preserve">觀察：列無費用
判定：FAIL（低）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</si>
  <si>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、畫面無</t>
    </r>
  </si>
  <si>
    <t xml:space="preserve">開 DEF-052</t>
  </si>
  <si>
    <t xml:space="preserve">讀碼 web/pipeline-wizard.js:372-374</t>
  </si>
  <si>
    <t xml:space="preserve">觀察：字串含 on_alert
判定：FAIL（低）</t>
  </si>
  <si>
    <t xml:space="preserve">使用者可見字串含識別字</t>
  </si>
  <si>
    <t xml:space="preserve">開 DEF-053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</si>
  <si>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全量讀取</t>
    </r>
  </si>
  <si>
    <t xml:space="preserve">觀察：#97 仍在。分類：資料殘留（程式已正確）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</si>
  <si>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存在</t>
    </r>
  </si>
  <si>
    <t xml:space="preserve">開 DEF-054，owner 已裁定刪除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</si>
  <si>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逐列讀快照；讀編輯框預覽回應</t>
    </r>
  </si>
  <si>
    <t xml:space="preserve">觀察：兩筆未清；預覽仍估退款
判定：資料殘留＋低</t>
  </si>
  <si>
    <r>
      <rPr>
        <sz val="10"/>
        <rFont val="Arial"/>
        <family val="0"/>
        <charset val="1"/>
      </rPr>
      <t xml:space="preserve">#33/#44 </t>
    </r>
    <r>
      <rPr>
        <sz val="10"/>
        <rFont val="Noto Sans CJK SC"/>
        <family val="2"/>
      </rPr>
      <t xml:space="preserve">未清；預覽 </t>
    </r>
    <r>
      <rPr>
        <sz val="10"/>
        <rFont val="Arial"/>
        <family val="0"/>
        <charset val="1"/>
      </rPr>
      <t xml:space="preserve">219</t>
    </r>
  </si>
  <si>
    <t xml:space="preserve">開 DEF-055，owner 已裁定清理</t>
  </si>
  <si>
    <t xml:space="preserve">讀開發者交接決策項＋DEF-016 黑箱</t>
  </si>
  <si>
    <t xml:space="preserve">規格未定→owner 已裁定</t>
  </si>
  <si>
    <t xml:space="preserve">開 DEF-056，owner 已裁定</t>
  </si>
  <si>
    <t xml:space="preserve">讀開發者交接決策項</t>
  </si>
  <si>
    <t xml:space="preserve">開 DEF-057，owner 已裁定</t>
  </si>
  <si>
    <t xml:space="preserve">真實瀏覽器觸發預警派發後讀洞察管線頁首與 API</t>
  </si>
  <si>
    <t xml:space="preserve">觀察：7 卡 $0.001 vs 7 run 合計 0.0050487
假設：①批次成本為各 run 加總；②只取最後一 run
排除：last_batch.cost_usd＝#192 的 0.0005979，排除①
定位：insight_service.py:1171-1186
判定：FAIL（低）— 金額與卡數不同口徑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</si>
  <si>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$0.0005979</t>
    </r>
    <r>
      <rPr>
        <sz val="10"/>
        <rFont val="Noto Sans CJK SC"/>
        <family val="2"/>
      </rPr>
      <t xml:space="preserve">（應 </t>
    </r>
    <r>
      <rPr>
        <sz val="10"/>
        <rFont val="Arial"/>
        <family val="0"/>
        <charset val="1"/>
      </rPr>
      <t xml:space="preserve">$0.0050487</t>
    </r>
    <r>
      <rPr>
        <sz val="10"/>
        <rFont val="Noto Sans CJK SC"/>
        <family val="2"/>
      </rPr>
      <t xml:space="preserve">）</t>
    </r>
  </si>
  <si>
    <t xml:space="preserve">開 DEF-058</t>
  </si>
  <si>
    <t xml:space="preserve">讀開發者交接決策項＋讀碼</t>
  </si>
  <si>
    <t xml:space="preserve">開 DEF-059，owner 已裁定</t>
  </si>
  <si>
    <t xml:space="preserve">開 DEF-060，owner 已裁定</t>
  </si>
  <si>
    <t xml:space="preserve">觀察：更正門與新增門規則不同
判定：FAIL（低）</t>
  </si>
  <si>
    <t xml:space="preserve">開 DEF-061，owner 已裁定</t>
  </si>
  <si>
    <t xml:space="preserve">2026-09-25</t>
  </si>
  <si>
    <t xml:space="preserve"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</si>
  <si>
    <r>
      <rPr>
        <sz val="10"/>
        <rFont val="Arial"/>
        <family val="0"/>
        <charset val="1"/>
      </rPr>
      <t xml:space="preserve">portfolio_dash/pricing/seed.py:74 `upsert_prices(`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ON CONFLICT </t>
    </r>
    <r>
      <rPr>
        <sz val="10"/>
        <rFont val="Noto Sans CJK SC"/>
        <family val="2"/>
      </rPr>
      <t xml:space="preserve">覆蓋同日正式報價）；</t>
    </r>
    <r>
      <rPr>
        <sz val="10"/>
        <rFont val="Arial"/>
        <family val="0"/>
        <charset val="1"/>
      </rPr>
      <t xml:space="preserve">seed.py:116 `if not _is_seed(source, fetched_at, on):`</t>
    </r>
    <r>
      <rPr>
        <sz val="10"/>
        <rFont val="Noto Sans CJK SC"/>
        <family val="2"/>
      </rPr>
      <t xml:space="preserve">（只看簽章）；</t>
    </r>
    <r>
      <rPr>
        <sz val="10"/>
        <rFont val="Arial"/>
        <family val="0"/>
        <charset val="1"/>
      </rPr>
      <t xml:space="preserve">api/routers/ledgers.py:2021 </t>
    </r>
    <r>
      <rPr>
        <sz val="10"/>
        <rFont val="Noto Sans CJK SC"/>
        <family val="2"/>
      </rPr>
      <t xml:space="preserve">起始價寫入綁定點、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只以代號＋日期判定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</si>
  <si>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test_def040_spinoff_delete_takes_its_seed_price.py </t>
    </r>
    <r>
      <rPr>
        <sz val="10"/>
        <rFont val="Noto Sans CJK SC"/>
        <family val="2"/>
      </rPr>
      <t xml:space="preserve">只測兩種前置狀態：當天沒有價格、存檔「之後」才被報價覆蓋，沒有「存檔前已有報價」。它的批次復原測試還是先匯入、再用 </t>
    </r>
    <r>
      <rPr>
        <sz val="10"/>
        <rFont val="Arial"/>
        <family val="0"/>
        <charset val="1"/>
      </rPr>
      <t xml:space="preserve">write_seed_price </t>
    </r>
    <r>
      <rPr>
        <sz val="10"/>
        <rFont val="Noto Sans CJK SC"/>
        <family val="2"/>
      </rPr>
      <t xml:space="preserve">手寫一筆種子來模擬，等於把「同日任何種子都屬於這筆行動」這個錯誤假設寫進了測試。已補：新增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則前置狀態變體測試，全部以 </t>
    </r>
    <r>
      <rPr>
        <sz val="10"/>
        <rFont val="Arial"/>
        <family val="0"/>
        <charset val="1"/>
      </rPr>
      <t xml:space="preserve">SELECT * </t>
    </r>
    <r>
      <rPr>
        <sz val="10"/>
        <rFont val="Noto Sans CJK SC"/>
        <family val="2"/>
      </rPr>
      <t xml:space="preserve">逐欄比對價格列；原批次復原測試改為「沒有寫入紀錄的舊列才走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簽章規則」。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</si>
  <si>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＋寫入紀錄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(1) </t>
    </r>
    <r>
      <rPr>
        <sz val="10"/>
        <rFont val="Noto Sans CJK SC"/>
        <family val="2"/>
      </rPr>
      <t xml:space="preserve">起始價只寫入完全空白的（子公司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日）槽位。</t>
    </r>
    <r>
      <rPr>
        <sz val="10"/>
        <rFont val="Arial"/>
        <family val="0"/>
        <charset val="1"/>
      </rPr>
      <t xml:space="preserve">pricing/seed.py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occupied_slot() </t>
    </r>
    <r>
      <rPr>
        <sz val="10"/>
        <rFont val="Noto Sans CJK SC"/>
        <family val="2"/>
      </rPr>
      <t xml:space="preserve">作為唯一判定，預覽、存檔、改日期搬移共用；槽位已有任何列（正式報價、孤兒種子、另一筆存檔的種子）就不寫，回 </t>
    </r>
    <r>
      <rPr>
        <sz val="10"/>
        <rFont val="Arial"/>
        <family val="0"/>
        <charset val="1"/>
      </rPr>
      <t xml:space="preserve">child_price_skipped{symbol, as_of, existing_close, source, reason}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(2) corporate_actions </t>
    </r>
    <r>
      <rPr>
        <sz val="10"/>
        <rFont val="Noto Sans CJK SC"/>
        <family val="2"/>
      </rPr>
      <t xml:space="preserve">新增可空欄位 </t>
    </r>
    <r>
      <rPr>
        <sz val="10"/>
        <rFont val="Arial"/>
        <family val="0"/>
        <charset val="1"/>
      </rPr>
      <t xml:space="preserve">child_seed_json</t>
    </r>
    <r>
      <rPr>
        <sz val="10"/>
        <rFont val="Noto Sans CJK SC"/>
        <family val="2"/>
      </rPr>
      <t xml:space="preserve">，記下這次存檔實際寫了什麼，刪除時只收回紀錄上那一列（簽章完整且值相同）；欄位為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的舊列沿用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簽章規則。只做純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不夠：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的改日期會留下簽章完整的孤兒種子，之後同日存檔的分拆即使沒寫入，刪除時仍會刪掉孤兒，承諾不實。</t>
    </r>
    <r>
      <rPr>
        <sz val="10"/>
        <rFont val="Arial"/>
        <family val="0"/>
        <charset val="1"/>
      </rPr>
      <t xml:space="preserve">(3) </t>
    </r>
    <r>
      <rPr>
        <sz val="10"/>
        <rFont val="Noto Sans CJK SC"/>
        <family val="2"/>
      </rPr>
      <t xml:space="preserve">沒寫入時列表 </t>
    </r>
    <r>
      <rPr>
        <sz val="10"/>
        <rFont val="Arial"/>
        <family val="0"/>
        <charset val="1"/>
      </rPr>
      <t xml:space="preserve">child_price_restore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、刪除回 </t>
    </r>
    <r>
      <rPr>
        <sz val="10"/>
        <rFont val="Arial"/>
        <family val="0"/>
        <charset val="1"/>
      </rPr>
      <t xml:space="preserve">child_price_removed: null</t>
    </r>
    <r>
      <rPr>
        <sz val="10"/>
        <rFont val="Noto Sans CJK SC"/>
        <family val="2"/>
      </rPr>
      <t xml:space="preserve">，不做任何承諾。</t>
    </r>
    <r>
      <rPr>
        <sz val="10"/>
        <rFont val="Arial"/>
        <family val="0"/>
        <charset val="1"/>
      </rPr>
      <t xml:space="preserve">(4) </t>
    </r>
    <r>
      <rPr>
        <sz val="10"/>
        <rFont val="Noto Sans CJK SC"/>
        <family val="2"/>
      </rPr>
      <t xml:space="preserve">前端：填起始價時預覽就提示「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（來源 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），起始價未寫入。存檔後沿用這筆既有價格，刪除此行動時也不會動到它」，存檔後跳 </t>
    </r>
    <r>
      <rPr>
        <sz val="10"/>
        <rFont val="Arial"/>
        <family val="0"/>
        <charset val="1"/>
      </rPr>
      <t xml:space="preserve">warn toast</t>
    </r>
    <r>
      <rPr>
        <sz val="10"/>
        <rFont val="Noto Sans CJK SC"/>
        <family val="2"/>
      </rPr>
      <t xml:space="preserve">。規則已寫入 </t>
    </r>
    <r>
      <rPr>
        <sz val="10"/>
        <rFont val="Arial"/>
        <family val="0"/>
        <charset val="1"/>
      </rPr>
      <t xml:space="preserve">.claude/rules/data-and-pricing.md</t>
    </r>
    <r>
      <rPr>
        <sz val="10"/>
        <rFont val="Noto Sans CJK SC"/>
        <family val="2"/>
      </rPr>
      <t xml:space="preserve">。前置狀態逐一驗證（單筆刪、整組刪、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批次復原都走 </t>
    </r>
    <r>
      <rPr>
        <sz val="10"/>
        <rFont val="Arial"/>
        <family val="0"/>
        <charset val="1"/>
      </rPr>
      <t xml:space="preserve">_delete_actions</t>
    </r>
    <r>
      <rPr>
        <sz val="10"/>
        <rFont val="Noto Sans CJK SC"/>
        <family val="2"/>
      </rPr>
      <t xml:space="preserve">）：無價格→寫入並收回；正式報價→不寫、逐欄不動；孤兒種子→不寫、不動；另一筆分拆的種子→同日同標的第二筆由 </t>
    </r>
    <r>
      <rPr>
        <sz val="10"/>
        <rFont val="Arial"/>
        <family val="0"/>
        <charset val="1"/>
      </rPr>
      <t xml:space="preserve">same_date_action_conflict </t>
    </r>
    <r>
      <rPr>
        <sz val="10"/>
        <rFont val="Noto Sans CJK SC"/>
        <family val="2"/>
      </rPr>
      <t xml:space="preserve">擋下；存檔後被正式報價取代→不動並說明；未填起始價→不寫、不承諾。</t>
    </r>
  </si>
  <si>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寫入點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grep upsert_prices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INSERT INTO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FROM prices</t>
    </r>
    <r>
      <rPr>
        <sz val="10"/>
        <rFont val="Noto Sans CJK SC"/>
        <family val="2"/>
      </rPr>
      <t xml:space="preserve">＋全部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名稱）：修 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的人工來源寫入；白名單 </t>
    </r>
    <r>
      <rPr>
        <sz val="10"/>
        <rFont val="Arial"/>
        <family val="0"/>
        <charset val="1"/>
      </rPr>
      <t xml:space="preserve">refresh.py:152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名稱，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無一用 </t>
    </r>
    <r>
      <rPr>
        <sz val="10"/>
        <rFont val="Arial"/>
        <family val="0"/>
        <charset val="1"/>
      </rPr>
      <t xml:space="preserve">manual</t>
    </r>
    <r>
      <rPr>
        <sz val="10"/>
        <rFont val="Noto Sans CJK SC"/>
        <family val="2"/>
      </rPr>
      <t xml:space="preserve">，新測試以行為鎖定）、</t>
    </r>
    <r>
      <rPr>
        <sz val="10"/>
        <rFont val="Arial"/>
        <family val="0"/>
        <charset val="1"/>
      </rPr>
      <t xml:space="preserve">reconcile.py:120</t>
    </r>
    <r>
      <rPr>
        <sz val="10"/>
        <rFont val="Noto Sans CJK SC"/>
        <family val="2"/>
      </rPr>
      <t xml:space="preserve">（只改 </t>
    </r>
    <r>
      <rPr>
        <sz val="10"/>
        <rFont val="Arial"/>
        <family val="0"/>
        <charset val="1"/>
      </rPr>
      <t xml:space="preserve">close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OHLC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split_basis</t>
    </r>
    <r>
      <rPr>
        <sz val="10"/>
        <rFont val="Noto Sans CJK SC"/>
        <family val="2"/>
      </rPr>
      <t xml:space="preserve">，不動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fetched_at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schema.py:89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</t>
    </r>
    <r>
      <rPr>
        <sz val="10"/>
        <rFont val="Noto Sans CJK SC"/>
        <family val="2"/>
      </rPr>
      <t xml:space="preserve">（遷移補 </t>
    </r>
    <r>
      <rPr>
        <sz val="10"/>
        <rFont val="Arial"/>
        <family val="0"/>
        <charset val="1"/>
      </rPr>
      <t xml:space="preserve">*_raw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的條件式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（本修法）、</t>
    </r>
    <r>
      <rPr>
        <sz val="10"/>
        <rFont val="Arial"/>
        <family val="0"/>
        <charset val="1"/>
      </rPr>
      <t xml:space="preserve">scripts/seed_demo.py 4 </t>
    </r>
    <r>
      <rPr>
        <sz val="10"/>
        <rFont val="Noto Sans CJK SC"/>
        <family val="2"/>
      </rPr>
      <t xml:space="preserve">處（合成資料）、</t>
    </r>
    <r>
      <rPr>
        <sz val="10"/>
        <rFont val="Arial"/>
        <family val="0"/>
        <charset val="1"/>
      </rPr>
      <t xml:space="preserve">scripts/stress_audit/common.py 2 </t>
    </r>
    <r>
      <rPr>
        <sz val="10"/>
        <rFont val="Noto Sans CJK SC"/>
        <family val="2"/>
      </rPr>
      <t xml:space="preserve">處（測試工具）。報價頁可由使用者手打報價的門：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</t>
    </r>
  </si>
  <si>
    <t xml:space="preserve"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</si>
  <si>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</si>
  <si>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</si>
  <si>
    <t xml:space="preserve"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</si>
  <si>
    <t xml:space="preserve"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</si>
  <si>
    <t xml:space="preserve">有報價的日期不寫入、存前即說明；存檔與刪除後價格列逐字不變；cmp D040R4 same:true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</si>
  <si>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</si>
  <si>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檢驗方 2026-09-25</t>
  </si>
  <si>
    <t xml:space="preserve"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</si>
  <si>
    <r>
      <rPr>
        <sz val="10"/>
        <rFont val="Arial"/>
        <family val="0"/>
        <charset val="1"/>
      </rPr>
      <t xml:space="preserve">portfolio_dash/data_ingestion/provenance.py:296</t>
    </r>
    <r>
      <rPr>
        <sz val="10"/>
        <rFont val="Noto Sans CJK SC"/>
        <family val="2"/>
      </rPr>
      <t xml:space="preserve">（裸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api/routers/input_center.py:1718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</t>
    </r>
    <r>
      <rPr>
        <sz val="10"/>
        <rFont val="Noto Sans CJK SC"/>
        <family val="2"/>
      </rPr>
      <t xml:space="preserve">（無確認重送）；同類 </t>
    </r>
    <r>
      <rPr>
        <sz val="10"/>
        <rFont val="Arial"/>
        <family val="0"/>
        <charset val="1"/>
      </rPr>
      <t xml:space="preserve">api/routers/ledgers.py:2345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web/ledger.js:1066</t>
    </r>
    <r>
      <rPr>
        <sz val="10"/>
        <rFont val="Noto Sans CJK SC"/>
        <family val="2"/>
      </rPr>
      <t xml:space="preserve">（刪除只處理整組的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:943</t>
    </r>
    <r>
      <rPr>
        <sz val="10"/>
        <rFont val="Noto Sans CJK SC"/>
        <family val="2"/>
      </rPr>
      <t xml:space="preserve">（更正只處理 </t>
    </r>
    <r>
      <rPr>
        <sz val="10"/>
        <rFont val="Arial"/>
        <family val="0"/>
        <charset val="1"/>
      </rPr>
      <t xml:space="preserve">warnings_unacknowledged</t>
    </r>
    <r>
      <rPr>
        <sz val="10"/>
        <rFont val="Noto Sans CJK SC"/>
        <family val="2"/>
      </rPr>
      <t xml:space="preserve">）</t>
    </r>
  </si>
  <si>
    <t xml:space="preserve"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</si>
  <si>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一個決策函式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：重播防護原樣搬到 </t>
    </r>
    <r>
      <rPr>
        <sz val="10"/>
        <rFont val="Arial"/>
        <family val="0"/>
        <charset val="1"/>
      </rPr>
      <t xml:space="preserve">api/replay_guard.py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ledgers.py </t>
    </r>
    <r>
      <rPr>
        <sz val="10"/>
        <rFont val="Noto Sans CJK SC"/>
        <family val="2"/>
      </rPr>
      <t xml:space="preserve">以原名重新匯出），批次復原與公司行動門都呼叫同一個 </t>
    </r>
    <r>
      <rPr>
        <sz val="10"/>
        <rFont val="Arial"/>
        <family val="0"/>
        <charset val="1"/>
      </rPr>
      <t xml:space="preserve">_replay_block</t>
    </r>
    <r>
      <rPr>
        <sz val="10"/>
        <rFont val="Noto Sans CJK SC"/>
        <family val="2"/>
      </rPr>
      <t xml:space="preserve">，只差訊息主詞（此復原／此刪除／此更正）。批次復原取「目前帳本扣掉本批次每一列（含本批次的公司行動）」判斷：失去持倉的股利／期初 → </t>
    </r>
    <r>
      <rPr>
        <sz val="10"/>
        <rFont val="Arial"/>
        <family val="0"/>
        <charset val="1"/>
      </rPr>
      <t xml:space="preserve">422 orphan_correction</t>
    </r>
    <r>
      <rPr>
        <sz val="10"/>
        <rFont val="Noto Sans CJK SC"/>
        <family val="2"/>
      </rPr>
      <t xml:space="preserve">（不可強制）；新產生或加重賣超 → </t>
    </r>
    <r>
      <rPr>
        <sz val="10"/>
        <rFont val="Arial"/>
        <family val="0"/>
        <charset val="1"/>
      </rPr>
      <t xml:space="preserve">422 oversell</t>
    </r>
    <r>
      <rPr>
        <sz val="10"/>
        <rFont val="Noto Sans CJK SC"/>
        <family val="2"/>
      </rPr>
      <t xml:space="preserve">，逐筆寫帳戶、日期、代號、賣出股數與當日持股及「確認後這個部位的成本基礎會被捨棄（待釐清）」，帶 </t>
    </r>
    <r>
      <rPr>
        <sz val="10"/>
        <rFont val="Arial"/>
        <family val="0"/>
        <charset val="1"/>
      </rPr>
      <t xml:space="preserve">ack_oversell=true </t>
    </r>
    <r>
      <rPr>
        <sz val="10"/>
        <rFont val="Noto Sans CJK SC"/>
        <family val="2"/>
      </rPr>
      <t xml:space="preserve">才放行；與本批次無關的既有賣超不擋。現金列比照逐筆刪除的 </t>
    </r>
    <r>
      <rPr>
        <sz val="10"/>
        <rFont val="Arial"/>
        <family val="0"/>
        <charset val="1"/>
      </rPr>
      <t xml:space="preserve">negative_cash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ack_negative</t>
    </r>
    <r>
      <rPr>
        <sz val="10"/>
        <rFont val="Noto Sans CJK SC"/>
        <family val="2"/>
      </rPr>
      <t xml:space="preserve">），但只在復原讓最低餘額變更糟時才擋。分層：</t>
    </r>
    <r>
      <rPr>
        <sz val="10"/>
        <rFont val="Arial"/>
        <family val="0"/>
        <charset val="1"/>
      </rPr>
      <t xml:space="preserve">provenance.delete_batch </t>
    </r>
    <r>
      <rPr>
        <sz val="10"/>
        <rFont val="Noto Sans CJK SC"/>
        <family val="2"/>
      </rPr>
      <t xml:space="preserve">新增必填、無預設值的注入參數 </t>
    </r>
    <r>
      <rPr>
        <sz val="10"/>
        <rFont val="Arial"/>
        <family val="0"/>
        <charset val="1"/>
      </rPr>
      <t xml:space="preserve">guard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architecture.md </t>
    </r>
    <r>
      <rPr>
        <sz val="10"/>
        <rFont val="Noto Sans CJK SC"/>
        <family val="2"/>
      </rPr>
      <t xml:space="preserve">已記錄），先讀一次本批次列交防護判斷，放行後在同一交易逐列呼叫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delete_*</t>
    </r>
    <r>
      <rPr>
        <sz val="10"/>
        <rFont val="Noto Sans CJK SC"/>
        <family val="2"/>
      </rPr>
      <t xml:space="preserve">，每列寫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（新增可為空欄位 </t>
    </r>
    <r>
      <rPr>
        <sz val="10"/>
        <rFont val="Arial"/>
        <family val="0"/>
        <charset val="1"/>
      </rPr>
      <t xml:space="preserve">ledger_audit.source </t>
    </r>
    <r>
      <rPr>
        <sz val="10"/>
        <rFont val="Noto Sans CJK SC"/>
        <family val="2"/>
      </rPr>
      <t xml:space="preserve">記「批次復原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」），另寫一筆操作記錄（批次、筆數、是否確認賣超）。公司行動單筆刪、整組刪、更正三道門同樣在寫入前呼叫 </t>
    </r>
    <r>
      <rPr>
        <sz val="10"/>
        <rFont val="Arial"/>
        <family val="0"/>
        <charset val="1"/>
      </rPr>
      <t xml:space="preserve">action_change_guard</t>
    </r>
    <r>
      <rPr>
        <sz val="10"/>
        <rFont val="Noto Sans CJK SC"/>
        <family val="2"/>
      </rPr>
      <t xml:space="preserve">。前端：批次「復原」、公司行動刪除與編輯收到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時，跳出與帳本刪除同一款的「賣超確認」框（同一份 </t>
    </r>
    <r>
      <rPr>
        <sz val="10"/>
        <rFont val="Arial"/>
        <family val="0"/>
        <charset val="1"/>
      </rPr>
      <t xml:space="preserve">ackConfirm</t>
    </r>
    <r>
      <rPr>
        <sz val="10"/>
        <rFont val="Noto Sans CJK SC"/>
        <family val="2"/>
      </rPr>
      <t xml:space="preserve">），確認後帶確認重送、取消不送；</t>
    </r>
    <r>
      <rPr>
        <sz val="10"/>
        <rFont val="Arial"/>
        <family val="0"/>
        <charset val="1"/>
      </rPr>
      <t xml:space="preserve">orphan_correction </t>
    </r>
    <r>
      <rPr>
        <sz val="10"/>
        <rFont val="Noto Sans CJK SC"/>
        <family val="2"/>
      </rPr>
      <t xml:space="preserve">只顯示原因。</t>
    </r>
  </si>
  <si>
    <t xml:space="preserve"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</si>
  <si>
    <t xml:space="preserve"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</si>
  <si>
    <t xml:space="preserve"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</si>
  <si>
    <t xml:space="preserve"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</si>
  <si>
    <t xml:space="preserve">批次復原與公司行動刪除造成賣超時皆 422＋同款確認框；取消不寫；測畢 cmp D049R4 same:true</t>
  </si>
  <si>
    <t xml:space="preserve"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</si>
  <si>
    <t xml:space="preserve">同意，依 owner 裁定只做系統提示詞與新聞整理提示詞（任務自評提示詞不做）。儲存、重置回官方版都直接覆寫；洞察卡與新聞列也都沒記錄用哪一版產生。</t>
  </si>
  <si>
    <r>
      <rPr>
        <sz val="10"/>
        <rFont val="Arial"/>
        <family val="0"/>
        <charset val="1"/>
      </rPr>
      <t xml:space="preserve">portfolio_dash/llm_insight/system_prompt.py:68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portfolio_dash/news/organizer_prompt.py:83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</si>
  <si>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t xml:space="preserve"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</si>
  <si>
    <t xml:space="preserve"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</si>
  <si>
    <t xml:space="preserve"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</si>
  <si>
    <t xml:space="preserve"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</si>
  <si>
    <t xml:space="preserve"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</si>
  <si>
    <t xml:space="preserve"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</si>
  <si>
    <t xml:space="preserve">系統 v1→v2(儲存)→v3(回復自 v1)；新聞 v1→v2(儲存)→v3(還原官方)→v4(回復自 v1)；兩則內文與測前逐字相同；新卡晶片「提示詞 系統 v3・v1」；cmp D057R4 same:true</t>
  </si>
  <si>
    <t xml:space="preserve"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
2026-10-01 補驗：新聞彈窗「整理提示詞 vN」黑箱通過（R12 的新聞整理 #244 產生 5 則 v4，彈窗、滑鼠提示與連結皆正確；其餘 65 則皆整理於 DEF-057 部署前，空值屬歷史），詳見缺陷登記 DEF-057 K 欄與交接紀錄第 33 列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</si>
  <si>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A-16</t>
    </r>
  </si>
  <si>
    <t xml:space="preserve">同意。真實 Chromium 390×844 實測 scrollWidth 849、clientWidth 333（驗證者量到 349，差在捲軸寬度）。</t>
  </si>
  <si>
    <t xml:space="preserve">web/styles.css:1942-1945</t>
  </si>
  <si>
    <r>
      <rPr>
        <sz val="10"/>
        <rFont val="Arial"/>
        <family val="0"/>
        <charset val="1"/>
      </rPr>
      <t xml:space="preserve">tests/e2e/test_no_horizontal_scroll.py:88 </t>
    </r>
    <r>
      <rPr>
        <sz val="10"/>
        <rFont val="Noto Sans CJK SC"/>
        <family val="2"/>
      </rPr>
      <t xml:space="preserve">找的是頁面層級的橫向捲動，而且刻意略過 </t>
    </r>
    <r>
      <rPr>
        <sz val="10"/>
        <rFont val="Arial"/>
        <family val="0"/>
        <charset val="1"/>
      </rPr>
      <t xml:space="preserve">overflow hidden </t>
    </r>
    <r>
      <rPr>
        <sz val="10"/>
        <rFont val="Noto Sans CJK SC"/>
        <family val="2"/>
      </rPr>
      <t xml:space="preserve">的元素；省略號是「被裁切」不是「捲動」，所以截斷對它不可見。新守門專量標題列副標題的 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是否大於 </t>
    </r>
    <r>
      <rPr>
        <sz val="10"/>
        <rFont val="Arial"/>
        <family val="0"/>
        <charset val="1"/>
      </rPr>
      <t xml:space="preserve">clientWidth</t>
    </r>
    <r>
      <rPr>
        <sz val="10"/>
        <rFont val="Noto Sans CJK SC"/>
        <family val="2"/>
      </rPr>
      <t xml:space="preserve">。</t>
    </r>
  </si>
  <si>
    <t xml:space="preserve"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</si>
  <si>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下被截斷的標題列副標題 修前 共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（分布在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頁／分頁：首頁、交易、帳本、資金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、標的、資料中心、收件匣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、輸入、新聞，設定的帳戶、資料源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 2</t>
    </r>
    <r>
      <rPr>
        <sz val="10"/>
        <rFont val="Noto Sans CJK SC"/>
        <family val="2"/>
      </rPr>
      <t xml:space="preserve">、提示詞、排程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、預警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、通知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）／修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（同一條規則）／白名單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部署後外部實測收件匣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個被截斷</t>
    </r>
  </si>
  <si>
    <t xml:space="preserve"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</si>
  <si>
    <t xml:space="preserve"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</si>
  <si>
    <t xml:space="preserve"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</si>
  <si>
    <r>
      <rPr>
        <sz val="10"/>
        <rFont val="Arial"/>
        <family val="0"/>
        <charset val="1"/>
      </rPr>
      <t xml:space="preserve">390px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57 </t>
    </r>
    <r>
      <rPr>
        <sz val="10"/>
        <rFont val="Noto Sans CJK SC"/>
        <family val="2"/>
      </rPr>
      <t xml:space="preserve">個副標題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橫捲；關鍵句全文可見；桌機一行</t>
    </r>
  </si>
  <si>
    <t xml:space="preserve">同意。同頁的啟用與排程時間 toast、每日摘要卡的 toast 也是同一種寫法，一併修。</t>
  </si>
  <si>
    <r>
      <rPr>
        <sz val="10"/>
        <rFont val="Arial"/>
        <family val="0"/>
        <charset val="1"/>
      </rPr>
      <t xml:space="preserve">web/settings-scheduler.js:548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:466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web/settings-digest.js:95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:153</t>
    </r>
    <r>
      <rPr>
        <sz val="10"/>
        <rFont val="Noto Sans CJK SC"/>
        <family val="2"/>
      </rPr>
      <t xml:space="preserve">）</t>
    </r>
  </si>
  <si>
    <t xml:space="preserve"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</si>
  <si>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一律改用該列顯示的名稱，例如「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洞察任務「市場週報」（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）」「風險警示掃描＋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派發（</t>
    </r>
    <r>
      <rPr>
        <sz val="10"/>
        <rFont val="Arial"/>
        <family val="0"/>
        <charset val="1"/>
      </rPr>
      <t xml:space="preserve">#185</t>
    </r>
    <r>
      <rPr>
        <sz val="10"/>
        <rFont val="Noto Sans CJK SC"/>
        <family val="2"/>
      </rPr>
      <t xml:space="preserve">）」；每日摘要卡改用版名（每日收盤摘要／每週行動清單），發送時間改寫成「平日 </t>
    </r>
    <r>
      <rPr>
        <sz val="10"/>
        <rFont val="Arial"/>
        <family val="0"/>
        <charset val="1"/>
      </rPr>
      <t xml:space="preserve">16:30</t>
    </r>
    <r>
      <rPr>
        <sz val="10"/>
        <rFont val="Noto Sans CJK SC"/>
        <family val="2"/>
      </rPr>
      <t xml:space="preserve">」而不是印出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DIAG_CODE </t>
    </r>
    <r>
      <rPr>
        <sz val="10"/>
        <rFont val="Noto Sans CJK SC"/>
        <family val="2"/>
      </rPr>
      <t xml:space="preserve">不放寬：它的契約是收錯誤碼，放寬仍抓不到這種字串，抓到也只是把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的主詞藏起來——正確的修法在組字的地方。</t>
    </r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</si>
  <si>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呼叫 共 </t>
    </r>
    <r>
      <rPr>
        <sz val="10"/>
        <rFont val="Arial"/>
        <family val="0"/>
        <charset val="1"/>
      </rPr>
      <t xml:space="preserve">345 </t>
    </r>
    <r>
      <rPr>
        <sz val="10"/>
        <rFont val="Noto Sans CJK SC"/>
        <family val="2"/>
      </rPr>
      <t xml:space="preserve">處，其中拼接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settings-scheduler.js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settings-digest.js 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cash.js</t>
    </r>
    <r>
      <rPr>
        <sz val="10"/>
        <rFont val="Noto Sans CJK SC"/>
        <family val="2"/>
      </rPr>
      <t xml:space="preserve">「資金紀錄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「（</t>
    </r>
    <r>
      <rPr>
        <sz val="10"/>
        <rFont val="Arial"/>
        <family val="0"/>
        <charset val="1"/>
      </rPr>
      <t xml:space="preserve">#txn_id</t>
    </r>
    <r>
      <rPr>
        <sz val="10"/>
        <rFont val="Noto Sans CJK SC"/>
        <family val="2"/>
      </rPr>
      <t xml:space="preserve">）」：數字紀錄編號，與保留的「（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）」同形式）</t>
    </r>
  </si>
  <si>
    <t xml:space="preserve"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</si>
  <si>
    <t xml:space="preserve">真實瀏覽器：系統設定 › 排程中心，以 MutationObserver 收集所有 toast。alert_scan 列「立即執行」、insight:7 列「立即執行」；摘要與通知「每日收盤摘要」開關 關→開；backup_daily 列開關 關→開</t>
  </si>
  <si>
    <t xml:space="preserve"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</si>
  <si>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種操作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皆以名稱為主詞；兩個開關還原後 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enabled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timezone</t>
    </r>
    <r>
      <rPr>
        <sz val="10"/>
        <rFont val="Noto Sans CJK SC"/>
        <family val="2"/>
      </rPr>
      <t xml:space="preserve">）與測前逐字相同</t>
    </r>
  </si>
  <si>
    <t xml:space="preserve">未測：摘要「立即產生」與發送時間編輯（前者會寫入摘要紀錄，後者改排程時間；開發者 e2e 已涵蓋）</t>
  </si>
  <si>
    <t xml:space="preserve">同意。列印的帳本報告也沒有費用欄，註腳還寫「公司行動不移動現金」，但這筆行動實際上連帶了 50 TWD 出金，一併修。</t>
  </si>
  <si>
    <r>
      <rPr>
        <sz val="10"/>
        <rFont val="Arial"/>
        <family val="0"/>
        <charset val="1"/>
      </rPr>
      <t xml:space="preserve">web/ledger.js:1119 renderActions </t>
    </r>
    <r>
      <rPr>
        <sz val="10"/>
        <rFont val="Noto Sans CJK SC"/>
        <family val="2"/>
      </rPr>
      <t xml:space="preserve">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portfolio_dash/export/ledgers_report.py:372</t>
    </r>
    <r>
      <rPr>
        <sz val="10"/>
        <rFont val="Noto Sans CJK SC"/>
        <family val="2"/>
      </rPr>
      <t xml:space="preserve">（表格無費用欄）、</t>
    </r>
    <r>
      <rPr>
        <sz val="10"/>
        <rFont val="Arial"/>
        <family val="0"/>
        <charset val="1"/>
      </rPr>
      <t xml:space="preserve">:384</t>
    </r>
    <r>
      <rPr>
        <sz val="10"/>
        <rFont val="Noto Sans CJK SC"/>
        <family val="2"/>
      </rPr>
      <t xml:space="preserve">（註腳）</t>
    </r>
  </si>
  <si>
    <t xml:space="preserve"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</si>
  <si>
    <t xml:space="preserve"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</si>
  <si>
    <t xml:space="preserve"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</si>
  <si>
    <t xml:space="preserve"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</si>
  <si>
    <t xml:space="preserve"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</si>
  <si>
    <t xml:space="preserve"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</si>
  <si>
    <t xml:space="preserve">帳本列徽章、報告欄位與註腳皆在；刪除後 cmp R4_FX same:true（公司行動 0、資金 34）</t>
  </si>
  <si>
    <t xml:space="preserve">同意。類別掃描另找到 6 處同類，其中 R1 閘門訊息把範圍識別字原樣插入（「per_symbol 變數 … 不可用於 portfolio 範圍組合」），一併修。</t>
  </si>
  <si>
    <r>
      <rPr>
        <sz val="10"/>
        <rFont val="Arial"/>
        <family val="0"/>
        <charset val="1"/>
      </rPr>
      <t xml:space="preserve">web/pipeline-wizard.js:374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web/pipeline.js:64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web/settings-prompts.js:975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llm_insight/gating.py:125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llm_insight/pipeline_status.py:159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llm_insight/variables.py:130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api/routers/insights.py:713</t>
    </r>
    <r>
      <rPr>
        <sz val="10"/>
        <rFont val="Noto Sans CJK SC"/>
        <family val="2"/>
      </rPr>
      <t xml:space="preserve">）</t>
    </r>
  </si>
  <si>
    <t xml:space="preserve">沒有守門。既有的 test_user_messages_are_zh_tw.py 只檢查訊息是否含中文，中文句子夾英文識別字照樣過關。新增行為測試，加上只看「使用者看得到的字串」的類別禁令（不會誤判程式碼裡的識別字）。</t>
  </si>
  <si>
    <t xml:space="preserve"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</si>
  <si>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以自寫的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字面掃描（</t>
    </r>
    <r>
      <rPr>
        <sz val="10"/>
        <rFont val="Arial"/>
        <family val="0"/>
        <charset val="1"/>
      </rPr>
      <t xml:space="preserve">3,340 </t>
    </r>
    <r>
      <rPr>
        <sz val="10"/>
        <rFont val="Noto Sans CJK SC"/>
        <family val="2"/>
      </rPr>
      <t xml:space="preserve">個含中文的字面）＋後端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掃描非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字串，含中文且以完整單字出現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portfolio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all_registered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custom </t>
    </r>
    <r>
      <rPr>
        <sz val="10"/>
        <rFont val="Noto Sans CJK SC"/>
        <family val="2"/>
      </rPr>
      <t xml:space="preserve">的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3</t>
    </r>
    <r>
      <rPr>
        <sz val="10"/>
        <rFont val="Noto Sans CJK SC"/>
        <family val="2"/>
      </rPr>
      <t xml:space="preserve">、後端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official_templates.py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PROMPT_REGISTRY </t>
    </r>
    <r>
      <rPr>
        <sz val="10"/>
        <rFont val="Noto Sans CJK SC"/>
        <family val="2"/>
      </rPr>
      <t xml:space="preserve">中繼資料，只被測試列舉、不會上畫面）；另 </t>
    </r>
    <r>
      <rPr>
        <sz val="10"/>
        <rFont val="Arial"/>
        <family val="0"/>
        <charset val="1"/>
      </rPr>
      <t xml:space="preserve">insights.py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非有效值：</t>
    </r>
    <r>
      <rPr>
        <sz val="10"/>
        <rFont val="Arial"/>
        <family val="0"/>
        <charset val="1"/>
      </rPr>
      <t xml:space="preserve">{scope}</t>
    </r>
    <r>
      <rPr>
        <sz val="10"/>
        <rFont val="Noto Sans CJK SC"/>
        <family val="2"/>
      </rPr>
      <t xml:space="preserve">」是回顯使用者輸入的值，保留</t>
    </r>
  </si>
  <si>
    <t xml:space="preserve"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</si>
  <si>
    <t xml:space="preserve"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</si>
  <si>
    <t xml:space="preserve"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</si>
  <si>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與預檢無範圍識別字；任務已刪除；</t>
    </r>
    <r>
      <rPr>
        <sz val="10"/>
        <rFont val="Arial"/>
        <family val="0"/>
        <charset val="1"/>
      </rPr>
      <t xml:space="preserve">cmp R4_FX same:true</t>
    </r>
  </si>
  <si>
    <t xml:space="preserve"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</si>
  <si>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同意，依 owner 裁定刪除。刪除前先以內容（代號、標題、日期）從資料庫重新確認對象，不以編號為準。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</si>
  <si>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insights #97</t>
    </r>
    <r>
      <rPr>
        <sz val="10"/>
        <rFont val="Noto Sans CJK SC"/>
        <family val="2"/>
      </rPr>
      <t xml:space="preserve">（依附評分列 </t>
    </r>
    <r>
      <rPr>
        <sz val="10"/>
        <rFont val="Arial"/>
        <family val="0"/>
        <charset val="1"/>
      </rPr>
      <t xml:space="preserve">insight_evaluations #65</t>
    </r>
    <r>
      <rPr>
        <sz val="10"/>
        <rFont val="Noto Sans CJK SC"/>
        <family val="2"/>
      </rPr>
      <t xml:space="preserve">）</t>
    </r>
  </si>
  <si>
    <t xml:space="preserve">資料殘留，無守門可攔；產生它的程式路徑已於 R3 修正並有守門（DEF-041 只對持倉標的產卡；DEF-046 的刪除腳本拒絕刪除代號為已註冊標的的卡）。</t>
  </si>
  <si>
    <t xml:space="preserve"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</si>
  <si>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的卡 刪除前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）／刪除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；刪除後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</t>
    </r>
  </si>
  <si>
    <t xml:space="preserve">腳本本身的單元測試沿用 R3（tests/scripts）。demo 驗證：刪除後 insights WHERE id=97 為 0、insight_evaluations WHERE id=65 為 0、moomoo 代號卡 0 張；/api/insights 已無 #97 與 #192。</t>
  </si>
  <si>
    <t xml:space="preserve">真實瀏覽器讀 /api/insights 全量（limit 300）、/api/ai-score；AI 洞察頁以 moomoo 搜尋卡片</t>
  </si>
  <si>
    <t xml:space="preserve"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</si>
  <si>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不存在、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、評分 </t>
    </r>
    <r>
      <rPr>
        <sz val="10"/>
        <rFont val="Arial"/>
        <family val="0"/>
        <charset val="1"/>
      </rPr>
      <t xml:space="preserve">totals </t>
    </r>
    <r>
      <rPr>
        <sz val="10"/>
        <rFont val="Noto Sans CJK SC"/>
        <family val="2"/>
      </rPr>
      <t xml:space="preserve">不變（</t>
    </r>
    <r>
      <rPr>
        <sz val="10"/>
        <rFont val="Arial"/>
        <family val="0"/>
        <charset val="1"/>
      </rPr>
      <t xml:space="preserve">n 94</t>
    </r>
    <r>
      <rPr>
        <sz val="10"/>
        <rFont val="Noto Sans CJK SC"/>
        <family val="2"/>
      </rPr>
      <t xml:space="preserve">）</t>
    </r>
  </si>
  <si>
    <t xml:space="preserve"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</si>
  <si>
    <r>
      <rPr>
        <sz val="10"/>
        <rFont val="Arial"/>
        <family val="0"/>
        <charset val="1"/>
      </rPr>
      <t xml:space="preserve">portfolio_dash/api/routers/input_center.py:957-958</t>
    </r>
    <r>
      <rPr>
        <sz val="10"/>
        <rFont val="Noto Sans CJK SC"/>
        <family val="2"/>
      </rPr>
      <t xml:space="preserve">（預覽的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</si>
  <si>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DEF-010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test_the_manual_draft_hint_is_null_when_the_rule_discounts_at_settlement </t>
    </r>
    <r>
      <rPr>
        <sz val="10"/>
        <rFont val="Noto Sans CJK SC"/>
        <family val="2"/>
      </rPr>
      <t xml:space="preserve">只測「新草稿＋規則本身打折」，沒測「規則先收後退、但被取代列的快照已打折」；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掃描點名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個預估函式，卻沒逐一檢查每個呼叫點收到哪幾種輸入。新守門是鏡像測試：預覽的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必須等於同一列儲存後 </t>
    </r>
    <r>
      <rPr>
        <sz val="10"/>
        <rFont val="Arial"/>
        <family val="0"/>
        <charset val="1"/>
      </rPr>
      <t xml:space="preserve">/api/rebates </t>
    </r>
    <r>
      <rPr>
        <sz val="10"/>
        <rFont val="Noto Sans CJK SC"/>
        <family val="2"/>
      </rPr>
      <t xml:space="preserve">的預估。</t>
    </r>
  </si>
  <si>
    <t xml:space="preserve"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</si>
  <si>
    <t xml:space="preserve"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</si>
  <si>
    <t xml:space="preserve"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</si>
  <si>
    <t xml:space="preserve">真實瀏覽器：讀交易帳本 API 的 fee_snapshot（#29、#33、#44 與全部 56 列）與 /api/rebates；交易帳本 › #29（2026-07-21 8299 買 500）按「編輯」開框，讀 POST /api/input/manual/preview 回應後按取消</t>
  </si>
  <si>
    <t xml:space="preserve"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</si>
  <si>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已清；雙重優惠列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編輯預覽 </t>
    </r>
    <r>
      <rPr>
        <sz val="10"/>
        <rFont val="Arial"/>
        <family val="0"/>
        <charset val="1"/>
      </rPr>
      <t xml:space="preserve">rebate_estimate null</t>
    </r>
    <r>
      <rPr>
        <sz val="10"/>
        <rFont val="Noto Sans CJK SC"/>
        <family val="2"/>
      </rPr>
      <t xml:space="preserve">；取消未寫入</t>
    </r>
  </si>
  <si>
    <t xml:space="preserve"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</si>
  <si>
    <r>
      <rPr>
        <sz val="10"/>
        <rFont val="Arial"/>
        <family val="0"/>
        <charset val="1"/>
      </rPr>
      <t xml:space="preserve">portfolio_dash/shared/models/ledger.py:200</t>
    </r>
    <r>
      <rPr>
        <sz val="10"/>
        <rFont val="Noto Sans CJK SC"/>
        <family val="2"/>
      </rPr>
      <t xml:space="preserve">（只切股利）；</t>
    </r>
    <r>
      <rPr>
        <sz val="10"/>
        <rFont val="Arial"/>
        <family val="0"/>
        <charset val="1"/>
      </rPr>
      <t xml:space="preserve">portfolio/dashboard.py:467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api/routers/input_center.py:334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api/routers/symbol.py:283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689</t>
    </r>
    <r>
      <rPr>
        <sz val="10"/>
        <rFont val="Noto Sans CJK SC"/>
        <family val="2"/>
      </rPr>
      <t xml:space="preserve">（抽屜交易明細與對帳用全部交易）</t>
    </r>
  </si>
  <si>
    <t xml:space="preserve"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</si>
  <si>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一條規則放一處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shared/models/ledger.py </t>
    </r>
    <r>
      <rPr>
        <sz val="10"/>
        <rFont val="Noto Sans CJK SC"/>
        <family val="2"/>
      </rPr>
      <t xml:space="preserve">新增唯一判斷式 </t>
    </r>
    <r>
      <rPr>
        <sz val="10"/>
        <rFont val="Arial"/>
        <family val="0"/>
        <charset val="1"/>
      </rPr>
      <t xml:space="preserve">counts_by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&lt;=</t>
    </r>
    <r>
      <rPr>
        <sz val="10"/>
        <rFont val="Noto Sans CJK SC"/>
        <family val="2"/>
      </rPr>
      <t xml:space="preserve">）、列表用的 </t>
    </r>
    <r>
      <rPr>
        <sz val="10"/>
        <rFont val="Arial"/>
        <family val="0"/>
        <charset val="1"/>
      </rPr>
      <t xml:space="preserve">pending_from</t>
    </r>
    <r>
      <rPr>
        <sz val="10"/>
        <rFont val="Noto Sans CJK SC"/>
        <family val="2"/>
      </rPr>
      <t xml:space="preserve">、切 </t>
    </r>
    <r>
      <rPr>
        <sz val="10"/>
        <rFont val="Arial"/>
        <family val="0"/>
        <charset val="1"/>
      </rPr>
      <t xml:space="preserve">bundle </t>
    </r>
    <r>
      <rPr>
        <sz val="10"/>
        <rFont val="Noto Sans CJK SC"/>
        <family val="2"/>
      </rPr>
      <t xml:space="preserve">外換匯與資金收支的 </t>
    </r>
    <r>
      <rPr>
        <sz val="10"/>
        <rFont val="Arial"/>
        <family val="0"/>
        <charset val="1"/>
      </rPr>
      <t xml:space="preserve">valued_rows_as_of</t>
    </r>
    <r>
      <rPr>
        <sz val="10"/>
        <rFont val="Noto Sans CJK SC"/>
        <family val="2"/>
      </rPr>
      <t xml:space="preserve">，以及 </t>
    </r>
    <r>
      <rPr>
        <sz val="10"/>
        <rFont val="Arial"/>
        <family val="0"/>
        <charset val="1"/>
      </rPr>
      <t xml:space="preserve">LedgerBundle.valued_as_of</t>
    </r>
    <r>
      <rPr>
        <sz val="10"/>
        <rFont val="Noto Sans CJK SC"/>
        <family val="2"/>
      </rPr>
      <t xml:space="preserve">（交易、股利 </t>
    </r>
    <r>
      <rPr>
        <sz val="10"/>
        <rFont val="Arial"/>
        <family val="0"/>
        <charset val="1"/>
      </rPr>
      <t xml:space="preserve">effective_date</t>
    </r>
    <r>
      <rPr>
        <sz val="10"/>
        <rFont val="Noto Sans CJK SC"/>
        <family val="2"/>
      </rPr>
      <t xml:space="preserve">、期初、公司行動全部切）；</t>
    </r>
    <r>
      <rPr>
        <sz val="10"/>
        <rFont val="Arial"/>
        <family val="0"/>
        <charset val="1"/>
      </rPr>
      <t xml:space="preserve">received_by </t>
    </r>
    <r>
      <rPr>
        <sz val="10"/>
        <rFont val="Noto Sans CJK SC"/>
        <family val="2"/>
      </rPr>
      <t xml:space="preserve">移除、所有呼叫點改讀 </t>
    </r>
    <r>
      <rPr>
        <sz val="10"/>
        <rFont val="Arial"/>
        <family val="0"/>
        <charset val="1"/>
      </rPr>
      <t xml:space="preserve">valued_as_of</t>
    </r>
    <r>
      <rPr>
        <sz val="10"/>
        <rFont val="Noto Sans CJK SC"/>
        <family val="2"/>
      </rPr>
      <t xml:space="preserve">，逐日趨勢的 </t>
    </r>
    <r>
      <rPr>
        <sz val="10"/>
        <rFont val="Arial"/>
        <family val="0"/>
        <charset val="1"/>
      </rPr>
      <t xml:space="preserve">through </t>
    </r>
    <r>
      <rPr>
        <sz val="10"/>
        <rFont val="Noto Sans CJK SC"/>
        <family val="2"/>
      </rPr>
      <t xml:space="preserve">改委派同一規則。估值面：儀表板、試算、稅務包、賣出提示（股數改 </t>
    </r>
    <r>
      <rPr>
        <sz val="10"/>
        <rFont val="Arial"/>
        <family val="0"/>
        <charset val="1"/>
      </rPr>
      <t xml:space="preserve">shares_through(</t>
    </r>
    <r>
      <rPr>
        <sz val="10"/>
        <rFont val="Noto Sans CJK SC"/>
        <family val="2"/>
      </rPr>
      <t xml:space="preserve">今天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）、抽屜（交易明細、對帳、公司行動差額都只到估值日）、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。驗證用重播（重算、更正門防護、公司行動可達性、賣超日期防護、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草稿）依裁定仍看整本帳；現金池（</t>
    </r>
    <r>
      <rPr>
        <sz val="10"/>
        <rFont val="Arial"/>
        <family val="0"/>
        <charset val="1"/>
      </rPr>
      <t xml:space="preserve">M5-06</t>
    </r>
    <r>
      <rPr>
        <sz val="10"/>
        <rFont val="Noto Sans CJK SC"/>
        <family val="2"/>
      </rPr>
      <t xml:space="preserve">）與外幣池（</t>
    </r>
    <r>
      <rPr>
        <sz val="10"/>
        <rFont val="Arial"/>
        <family val="0"/>
        <charset val="1"/>
      </rPr>
      <t xml:space="preserve">X8b</t>
    </r>
    <r>
      <rPr>
        <sz val="10"/>
        <rFont val="Noto Sans CJK SC"/>
        <family val="2"/>
      </rPr>
      <t xml:space="preserve">）本來就依 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切，確認保留。列表：</t>
    </r>
    <r>
      <rPr>
        <sz val="10"/>
        <rFont val="Arial"/>
        <family val="0"/>
        <charset val="1"/>
      </rPr>
      <t xml:space="preserve">/api/ledgers/{transactions,dividends,fx,cash,openings,corporate-actions}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/api/cash </t>
    </r>
    <r>
      <rPr>
        <sz val="10"/>
        <rFont val="Noto Sans CJK SC"/>
        <family val="2"/>
      </rPr>
      <t xml:space="preserve">收支列帶 </t>
    </r>
    <r>
      <rPr>
        <sz val="10"/>
        <rFont val="Arial"/>
        <family val="0"/>
        <charset val="1"/>
      </rPr>
      <t xml:space="preserve">counts_from</t>
    </r>
    <r>
      <rPr>
        <sz val="10"/>
        <rFont val="Noto Sans CJK SC"/>
        <family val="2"/>
      </rPr>
      <t xml:space="preserve">（伺服器時鐘），帳本各分頁、資金頁、列印帳本顯示「未來日期：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起計入」。規則已寫入 </t>
    </r>
    <r>
      <rPr>
        <sz val="10"/>
        <rFont val="Arial"/>
        <family val="0"/>
        <charset val="1"/>
      </rPr>
      <t xml:space="preserve">.claude/rules/domain-ledger.md</t>
    </r>
    <r>
      <rPr>
        <sz val="10"/>
        <rFont val="Noto Sans CJK SC"/>
        <family val="2"/>
      </rPr>
      <t xml:space="preserve">。</t>
    </r>
  </si>
  <si>
    <t xml:space="preserve"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</si>
  <si>
    <t xml:space="preserve"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</si>
  <si>
    <t xml:space="preserve"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</si>
  <si>
    <t xml:space="preserve"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</si>
  <si>
    <t xml:space="preserve">估值六段不變、兩個列表與列印報告有標示；畫面上的現金收支明細未標示未來列；測畢 cmp D056R4 same:true</t>
  </si>
  <si>
    <t xml:space="preserve"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</si>
  <si>
    <t xml:space="preserve">同意。卡數與成本用了兩種口徑。</t>
  </si>
  <si>
    <r>
      <rPr>
        <sz val="10"/>
        <rFont val="Arial"/>
        <family val="0"/>
        <charset val="1"/>
      </rPr>
      <t xml:space="preserve">portfolio_dash/api/insight_service.py:1174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:1185</t>
    </r>
    <r>
      <rPr>
        <sz val="10"/>
        <rFont val="Noto Sans CJK SC"/>
        <family val="2"/>
      </rPr>
      <t xml:space="preserve">（卡數在 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</t>
    </r>
  </si>
  <si>
    <t xml:space="preserve">既有 test_pipeline_hub_api.py::test_status_last_run_and_last_batch 只種一個 run，那時「最後一個 run」和「整批」是同一集合，兩種口徑不可能不一致。新測試改種多 run 的批次。</t>
  </si>
  <si>
    <t xml:space="preserve"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</si>
  <si>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與洞察管線頁上「集合配單列」的彙總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_last_run_for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scheduler._last_run </t>
    </r>
    <r>
      <rPr>
        <sz val="10"/>
        <rFont val="Noto Sans CJK SC"/>
        <family val="2"/>
      </rPr>
      <t xml:space="preserve">只回單一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的時間與狀態，不含計數或成本；</t>
    </r>
    <r>
      <rPr>
        <sz val="10"/>
        <rFont val="Arial"/>
        <family val="0"/>
        <charset val="1"/>
      </rPr>
      <t xml:space="preserve">_shadow_card_count </t>
    </r>
    <r>
      <rPr>
        <sz val="10"/>
        <rFont val="Noto Sans CJK SC"/>
        <family val="2"/>
      </rPr>
      <t xml:space="preserve">是單一集合的計數、不是 </t>
    </r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顯示）</t>
    </r>
  </si>
  <si>
    <t xml:space="preserve"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</si>
  <si>
    <t xml:space="preserve">真實瀏覽器：排程中心立即執行 insight:7（run #194）後，讀洞察管線頁首「最近批次」與 GET /api/insight-tasks/status 的 health.last_batch，與 run 成本、卡片 cost、額度扣減比對</t>
  </si>
  <si>
    <t xml:space="preserve"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</si>
  <si>
    <r>
      <rPr>
        <sz val="10"/>
        <rFont val="Arial"/>
        <family val="0"/>
        <charset val="1"/>
      </rPr>
      <t xml:space="preserve">last_batch 3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$0.0022367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run</t>
    </r>
    <r>
      <rPr>
        <sz val="10"/>
        <rFont val="Noto Sans CJK SC"/>
        <family val="2"/>
      </rPr>
      <t xml:space="preserve">，三方相符；頁首顯示一致</t>
    </r>
  </si>
  <si>
    <t xml:space="preserve">觀察：/api/insight-tasks/status 單次約 5.6 秒，頁首要 18 秒才出現（多個請求排隊時更久）；不影響正確性，列為觀察</t>
  </si>
  <si>
    <t xml:space="preserve">同意，依 owner 裁定排除已封存標的。後端與前端各有一份宇宙規則，兩份都含封存。</t>
  </si>
  <si>
    <r>
      <rPr>
        <sz val="10"/>
        <rFont val="Arial"/>
        <family val="0"/>
        <charset val="1"/>
      </rPr>
      <t xml:space="preserve">portfolio_dash/api/insight_service.py:152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:170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:1267 </t>
    </r>
    <r>
      <rPr>
        <sz val="10"/>
        <rFont val="Noto Sans CJK SC"/>
        <family val="2"/>
      </rPr>
      <t xml:space="preserve">兩份複本）；</t>
    </r>
    <r>
      <rPr>
        <sz val="10"/>
        <rFont val="Arial"/>
        <family val="0"/>
        <charset val="1"/>
      </rPr>
      <t xml:space="preserve">web/pipeline.js:176</t>
    </r>
  </si>
  <si>
    <r>
      <rPr>
        <sz val="10"/>
        <rFont val="Arial"/>
        <family val="0"/>
        <charset val="1"/>
      </rPr>
      <t xml:space="preserve">test_insight_generate.py::test_all_registered_universe_is_opt_in_expansion </t>
    </r>
    <r>
      <rPr>
        <sz val="10"/>
        <rFont val="Noto Sans CJK SC"/>
        <family val="2"/>
      </rPr>
      <t xml:space="preserve">只註冊未封存標的，</t>
    </r>
    <r>
      <rPr>
        <sz val="10"/>
        <rFont val="Arial"/>
        <family val="0"/>
        <charset val="1"/>
      </rPr>
      <t xml:space="preserve">test_def032_universe_source.py </t>
    </r>
    <r>
      <rPr>
        <sz val="10"/>
        <rFont val="Noto Sans CJK SC"/>
        <family val="2"/>
      </rPr>
      <t xml:space="preserve">的標的全部未封存——沒有封存的測試資料。新測試會封存一檔再量。</t>
    </r>
  </si>
  <si>
    <t xml:space="preserve"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</si>
  <si>
    <t xml:space="preserve"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</si>
  <si>
    <t xml:space="preserve"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</si>
  <si>
    <t xml:space="preserve"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</si>
  <si>
    <t xml:space="preserve"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</si>
  <si>
    <r>
      <rPr>
        <sz val="10"/>
        <rFont val="Arial"/>
        <family val="0"/>
        <charset val="1"/>
      </rPr>
      <t xml:space="preserve">26 → 25</t>
    </r>
    <r>
      <rPr>
        <sz val="10"/>
        <rFont val="Noto Sans CJK SC"/>
        <family val="2"/>
      </rPr>
      <t xml:space="preserve">（隱藏 </t>
    </r>
    <r>
      <rPr>
        <sz val="10"/>
        <rFont val="Arial"/>
        <family val="0"/>
        <charset val="1"/>
      </rPr>
      <t xml:space="preserve">2449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（還原）；精靈檔數與預估同步</t>
    </r>
  </si>
  <si>
    <t xml:space="preserve"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</si>
  <si>
    <t xml:space="preserve"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</si>
  <si>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edit_corporate_action :2055 </t>
    </r>
    <r>
      <rPr>
        <sz val="10"/>
        <rFont val="Noto Sans CJK SC"/>
        <family val="2"/>
      </rPr>
      <t xml:space="preserve">起，無起始價處理）</t>
    </r>
  </si>
  <si>
    <t xml:space="preserve">沒有守門：R3 的 DEF-040 測試只涵蓋 POST 與 DELETE，沒有 PUT。新增契約 11 則＋e2e 1 則。</t>
  </si>
  <si>
    <t xml:space="preserve"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</si>
  <si>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呼叫點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；會移動起始價槽位的欄位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（日期、子公司代號、類型、起始價）／修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。存檔在同一列留下的副作用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（起始價）／白名單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（重組費用：</t>
    </r>
    <r>
      <rPr>
        <sz val="10"/>
        <rFont val="Arial"/>
        <family val="0"/>
        <charset val="1"/>
      </rPr>
      <t xml:space="preserve">DEF-020 </t>
    </r>
    <r>
      <rPr>
        <sz val="10"/>
        <rFont val="Noto Sans CJK SC"/>
        <family val="2"/>
      </rPr>
      <t xml:space="preserve">已隨日期與帳戶同步；目標價帶、目標權重：更正刻意不改原紀錄，刪除時以紀錄上的目的地判定，</t>
    </r>
    <r>
      <rPr>
        <sz val="10"/>
        <rFont val="Arial"/>
        <family val="0"/>
        <charset val="1"/>
      </rPr>
      <t xml:space="preserve">DEF-021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的既有設計）</t>
    </r>
  </si>
  <si>
    <t xml:space="preserve"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</si>
  <si>
    <t xml:space="preserve">真實瀏覽器：分拆 2884 → 2882，日期 2026-09-20（空白日）起始價 30 → 登錄（#19）→ 編輯改日期 2026-09-21 → 再改 2026-09-22（已有正式報價）→ 刪除</t>
  </si>
  <si>
    <t xml:space="preserve"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</si>
  <si>
    <t xml:space="preserve">搬移、跳過與移除皆依規則並有說明；刪除後 cmp D040R4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</si>
  <si>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</si>
  <si>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</si>
  <si>
    <r>
      <rPr>
        <sz val="10"/>
        <rFont val="Arial"/>
        <family val="0"/>
        <charset val="1"/>
      </rPr>
      <t xml:space="preserve">portfolio_dash/api/routers/ledgers.py:800</t>
    </r>
    <r>
      <rPr>
        <sz val="10"/>
        <rFont val="Noto Sans CJK SC"/>
        <family val="2"/>
      </rPr>
      <t xml:space="preserve">（只做金額守恆）、</t>
    </r>
    <r>
      <rPr>
        <sz val="10"/>
        <rFont val="Arial"/>
        <family val="0"/>
        <charset val="1"/>
      </rPr>
      <t xml:space="preserve">:793</t>
    </r>
    <r>
      <rPr>
        <sz val="10"/>
        <rFont val="Noto Sans CJK SC"/>
        <family val="2"/>
      </rPr>
      <t xml:space="preserve">（型別字串）、</t>
    </r>
    <r>
      <rPr>
        <sz val="10"/>
        <rFont val="Arial"/>
        <family val="0"/>
        <charset val="1"/>
      </rPr>
      <t xml:space="preserve">:770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withhold </t>
    </r>
    <r>
      <rPr>
        <sz val="10"/>
        <rFont val="Noto Sans CJK SC"/>
        <family val="2"/>
      </rPr>
      <t xml:space="preserve">必填）；</t>
    </r>
    <r>
      <rPr>
        <sz val="10"/>
        <rFont val="Arial"/>
        <family val="0"/>
        <charset val="1"/>
      </rPr>
      <t xml:space="preserve">web/ledger.js:679</t>
    </r>
    <r>
      <rPr>
        <sz val="10"/>
        <rFont val="Noto Sans CJK SC"/>
        <family val="2"/>
      </rPr>
      <t xml:space="preserve">（空白送 </t>
    </r>
    <r>
      <rPr>
        <sz val="10"/>
        <rFont val="Arial"/>
        <family val="0"/>
        <charset val="1"/>
      </rPr>
      <t xml:space="preserve">'0'</t>
    </r>
    <r>
      <rPr>
        <sz val="10"/>
        <rFont val="Noto Sans CJK SC"/>
        <family val="2"/>
      </rPr>
      <t xml:space="preserve">）</t>
    </r>
  </si>
  <si>
    <t xml:space="preserve">沒有任何守門比對兩個門的結果；既有 test_ledgers_mutations_api、test_x1_m5_05_amount_cap 只測更正門自己那兩項。新增參數化等價測試：4 種股利型別 × 每項檢查，共 16 例，全部走真實的兩個門。</t>
  </si>
  <si>
    <r>
      <rPr>
        <sz val="10"/>
        <rFont val="Arial"/>
        <family val="0"/>
        <charset val="1"/>
      </rPr>
      <t xml:space="preserve">data_ingestion/validate.py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DividendInput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validate_dividend(conn, inp, *, replacing=None)</t>
    </r>
    <r>
      <rPr>
        <sz val="10"/>
        <rFont val="Noto Sans CJK SC"/>
        <family val="2"/>
      </rPr>
      <t xml:space="preserve">（比照 </t>
    </r>
    <r>
      <rPr>
        <sz val="10"/>
        <rFont val="Arial"/>
        <family val="0"/>
        <charset val="1"/>
      </rPr>
      <t xml:space="preserve">DEF-042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validate_transaction(replacing=)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MODEL_ALLOWED_TYPES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dividend_model.py </t>
    </r>
    <r>
      <rPr>
        <sz val="10"/>
        <rFont val="Noto Sans CJK SC"/>
        <family val="2"/>
      </rPr>
      <t xml:space="preserve">單一來源；新增門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道（手動、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、券商對帳單）與更正門共用。更正門：結構檢查 → </t>
    </r>
    <r>
      <rPr>
        <sz val="10"/>
        <rFont val="Arial"/>
        <family val="0"/>
        <charset val="1"/>
      </rPr>
      <t xml:space="preserve">validate_dividend(replacing=</t>
    </r>
    <r>
      <rPr>
        <sz val="10"/>
        <rFont val="Noto Sans CJK SC"/>
        <family val="2"/>
      </rPr>
      <t xml:space="preserve">原列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（原列本來就有的問題可照常更正）→ 硬性問題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附完整 </t>
    </r>
    <r>
      <rPr>
        <sz val="10"/>
        <rFont val="Arial"/>
        <family val="0"/>
        <charset val="1"/>
      </rPr>
      <t xml:space="preserve">issues → </t>
    </r>
    <r>
      <rPr>
        <sz val="10"/>
        <rFont val="Noto Sans CJK SC"/>
        <family val="2"/>
      </rPr>
      <t xml:space="preserve">重播防護 → 存入 </t>
    </r>
    <r>
      <rPr>
        <sz val="10"/>
        <rFont val="Arial"/>
        <family val="0"/>
        <charset val="1"/>
      </rPr>
      <t xml:space="preserve">apply_dividend_model </t>
    </r>
    <r>
      <rPr>
        <sz val="10"/>
        <rFont val="Noto Sans CJK SC"/>
        <family val="2"/>
      </rPr>
      <t xml:space="preserve">的推導值（與新增門一致）→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附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；預扣、淨額可空。新增 </t>
    </r>
    <r>
      <rPr>
        <sz val="10"/>
        <rFont val="Arial"/>
        <family val="0"/>
        <charset val="1"/>
      </rPr>
      <t xml:space="preserve">POST /api/ledgers/dividends/preview</t>
    </r>
    <r>
      <rPr>
        <sz val="10"/>
        <rFont val="Noto Sans CJK SC"/>
        <family val="2"/>
      </rPr>
      <t xml:space="preserve">（純試算、不寫入），編輯框開啟與欄位變動時即時顯示檢查結果，軟性警告逐項勾選前「儲存」停用（依 ⑪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：伺服器擋硬性、畫面把關軟性，與交易編輯框一致）。</t>
    </r>
  </si>
  <si>
    <t xml:space="preserve"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</si>
  <si>
    <t xml:space="preserve"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</si>
  <si>
    <t xml:space="preserve"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</si>
  <si>
    <t xml:space="preserve"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</si>
  <si>
    <t xml:space="preserve">軟性 1 項需勾選才可存；硬性 1 項 PUT 400；兩道門判定相同；帳本未變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</si>
  <si>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</si>
  <si>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真實瀏覽器走精靈至監聽規則，讀 15 個 label 的文字與 value</t>
  </si>
  <si>
    <t xml:space="preserve">觀察：8 個勾選框文字＝value
假設：①前端有完整對照表；②對照表缺項
排除：settings-alerts.js 有 15 條、pipeline-wizard.js 只 7 條，排除①
定位：pipeline-wizard.js:23-29
判定：FAIL（低）— 使用者可見識別字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</si>
  <si>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條中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條顯示 </t>
    </r>
    <r>
      <rPr>
        <sz val="10"/>
        <rFont val="Arial"/>
        <family val="0"/>
        <charset val="1"/>
      </rPr>
      <t xml:space="preserve">id</t>
    </r>
  </si>
  <si>
    <t xml:space="preserve">開 DEF-062</t>
  </si>
  <si>
    <t xml:space="preserve">讀開發者交接決策項＋讀碼 pricing/seed.py</t>
  </si>
  <si>
    <t xml:space="preserve">規格未定→owner 已裁定（資料殘留）</t>
  </si>
  <si>
    <t xml:space="preserve">開 DEF-063，owner 已裁定寫清理腳本</t>
  </si>
  <si>
    <t xml:space="preserve">開 DEF-064，owner 已裁定全部排除</t>
  </si>
  <si>
    <r>
      <rPr>
        <sz val="10"/>
        <rFont val="Arial"/>
        <family val="0"/>
        <charset val="1"/>
      </rPr>
      <t xml:space="preserve">repo 1ee7771 e2e </t>
    </r>
    <r>
      <rPr>
        <sz val="10"/>
        <rFont val="Noto Sans CJK SC"/>
        <family val="2"/>
      </rPr>
      <t xml:space="preserve">全套 </t>
    </r>
    <r>
      <rPr>
        <sz val="10"/>
        <rFont val="Arial"/>
        <family val="0"/>
        <charset val="1"/>
      </rPr>
      <t xml:space="preserve">×3</t>
    </r>
    <r>
      <rPr>
        <sz val="10"/>
        <rFont val="Noto Sans CJK SC"/>
        <family val="2"/>
      </rPr>
      <t xml:space="preserve">、單獨重跑、壓力重跑、並發探測；以 </t>
    </r>
    <r>
      <rPr>
        <sz val="10"/>
        <rFont val="Arial"/>
        <family val="0"/>
        <charset val="1"/>
      </rPr>
      <t xml:space="preserve">page.on("response")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5xx</t>
    </r>
  </si>
  <si>
    <t xml:space="preserve"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</si>
  <si>
    <t xml:space="preserve">全套 287/1、287/2、289/0；5xx 1 筆（GET /api/ui-prefs）</t>
  </si>
  <si>
    <t xml:space="preserve">開 DEF-065</t>
  </si>
  <si>
    <t xml:space="preserve"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</si>
  <si>
    <r>
      <rPr>
        <sz val="11"/>
        <color theme="1"/>
        <rFont val="Calibri"/>
        <family val="2"/>
        <charset val="1"/>
      </rPr>
      <t xml:space="preserve">web/cash.js:405</t>
    </r>
    <r>
      <rPr>
        <sz val="11"/>
        <color theme="1"/>
        <rFont val="Noto Sans CJK SC"/>
        <family val="2"/>
      </rPr>
      <t xml:space="preserve">（明細列日期）、</t>
    </r>
    <r>
      <rPr>
        <sz val="11"/>
        <color theme="1"/>
        <rFont val="Calibri"/>
        <family val="2"/>
        <charset val="1"/>
      </rPr>
      <t xml:space="preserve">:395</t>
    </r>
    <r>
      <rPr>
        <sz val="11"/>
        <color theme="1"/>
        <rFont val="Noto Sans CJK SC"/>
        <family val="2"/>
      </rPr>
      <t xml:space="preserve">（表頭）、</t>
    </r>
    <r>
      <rPr>
        <sz val="11"/>
        <color theme="1"/>
        <rFont val="Calibri"/>
        <family val="2"/>
        <charset val="1"/>
      </rPr>
      <t xml:space="preserve">:416</t>
    </r>
    <r>
      <rPr>
        <sz val="11"/>
        <color theme="1"/>
        <rFont val="Noto Sans CJK SC"/>
        <family val="2"/>
      </rPr>
      <t xml:space="preserve">（餘額欄）；</t>
    </r>
    <r>
      <rPr>
        <sz val="11"/>
        <color theme="1"/>
        <rFont val="Calibri"/>
        <family val="2"/>
        <charset val="1"/>
      </rPr>
      <t xml:space="preserve">portfolio_dash/api/routers/cash.py:479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`"future": ln.date &gt; as_of`</t>
    </r>
    <r>
      <rPr>
        <sz val="11"/>
        <color theme="1"/>
        <rFont val="Noto Sans CJK SC"/>
        <family val="2"/>
      </rPr>
      <t xml:space="preserve">，第二份手寫的切點）；</t>
    </r>
    <r>
      <rPr>
        <sz val="11"/>
        <color theme="1"/>
        <rFont val="Calibri"/>
        <family val="2"/>
        <charset val="1"/>
      </rPr>
      <t xml:space="preserve">portfolio_dash/api/routers/symbol.py:593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web/detail.js:983</t>
    </r>
    <r>
      <rPr>
        <sz val="11"/>
        <color theme="1"/>
        <rFont val="Noto Sans CJK SC"/>
        <family val="2"/>
      </rPr>
      <t xml:space="preserve">（配息史）；</t>
    </r>
    <r>
      <rPr>
        <sz val="11"/>
        <color theme="1"/>
        <rFont val="Calibri"/>
        <family val="2"/>
        <charset val="1"/>
      </rPr>
      <t xml:space="preserve">portfolio_dash/export/cash_statement.py:54</t>
    </r>
    <r>
      <rPr>
        <sz val="11"/>
        <color theme="1"/>
        <rFont val="Noto Sans CJK SC"/>
        <family val="2"/>
      </rPr>
      <t xml:space="preserve">（明細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欄位）、</t>
    </r>
    <r>
      <rPr>
        <sz val="11"/>
        <color theme="1"/>
        <rFont val="Calibri"/>
        <family val="2"/>
        <charset val="1"/>
      </rPr>
      <t xml:space="preserve">export/symbol_detail.py</t>
    </r>
    <r>
      <rPr>
        <sz val="11"/>
        <color theme="1"/>
        <rFont val="Noto Sans CJK SC"/>
        <family val="2"/>
      </rPr>
      <t xml:space="preserve">（配息史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</si>
  <si>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tests/e2e/test_def056_future_row_badge_flow.py</t>
    </r>
    <r>
      <rPr>
        <sz val="11"/>
        <color theme="1"/>
        <rFont val="Noto Sans CJK SC"/>
        <family val="2"/>
      </rPr>
      <t xml:space="preserve">）只檢查手挑的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張表，明細不在清單上——守門本身的盲點與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的帳戶名稱守門同型（手寫清單）。新守門反過來問：</t>
    </r>
    <r>
      <rPr>
        <sz val="11"/>
        <color theme="1"/>
        <rFont val="Calibri"/>
        <family val="2"/>
        <charset val="1"/>
      </rPr>
      <t xml:space="preserve">tests/e2e/test_def056_r5_future_row_sweep_flow.py </t>
    </r>
    <r>
      <rPr>
        <sz val="11"/>
        <color theme="1"/>
        <rFont val="Noto Sans CJK SC"/>
        <family val="2"/>
      </rPr>
      <t xml:space="preserve">對每一種帳本各寫一筆 </t>
    </r>
    <r>
      <rPr>
        <sz val="11"/>
        <color theme="1"/>
        <rFont val="Calibri"/>
        <family val="2"/>
        <charset val="1"/>
      </rPr>
      <t xml:space="preserve">2099 </t>
    </r>
    <r>
      <rPr>
        <sz val="11"/>
        <color theme="1"/>
        <rFont val="Noto Sans CJK SC"/>
        <family val="2"/>
      </rPr>
      <t xml:space="preserve">年的未來列，打開所有列帳本列的畫面（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</r>
  </si>
  <si>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畫面（依規格 </t>
    </r>
    <r>
      <rPr>
        <sz val="11"/>
        <color theme="1"/>
        <rFont val="Calibri"/>
        <family val="2"/>
        <charset val="1"/>
      </rPr>
      <t xml:space="preserve">1–5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：明細在第一筆未來列之前加分隔列，文字與列印報告逐字相同「以下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筆為未來日期（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之後），不計入目前餘額；其餘額欄為投影」；每筆未來列日期欄加「未來日期：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起計入」徽章（沿用同檔 </t>
    </r>
    <r>
      <rPr>
        <sz val="11"/>
        <color theme="1"/>
        <rFont val="Calibri"/>
        <family val="2"/>
        <charset val="1"/>
      </rPr>
      <t xml:space="preserve">dateCell</t>
    </r>
    <r>
      <rPr>
        <sz val="11"/>
        <color theme="1"/>
        <rFont val="Noto Sans CJK SC"/>
        <family val="2"/>
      </rPr>
      <t xml:space="preserve">）；未來列的餘額欄改斜體並加「投影」小標，最後一筆未來列下緣虛線；表頭「目前餘額」數字不變，比照列印報告加「（截至 </t>
    </r>
    <r>
      <rPr>
        <sz val="11"/>
        <color theme="1"/>
        <rFont val="Calibri"/>
        <family val="2"/>
        <charset val="1"/>
      </rPr>
      <t xml:space="preserve">YYYY-MM-DD</t>
    </r>
    <r>
      <rPr>
        <sz val="11"/>
        <color theme="1"/>
        <rFont val="Noto Sans CJK SC"/>
        <family val="2"/>
      </rPr>
      <t xml:space="preserve">，不含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筆未來日期）」；單一幣別與全部幣別（</t>
    </r>
    <r>
      <rPr>
        <sz val="11"/>
        <color theme="1"/>
        <rFont val="Calibri"/>
        <family val="2"/>
        <charset val="1"/>
      </rPr>
      <t xml:space="preserve">combined</t>
    </r>
    <r>
      <rPr>
        <sz val="11"/>
        <color theme="1"/>
        <rFont val="Noto Sans CJK SC"/>
        <family val="2"/>
      </rPr>
      <t xml:space="preserve">）兩種檢視相同。</t>
    </r>
    <r>
      <rPr>
        <sz val="11"/>
        <color theme="1"/>
        <rFont val="Calibri"/>
        <family val="2"/>
        <charset val="1"/>
      </rPr>
      <t xml:space="preserve">**API**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/api/cash/statement </t>
    </r>
    <r>
      <rPr>
        <sz val="11"/>
        <color theme="1"/>
        <rFont val="Noto Sans CJK SC"/>
        <family val="2"/>
      </rPr>
      <t xml:space="preserve">每列加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（與各帳本列表同一個 </t>
    </r>
    <r>
      <rPr>
        <sz val="11"/>
        <color theme="1"/>
        <rFont val="Calibri"/>
        <family val="2"/>
        <charset val="1"/>
      </rPr>
      <t xml:space="preserve">pending_from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`future` </t>
    </r>
    <r>
      <rPr>
        <sz val="11"/>
        <color theme="1"/>
        <rFont val="Noto Sans CJK SC"/>
        <family val="2"/>
      </rPr>
      <t xml:space="preserve">改由它推得，信封加 </t>
    </r>
    <r>
      <rPr>
        <sz val="11"/>
        <color theme="1"/>
        <rFont val="Calibri"/>
        <family val="2"/>
        <charset val="1"/>
      </rPr>
      <t xml:space="preserve">future_count</t>
    </r>
    <r>
      <rPr>
        <sz val="11"/>
        <color theme="1"/>
        <rFont val="Noto Sans CJK SC"/>
        <family val="2"/>
      </rPr>
      <t xml:space="preserve">（整個範圍、不是單頁）；</t>
    </r>
    <r>
      <rPr>
        <sz val="11"/>
        <color theme="1"/>
        <rFont val="Calibri"/>
        <family val="2"/>
        <charset val="1"/>
      </rPr>
      <t xml:space="preserve">_as_of_balance </t>
    </r>
    <r>
      <rPr>
        <sz val="11"/>
        <color theme="1"/>
        <rFont val="Noto Sans CJK SC"/>
        <family val="2"/>
      </rPr>
      <t xml:space="preserve">也改呼叫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同類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：個股抽屜 </t>
    </r>
    <r>
      <rPr>
        <sz val="11"/>
        <color theme="1"/>
        <rFont val="Calibri"/>
        <family val="2"/>
        <charset val="1"/>
      </rPr>
      <t xml:space="preserve">dividend_events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（股利依生效日：配股看除權日），</t>
    </r>
    <r>
      <rPr>
        <sz val="11"/>
        <color theme="1"/>
        <rFont val="Calibri"/>
        <family val="2"/>
        <charset val="1"/>
      </rPr>
      <t xml:space="preserve">detail.js </t>
    </r>
    <r>
      <rPr>
        <sz val="11"/>
        <color theme="1"/>
        <rFont val="Noto Sans CJK SC"/>
        <family val="2"/>
      </rPr>
      <t xml:space="preserve">配息史加同一個徽章；現金收支明細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與配息史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最後加一欄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（兩者都是對帳用、不是匯入格式，加在最後不影響既有欄位索引；四種帳本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可重新匯入，依 </t>
    </r>
    <r>
      <rPr>
        <sz val="11"/>
        <color theme="1"/>
        <rFont val="Calibri"/>
        <family val="2"/>
        <charset val="1"/>
      </rPr>
      <t xml:space="preserve">DEF-026 </t>
    </r>
    <r>
      <rPr>
        <sz val="11"/>
        <color theme="1"/>
        <rFont val="Noto Sans CJK SC"/>
        <family val="2"/>
      </rPr>
      <t xml:space="preserve">維持不加）。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一條規則放一處（順手收尾）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列為「本來就依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切」的外幣池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forex/pools.py</t>
    </r>
    <r>
      <rPr>
        <sz val="11"/>
        <color theme="1"/>
        <rFont val="Noto Sans CJK SC"/>
        <family val="2"/>
      </rPr>
      <t xml:space="preserve">）、已實現匯兌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forex/fx_pnl.py</t>
    </r>
    <r>
      <rPr>
        <sz val="11"/>
        <color theme="1"/>
        <rFont val="Noto Sans CJK SC"/>
        <family val="2"/>
      </rPr>
      <t xml:space="preserve">）、現金池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portfolio/cash.py</t>
    </r>
    <r>
      <rPr>
        <sz val="11"/>
        <color theme="1"/>
        <rFont val="Noto Sans CJK SC"/>
        <family val="2"/>
      </rPr>
      <t xml:space="preserve">）、趨勢淨投入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portfolio/timeseries.py</t>
    </r>
    <r>
      <rPr>
        <sz val="11"/>
        <color theme="1"/>
        <rFont val="Noto Sans CJK SC"/>
        <family val="2"/>
      </rPr>
      <t xml:space="preserve">）、未來日期警告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data_ingestion/validate.py</t>
    </r>
    <r>
      <rPr>
        <sz val="11"/>
        <color theme="1"/>
        <rFont val="Noto Sans CJK SC"/>
        <family val="2"/>
      </rPr>
      <t xml:space="preserve">）與明細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處，語意相同但都是手寫的日期比較，改呼叫同一個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，行為不變。規則寫入 </t>
    </r>
    <r>
      <rPr>
        <sz val="11"/>
        <color theme="1"/>
        <rFont val="Calibri"/>
        <family val="2"/>
        <charset val="1"/>
      </rPr>
      <t xml:space="preserve">.claude/rules/domain-ledger.md</t>
    </r>
    <r>
      <rPr>
        <sz val="11"/>
        <color theme="1"/>
        <rFont val="Noto Sans CJK SC"/>
        <family val="2"/>
      </rPr>
      <t xml:space="preserve">。</t>
    </r>
  </si>
  <si>
    <t xml:space="preserve"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</si>
  <si>
    <t xml:space="preserve"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</si>
  <si>
    <r>
      <rPr>
        <sz val="11"/>
        <color theme="1"/>
        <rFont val="Calibri"/>
        <family val="2"/>
        <charset val="1"/>
      </rPr>
      <t xml:space="preserve">3be67db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</si>
  <si>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</si>
  <si>
    <t xml:space="preserve"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</si>
  <si>
    <t xml:space="preserve"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</si>
  <si>
    <t xml:space="preserve">分隔列、徽章、投影斜體、表頭截至說明、CSV counts_from、抽屜配息史徽章皆在；兩筆刪除後 cmp R5_START same:true（收件匣 7、批次 0 也回到原值）</t>
  </si>
  <si>
    <t xml:space="preserve">觀察：寫入未來股利期間收件匣由 7 變 6（該筆被視為已記入），刪除後回到 7，行為一致</t>
  </si>
  <si>
    <t xml:space="preserve"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</si>
  <si>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（先查再寫）；</t>
    </r>
    <r>
      <rPr>
        <sz val="10"/>
        <rFont val="Arial"/>
        <family val="0"/>
        <charset val="1"/>
      </rPr>
      <t xml:space="preserve">portfolio_dash/shared/ui_prefs.py:57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portfolio_dash/api/app.py lifespan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項未在開機建立）；</t>
    </r>
    <r>
      <rPr>
        <sz val="10"/>
        <rFont val="Arial"/>
        <family val="0"/>
        <charset val="1"/>
      </rPr>
      <t xml:space="preserve">portfolio_dash/llm_insight/composer_store.py:281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:307</t>
    </r>
    <r>
      <rPr>
        <sz val="10"/>
        <rFont val="Noto Sans CJK SC"/>
        <family val="2"/>
      </rPr>
      <t xml:space="preserve">（每次 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都跑兩個 </t>
    </r>
    <r>
      <rPr>
        <sz val="10"/>
        <rFont val="Arial"/>
        <family val="0"/>
        <charset val="1"/>
      </rPr>
      <t xml:space="preserve">INSERT … SELECT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，掛在 </t>
    </r>
    <r>
      <rPr>
        <sz val="10"/>
        <rFont val="Arial"/>
        <family val="0"/>
        <charset val="1"/>
      </rPr>
      <t xml:space="preserve">~20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上）；</t>
    </r>
    <r>
      <rPr>
        <sz val="10"/>
        <rFont val="Arial"/>
        <family val="0"/>
        <charset val="1"/>
      </rPr>
      <t xml:space="preserve">portfolio_dash/scheduler/jobs.py:300</t>
    </r>
    <r>
      <rPr>
        <sz val="10"/>
        <rFont val="Noto Sans CJK SC"/>
        <family val="2"/>
      </rPr>
      <t xml:space="preserve">（每次都 </t>
    </r>
    <r>
      <rPr>
        <sz val="10"/>
        <rFont val="Arial"/>
        <family val="0"/>
        <charset val="1"/>
      </rPr>
      <t xml:space="preserve">INSERT OR IGNORE </t>
    </r>
    <r>
      <rPr>
        <sz val="10"/>
        <rFont val="Noto Sans CJK SC"/>
        <family val="2"/>
      </rPr>
      <t xml:space="preserve">全部排程列）；</t>
    </r>
    <r>
      <rPr>
        <sz val="10"/>
        <rFont val="Arial"/>
        <family val="0"/>
        <charset val="1"/>
      </rPr>
      <t xml:space="preserve">portfolio_dash/shared/llm_config.py:403</t>
    </r>
    <r>
      <rPr>
        <sz val="10"/>
        <rFont val="Noto Sans CJK SC"/>
        <family val="2"/>
      </rPr>
      <t xml:space="preserve">（第一次 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才建 </t>
    </r>
    <r>
      <rPr>
        <sz val="10"/>
        <rFont val="Arial"/>
        <family val="0"/>
        <charset val="1"/>
      </rPr>
      <t xml:space="preserve">llm_quota_config</t>
    </r>
    <r>
      <rPr>
        <sz val="10"/>
        <rFont val="Noto Sans CJK SC"/>
        <family val="2"/>
      </rPr>
      <t xml:space="preserve">）</t>
    </r>
  </si>
  <si>
    <t xml:space="preserve"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</si>
  <si>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原語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一次」改在寫鎖下決定——未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BEGIN IMMEDIATE</t>
    </r>
    <r>
      <rPr>
        <sz val="10"/>
        <rFont val="Noto Sans CJK SC"/>
        <family val="2"/>
      </rPr>
      <t xml:space="preserve">、重讀、先寫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佔位再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（有幾個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會自己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，佔位先寫才不會在鎖放掉時仍顯示未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）；已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的穩定狀態不變、不拿鎖。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讀取路徑不寫入（規格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改為純讀——不建表、不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、不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；表或列不存在時回預設值；建表與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移到開機與寫入路徑（</t>
    </r>
    <r>
      <rPr>
        <sz val="10"/>
        <rFont val="Arial"/>
        <family val="0"/>
        <charset val="1"/>
      </rPr>
      <t xml:space="preserve">set_ui_prefs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開機建立一切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會讀的表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（同樣的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競態）、</t>
    </r>
    <r>
      <rPr>
        <sz val="10"/>
        <rFont val="Arial"/>
        <family val="0"/>
        <charset val="1"/>
      </rPr>
      <t xml:space="preserve">pending_dividend_skips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portfolio_snapshots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，並在開機時開一次 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（第一次開啟會建表與遷移）；</t>
    </r>
    <r>
      <rPr>
        <sz val="10"/>
        <rFont val="Arial"/>
        <family val="0"/>
        <charset val="1"/>
      </rPr>
      <t xml:space="preserve">llm_quota_config </t>
    </r>
    <r>
      <rPr>
        <sz val="10"/>
        <rFont val="Noto Sans CJK SC"/>
        <family val="2"/>
      </rPr>
      <t xml:space="preserve">併入 </t>
    </r>
    <r>
      <rPr>
        <sz val="10"/>
        <rFont val="Arial"/>
        <family val="0"/>
        <charset val="1"/>
      </rPr>
      <t xml:space="preserve">create_llm_tables</t>
    </r>
    <r>
      <rPr>
        <sz val="10"/>
        <rFont val="Noto Sans CJK SC"/>
        <family val="2"/>
      </rPr>
      <t xml:space="preserve">（開機由 </t>
    </r>
    <r>
      <rPr>
        <sz val="10"/>
        <rFont val="Arial"/>
        <family val="0"/>
        <charset val="1"/>
      </rPr>
      <t xml:space="preserve">bootstrap_db </t>
    </r>
    <r>
      <rPr>
        <sz val="10"/>
        <rFont val="Noto Sans CJK SC"/>
        <family val="2"/>
      </rPr>
      <t xml:space="preserve">建立）。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每次都拿寫鎖的讀取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composer_store._backfill_versions</t>
    </r>
    <r>
      <rPr>
        <sz val="10"/>
        <rFont val="Noto Sans CJK SC"/>
        <family val="2"/>
      </rPr>
      <t xml:space="preserve">（我在 </t>
    </r>
    <r>
      <rPr>
        <sz val="10"/>
        <rFont val="Arial"/>
        <family val="0"/>
        <charset val="1"/>
      </rPr>
      <t xml:space="preserve">R3 DEF-033 </t>
    </r>
    <r>
      <rPr>
        <sz val="10"/>
        <rFont val="Noto Sans CJK SC"/>
        <family val="2"/>
      </rPr>
      <t xml:space="preserve">加的）先用一句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判斷是否真有策略缺版本，沒有就直接返回；</t>
    </r>
    <r>
      <rPr>
        <sz val="10"/>
        <rFont val="Arial"/>
        <family val="0"/>
        <charset val="1"/>
      </rPr>
      <t xml:space="preserve">scheduler.ensure_job_rows </t>
    </r>
    <r>
      <rPr>
        <sz val="10"/>
        <rFont val="Noto Sans CJK SC"/>
        <family val="2"/>
      </rPr>
      <t xml:space="preserve">先讀已有的 </t>
    </r>
    <r>
      <rPr>
        <sz val="10"/>
        <rFont val="Arial"/>
        <family val="0"/>
        <charset val="1"/>
      </rPr>
      <t xml:space="preserve">job_id</t>
    </r>
    <r>
      <rPr>
        <sz val="10"/>
        <rFont val="Noto Sans CJK SC"/>
        <family val="2"/>
      </rPr>
      <t xml:space="preserve">，只補缺的。規則寫入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api/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GET never writes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閘門穩定（跑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次全套時發現）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/api/input/context </t>
    </r>
    <r>
      <rPr>
        <sz val="10"/>
        <rFont val="Noto Sans CJK SC"/>
        <family val="2"/>
      </rPr>
      <t xml:space="preserve">回來後才 </t>
    </r>
    <r>
      <rPr>
        <sz val="10"/>
        <rFont val="Arial"/>
        <family val="0"/>
        <charset val="1"/>
      </rPr>
      <t xml:space="preserve">showTab('manual')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 :3329</t>
    </r>
    <r>
      <rPr>
        <sz val="10"/>
        <rFont val="Noto Sans CJK SC"/>
        <family val="2"/>
      </rPr>
      <t xml:space="preserve">），頁面載入中點的「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匯入」會在資料回來那一刻被收回——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test_def049_batch_undo_oversell_flow </t>
    </r>
    <r>
      <rPr>
        <sz val="10"/>
        <rFont val="Noto Sans CJK SC"/>
        <family val="2"/>
      </rPr>
      <t xml:space="preserve">在預跑中因此失敗（最近匯入列「</t>
    </r>
    <r>
      <rPr>
        <sz val="10"/>
        <rFont val="Arial"/>
        <family val="0"/>
        <charset val="1"/>
      </rPr>
      <t xml:space="preserve">hidden</t>
    </r>
    <r>
      <rPr>
        <sz val="10"/>
        <rFont val="Noto Sans CJK SC"/>
        <family val="2"/>
      </rPr>
      <t xml:space="preserve">」）；使用者網路慢時也會遇到。改為使用者自己選過分頁就不覆蓋。同類掃描：設定預設分頁的地方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）／本來就對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boot </t>
    </r>
    <r>
      <rPr>
        <sz val="10"/>
        <rFont val="Noto Sans CJK SC"/>
        <family val="2"/>
      </rPr>
      <t xml:space="preserve">前同步設定、設定頁依網址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同步設定）。</t>
    </r>
  </si>
  <si>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路由 共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（其餘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本來就乾淨）。修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：開機後第一次呼叫就寫入或建表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個，其中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個每次呼叫都寫（</t>
    </r>
    <r>
      <rPr>
        <sz val="10"/>
        <rFont val="Arial"/>
        <family val="0"/>
        <charset val="1"/>
      </rPr>
      <t xml:space="preserve">strategy_prompt_versions </t>
    </r>
    <r>
      <rPr>
        <sz val="10"/>
        <rFont val="Noto Sans CJK SC"/>
        <family val="2"/>
      </rPr>
      <t xml:space="preserve">回填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/api/alerts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/api/strategy-prompts</t>
    </r>
    <r>
      <rPr>
        <sz val="10"/>
        <rFont val="Noto Sans CJK SC"/>
        <family val="2"/>
      </rPr>
      <t xml:space="preserve">、版本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/api/insight-types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/api/insight-tasks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status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diagnose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calibrations samples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/api/ai-score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/api/evolution-config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schedule_config 2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/status</t>
    </r>
    <r>
      <rPr>
        <sz val="10"/>
        <rFont val="Noto Sans CJK SC"/>
        <family val="2"/>
      </rPr>
      <t xml:space="preserve">），另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個只在第一次（</t>
    </r>
    <r>
      <rPr>
        <sz val="10"/>
        <rFont val="Arial"/>
        <family val="0"/>
        <charset val="1"/>
      </rPr>
      <t xml:space="preserve">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whats-new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dividend-inbox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system-log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</t>
    </r>
    <r>
      <rPr>
        <sz val="10"/>
        <rFont val="Noto Sans CJK SC"/>
        <family val="2"/>
      </rPr>
      <t xml:space="preserve">）。依寫入來源計：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、懶建表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、策略版本回填、排程列）全修。白名單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：這些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ensure_* </t>
    </r>
    <r>
      <rPr>
        <sz val="10"/>
        <rFont val="Noto Sans CJK SC"/>
        <family val="2"/>
      </rPr>
      <t xml:space="preserve">執行 </t>
    </r>
    <r>
      <rPr>
        <sz val="10"/>
        <rFont val="Arial"/>
        <family val="0"/>
        <charset val="1"/>
      </rPr>
      <t xml:space="preserve">`CREATE TABLE IF NOT EXISTS`</t>
    </r>
    <r>
      <rPr>
        <sz val="10"/>
        <rFont val="Noto Sans CJK SC"/>
        <family val="2"/>
      </rPr>
      <t xml:space="preserve">，表已存在時在 </t>
    </r>
    <r>
      <rPr>
        <sz val="10"/>
        <rFont val="Arial"/>
        <family val="0"/>
        <charset val="1"/>
      </rPr>
      <t xml:space="preserve">prepare </t>
    </r>
    <r>
      <rPr>
        <sz val="10"/>
        <rFont val="Noto Sans CJK SC"/>
        <family val="2"/>
      </rPr>
      <t xml:space="preserve">階段就解決、不寫也不拿鎖——實測：另一條連線持有 </t>
    </r>
    <r>
      <rPr>
        <sz val="10"/>
        <rFont val="Arial"/>
        <family val="0"/>
        <charset val="1"/>
      </rPr>
      <t xml:space="preserve">BEGIN IMMEDIATE </t>
    </r>
    <r>
      <rPr>
        <sz val="10"/>
        <rFont val="Noto Sans CJK SC"/>
        <family val="2"/>
      </rPr>
      <t xml:space="preserve">時照樣 </t>
    </r>
    <r>
      <rPr>
        <sz val="10"/>
        <rFont val="Arial"/>
        <family val="0"/>
        <charset val="1"/>
      </rPr>
      <t xml:space="preserve">0.009 </t>
    </r>
    <r>
      <rPr>
        <sz val="10"/>
        <rFont val="Noto Sans CJK SC"/>
        <family val="2"/>
      </rPr>
      <t xml:space="preserve">秒完成；新守門正是在持有寫鎖下跑這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個，所以白名單本身有測試釘住。修後重掃：第一次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／第二次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。掃描方法：以真正的 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開機全新資料庫＋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帳本，對 </t>
    </r>
    <r>
      <rPr>
        <sz val="10"/>
        <rFont val="Arial"/>
        <family val="0"/>
        <charset val="1"/>
      </rPr>
      <t xml:space="preserve">sqlite3.connect </t>
    </r>
    <r>
      <rPr>
        <sz val="10"/>
        <rFont val="Noto Sans CJK SC"/>
        <family val="2"/>
      </rPr>
      <t xml:space="preserve">掛 </t>
    </r>
    <r>
      <rPr>
        <sz val="10"/>
        <rFont val="Arial"/>
        <family val="0"/>
        <charset val="1"/>
      </rPr>
      <t xml:space="preserve">trace callback</t>
    </r>
    <r>
      <rPr>
        <sz val="10"/>
        <rFont val="Noto Sans CJK SC"/>
        <family val="2"/>
      </rPr>
      <t xml:space="preserve">，每個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呼叫兩次，記錄所有寫入句與 </t>
    </r>
    <r>
      <rPr>
        <sz val="10"/>
        <rFont val="Arial"/>
        <family val="0"/>
        <charset val="1"/>
      </rPr>
      <t xml:space="preserve">sqlite_master </t>
    </r>
    <r>
      <rPr>
        <sz val="10"/>
        <rFont val="Noto Sans CJK SC"/>
        <family val="2"/>
      </rPr>
      <t xml:space="preserve">差異。</t>
    </r>
  </si>
  <si>
    <t xml:space="preserve"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</si>
  <si>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</si>
  <si>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repo-r5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保留每個測試伺服器的記錄）；</t>
    </r>
    <r>
      <rPr>
        <sz val="10"/>
        <rFont val="Arial"/>
        <family val="0"/>
        <charset val="1"/>
      </rPr>
      <t xml:space="preserve">race_probe</t>
    </r>
    <r>
      <rPr>
        <sz val="10"/>
        <rFont val="Noto Sans CJK SC"/>
        <family val="2"/>
      </rPr>
      <t xml:space="preserve">：全新 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個執行緒同時首讀 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輪（舊版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與新版各跑一次）；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真實瀏覽器頁面內同時送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/api/insight-tasks/status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</t>
    </r>
  </si>
  <si>
    <t xml:space="preserve"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</si>
  <si>
    <r>
      <rPr>
        <sz val="10"/>
        <rFont val="Arial"/>
        <family val="0"/>
        <charset val="1"/>
      </rPr>
      <t xml:space="preserve">e2e 295/295 ×3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23:47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23:42</t>
    </r>
    <r>
      <rPr>
        <sz val="10"/>
        <rFont val="Noto Sans CJK SC"/>
        <family val="2"/>
      </rPr>
      <t xml:space="preserve">）；伺服器端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；並發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錯。變異（驗證者於本機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開頭放回 </t>
    </r>
    <r>
      <rPr>
        <sz val="10"/>
        <rFont val="Arial"/>
        <family val="0"/>
        <charset val="1"/>
      </rPr>
      <t xml:space="preserve">ensure_ui_prefs_seeded(conn)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test_get_ui_prefs_answers_under_a_held_write_lock_without_creating_its_table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</si>
  <si>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同類：開發者稱 81 個 GET 中 22 個原本會寫入；驗證者抽驗 /api/insight-tasks/status 並發 10 個全 200（R4 量到約 5.6 秒，本輪 812 ms）</t>
  </si>
  <si>
    <t xml:space="preserve"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</si>
  <si>
    <r>
      <rPr>
        <sz val="10"/>
        <rFont val="Arial"/>
        <family val="0"/>
        <charset val="1"/>
      </rPr>
      <t xml:space="preserve">web/pipeline-wizard.js:29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web/settings-alerts.js:97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portfolio_dash/ops/notify.py:72</t>
    </r>
    <r>
      <rPr>
        <sz val="10"/>
        <rFont val="Noto Sans CJK SC"/>
        <family val="2"/>
      </rPr>
      <t xml:space="preserve">（第三份名稱表）、</t>
    </r>
    <r>
      <rPr>
        <sz val="10"/>
        <rFont val="Arial"/>
        <family val="0"/>
        <charset val="1"/>
      </rPr>
      <t xml:space="preserve">:367</t>
    </r>
    <r>
      <rPr>
        <sz val="10"/>
        <rFont val="Noto Sans CJK SC"/>
        <family val="2"/>
      </rPr>
      <t xml:space="preserve">（推播退回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portfolio_dash/api/routers/strategy.py:42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不帶名稱）</t>
    </r>
  </si>
  <si>
    <r>
      <rPr>
        <sz val="10"/>
        <rFont val="Arial"/>
        <family val="0"/>
        <charset val="1"/>
      </rPr>
      <t xml:space="preserve">tests/unit/test_notify.py::test_rule_catalog_covers_backend_rule_ids </t>
    </r>
    <r>
      <rPr>
        <sz val="10"/>
        <rFont val="Noto Sans CJK SC"/>
        <family val="2"/>
      </rPr>
      <t xml:space="preserve">只比對推播目錄的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是否涵蓋註冊表，沒檢查前端兩份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表、也不比用詞；</t>
    </r>
    <r>
      <rPr>
        <sz val="10"/>
        <rFont val="Arial"/>
        <family val="0"/>
        <charset val="1"/>
      </rPr>
      <t xml:space="preserve">test_format_event_global_and_unknown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會出現，把「退回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」固定成正確行為；</t>
    </r>
    <r>
      <rPr>
        <sz val="10"/>
        <rFont val="Arial"/>
        <family val="0"/>
        <charset val="1"/>
      </rPr>
      <t xml:space="preserve">test_pages_smoke </t>
    </r>
    <r>
      <rPr>
        <sz val="10"/>
        <rFont val="Noto Sans CJK SC"/>
        <family val="2"/>
      </rPr>
      <t xml:space="preserve">的預警規則測試只數「至少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列」不讀文字；</t>
    </r>
    <r>
      <rPr>
        <sz val="10"/>
        <rFont val="Arial"/>
        <family val="0"/>
        <charset val="1"/>
      </rPr>
      <t xml:space="preserve">DEF-053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與同類掃描只看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識別字。新守門：契約以規則註冊表 </t>
    </r>
    <r>
      <rPr>
        <sz val="10"/>
        <rFont val="Arial"/>
        <family val="0"/>
        <charset val="1"/>
      </rPr>
      <t xml:space="preserve">RULE_IDS </t>
    </r>
    <r>
      <rPr>
        <sz val="10"/>
        <rFont val="Noto Sans CJK SC"/>
        <family val="2"/>
      </rPr>
      <t xml:space="preserve">為母集合逐條斷言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（新增規則沒給名稱就失敗，名稱表多出註冊表沒有的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也失敗）；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讀精靈、預警規則、通知中心三頁的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文字；舊的「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會出現」斷言改為「未命名規則」且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不出現。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</si>
  <si>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唯一來源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portfolio_dash/shared/alert_rule_names.py——ALERT_RULE_NAMES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條，用詞以系統設定 › 預警規則現行名稱為準）、</t>
    </r>
    <r>
      <rPr>
        <sz val="10"/>
        <rFont val="Arial"/>
        <family val="0"/>
        <charset val="1"/>
      </rPr>
      <t xml:space="preserve">EVENT_RULE_NAMES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個技術訊號事件＋</t>
    </r>
    <r>
      <rPr>
        <sz val="10"/>
        <rFont val="Arial"/>
        <family val="0"/>
        <charset val="1"/>
      </rPr>
      <t xml:space="preserve">calibration_regression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（查不到回「未命名規則」並記 </t>
    </r>
    <r>
      <rPr>
        <sz val="10"/>
        <rFont val="Arial"/>
        <family val="0"/>
        <charset val="1"/>
      </rPr>
      <t xml:space="preserve">log </t>
    </r>
    <r>
      <rPr>
        <sz val="10"/>
        <rFont val="Noto Sans CJK SC"/>
        <family val="2"/>
      </rPr>
      <t xml:space="preserve">警告，絕不回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）。放 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是因為讀它的層彼此不能互相匯入：</t>
    </r>
    <r>
      <rPr>
        <sz val="10"/>
        <rFont val="Arial"/>
        <family val="0"/>
        <charset val="1"/>
      </rPr>
      <t xml:space="preserve">ops/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）不能匯入 </t>
    </r>
    <r>
      <rPr>
        <sz val="10"/>
        <rFont val="Arial"/>
        <family val="0"/>
        <charset val="1"/>
      </rPr>
      <t xml:space="preserve">ops/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 </t>
    </r>
    <r>
      <rPr>
        <sz val="10"/>
        <rFont val="Noto Sans CJK SC"/>
        <family val="2"/>
      </rPr>
      <t xml:space="preserve">也要用；不採注入是 </t>
    </r>
    <r>
      <rPr>
        <sz val="10"/>
        <rFont val="Arial"/>
        <family val="0"/>
        <charset val="1"/>
      </rPr>
      <t xml:space="preserve">D39 </t>
    </r>
    <r>
      <rPr>
        <sz val="10"/>
        <rFont val="Noto Sans CJK SC"/>
        <family val="2"/>
      </rPr>
      <t xml:space="preserve">的理由——漏註冊會安靜退化，而退化結果正是這次要消除的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**API**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PUT /api/alert-rules </t>
    </r>
    <r>
      <rPr>
        <sz val="10"/>
        <rFont val="Noto Sans CJK SC"/>
        <family val="2"/>
      </rPr>
      <t xml:space="preserve">每條帶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的三種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訊息改用名稱（「「單一標的集中度」低於下限」）。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前端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：精靈刪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r.name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settings-alerts.js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刪掉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（保留嚴重度、說明、步進）改讀 </t>
    </r>
    <r>
      <rPr>
        <sz val="10"/>
        <rFont val="Arial"/>
        <family val="0"/>
        <charset val="1"/>
      </rPr>
      <t xml:space="preserve">w.name</t>
    </r>
    <r>
      <rPr>
        <sz val="10"/>
        <rFont val="Noto Sans CJK SC"/>
        <family val="2"/>
      </rPr>
      <t xml:space="preserve">；通知中心與洞察卡晶片的後備改「未命名規則」並 </t>
    </r>
    <r>
      <rPr>
        <sz val="10"/>
        <rFont val="Arial"/>
        <family val="0"/>
        <charset val="1"/>
      </rPr>
      <t xml:space="preserve">console.warn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後端顯示端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：推播目錄、推播文字、摘要（今日警示、本週警示回顧）、洞察卡觸發晶片、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閘門訊息、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明細（規則清單、略過與非持有說明）全改用 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；明細分隔改全形「、」。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用詞統一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：精靈「價格過期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缺價」→「價格過期」、「即將除息」→「即將除息提醒」；推播／通知中心／摘要／晶片「即將除息」→「即將除息提醒」；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新名「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成績轉差」。既有資料：卡片 </t>
    </r>
    <r>
      <rPr>
        <sz val="10"/>
        <rFont val="Arial"/>
        <family val="0"/>
        <charset val="1"/>
      </rPr>
      <t xml:space="preserve">trigger_json</t>
    </r>
    <r>
      <rPr>
        <sz val="10"/>
        <rFont val="Noto Sans CJK SC"/>
        <family val="2"/>
      </rPr>
      <t xml:space="preserve">、訂閱設定、</t>
    </r>
    <r>
      <rPr>
        <sz val="10"/>
        <rFont val="Arial"/>
        <family val="0"/>
        <charset val="1"/>
      </rPr>
      <t xml:space="preserve">alert_events </t>
    </r>
    <r>
      <rPr>
        <sz val="10"/>
        <rFont val="Noto Sans CJK SC"/>
        <family val="2"/>
      </rPr>
      <t xml:space="preserve">都在讀取時解析名稱，不需遷移；修正前寫入的 </t>
    </r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歷史列與已存週報文字保留（見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決策）。複驗請在 排程中心 ›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按「立即執行」產生新的一列（舊列仍是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職責）。</t>
    </r>
  </si>
  <si>
    <t xml:space="preserve"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</si>
  <si>
    <t xml:space="preserve"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</si>
  <si>
    <t xml:space="preserve"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</si>
  <si>
    <t xml:space="preserve"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</si>
  <si>
    <t xml:space="preserve">精靈 15/15 中文且與 API／預警規則頁逐字相同；排程明細與卡片晶片皆為中文</t>
  </si>
  <si>
    <t xml:space="preserve"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</si>
  <si>
    <t xml:space="preserve"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</si>
  <si>
    <r>
      <rPr>
        <sz val="10"/>
        <rFont val="Arial"/>
        <family val="0"/>
        <charset val="1"/>
      </rPr>
      <t xml:space="preserve">portfolio_dash/pricing/ingest.py:55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（兩個宇宙）；</t>
    </r>
    <r>
      <rPr>
        <sz val="10"/>
        <rFont val="Arial"/>
        <family val="0"/>
        <charset val="1"/>
      </rPr>
      <t xml:space="preserve">portfolio_dash/api/routers/instruments.py:58</t>
    </r>
    <r>
      <rPr>
        <sz val="10"/>
        <rFont val="Noto Sans CJK SC"/>
        <family val="2"/>
      </rPr>
      <t xml:space="preserve">（封存守門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、全日期淨額）；</t>
    </r>
    <r>
      <rPr>
        <sz val="10"/>
        <rFont val="Arial"/>
        <family val="0"/>
        <charset val="1"/>
      </rPr>
      <t xml:space="preserve">portfolio_dash/data_ingestion/store.py:1636</t>
    </r>
    <r>
      <rPr>
        <sz val="10"/>
        <rFont val="Noto Sans CJK SC"/>
        <family val="2"/>
      </rPr>
      <t xml:space="preserve">（刪除交易）與其他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個會改變持股的寫入函式（不重新啟用）；</t>
    </r>
    <r>
      <rPr>
        <sz val="10"/>
        <rFont val="Arial"/>
        <family val="0"/>
        <charset val="1"/>
      </rPr>
      <t xml:space="preserve">portfolio_dash/scheduler/jobs.py:1292</t>
    </r>
    <r>
      <rPr>
        <sz val="10"/>
        <rFont val="Noto Sans CJK SC"/>
        <family val="2"/>
      </rPr>
      <t xml:space="preserve">（報價宇宙，原本正確但為第三份寫法）</t>
    </r>
  </si>
  <si>
    <t xml:space="preserve"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</si>
  <si>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portfolio_dash/shared/instrument_scope.py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TRACKED_SQL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`COALESCE(archived, 0) = 0`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tracked_instruments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tracked_symbols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註明借用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表）。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處改走它：</t>
    </r>
    <r>
      <rPr>
        <sz val="10"/>
        <rFont val="Arial"/>
        <family val="0"/>
        <charset val="1"/>
      </rPr>
      <t xml:space="preserve">ingest.tw_universe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ingest.all_universe</t>
    </r>
    <r>
      <rPr>
        <sz val="10"/>
        <rFont val="Noto Sans CJK SC"/>
        <family val="2"/>
      </rPr>
      <t xml:space="preserve">（本單）、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（報價，原本正確）、</t>
    </r>
    <r>
      <rPr>
        <sz val="10"/>
        <rFont val="Arial"/>
        <family val="0"/>
        <charset val="1"/>
      </rPr>
      <t xml:space="preserve">DEF-059 </t>
    </r>
    <r>
      <rPr>
        <sz val="10"/>
        <rFont val="Noto Sans CJK SC"/>
        <family val="2"/>
      </rPr>
      <t xml:space="preserve">洞察宇宙、訊號、新聞、警示（原本各自寫 </t>
    </r>
    <r>
      <rPr>
        <sz val="10"/>
        <rFont val="Arial"/>
        <family val="0"/>
        <charset val="1"/>
      </rPr>
      <t xml:space="preserve">`not i.archived`</t>
    </r>
    <r>
      <rPr>
        <sz val="10"/>
        <rFont val="Noto Sans CJK SC"/>
        <family val="2"/>
      </rPr>
      <t xml:space="preserve">）——全 </t>
    </r>
    <r>
      <rPr>
        <sz val="10"/>
        <rFont val="Arial"/>
        <family val="0"/>
        <charset val="1"/>
      </rPr>
      <t xml:space="preserve">repo </t>
    </r>
    <r>
      <rPr>
        <sz val="10"/>
        <rFont val="Noto Sans CJK SC"/>
        <family val="2"/>
      </rPr>
      <t xml:space="preserve">只剩一份定義。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持有的單一定義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data_ingestion/holdings.py::holds_position</t>
    </r>
    <r>
      <rPr>
        <sz val="10"/>
        <rFont val="Noto Sans CJK SC"/>
        <family val="2"/>
      </rPr>
      <t xml:space="preserve">＝任一帳戶在今天或之後任何一個帳本日期持股 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（涵蓋放空、未來日期列、未釐清賣超）。兩邊用同一個判定：封存／移除路由的守門（</t>
    </r>
    <r>
      <rPr>
        <sz val="10"/>
        <rFont val="Arial"/>
        <family val="0"/>
        <charset val="1"/>
      </rPr>
      <t xml:space="preserve">api/routers/instruments.py::_archive_blocked</t>
    </r>
    <r>
      <rPr>
        <sz val="10"/>
        <rFont val="Noto Sans CJK SC"/>
        <family val="2"/>
      </rPr>
      <t xml:space="preserve">），以及寫入端 </t>
    </r>
    <r>
      <rPr>
        <sz val="10"/>
        <rFont val="Arial"/>
        <family val="0"/>
        <charset val="1"/>
      </rPr>
      <t xml:space="preserve">store._reactivate_if_held——</t>
    </r>
    <r>
      <rPr>
        <sz val="10"/>
        <rFont val="Noto Sans CJK SC"/>
        <family val="2"/>
      </rPr>
      <t xml:space="preserve">修改／刪除交易、股利新增／修改／刪除（配股、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）、期初刪除、公司行動新增／修改／刪除，只有已封存的標的才重播帳本；批次復原經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的刪除函式自動涵蓋。還原後下一次排程自然回到宇宙（有測試），不需另外回補。</t>
    </r>
  </si>
  <si>
    <r>
      <rPr>
        <sz val="10"/>
        <rFont val="Arial"/>
        <family val="0"/>
        <charset val="1"/>
      </rPr>
      <t xml:space="preserve">`FROM instruments`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）／改走共用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jobs.py:1292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（依名稱查市場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board_status 1</t>
    </r>
    <r>
      <rPr>
        <sz val="10"/>
        <rFont val="Noto Sans CJK SC"/>
        <family val="2"/>
      </rPr>
      <t xml:space="preserve">、股利帳本幣別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、帳戶合併對帳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get_instrument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註冊表本身、產業遷移、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稽核、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旗標稽核腳本、刪卡腳本、</t>
    </r>
    <r>
      <rPr>
        <sz val="10"/>
        <rFont val="Arial"/>
        <family val="0"/>
        <charset val="1"/>
      </rPr>
      <t xml:space="preserve">stress-audit oracle——</t>
    </r>
    <r>
      <rPr>
        <sz val="10"/>
        <rFont val="Noto Sans CJK SC"/>
        <family val="2"/>
      </rPr>
      <t xml:space="preserve">這些都應含封存）。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的宇宙類 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／改走共用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（洞察、訊號、新聞、警示）／白名單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fundamentals_service.py:33 </t>
    </r>
    <r>
      <rPr>
        <sz val="10"/>
        <rFont val="Noto Sans CJK SC"/>
        <family val="2"/>
      </rPr>
      <t xml:space="preserve">只抓持倉；</t>
    </r>
    <r>
      <rPr>
        <sz val="10"/>
        <rFont val="Arial"/>
        <family val="0"/>
        <charset val="1"/>
      </rPr>
      <t xml:space="preserve">dividend_inbox.py:220 </t>
    </r>
    <r>
      <rPr>
        <sz val="10"/>
        <rFont val="Noto Sans CJK SC"/>
        <family val="2"/>
      </rPr>
      <t xml:space="preserve">配息權利偵測，超出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個排程，見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決策）；其餘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個呼叫點是顯示、帳本或查名。「持有 ⇒ 未封存」入口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個封存路由＋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個寫入函式）／原本正確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。掃描指令：</t>
    </r>
    <r>
      <rPr>
        <sz val="10"/>
        <rFont val="Arial"/>
        <family val="0"/>
        <charset val="1"/>
      </rPr>
      <t xml:space="preserve">git grep -n -i -E "from instruments|join instruments" 1ee7771 --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1ee7771 -- portfolio_dash scripts</t>
    </r>
    <r>
      <rPr>
        <sz val="10"/>
        <rFont val="Noto Sans CJK SC"/>
        <family val="2"/>
      </rPr>
      <t xml:space="preserve">。</t>
    </r>
  </si>
  <si>
    <t xml:space="preserve"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</si>
  <si>
    <t xml:space="preserve"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</si>
  <si>
    <t xml:space="preserve"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</si>
  <si>
    <t xml:space="preserve"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</si>
  <si>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</t>
    </r>
  </si>
  <si>
    <t xml:space="preserve">同意，依 owner 裁定寫清理腳本。「誰擁有這列起始價」只保留一份判定，腳本與刪除、批次復原、編輯搬移呼叫同一個 method，兩邊不可能判得不一樣。</t>
  </si>
  <si>
    <r>
      <rPr>
        <sz val="10"/>
        <rFont val="Arial"/>
        <family val="0"/>
        <charset val="1"/>
      </rPr>
      <t xml:space="preserve">portfolio_dash/pricing/seed.py:140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_owned_slot</t>
    </r>
    <r>
      <rPr>
        <sz val="10"/>
        <rFont val="Noto Sans CJK SC"/>
        <family val="2"/>
      </rPr>
      <t xml:space="preserve">，擁有判定原本只在路由層）、</t>
    </r>
    <r>
      <rPr>
        <sz val="10"/>
        <rFont val="Arial"/>
        <family val="0"/>
        <charset val="1"/>
      </rPr>
      <t xml:space="preserve">:2476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prices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、簽章完整、無擁有者的列）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</si>
  <si>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tests/contract/test_def040_r4_seed_never_overwrites.py </t>
    </r>
    <r>
      <rPr>
        <sz val="10"/>
        <rFont val="Noto Sans CJK SC"/>
        <family val="2"/>
      </rPr>
      <t xml:space="preserve">刻意釘住「孤兒不覆寫、不刪」（前向行為）；盲點是沒有「每一列起始價簽章都有擁有者」這條不變式，既有殘留從不被列舉。新防線：腳本的試跑就是這條不變式的檢查（清理後必須顯示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筆），由測試釘住；擁有判定抽成單一 </t>
    </r>
    <r>
      <rPr>
        <sz val="10"/>
        <rFont val="Arial"/>
        <family val="0"/>
        <charset val="1"/>
      </rPr>
      <t xml:space="preserve">method </t>
    </r>
    <r>
      <rPr>
        <sz val="10"/>
        <rFont val="Noto Sans CJK SC"/>
        <family val="2"/>
      </rPr>
      <t xml:space="preserve">後，拿掉舊格式規則的變異會同時打壞腳本與既有的刪除門測試。</t>
    </r>
  </si>
  <si>
    <t xml:space="preserve"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</si>
  <si>
    <t xml:space="preserve"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</si>
  <si>
    <t xml:space="preserve"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</si>
  <si>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</si>
  <si>
    <t xml:space="preserve"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</si>
  <si>
    <t xml:space="preserve"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</si>
  <si>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個情境全數符合規格（拒絕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、試跑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、套用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、重跑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has_seed_signature </t>
    </r>
    <r>
      <rPr>
        <sz val="10"/>
        <rFont val="Noto Sans CJK SC"/>
        <family val="2"/>
      </rPr>
      <t xml:space="preserve">拿掉「</t>
    </r>
    <r>
      <rPr>
        <sz val="10"/>
        <rFont val="Arial"/>
        <family val="0"/>
        <charset val="1"/>
      </rPr>
      <t xml:space="preserve">00:00</t>
    </r>
    <r>
      <rPr>
        <sz val="10"/>
        <rFont val="Noto Sans CJK SC"/>
        <family val="2"/>
      </rPr>
      <t xml:space="preserve">」條件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KeyError: ('ORPH', '2026-03-06')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assert 3 == 2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14 passed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</si>
  <si>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 → 讀 </t>
    </r>
    <r>
      <rPr>
        <sz val="10"/>
        <rFont val="Arial"/>
        <family val="0"/>
        <charset val="1"/>
      </rPr>
      <t xml:space="preserve">insight:9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狀態與明細；本機 </t>
    </r>
    <r>
      <rPr>
        <sz val="10"/>
        <rFont val="Arial"/>
        <family val="0"/>
        <charset val="1"/>
      </rPr>
      <t xml:space="preserve">venv </t>
    </r>
    <r>
      <rPr>
        <sz val="10"/>
        <rFont val="Noto Sans CJK SC"/>
        <family val="2"/>
      </rPr>
      <t xml:space="preserve">檢查相依</t>
    </r>
  </si>
  <si>
    <t xml:space="preserve"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</si>
  <si>
    <r>
      <rPr>
        <sz val="10"/>
        <rFont val="Arial"/>
        <family val="0"/>
        <charset val="1"/>
      </rPr>
      <t xml:space="preserve">3/7 run partial</t>
    </r>
    <r>
      <rPr>
        <sz val="10"/>
        <rFont val="Noto Sans CJK SC"/>
        <family val="2"/>
      </rPr>
      <t xml:space="preserve">；明細為英文例外原文</t>
    </r>
  </si>
  <si>
    <t xml:space="preserve">開 DEF-066</t>
  </si>
  <si>
    <t xml:space="preserve">本機：排程中心畫面改 cron → 等 22:38 自然觸發 → 讀 排程中心 各列與 /api/scheduler/runs → 畫面還原 cron</t>
  </si>
  <si>
    <t xml:space="preserve"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</si>
  <si>
    <r>
      <rPr>
        <sz val="10"/>
        <rFont val="Arial"/>
        <family val="0"/>
        <charset val="1"/>
      </rPr>
      <t xml:space="preserve">dividends_daily 0/10 </t>
    </r>
    <r>
      <rPr>
        <sz val="10"/>
        <rFont val="Noto Sans CJK SC"/>
        <family val="2"/>
      </rPr>
      <t xml:space="preserve">成功、狀態 </t>
    </r>
    <r>
      <rPr>
        <sz val="10"/>
        <rFont val="Arial"/>
        <family val="0"/>
        <charset val="1"/>
      </rPr>
      <t xml:space="preserve">ok</t>
    </r>
  </si>
  <si>
    <t xml:space="preserve">開 DEF-067</t>
  </si>
  <si>
    <t xml:space="preserve">本機 Playwright：儀表板 重新整理 › 更新報價，攔截 /api/actions/refresh-quotes 回應與提示文字，前後比對 prices 表</t>
  </si>
  <si>
    <t xml:space="preserve"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</si>
  <si>
    <t xml:space="preserve">提示宣稱其餘已更新；實際 0 更新；匯率失敗未提</t>
  </si>
  <si>
    <t xml:space="preserve">開 DEF-068</t>
  </si>
  <si>
    <t xml:space="preserve">本機 Playwright：AI 洞察 › 持倉健診 讀每檔標題卡；API 三種形狀計數</t>
  </si>
  <si>
    <t xml:space="preserve"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</si>
  <si>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張影子進正式清單；持倉健診 </t>
    </r>
    <r>
      <rPr>
        <sz val="10"/>
        <rFont val="Arial"/>
        <family val="0"/>
        <charset val="1"/>
      </rPr>
      <t xml:space="preserve">9/9 </t>
    </r>
    <r>
      <rPr>
        <sz val="10"/>
        <rFont val="Noto Sans CJK SC"/>
        <family val="2"/>
      </rPr>
      <t xml:space="preserve">標題為影子卡</t>
    </r>
  </si>
  <si>
    <t xml:space="preserve">開 DEF-069</t>
  </si>
  <si>
    <t xml:space="preserve">本機時間推進（freezegun）＋合成價格：逐日執行任務、評分、產生校正、晉升，讀 insights 表與假模型請求紀錄</t>
  </si>
  <si>
    <t xml:space="preserve"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</si>
  <si>
    <t xml:space="preserve">第一批 9 張（上限 2）；之後 0 張；v3 無法評估</t>
  </si>
  <si>
    <t xml:space="preserve">開 DEF-070</t>
  </si>
  <si>
    <t xml:space="preserve">本機 Playwright：任務抽屜校正版本鏈、進化設定說明、診斷 G7；搜尋 web/ 呼叫點</t>
  </si>
  <si>
    <t xml:space="preserve"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</si>
  <si>
    <t xml:space="preserve">版本鏈只有封存；0 個生效控制項</t>
  </si>
  <si>
    <t xml:space="preserve">開 DEF-071</t>
  </si>
  <si>
    <t xml:space="preserve">本機 Playwright：儀表板開 2330 抽屜 → 門 2 → 讀表單欄位；另開門 1 比對欄位；前置以 SQLite 備份還原</t>
  </si>
  <si>
    <t xml:space="preserve"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</si>
  <si>
    <t xml:space="preserve">代號 2330 ✓、帳戶 Moomoo MY ✗（應為台灣券商）</t>
  </si>
  <si>
    <t xml:space="preserve">開 DEF-072</t>
  </si>
  <si>
    <t xml:space="preserve">讀排程中心各列明細（demo＋本機）</t>
  </si>
  <si>
    <t xml:space="preserve"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</si>
  <si>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個工作的明細含英文；校正工作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種結果同一句</t>
    </r>
  </si>
  <si>
    <t xml:space="preserve">開 DEF-073</t>
  </si>
  <si>
    <t xml:space="preserve">2026-09-26</t>
  </si>
  <si>
    <t xml:space="preserve">—（Owner 裁定）</t>
  </si>
  <si>
    <t xml:space="preserve">規格未定→owner 已裁定（2026-09-26）</t>
  </si>
  <si>
    <t xml:space="preserve">開 DEF-074，owner 已裁定 ① B</t>
  </si>
  <si>
    <t xml:space="preserve">檢驗方 2026-09-26</t>
  </si>
  <si>
    <t xml:space="preserve">讀開發者交接決策項＋讀碼＋本機重現（0056 未來日期賣出清倉）</t>
  </si>
  <si>
    <t xml:space="preserve">決策項→owner 已裁定（2026-09-26），屬程式缺陷</t>
  </si>
  <si>
    <t xml:space="preserve">開 DEF-075，owner 已裁定 ② B</t>
  </si>
  <si>
    <t xml:space="preserve">開 DEF-076，owner 已裁定 ⑤ 統一為「AI 額度偏低」</t>
  </si>
  <si>
    <t xml:space="preserve">開 DEF-077，owner 已裁定 ⑥ A</t>
  </si>
  <si>
    <t xml:space="preserve">開 DEF-078，owner 已裁定 ⑦ A＋前後 6 字元明文</t>
  </si>
  <si>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（附帶）；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複驗（</t>
    </r>
    <r>
      <rPr>
        <sz val="11"/>
        <color theme="1"/>
        <rFont val="Calibri"/>
        <family val="2"/>
        <charset val="1"/>
      </rPr>
      <t xml:space="preserve">demo alert_scan #195 → insight:9 #196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#202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測試連線</t>
    </r>
  </si>
  <si>
    <t xml:space="preserve"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</si>
  <si>
    <r>
      <rPr>
        <sz val="11"/>
        <color theme="1"/>
        <rFont val="Calibri"/>
        <family val="2"/>
        <charset val="1"/>
      </rPr>
      <t xml:space="preserve">portfolio_dash/shared/llm.py:329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:530</t>
    </r>
    <r>
      <rPr>
        <sz val="11"/>
        <color theme="1"/>
        <rFont val="Noto Sans CJK SC"/>
        <family val="2"/>
      </rPr>
      <t xml:space="preserve">（兩個 </t>
    </r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呼叫點）；</t>
    </r>
    <r>
      <rPr>
        <sz val="11"/>
        <color theme="1"/>
        <rFont val="Calibri"/>
        <family val="2"/>
        <charset val="1"/>
      </rPr>
      <t xml:space="preserve">portfolio_dash/llm_insight/generate.py:434</t>
    </r>
    <r>
      <rPr>
        <sz val="11"/>
        <color theme="1"/>
        <rFont val="Noto Sans CJK SC"/>
        <family val="2"/>
      </rPr>
      <t xml:space="preserve">（明細寫入英文原文）；</t>
    </r>
    <r>
      <rPr>
        <sz val="11"/>
        <color theme="1"/>
        <rFont val="Calibri"/>
        <family val="2"/>
        <charset val="1"/>
      </rPr>
      <t xml:space="preserve">portfolio_dash/api/routers/llm_settings.py:419</t>
    </r>
    <r>
      <rPr>
        <sz val="11"/>
        <color theme="1"/>
        <rFont val="Noto Sans CJK SC"/>
        <family val="2"/>
      </rPr>
      <t xml:space="preserve">（設定頁測試連線，第三個呼叫點）</t>
    </r>
  </si>
  <si>
    <t xml:space="preserve"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</si>
  <si>
    <t xml:space="preserve"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</si>
  <si>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 共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llm.py </t>
    </r>
    <r>
      <rPr>
        <sz val="11"/>
        <color theme="1"/>
        <rFont val="Noto Sans CJK SC"/>
        <family val="2"/>
      </rPr>
      <t xml:space="preserve">兩處合併成 </t>
    </r>
    <r>
      <rPr>
        <sz val="11"/>
        <color theme="1"/>
        <rFont val="Calibri"/>
        <family val="2"/>
        <charset val="1"/>
      </rPr>
      <t xml:space="preserve">_call_provider </t>
    </r>
    <r>
      <rPr>
        <sz val="11"/>
        <color theme="1"/>
        <rFont val="Noto Sans CJK SC"/>
        <family val="2"/>
      </rPr>
      <t xml:space="preserve">一處＋設定頁測試連線）／白名單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。「把例外字串寫進 </t>
    </r>
    <r>
      <rPr>
        <sz val="11"/>
        <color theme="1"/>
        <rFont val="Calibri"/>
        <family val="2"/>
        <charset val="1"/>
      </rPr>
      <t xml:space="preserve">job_runs.detail</t>
    </r>
    <r>
      <rPr>
        <sz val="11"/>
        <color theme="1"/>
        <rFont val="Noto Sans CJK SC"/>
        <family val="2"/>
      </rPr>
      <t xml:space="preserve">」的寫入點：</t>
    </r>
    <r>
      <rPr>
        <sz val="11"/>
        <color theme="1"/>
        <rFont val="Calibri"/>
        <family val="2"/>
        <charset val="1"/>
      </rPr>
      <t xml:space="preserve">generate.py:434 </t>
    </r>
    <r>
      <rPr>
        <sz val="11"/>
        <color theme="1"/>
        <rFont val="Noto Sans CJK SC"/>
        <family val="2"/>
      </rPr>
      <t xml:space="preserve">修（併入 </t>
    </r>
    <r>
      <rPr>
        <sz val="11"/>
        <color theme="1"/>
        <rFont val="Calibri"/>
        <family val="2"/>
        <charset val="1"/>
      </rPr>
      <t xml:space="preserve">DEF-073 </t>
    </r>
    <r>
      <rPr>
        <sz val="11"/>
        <color theme="1"/>
        <rFont val="Noto Sans CJK SC"/>
        <family val="2"/>
      </rPr>
      <t xml:space="preserve">的中文化）；</t>
    </r>
    <r>
      <rPr>
        <sz val="11"/>
        <color theme="1"/>
        <rFont val="Calibri"/>
        <family val="2"/>
        <charset val="1"/>
      </rPr>
      <t xml:space="preserve">jobs.failure_detail </t>
    </r>
    <r>
      <rPr>
        <sz val="11"/>
        <color theme="1"/>
        <rFont val="Noto Sans CJK SC"/>
        <family val="2"/>
      </rPr>
      <t xml:space="preserve">白名單（</t>
    </r>
    <r>
      <rPr>
        <sz val="11"/>
        <color theme="1"/>
        <rFont val="Calibri"/>
        <family val="2"/>
        <charset val="1"/>
      </rPr>
      <t xml:space="preserve">DEF-030 </t>
    </r>
    <r>
      <rPr>
        <sz val="11"/>
        <color theme="1"/>
        <rFont val="Noto Sans CJK SC"/>
        <family val="2"/>
      </rPr>
      <t xml:space="preserve">決定保留例外類別名與原文供查 </t>
    </r>
    <r>
      <rPr>
        <sz val="11"/>
        <color theme="1"/>
        <rFont val="Calibri"/>
        <family val="2"/>
        <charset val="1"/>
      </rPr>
      <t xml:space="preserve">log</t>
    </r>
    <r>
      <rPr>
        <sz val="11"/>
        <color theme="1"/>
        <rFont val="Noto Sans CJK SC"/>
        <family val="2"/>
      </rPr>
      <t xml:space="preserve">）。掃描指令：</t>
    </r>
    <r>
      <rPr>
        <sz val="11"/>
        <color theme="1"/>
        <rFont val="Calibri"/>
        <family val="2"/>
        <charset val="1"/>
      </rPr>
      <t xml:space="preserve">grep -rn "litellm\.\(a\)\?completion" portfolio_dash</t>
    </r>
    <r>
      <rPr>
        <sz val="11"/>
        <color theme="1"/>
        <rFont val="Noto Sans CJK SC"/>
        <family val="2"/>
      </rPr>
      <t xml:space="preserve">；運行紀錄寫入點見 </t>
    </r>
    <r>
      <rPr>
        <sz val="11"/>
        <color theme="1"/>
        <rFont val="Calibri"/>
        <family val="2"/>
        <charset val="1"/>
      </rPr>
      <t xml:space="preserve">DEF-073</t>
    </r>
    <r>
      <rPr>
        <sz val="11"/>
        <color theme="1"/>
        <rFont val="Noto Sans CJK SC"/>
        <family val="2"/>
      </rPr>
      <t xml:space="preserve">。</t>
    </r>
  </si>
  <si>
    <t xml:space="preserve"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</si>
  <si>
    <r>
      <rPr>
        <sz val="11"/>
        <color theme="1"/>
        <rFont val="Calibri"/>
        <family val="2"/>
        <charset val="1"/>
      </rPr>
      <t xml:space="preserve">696934e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</si>
  <si>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ruff </t>
    </r>
    <r>
      <rPr>
        <sz val="11"/>
        <color theme="1"/>
        <rFont val="Noto Sans CJK SC"/>
        <family val="2"/>
      </rPr>
      <t xml:space="preserve">全過（</t>
    </r>
    <r>
      <rPr>
        <sz val="11"/>
        <color theme="1"/>
        <rFont val="Calibri"/>
        <family val="2"/>
        <charset val="1"/>
      </rPr>
      <t xml:space="preserve">portfolio_dash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scripts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mypy --strict 950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問題・</t>
    </r>
    <r>
      <rPr>
        <sz val="11"/>
        <color theme="1"/>
        <rFont val="Calibri"/>
        <family val="2"/>
        <charset val="1"/>
      </rPr>
      <t xml:space="preserve">pytest 6,488 </t>
    </r>
    <r>
      <rPr>
        <sz val="11"/>
        <color theme="1"/>
        <rFont val="Noto Sans CJK SC"/>
        <family val="2"/>
      </rPr>
      <t xml:space="preserve">則（</t>
    </r>
    <r>
      <rPr>
        <sz val="11"/>
        <color theme="1"/>
        <rFont val="Calibri"/>
        <family val="2"/>
        <charset val="1"/>
      </rPr>
      <t xml:space="preserve">6,486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略過、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失敗；本機記憶體不足，以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小批逐段前景執行）・</t>
    </r>
    <r>
      <rPr>
        <sz val="11"/>
        <color theme="1"/>
        <rFont val="Calibri"/>
        <family val="2"/>
        <charset val="1"/>
      </rPr>
      <t xml:space="preserve">e2e 88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304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304 </t>
    </r>
    <r>
      <rPr>
        <sz val="11"/>
        <color theme="1"/>
        <rFont val="Noto Sans CJK SC"/>
        <family val="2"/>
      </rPr>
      <t xml:space="preserve">全過（伺服器端 </t>
    </r>
    <r>
      <rPr>
        <sz val="11"/>
        <color theme="1"/>
        <rFont val="Calibri"/>
        <family val="2"/>
        <charset val="1"/>
      </rPr>
      <t xml:space="preserve">5xx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traceback 0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stress-audit ops=128 pass=6,025 fail=0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verify_live ALL PASS</t>
    </r>
    <r>
      <rPr>
        <sz val="11"/>
        <color theme="1"/>
        <rFont val="Noto Sans CJK SC"/>
        <family val="2"/>
      </rPr>
      <t xml:space="preserve">；唯讀探測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console </t>
    </r>
    <r>
      <rPr>
        <sz val="11"/>
        <color theme="1"/>
        <rFont val="Noto Sans CJK SC"/>
        <family val="2"/>
      </rPr>
      <t xml:space="preserve">錯誤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5xx 0</t>
    </r>
  </si>
  <si>
    <t xml:space="preserve"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</si>
  <si>
    <t xml:space="preserve"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</si>
  <si>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個情境與規格一致（兩者皆失敗時明細分列兩者原因、重試只針對暫時性錯誤、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不重試改走備援）。變異（驗證者於本機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重做）：</t>
    </r>
    <r>
      <rPr>
        <sz val="11"/>
        <color theme="1"/>
        <rFont val="Calibri"/>
        <family val="2"/>
        <charset val="1"/>
      </rPr>
      <t xml:space="preserve">retries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 → 8 failed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test_real_litellm_transient_failure_is_retried_then_succeeds </t>
    </r>
    <r>
      <rPr>
        <sz val="11"/>
        <color theme="1"/>
        <rFont val="Noto Sans CJK SC"/>
        <family val="2"/>
      </rPr>
      <t xml:space="preserve">等），還原後 </t>
    </r>
    <r>
      <rPr>
        <sz val="11"/>
        <color theme="1"/>
        <rFont val="Calibri"/>
        <family val="2"/>
        <charset val="1"/>
      </rPr>
      <t xml:space="preserve">16 passed</t>
    </r>
  </si>
  <si>
    <t xml:space="preserve">附註：備援模型名稱不在 litellm 的 schema 支援清單時以提示詞要求 JSON（不帶 response_format），驗證者假服務需回 JSON 才能模擬成功，屬測試夾具差異，非產品問題</t>
  </si>
  <si>
    <t xml:space="preserve"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</si>
  <si>
    <r>
      <rPr>
        <sz val="10"/>
        <rFont val="Arial"/>
        <family val="0"/>
        <charset val="1"/>
      </rPr>
      <t xml:space="preserve">portfolio_dash/scheduler/jobs.py:626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（字串一律包成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）；同型 </t>
    </r>
    <r>
      <rPr>
        <sz val="10"/>
        <rFont val="Arial"/>
        <family val="0"/>
        <charset val="1"/>
      </rPr>
      <t xml:space="preserve">:617 history_daily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:719 dividend_inbox_scan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_run_ingest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:1048 alert_scan</t>
    </r>
    <r>
      <rPr>
        <sz val="10"/>
        <rFont val="Noto Sans CJK SC"/>
        <family val="2"/>
      </rPr>
      <t xml:space="preserve">；報價 </t>
    </r>
    <r>
      <rPr>
        <sz val="10"/>
        <rFont val="Arial"/>
        <family val="0"/>
        <charset val="1"/>
      </rPr>
      <t xml:space="preserve">_quote_outcome</t>
    </r>
    <r>
      <rPr>
        <sz val="10"/>
        <rFont val="Noto Sans CJK SC"/>
        <family val="2"/>
      </rPr>
      <t xml:space="preserve">（全部失敗仍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pricing/registry.py fetch_quote_history</t>
    </r>
    <r>
      <rPr>
        <sz val="10"/>
        <rFont val="Noto Sans CJK SC"/>
        <family val="2"/>
      </rPr>
      <t xml:space="preserve">（例外與空回應不分）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</si>
  <si>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只替報價工作引入 </t>
    </r>
    <r>
      <rPr>
        <sz val="10"/>
        <rFont val="Arial"/>
        <family val="0"/>
        <charset val="1"/>
      </rPr>
      <t xml:space="preserve">JobOutcome </t>
    </r>
    <r>
      <rPr>
        <sz val="10"/>
        <rFont val="Noto Sans CJK SC"/>
        <family val="2"/>
      </rPr>
      <t xml:space="preserve">並只測報價；其他回傳字串的工作沒有任何狀態斷言，</t>
    </r>
    <r>
      <rPr>
        <sz val="10"/>
        <rFont val="Arial"/>
        <family val="0"/>
        <charset val="1"/>
      </rPr>
      <t xml:space="preserve">_outcome_of </t>
    </r>
    <r>
      <rPr>
        <sz val="10"/>
        <rFont val="Noto Sans CJK SC"/>
        <family val="2"/>
      </rPr>
      <t xml:space="preserve">的「字串＝成功」預設沒有測試盯著。</t>
    </r>
  </si>
  <si>
    <t xml:space="preserve"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</si>
  <si>
    <t xml:space="preserve"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</si>
  <si>
    <t xml:space="preserve"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</si>
  <si>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</si>
  <si>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6,488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6,486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失敗；本機記憶體不足，以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</t>
    </r>
    <r>
      <rPr>
        <sz val="10"/>
        <rFont val="Noto Sans CJK SC"/>
        <family val="2"/>
      </rPr>
      <t xml:space="preserve">全過（伺服器端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；唯讀探測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</si>
  <si>
    <t xml:space="preserve"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</si>
  <si>
    <t xml:space="preserve"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</si>
  <si>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個逐標的工作全失敗 → 失敗；</t>
    </r>
    <r>
      <rPr>
        <sz val="10"/>
        <rFont val="Arial"/>
        <family val="0"/>
        <charset val="1"/>
      </rPr>
      <t xml:space="preserve">history_daily </t>
    </r>
    <r>
      <rPr>
        <sz val="10"/>
        <rFont val="Noto Sans CJK SC"/>
        <family val="2"/>
      </rPr>
      <t xml:space="preserve">空回應視為無法連線；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觸發時間 </t>
    </r>
    <r>
      <rPr>
        <sz val="10"/>
        <rFont val="Arial"/>
        <family val="0"/>
        <charset val="1"/>
      </rPr>
      <t xml:space="preserve">13:24:00.002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.007</t>
    </r>
    <r>
      <rPr>
        <sz val="10"/>
        <rFont val="Noto Sans CJK SC"/>
        <family val="2"/>
      </rPr>
      <t xml:space="preserve">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sweep_outcome </t>
    </r>
    <r>
      <rPr>
        <sz val="10"/>
        <rFont val="Noto Sans CJK SC"/>
        <family val="2"/>
      </rPr>
      <t xml:space="preserve">拿掉「全部失敗→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6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'partial' == 'error'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27 passed</t>
    </r>
  </si>
  <si>
    <t xml:space="preserve">同意。另外發現 tests/scheduler/test_shadow_promote.py 靠 list_cards 取出影子卡來斷言，等於把洩漏當成功能；修正後其中兩則「沒有影子卡」的斷言會變成永遠成立，已一併改為明確要求含影子卡。</t>
  </si>
  <si>
    <r>
      <rPr>
        <sz val="10"/>
        <rFont val="Arial"/>
        <family val="0"/>
        <charset val="1"/>
      </rPr>
      <t xml:space="preserve">portfolio_dash/llm_insight/insights_store.py:553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_filters</t>
    </r>
    <r>
      <rPr>
        <sz val="10"/>
        <rFont val="Noto Sans CJK SC"/>
        <family val="2"/>
      </rPr>
      <t xml:space="preserve">）；使用點 </t>
    </r>
    <r>
      <rPr>
        <sz val="10"/>
        <rFont val="Arial"/>
        <family val="0"/>
        <charset val="1"/>
      </rPr>
      <t xml:space="preserve">list_cards :599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 :618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api/routers/insights.py:1230 list_insights</t>
    </r>
  </si>
  <si>
    <t xml:space="preserve">清單的契約測試（test_insight_run_api）從未存入影子卡；唯一有影子卡的 test_insights_store 只測儀表板的 latest_cards；影子評估的測試反而依賴清單回傳影子卡。</t>
  </si>
  <si>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預設排除影子卡，要看影子卡必須明確傳 </t>
    </r>
    <r>
      <rPr>
        <sz val="10"/>
        <rFont val="Arial"/>
        <family val="0"/>
        <charset val="1"/>
      </rPr>
      <t xml:space="preserve">include_shadow=True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都加這個參數）——一處修好三個讀取點。前端不改：個股抽屜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建議（</t>
    </r>
    <r>
      <rPr>
        <sz val="10"/>
        <rFont val="Arial"/>
        <family val="0"/>
        <charset val="1"/>
      </rPr>
      <t xml:space="preserve">detail.js:753</t>
    </r>
    <r>
      <rPr>
        <sz val="10"/>
        <rFont val="Noto Sans CJK SC"/>
        <family val="2"/>
      </rPr>
      <t xml:space="preserve">）、洞察卡分頁、持倉健診都由伺服器端修正。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戰績的預測明細與 </t>
    </r>
    <r>
      <rPr>
        <sz val="10"/>
        <rFont val="Arial"/>
        <family val="0"/>
        <charset val="1"/>
      </rPr>
      <t xml:space="preserve">ai_predictions </t>
    </r>
    <r>
      <rPr>
        <sz val="10"/>
        <rFont val="Noto Sans CJK SC"/>
        <family val="2"/>
      </rPr>
      <t xml:space="preserve">匯出照樣保留影子列（已標「影子」），屬比較用途。不採用：在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三個呼叫點各加條件（三份各自的規則）；在前端過濾（前端不做判斷）。規則寫入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</si>
  <si>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`FROM|JOIN insights`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。使用者可見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insight_service:1203 </t>
    </r>
    <r>
      <rPr>
        <sz val="10"/>
        <rFont val="Noto Sans CJK SC"/>
        <family val="2"/>
      </rPr>
      <t xml:space="preserve">最近批次、</t>
    </r>
    <r>
      <rPr>
        <sz val="10"/>
        <rFont val="Arial"/>
        <family val="0"/>
        <charset val="1"/>
      </rPr>
      <t xml:space="preserve">evaluations_store:614 </t>
    </r>
    <r>
      <rPr>
        <sz val="10"/>
        <rFont val="Noto Sans CJK SC"/>
        <family val="2"/>
      </rPr>
      <t xml:space="preserve">信心上限違規、</t>
    </r>
    <r>
      <rPr>
        <sz val="10"/>
        <rFont val="Arial"/>
        <family val="0"/>
        <charset val="1"/>
      </rPr>
      <t xml:space="preserve">insights_store:675 </t>
    </r>
    <r>
      <rPr>
        <sz val="10"/>
        <rFont val="Noto Sans CJK SC"/>
        <family val="2"/>
      </rPr>
      <t xml:space="preserve">儀表板（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處原本已過濾）；</t>
    </r>
    <r>
      <rPr>
        <sz val="10"/>
        <rFont val="Arial"/>
        <family val="0"/>
        <charset val="1"/>
      </rPr>
      <t xml:space="preserve">insights_store:599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（修）。戰績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evaluations_store:67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</t>
    </r>
    <r>
      <rPr>
        <sz val="10"/>
        <rFont val="Noto Sans CJK SC"/>
        <family val="2"/>
      </rPr>
      <t xml:space="preserve">（只取卡片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當條件，影子與否由外層評分查詢決定）、</t>
    </r>
    <r>
      <rPr>
        <sz val="10"/>
        <rFont val="Arial"/>
        <family val="0"/>
        <charset val="1"/>
      </rPr>
      <t xml:space="preserve">:649</t>
    </r>
    <r>
      <rPr>
        <sz val="10"/>
        <rFont val="Noto Sans CJK SC"/>
        <family val="2"/>
      </rPr>
      <t xml:space="preserve">（某版本的失誤樣本，刻意兩種都含）。內部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insight_service:405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移除）、</t>
    </r>
    <r>
      <rPr>
        <sz val="10"/>
        <rFont val="Arial"/>
        <family val="0"/>
        <charset val="1"/>
      </rPr>
      <t xml:space="preserve">:804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:813</t>
    </r>
    <r>
      <rPr>
        <sz val="10"/>
        <rFont val="Noto Sans CJK SC"/>
        <family val="2"/>
      </rPr>
      <t xml:space="preserve">（評分讀卡片內文，刻意兩種都含）、</t>
    </r>
    <r>
      <rPr>
        <sz val="10"/>
        <rFont val="Arial"/>
        <family val="0"/>
        <charset val="1"/>
      </rPr>
      <t xml:space="preserve">evaluations_store:317 </t>
    </r>
    <r>
      <rPr>
        <sz val="10"/>
        <rFont val="Noto Sans CJK SC"/>
        <family val="2"/>
      </rPr>
      <t xml:space="preserve">到期卡片（兩種都要評分）、</t>
    </r>
    <r>
      <rPr>
        <sz val="10"/>
        <rFont val="Arial"/>
        <family val="0"/>
        <charset val="1"/>
      </rPr>
      <t xml:space="preserve">insights_store:494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:511 </t>
    </r>
    <r>
      <rPr>
        <sz val="10"/>
        <rFont val="Noto Sans CJK SC"/>
        <family val="2"/>
      </rPr>
      <t xml:space="preserve">快取本來就分影子與否、</t>
    </r>
    <r>
      <rPr>
        <sz val="10"/>
        <rFont val="Arial"/>
        <family val="0"/>
        <charset val="1"/>
      </rPr>
      <t xml:space="preserve">scripts/delete_insight_cards.py:152 </t>
    </r>
    <r>
      <rPr>
        <sz val="10"/>
        <rFont val="Noto Sans CJK SC"/>
        <family val="2"/>
      </rPr>
      <t xml:space="preserve">維運依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。另 </t>
    </r>
    <r>
      <rPr>
        <sz val="10"/>
        <rFont val="Arial"/>
        <family val="0"/>
        <charset val="1"/>
      </rPr>
      <t xml:space="preserve">insight_evaluations </t>
    </r>
    <r>
      <rPr>
        <sz val="10"/>
        <rFont val="Noto Sans CJK SC"/>
        <family val="2"/>
      </rPr>
      <t xml:space="preserve">餵使用者清單的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處已過濾影子，</t>
    </r>
    <r>
      <rPr>
        <sz val="10"/>
        <rFont val="Arial"/>
        <family val="0"/>
        <charset val="1"/>
      </rPr>
      <t xml:space="preserve">ai_score </t>
    </r>
    <r>
      <rPr>
        <sz val="10"/>
        <rFont val="Noto Sans CJK SC"/>
        <family val="2"/>
      </rPr>
      <t xml:space="preserve">明細（</t>
    </r>
    <r>
      <rPr>
        <sz val="10"/>
        <rFont val="Arial"/>
        <family val="0"/>
        <charset val="1"/>
      </rPr>
      <t xml:space="preserve">:803</t>
    </r>
    <r>
      <rPr>
        <sz val="10"/>
        <rFont val="Noto Sans CJK SC"/>
        <family val="2"/>
      </rPr>
      <t xml:space="preserve">）依規格保留影子並標示。掃描指令：</t>
    </r>
    <r>
      <rPr>
        <sz val="10"/>
        <rFont val="Arial"/>
        <family val="0"/>
        <charset val="1"/>
      </rPr>
      <t xml:space="preserve">git grep -nE "(FROM|JOIN)\s+insights(\s|\"|$|\)|\{)" 3be67db -- portfolio_dash scripts</t>
    </r>
  </si>
  <si>
    <t xml:space="preserve"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</si>
  <si>
    <t xml:space="preserve"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</si>
  <si>
    <t xml:space="preserve"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</si>
  <si>
    <t xml:space="preserve">三次檢查影子卡 0 張進入任何使用者清單（資料表影子 9／18／27 張）。變異（驗證者於本機 696934e 重做）：_filters 不加 is_shadow = 0 → 3 failed（At index 0 diff: 2 != 1），還原後 4 passed</t>
  </si>
  <si>
    <t xml:space="preserve"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</si>
  <si>
    <r>
      <rPr>
        <sz val="10"/>
        <rFont val="Arial"/>
        <family val="0"/>
        <charset val="1"/>
      </rPr>
      <t xml:space="preserve">portfolio_dash/api/insight_service.py:402-407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_shadow_card_count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:436</t>
    </r>
    <r>
      <rPr>
        <sz val="10"/>
        <rFont val="Noto Sans CJK SC"/>
        <family val="2"/>
      </rPr>
      <t xml:space="preserve">（上限判斷）、</t>
    </r>
    <r>
      <rPr>
        <sz val="10"/>
        <rFont val="Arial"/>
        <family val="0"/>
        <charset val="1"/>
      </rPr>
      <t xml:space="preserve">:1004-1005</t>
    </r>
    <r>
      <rPr>
        <sz val="10"/>
        <rFont val="Noto Sans CJK SC"/>
        <family val="2"/>
      </rPr>
      <t xml:space="preserve">（晉升成績混算）</t>
    </r>
  </si>
  <si>
    <r>
      <rPr>
        <sz val="10"/>
        <rFont val="Arial"/>
        <family val="0"/>
        <charset val="1"/>
      </rPr>
      <t xml:space="preserve">tests/scheduler/test_shadow_promote.py </t>
    </r>
    <r>
      <rPr>
        <sz val="10"/>
        <rFont val="Noto Sans CJK SC"/>
        <family val="2"/>
      </rPr>
      <t xml:space="preserve">每則只跑一批；晉升測試直接寫入評分列（</t>
    </r>
    <r>
      <rPr>
        <sz val="10"/>
        <rFont val="Arial"/>
        <family val="0"/>
        <charset val="1"/>
      </rPr>
      <t xml:space="preserve">insight_id 10–22 </t>
    </r>
    <r>
      <rPr>
        <sz val="10"/>
        <rFont val="Noto Sans CJK SC"/>
        <family val="2"/>
      </rPr>
      <t xml:space="preserve">沒有對應的真實卡片）；整個檔案只有一個影子版本——從未測到第二批、第二個版本或第二個任務。</t>
    </r>
  </si>
  <si>
    <t xml:space="preserve"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</si>
  <si>
    <t xml:space="preserve"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</si>
  <si>
    <t xml:space="preserve"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</si>
  <si>
    <t xml:space="preserve"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</si>
  <si>
    <t xml:space="preserve"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</si>
  <si>
    <t xml:space="preserve"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</si>
  <si>
    <t xml:space="preserve">同意。API 原本就接受 version: null（取消生效），不必新增。另外：選到已封存版本原本回「該洞察組合無校正版本 N」，改為「校正版本 vN 已封存，不能設為生效」。</t>
  </si>
  <si>
    <r>
      <rPr>
        <sz val="10"/>
        <rFont val="Arial"/>
        <family val="0"/>
        <charset val="1"/>
      </rPr>
      <t xml:space="preserve">web/pipeline.js:780-830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loadCalibrations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FIX_KINDS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tests/contract/test_api_routes_have_frontend_callers.py:59-63</t>
    </r>
    <r>
      <rPr>
        <sz val="10"/>
        <rFont val="Noto Sans CJK SC"/>
        <family val="2"/>
      </rPr>
      <t xml:space="preserve">（白名單）</t>
    </r>
  </si>
  <si>
    <t xml:space="preserve"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</si>
  <si>
    <t xml:space="preserve"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</si>
  <si>
    <t xml:space="preserve"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</si>
  <si>
    <t xml:space="preserve"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</si>
  <si>
    <t xml:space="preserve"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</si>
  <si>
    <t xml:space="preserve"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</si>
  <si>
    <t xml:space="preserve"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</si>
  <si>
    <t xml:space="preserve">開發者 R6 發現（修 DEF-070 時），owner 2026-09-26 在對話中裁定本輪一起修。樣本改為「觸發這次產版的那一批失誤」，觸發用的證據與交給大師模型的證據是同一組（與 DEF-080 共用時間窗）。</t>
  </si>
  <si>
    <r>
      <rPr>
        <sz val="10"/>
        <rFont val="Arial"/>
        <family val="0"/>
        <charset val="1"/>
      </rPr>
      <t xml:space="preserve">portfolio_dash/api/insight_service.py:900-905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</si>
  <si>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tests/scheduler/test_generate_calibrations.py::_seed_misses </t>
    </r>
    <r>
      <rPr>
        <sz val="10"/>
        <rFont val="Noto Sans CJK SC"/>
        <family val="2"/>
      </rPr>
      <t xml:space="preserve">在一個還沒有任何校正版本的任務上把評分標成 </t>
    </r>
    <r>
      <rPr>
        <sz val="10"/>
        <rFont val="Arial"/>
        <family val="0"/>
        <charset val="1"/>
      </rPr>
      <t xml:space="preserve">calibration_version=1——</t>
    </r>
    <r>
      <rPr>
        <sz val="10"/>
        <rFont val="Noto Sans CJK SC"/>
        <family val="2"/>
      </rPr>
      <t xml:space="preserve">真實資料不會長這樣，所以按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取樣本「剛好」取得到；也沒有任何測試檢查大師模型實際收到什麼。已改 </t>
    </r>
    <r>
      <rPr>
        <sz val="10"/>
        <rFont val="Arial"/>
        <family val="0"/>
        <charset val="1"/>
      </rPr>
      <t xml:space="preserve">fixture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實際寫入一致），並補斷言提示詞含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筆失誤。</t>
    </r>
  </si>
  <si>
    <t xml:space="preserve"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</si>
  <si>
    <t xml:space="preserve"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</si>
  <si>
    <t xml:space="preserve"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</si>
  <si>
    <t xml:space="preserve"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</si>
  <si>
    <t xml:space="preserve"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</si>
  <si>
    <t xml:space="preserve">三次產版的樣本數與各自觸發窗的失誤數一致。變異（驗證者於本機 696934e 重做）：底稿改取最新未封存版 → 1 failed（assert 'BASE-ONE' in …），還原後 2 passed</t>
  </si>
  <si>
    <t xml:space="preserve"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</si>
  <si>
    <r>
      <rPr>
        <sz val="10"/>
        <rFont val="Arial"/>
        <family val="0"/>
        <charset val="1"/>
      </rPr>
      <t xml:space="preserve">portfolio_dash/api/insight_service.py:891-893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 </t>
    </r>
    <r>
      <rPr>
        <sz val="10"/>
        <rFont val="Noto Sans CJK SC"/>
        <family val="2"/>
      </rPr>
      <t xml:space="preserve">的觸發條件）</t>
    </r>
  </si>
  <si>
    <t xml:space="preserve">唯一跑兩次產版的測試 test_second_run_appends_version 在同一時刻、以 v1 標記塞入第二批評分，然後斷言會出現 v2——把重複觸發當成預期行為釘住。已改成真實形狀：第二批為 NULL，且在 v1 產生後一天才評分。</t>
  </si>
  <si>
    <r>
      <rPr>
        <sz val="10"/>
        <rFont val="Arial"/>
        <family val="0"/>
        <charset val="1"/>
      </rPr>
      <t xml:space="preserve">evaluations_store.calibration_window(version=</t>
    </r>
    <r>
      <rPr>
        <sz val="10"/>
        <rFont val="Noto Sans CJK SC"/>
        <family val="2"/>
      </rPr>
      <t xml:space="preserve">生效版</t>
    </r>
    <r>
      <rPr>
        <sz val="10"/>
        <rFont val="Arial"/>
        <family val="0"/>
        <charset val="1"/>
      </rPr>
      <t xml:space="preserve">, since=</t>
    </r>
    <r>
      <rPr>
        <sz val="10"/>
        <rFont val="Noto Sans CJK SC"/>
        <family val="2"/>
      </rPr>
      <t xml:space="preserve">任務最新一個校正版本〔含已封存〕的建立時間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：計入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新樣本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）」、「暫不產生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影子評估中｜名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勝出待設為生效）」；設定頁「校正產生最低樣本數」說明同步更新。不採用：用卡片建立時間（漏掉晚到的評分）；新增 </t>
    </r>
    <r>
      <rPr>
        <sz val="10"/>
        <rFont val="Arial"/>
        <family val="0"/>
        <charset val="1"/>
      </rPr>
      <t xml:space="preserve">active_since </t>
    </r>
    <r>
      <rPr>
        <sz val="10"/>
        <rFont val="Noto Sans CJK SC"/>
        <family val="2"/>
      </rPr>
      <t xml:space="preserve">欄位（評分本身已帶版本，不必改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</si>
  <si>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t xml:space="preserve"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</si>
  <si>
    <t xml:space="preserve"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</si>
  <si>
    <t xml:space="preserve">本機專用測試環境（repo-env 696934e、排程器開啟、假 LLM；§9），G-08 流程：09-10 產生 v1 後立即再跑一次校正；09-18 產生 v2 後再跑一次（v2 影子評估中）；讀明細與版本數</t>
  </si>
  <si>
    <t xml:space="preserve"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</si>
  <si>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同批失誤連產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的情形不再發生；影子評估中暫停產版。變異（驗證者於本機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重做）：時間窗改回全部歷史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第二週失誤</t>
    </r>
    <r>
      <rPr>
        <sz val="10"/>
        <rFont val="Arial"/>
        <family val="0"/>
        <charset val="1"/>
      </rPr>
      <t xml:space="preserve">' in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 passed</t>
    </r>
  </si>
  <si>
    <t xml:space="preserve">同意。另外 API 原本就缺「已更新數」，前端要說「N 檔已更新」只能自己算，所以一併由 API 補上計數。</t>
  </si>
  <si>
    <r>
      <rPr>
        <sz val="10"/>
        <rFont val="Arial"/>
        <family val="0"/>
        <charset val="1"/>
      </rPr>
      <t xml:space="preserve">web/shell.js:467-470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portfolio_dash/scheduler/jobs.py _quote_outcome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缺已更新數）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</si>
  <si>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區塊（</t>
    </r>
    <r>
      <rPr>
        <sz val="10"/>
        <rFont val="Arial"/>
        <family val="0"/>
        <charset val="1"/>
      </rPr>
      <t xml:space="preserve">test_m10_02_refresh_quotes_results</t>
    </r>
    <r>
      <rPr>
        <sz val="10"/>
        <rFont val="Noto Sans CJK SC"/>
        <family val="2"/>
      </rPr>
      <t xml:space="preserve">），沒有任何測試實際渲染這則提示——使用者讀到的句子從未被斷言。新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以程序內真實路由產生的回應驅動提示，斷言的是使用者看到的句子。</t>
    </r>
  </si>
  <si>
    <r>
      <rPr>
        <sz val="10"/>
        <rFont val="Arial"/>
        <family val="0"/>
        <charset val="1"/>
      </rPr>
      <t xml:space="preserve">_quote_outcome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instruments_updated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fx_pairs</t>
    </r>
    <r>
      <rPr>
        <sz val="10"/>
        <rFont val="Noto Sans CJK SC"/>
        <family val="2"/>
      </rPr>
      <t xml:space="preserve">；新增 </t>
    </r>
    <r>
      <rPr>
        <sz val="10"/>
        <rFont val="Arial"/>
        <family val="0"/>
        <charset val="1"/>
      </rPr>
      <t xml:space="preserve">jobs.combine_quote_results()</t>
    </r>
    <r>
      <rPr>
        <sz val="10"/>
        <rFont val="Noto Sans CJK SC"/>
        <family val="2"/>
      </rPr>
      <t xml:space="preserve">，對整次請求合計 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instruments_not_updated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all_failed</t>
    </r>
    <r>
      <rPr>
        <sz val="10"/>
        <rFont val="Noto Sans CJK SC"/>
        <family val="2"/>
      </rPr>
      <t xml:space="preserve">（同一組匯率只要任一市場的工作更新成功就不算失敗；工作清單為空不算全部失敗）；</t>
    </r>
    <r>
      <rPr>
        <sz val="10"/>
        <rFont val="Arial"/>
        <family val="0"/>
        <charset val="1"/>
      </rPr>
      <t xml:space="preserve">/api/actions/refresh-quotes </t>
    </r>
    <r>
      <rPr>
        <sz val="10"/>
        <rFont val="Noto Sans CJK SC"/>
        <family val="2"/>
      </rPr>
      <t xml:space="preserve">回應新增 </t>
    </r>
    <r>
      <rPr>
        <sz val="10"/>
        <rFont val="Arial"/>
        <family val="0"/>
        <charset val="1"/>
      </rPr>
      <t xml:space="preserve">summary </t>
    </r>
    <r>
      <rPr>
        <sz val="10"/>
        <rFont val="Noto Sans CJK SC"/>
        <family val="2"/>
      </rPr>
      <t xml:space="preserve">區塊（只增不改）。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只負責排版：全部失敗 → 失敗語氣「報價更新失敗：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檔報價都沒有更新：…；匯率未更新：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。仍顯示上次取得的價格…」；部分失敗 → 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檔已更新、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檔未更新：…；匯率未更新：…」；成功但有觀察標的或匯率沒更新 → 警示語氣「報價更新完成，部分項目未更新」且不自動重新整理（比照 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的理由：重新整理會把唯一的說明洗掉）。本輪 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起報價工作全部失敗記為「失敗」，提示讀的是 </t>
    </r>
    <r>
      <rPr>
        <sz val="10"/>
        <rFont val="Arial"/>
        <family val="0"/>
        <charset val="1"/>
      </rPr>
      <t xml:space="preserve">summary.all_failed</t>
    </r>
    <r>
      <rPr>
        <sz val="10"/>
        <rFont val="Noto Sans CJK SC"/>
        <family val="2"/>
      </rPr>
      <t xml:space="preserve">，兩者一致。</t>
    </r>
  </si>
  <si>
    <t xml:space="preserve"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</si>
  <si>
    <t xml:space="preserve"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</si>
  <si>
    <t xml:space="preserve">本機專用測試環境（repo-env 696934e、排程器開啟、假 LLM；§9）（外網封鎖）：儀表板 ⟳ 重新整理 › 更新報價，攔截 /api/actions/refresh-quotes 回應與提示，前後比對 prices 表雜湊</t>
  </si>
  <si>
    <t xml:space="preserve"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</si>
  <si>
    <t xml:space="preserve">失敗語氣、點名 10 檔與 2 組匯率、不宣稱已更新。變異（驗證者於本機 696934e 重做）：all_failed 恆 False → 1 failed（assert False is True），還原後 4 passed</t>
  </si>
  <si>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</si>
  <si>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同意。另外：洞察 run 的明細在成功時就是字面「ok」、略過時是列舉碼，而 web/pipeline.js:847 用 `r.detail || ppSkipReason(r.reason)`，明細非空就會繞過中文對照表；評分與校正的「無 runner」分支也是英文。</t>
  </si>
  <si>
    <r>
      <rPr>
        <sz val="10"/>
        <rFont val="Arial"/>
        <family val="0"/>
        <charset val="1"/>
      </rPr>
      <t xml:space="preserve">portfolio_dash/scheduler/jobs.py:1051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885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:1926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api/digest_service.py:512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llm_insight/generate.py:250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:117-121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api/insight_service.py:840-940</t>
    </r>
    <r>
      <rPr>
        <sz val="10"/>
        <rFont val="Noto Sans CJK SC"/>
        <family val="2"/>
      </rPr>
      <t xml:space="preserve">（評分／校正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回傳型別）</t>
    </r>
  </si>
  <si>
    <t xml:space="preserve"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</si>
  <si>
    <t xml:space="preserve"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</si>
  <si>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所有寫入點（</t>
    </r>
    <r>
      <rPr>
        <sz val="10"/>
        <rFont val="Arial"/>
        <family val="0"/>
        <charset val="1"/>
      </rPr>
      <t xml:space="preserve">grep "INSERT INTO job_runs\|UPDATE job_runs\|finish_job_run(\|_write_job_run(\|run_job_outcome(" </t>
    </r>
    <r>
      <rPr>
        <sz val="10"/>
        <rFont val="Noto Sans CJK SC"/>
        <family val="2"/>
      </rPr>
      <t xml:space="preserve">並逐一追 </t>
    </r>
    <r>
      <rPr>
        <sz val="10"/>
        <rFont val="Arial"/>
        <family val="0"/>
        <charset val="1"/>
      </rPr>
      <t xml:space="preserve">JOBS </t>
    </r>
    <r>
      <rPr>
        <sz val="10"/>
        <rFont val="Noto Sans CJK SC"/>
        <family val="2"/>
      </rPr>
      <t xml:space="preserve">回傳）共 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（排程與洞察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：預警掃描主句與推播崩潰、每日／每週摘要、新聞結果與非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、手動抓新聞、推播句、備份成功與完整性、外部快照〔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個工作共用〕、訊號掃描、無執行器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、洞察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未接線、重疊略過、洞察未知任務、閘門略過、中途停止、額度中途停止、正常完成、</t>
    </r>
    <r>
      <rPr>
        <sz val="10"/>
        <rFont val="Arial"/>
        <family val="0"/>
        <charset val="1"/>
      </rPr>
      <t xml:space="preserve">_write_job_run </t>
    </r>
    <r>
      <rPr>
        <sz val="10"/>
        <rFont val="Noto Sans CJK SC"/>
        <family val="2"/>
      </rPr>
      <t xml:space="preserve">預設值、收件匣後備；評分／校正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：兩個成功句＋兩個無 </t>
    </r>
    <r>
      <rPr>
        <sz val="10"/>
        <rFont val="Arial"/>
        <family val="0"/>
        <charset val="1"/>
      </rPr>
      <t xml:space="preserve">runner</t>
    </r>
    <r>
      <rPr>
        <sz val="10"/>
        <rFont val="Noto Sans CJK SC"/>
        <family val="2"/>
      </rPr>
      <t xml:space="preserve">）／原本已是中文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（報價／歷史／回補的 </t>
    </r>
    <r>
      <rPr>
        <sz val="10"/>
        <rFont val="Arial"/>
        <family val="0"/>
        <charset val="1"/>
      </rPr>
      <t xml:space="preserve">_summarize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write_snapshot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failure_detail </t>
    </r>
    <r>
      <rPr>
        <sz val="10"/>
        <rFont val="Noto Sans CJK SC"/>
        <family val="2"/>
      </rPr>
      <t xml:space="preserve">的例外類別名＋原文，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決定保留供查 </t>
    </r>
    <r>
      <rPr>
        <sz val="10"/>
        <rFont val="Arial"/>
        <family val="0"/>
        <charset val="1"/>
      </rPr>
      <t xml:space="preserve">log</t>
    </r>
    <r>
      <rPr>
        <sz val="10"/>
        <rFont val="Noto Sans CJK SC"/>
        <family val="2"/>
      </rPr>
      <t xml:space="preserve">）。</t>
    </r>
  </si>
  <si>
    <t xml:space="preserve"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</si>
  <si>
    <t xml:space="preserve"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</si>
  <si>
    <t xml:space="preserve"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</si>
  <si>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個工作明細皆中文、全形標點；校正與評分明細說明做了什麼。變異（驗證者於本機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重做）：評分明細「晉升：無」改英文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評分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promote: none' ==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60 passed</t>
    </r>
  </si>
  <si>
    <t xml:space="preserve">附註：失敗時的例外原文（failure_detail）依 DEF-030 保留英文類別名與原文，未列入本張</t>
  </si>
  <si>
    <t xml:space="preserve">同意。依「門」掃描另找到同類門 3：帳本頁 公司行動 分頁已選帳戶籤時按新增（web/ledger.js:1294 `window.pdCorpActionForm.open({ onSaved: () =&gt; boot() })`），一樣落在第一個帳戶。</t>
  </si>
  <si>
    <r>
      <rPr>
        <sz val="10"/>
        <rFont val="Arial"/>
        <family val="0"/>
        <charset val="1"/>
      </rPr>
      <t xml:space="preserve">web/detail.js:1272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預填）；</t>
    </r>
    <r>
      <rPr>
        <sz val="10"/>
        <rFont val="Arial"/>
        <family val="0"/>
        <charset val="1"/>
      </rPr>
      <t xml:space="preserve">web/corp-action-form.js:798</t>
    </r>
    <r>
      <rPr>
        <sz val="10"/>
        <rFont val="Noto Sans CJK SC"/>
        <family val="2"/>
      </rPr>
      <t xml:space="preserve">（空字串時由瀏覽器預設第一個）；同類 </t>
    </r>
    <r>
      <rPr>
        <sz val="10"/>
        <rFont val="Arial"/>
        <family val="0"/>
        <charset val="1"/>
      </rPr>
      <t xml:space="preserve">web/ledger.js:1294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不帶帳戶籤）</t>
    </r>
  </si>
  <si>
    <t xml:space="preserve"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</si>
  <si>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repairTarget()</t>
    </r>
    <r>
      <rPr>
        <sz val="10"/>
        <rFont val="Noto Sans CJK SC"/>
        <family val="2"/>
      </rPr>
      <t xml:space="preserve">：抽屜已篩選帳戶 → 帶入篩選帳戶；未篩選 → 讀伺服器的 </t>
    </r>
    <r>
      <rPr>
        <sz val="10"/>
        <rFont val="Arial"/>
        <family val="0"/>
        <charset val="1"/>
      </rPr>
      <t xml:space="preserve">activity_reconcile.by_account[</t>
    </r>
    <r>
      <rPr>
        <sz val="10"/>
        <rFont val="Noto Sans CJK SC"/>
        <family val="2"/>
      </rPr>
      <t xml:space="preserve">帳戶</t>
    </r>
    <r>
      <rPr>
        <sz val="10"/>
        <rFont val="Arial"/>
        <family val="0"/>
        <charset val="1"/>
      </rPr>
      <t xml:space="preserve">].balances === false</t>
    </r>
    <r>
      <rPr>
        <sz val="10"/>
        <rFont val="Noto Sans CJK SC"/>
        <family val="2"/>
      </rPr>
      <t xml:space="preserve">（前端不做股數運算）：恰好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個帳戶不一致 → 帶入該帳戶；多個 → 不預選，傳 </t>
    </r>
    <r>
      <rPr>
        <sz val="10"/>
        <rFont val="Arial"/>
        <family val="0"/>
        <charset val="1"/>
      </rPr>
      <t xml:space="preserve">require_account: true</t>
    </r>
    <r>
      <rPr>
        <sz val="10"/>
        <rFont val="Noto Sans CJK SC"/>
        <family val="2"/>
      </rPr>
      <t xml:space="preserve">，原因列改為「此標的在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的對帳結果都是 ⚠ 對帳不一致，請先選擇要補登的帳戶」。共用表單新增 </t>
    </r>
    <r>
      <rPr>
        <sz val="10"/>
        <rFont val="Arial"/>
        <family val="0"/>
        <charset val="1"/>
      </rPr>
      <t xml:space="preserve">require_account </t>
    </r>
    <r>
      <rPr>
        <sz val="10"/>
        <rFont val="Noto Sans CJK SC"/>
        <family val="2"/>
      </rPr>
      <t xml:space="preserve">選項：第一項為不可選的「請選擇帳戶」（</t>
    </r>
    <r>
      <rPr>
        <sz val="10"/>
        <rFont val="Arial"/>
        <family val="0"/>
        <charset val="1"/>
      </rPr>
      <t xml:space="preserve">value </t>
    </r>
    <r>
      <rPr>
        <sz val="10"/>
        <rFont val="Noto Sans CJK SC"/>
        <family val="2"/>
      </rPr>
      <t xml:space="preserve">空），表單原本的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就拒絕空帳戶，所以選擇前不試算、不能儲存；門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與未帶旗標的呼叫端行為不變。門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：帳本頁有帳戶籤時帶入該帳戶，「全部」維持原預設。不採用：每個不一致帳戶各放一顆按鈕（偏離規格）；用假帳戶值當佔位（非空值會通過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送到伺服器）；表單開啟後再改下拉（帳戶清單非同步載入，有競態）。</t>
    </r>
  </si>
  <si>
    <t xml:space="preserve"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</si>
  <si>
    <r>
      <rPr>
        <sz val="10"/>
        <rFont val="Arial"/>
        <family val="0"/>
        <charset val="1"/>
      </rPr>
      <t xml:space="preserve">tests/e2e/test_corporate_actions_flow.py</t>
    </r>
    <r>
      <rPr>
        <sz val="10"/>
        <rFont val="Noto Sans CJK SC"/>
        <family val="2"/>
      </rPr>
      <t xml:space="preserve">：改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door2 </t>
    </r>
    <r>
      <rPr>
        <sz val="10"/>
        <rFont val="Noto Sans CJK SC"/>
        <family val="2"/>
      </rPr>
      <t xml:space="preserve">斷言帶入 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）＋新增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則——</t>
    </r>
    <r>
      <rPr>
        <sz val="10"/>
        <rFont val="Arial"/>
        <family val="0"/>
        <charset val="1"/>
      </rPr>
      <t xml:space="preserve">test_door2_prefills_the_account_whose_footer_is_red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MSFT </t>
    </r>
    <r>
      <rPr>
        <sz val="10"/>
        <rFont val="Noto Sans CJK SC"/>
        <family val="2"/>
      </rPr>
      <t xml:space="preserve">一紅一綠 → 帶入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兩帳戶皆紅 → 「請選擇帳戶」、選擇前無法儲存也不試算；抽屜篩選 </t>
    </r>
    <r>
      <rPr>
        <sz val="10"/>
        <rFont val="Arial"/>
        <family val="0"/>
        <charset val="1"/>
      </rPr>
      <t xml:space="preserve">Moomoo → moomoo_my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test_door3_prefills_the_ledger_account_chip</t>
    </r>
    <r>
      <rPr>
        <sz val="10"/>
        <rFont val="Noto Sans CJK SC"/>
        <family val="2"/>
      </rPr>
      <t xml:space="preserve">；新夾具 </t>
    </r>
    <r>
      <rPr>
        <sz val="10"/>
        <rFont val="Arial"/>
        <family val="0"/>
        <charset val="1"/>
      </rPr>
      <t xml:space="preserve">_seed_red_in_two_accounts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檔還原成 </t>
    </r>
    <r>
      <rPr>
        <sz val="10"/>
        <rFont val="Arial"/>
        <family val="0"/>
        <charset val="1"/>
      </rPr>
      <t xml:space="preserve">3be67db → 3/3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Locator expected to have Value 'tw_broker' / Actual value: moomoo_my</t>
    </r>
    <r>
      <rPr>
        <sz val="10"/>
        <rFont val="Noto Sans CJK SC"/>
        <family val="2"/>
      </rPr>
      <t xml:space="preserve">」（另兩則為 </t>
    </r>
    <r>
      <rPr>
        <sz val="10"/>
        <rFont val="Arial"/>
        <family val="0"/>
        <charset val="1"/>
      </rPr>
      <t xml:space="preserve">'schwab' vs moomoo_my</t>
    </r>
    <r>
      <rPr>
        <sz val="10"/>
        <rFont val="Noto Sans CJK SC"/>
        <family val="2"/>
      </rPr>
      <t xml:space="preserve">）。變異：門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filterAcct || '' → 2 </t>
    </r>
    <r>
      <rPr>
        <sz val="10"/>
        <rFont val="Noto Sans CJK SC"/>
        <family val="2"/>
      </rPr>
      <t xml:space="preserve">則失敗（同訊息）；門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expected 'schwab'… Actual value: moomoo_my</t>
    </r>
    <r>
      <rPr>
        <sz val="10"/>
        <rFont val="Noto Sans CJK SC"/>
        <family val="2"/>
      </rPr>
      <t xml:space="preserve">」。</t>
    </r>
  </si>
  <si>
    <t xml:space="preserve"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</si>
  <si>
    <t xml:space="preserve"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</si>
  <si>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情境預填正確；帳本雜湊 </t>
    </r>
    <r>
      <rPr>
        <sz val="10"/>
        <rFont val="Arial"/>
        <family val="0"/>
        <charset val="1"/>
      </rPr>
      <t xml:space="preserve">27d0aeca71456835 </t>
    </r>
    <r>
      <rPr>
        <sz val="10"/>
        <rFont val="Noto Sans CJK SC"/>
        <family val="2"/>
      </rPr>
      <t xml:space="preserve">還原後與測前相同。變異（驗證者於本機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e2e——detail.js repairTarget </t>
    </r>
    <r>
      <rPr>
        <sz val="10"/>
        <rFont val="Noto Sans CJK SC"/>
        <family val="2"/>
      </rPr>
      <t xml:space="preserve">恆回空帳戶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Value 'tw_broker'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</si>
  <si>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</si>
  <si>
    <r>
      <rPr>
        <sz val="10"/>
        <rFont val="Arial"/>
        <family val="0"/>
        <charset val="1"/>
      </rPr>
      <t xml:space="preserve">portfolio_dash/api/routers/instruments.py:62</t>
    </r>
    <r>
      <rPr>
        <sz val="10"/>
        <rFont val="Noto Sans CJK SC"/>
        <family val="2"/>
      </rPr>
      <t xml:space="preserve">（用於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api/routers/strategy.py:179 _held_set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api/signals_service.py:186 _is_held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api/routers/actions.py:32 held_symbols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api/fundamentals_service.py:27 _held_refs</t>
    </r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</si>
  <si>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_archive_blocked </t>
    </r>
    <r>
      <rPr>
        <sz val="10"/>
        <rFont val="Noto Sans CJK SC"/>
        <family val="2"/>
      </rPr>
      <t xml:space="preserve">的註解明寫「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保留為觀察清單的顯示旗標」，刻意留了兩個判定；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只測守門，沒有測試比對徽章與守門。另外 </t>
    </r>
    <r>
      <rPr>
        <sz val="10"/>
        <rFont val="Arial"/>
        <family val="0"/>
        <charset val="1"/>
      </rPr>
      <t xml:space="preserve">tests/data_ingestion/test_holdings_containment.py </t>
    </r>
    <r>
      <rPr>
        <sz val="10"/>
        <rFont val="Noto Sans CJK SC"/>
        <family val="2"/>
      </rPr>
      <t xml:space="preserve">的呼叫點普查正則只找 </t>
    </r>
    <r>
      <rPr>
        <sz val="10"/>
        <rFont val="Arial"/>
        <family val="0"/>
        <charset val="1"/>
      </rPr>
      <t xml:space="preserve">current_shares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個包裝函式，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新增的兩處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呼叫它完全看不到。新增：徽章＝守門的全標的比對、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個登錄類讀取者對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的參數化一致性測試；普查正則加入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held_among</t>
    </r>
    <r>
      <rPr>
        <sz val="10"/>
        <rFont val="Noto Sans CJK SC"/>
        <family val="2"/>
      </rPr>
      <t xml:space="preserve">。</t>
    </r>
  </si>
  <si>
    <t xml:space="preserve"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</si>
  <si>
    <t xml:space="preserve"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</si>
  <si>
    <t xml:space="preserve"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</si>
  <si>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QA </t>
    </r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R6_START </t>
    </r>
    <r>
      <rPr>
        <sz val="10"/>
        <rFont val="Noto Sans CJK SC"/>
        <family val="2"/>
      </rPr>
      <t xml:space="preserve">後）：交易輸入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台灣券商 賣出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股、日期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（勾「我了解，仍要寫入」，</t>
    </r>
    <r>
      <rPr>
        <sz val="10"/>
        <rFont val="Arial"/>
        <family val="0"/>
        <charset val="1"/>
      </rPr>
      <t xml:space="preserve">#118</t>
    </r>
    <r>
      <rPr>
        <sz val="10"/>
        <rFont val="Noto Sans CJK SC"/>
        <family val="2"/>
      </rPr>
      <t xml:space="preserve">）→ 觀察清單讀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列並按 移除 › 移除（隱藏）→ 系統設定 › 預警規則 › 目標配置 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徽章 → 交易帳本 刪除 </t>
    </r>
    <r>
      <rPr>
        <sz val="10"/>
        <rFont val="Arial"/>
        <family val="0"/>
        <charset val="1"/>
      </rPr>
      <t xml:space="preserve">#118 → cmp R6_START</t>
    </r>
  </si>
  <si>
    <t xml:space="preserve"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</si>
  <si>
    <t xml:space="preserve">觀察清單與目標配置皆「持有」、移除 422；demo 已還原。變異（驗證者於本機 696934e 重做）：_held 以十年後為今日 → 3 failed（assert False is True），還原後 12 passed</t>
  </si>
  <si>
    <t xml:space="preserve">同意，依 owner ① B 改走共用判定。detect()（dividend_inbox.py:267）讀的是已存的事件、不是抓取宇宙，列白名單（理由見 I）。</t>
  </si>
  <si>
    <t xml:space="preserve">portfolio_dash/api/dividend_inbox.py:220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</si>
  <si>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的測試只釘後備路徑 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，這條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路徑當時列為白名單等待裁定；沒有任何測試比對「同一個排程的兩條路徑要求同一組標的」。新測試直接比對兩條路徑。</t>
    </r>
  </si>
  <si>
    <t xml:space="preserve"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</si>
  <si>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白名單逐一重新確認：</t>
    </r>
    <r>
      <rPr>
        <sz val="10"/>
        <rFont val="Arial"/>
        <family val="0"/>
        <charset val="1"/>
      </rPr>
      <t xml:space="preserve">`from instruments|join instruments`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）共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行扣除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store.py:754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處讀取：須加封存過濾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；原白名單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仍成立（依名稱查市場 </t>
    </r>
    <r>
      <rPr>
        <sz val="10"/>
        <rFont val="Arial"/>
        <family val="0"/>
        <charset val="1"/>
      </rPr>
      <t xml:space="preserve">2 insight_service:495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prompts:611</t>
    </r>
    <r>
      <rPr>
        <sz val="10"/>
        <rFont val="Noto Sans CJK SC"/>
        <family val="2"/>
      </rPr>
      <t xml:space="preserve">；觀察清單 </t>
    </r>
    <r>
      <rPr>
        <sz val="10"/>
        <rFont val="Arial"/>
        <family val="0"/>
        <charset val="1"/>
      </rPr>
      <t xml:space="preserve">board_status 1 instruments:80</t>
    </r>
    <r>
      <rPr>
        <sz val="10"/>
        <rFont val="Noto Sans CJK SC"/>
        <family val="2"/>
      </rPr>
      <t xml:space="preserve">；股利帳本幣別 </t>
    </r>
    <r>
      <rPr>
        <sz val="10"/>
        <rFont val="Arial"/>
        <family val="0"/>
        <charset val="1"/>
      </rPr>
      <t xml:space="preserve">1 prompts:441</t>
    </r>
    <r>
      <rPr>
        <sz val="10"/>
        <rFont val="Noto Sans CJK SC"/>
        <family val="2"/>
      </rPr>
      <t xml:space="preserve">；帳戶合併對帳 </t>
    </r>
    <r>
      <rPr>
        <sz val="10"/>
        <rFont val="Arial"/>
        <family val="0"/>
        <charset val="1"/>
      </rPr>
      <t xml:space="preserve">2 moomoo_merge:138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get_instrument store:579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 </t>
    </r>
    <r>
      <rPr>
        <sz val="10"/>
        <rFont val="Arial"/>
        <family val="0"/>
        <charset val="1"/>
      </rPr>
      <t xml:space="preserve">store:592</t>
    </r>
    <r>
      <rPr>
        <sz val="10"/>
        <rFont val="Noto Sans CJK SC"/>
        <family val="2"/>
      </rPr>
      <t xml:space="preserve">；產業遷移 </t>
    </r>
    <r>
      <rPr>
        <sz val="10"/>
        <rFont val="Arial"/>
        <family val="0"/>
        <charset val="1"/>
      </rPr>
      <t xml:space="preserve">store:614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稽核擷取 </t>
    </r>
    <r>
      <rPr>
        <sz val="10"/>
        <rFont val="Arial"/>
        <family val="0"/>
        <charset val="1"/>
      </rPr>
      <t xml:space="preserve">store:724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稽核腳本；刪卡腳本；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之後新增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處皆白名單（</t>
    </r>
    <r>
      <rPr>
        <sz val="10"/>
        <rFont val="Arial"/>
        <family val="0"/>
        <charset val="1"/>
      </rPr>
      <t xml:space="preserve">instrument_scope.py:57 </t>
    </r>
    <r>
      <rPr>
        <sz val="10"/>
        <rFont val="Noto Sans CJK SC"/>
        <family val="2"/>
      </rPr>
      <t xml:space="preserve">判定本身；</t>
    </r>
    <r>
      <rPr>
        <sz val="10"/>
        <rFont val="Arial"/>
        <family val="0"/>
        <charset val="1"/>
      </rPr>
      <t xml:space="preserve">store.py:794 _reactivate_if_held </t>
    </r>
    <r>
      <rPr>
        <sz val="10"/>
        <rFont val="Noto Sans CJK SC"/>
        <family val="2"/>
      </rPr>
      <t xml:space="preserve">刻意讀 </t>
    </r>
    <r>
      <rPr>
        <sz val="10"/>
        <rFont val="Arial"/>
        <family val="0"/>
        <charset val="1"/>
      </rPr>
      <t xml:space="preserve">archived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clean_orphan_seed_prices.py:198 </t>
    </r>
    <r>
      <rPr>
        <sz val="10"/>
        <rFont val="Noto Sans CJK SC"/>
        <family val="2"/>
      </rPr>
      <t xml:space="preserve">單一代號查 </t>
    </r>
    <r>
      <rPr>
        <sz val="10"/>
        <rFont val="Arial"/>
        <family val="0"/>
        <charset val="1"/>
      </rPr>
      <t xml:space="preserve">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board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`list_instruments(` </t>
    </r>
    <r>
      <rPr>
        <sz val="10"/>
        <rFont val="Noto Sans CJK SC"/>
        <family val="2"/>
      </rPr>
      <t xml:space="preserve">宇宙類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／已走共用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alert_inputs:159</t>
    </r>
    <r>
      <rPr>
        <sz val="10"/>
        <rFont val="Noto Sans CJK SC"/>
        <family val="2"/>
      </rPr>
      <t xml:space="preserve">）／本次修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dividend_inbox:220</t>
    </r>
    <r>
      <rPr>
        <sz val="10"/>
        <rFont val="Noto Sans CJK SC"/>
        <family val="2"/>
      </rPr>
      <t xml:space="preserve">，移出白名單）／白名單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dividend_inbox:267 detect </t>
    </r>
    <r>
      <rPr>
        <sz val="10"/>
        <rFont val="Noto Sans CJK SC"/>
        <family val="2"/>
      </rPr>
      <t xml:space="preserve">讀已存事件（封存是停止抓取，不是隱藏持有期間未入帳的配息，且收件匣本來就「絕不自動入帳、可略過」）；</t>
    </r>
    <r>
      <rPr>
        <sz val="10"/>
        <rFont val="Arial"/>
        <family val="0"/>
        <charset val="1"/>
      </rPr>
      <t xml:space="preserve">fundamentals_service:33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actions.py:44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strategy.py:184 </t>
    </r>
    <r>
      <rPr>
        <sz val="10"/>
        <rFont val="Noto Sans CJK SC"/>
        <family val="2"/>
      </rPr>
      <t xml:space="preserve">是持倉集合（持有 ⇒ 未封存，本輪 </t>
    </r>
    <r>
      <rPr>
        <sz val="10"/>
        <rFont val="Arial"/>
        <family val="0"/>
        <charset val="1"/>
      </rPr>
      <t xml:space="preserve">DEF-075 </t>
    </r>
    <r>
      <rPr>
        <sz val="10"/>
        <rFont val="Noto Sans CJK SC"/>
        <family val="2"/>
      </rPr>
      <t xml:space="preserve">已改走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strategy.py:196 </t>
    </r>
    <r>
      <rPr>
        <sz val="10"/>
        <rFont val="Noto Sans CJK SC"/>
        <family val="2"/>
      </rPr>
      <t xml:space="preserve">目標權重設定表（與觀察清單一樣列出含封存的註冊標的）；</t>
    </r>
    <r>
      <rPr>
        <sz val="10"/>
        <rFont val="Arial"/>
        <family val="0"/>
        <charset val="1"/>
      </rPr>
      <t xml:space="preserve">news_service:165 </t>
    </r>
    <r>
      <rPr>
        <sz val="10"/>
        <rFont val="Noto Sans CJK SC"/>
        <family val="2"/>
      </rPr>
      <t xml:space="preserve">單一代號查詢（「</t>
    </r>
    <r>
      <rPr>
        <sz val="10"/>
        <rFont val="Arial"/>
        <family val="0"/>
        <charset val="1"/>
      </rPr>
      <t xml:space="preserve">all</t>
    </r>
    <r>
      <rPr>
        <sz val="10"/>
        <rFont val="Noto Sans CJK SC"/>
        <family val="2"/>
      </rPr>
      <t xml:space="preserve">」已走共用判定）。其餘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處是顯示或查名。掃描指令：</t>
    </r>
    <r>
      <rPr>
        <sz val="10"/>
        <rFont val="Arial"/>
        <family val="0"/>
        <charset val="1"/>
      </rPr>
      <t xml:space="preserve">git grep -n -i -E "from instruments|join instruments" 3be67db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3be67db -- portfolio_dash scripts</t>
    </r>
  </si>
  <si>
    <t xml:space="preserve"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</si>
  <si>
    <t xml:space="preserve"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</si>
  <si>
    <t xml:space="preserve"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</si>
  <si>
    <r>
      <rPr>
        <sz val="10"/>
        <rFont val="Arial"/>
        <family val="0"/>
        <charset val="1"/>
      </rPr>
      <t xml:space="preserve">8 → 7 → 8 </t>
    </r>
    <r>
      <rPr>
        <sz val="10"/>
        <rFont val="Noto Sans CJK SC"/>
        <family val="2"/>
      </rPr>
      <t xml:space="preserve">檔；帳本雜湊還原後相同。變異（驗證者於本機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重做）：改回 </t>
    </r>
    <r>
      <rPr>
        <sz val="10"/>
        <rFont val="Arial"/>
        <family val="0"/>
        <charset val="1"/>
      </rPr>
      <t xml:space="preserve">list_instruments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runner: archiving must remove exactly the archived symbol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</si>
  <si>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</si>
  <si>
    <r>
      <rPr>
        <sz val="10"/>
        <rFont val="Arial"/>
        <family val="0"/>
        <charset val="1"/>
      </rPr>
      <t xml:space="preserve">web/settings.html:533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web/settings-datasources.js:218</t>
    </r>
  </si>
  <si>
    <t xml:space="preserve">遮罩只在 API 回應上測過（test_llm_settings_api、test_datasources_api、test_notify_api）；前端輸入欄的 type 沒有任何守門。新增：由掃描衍生祕密輸入欄集合的靜態守門，加上 e2e。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</si>
  <si>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個輸入欄改為 </t>
    </r>
    <r>
      <rPr>
        <sz val="10"/>
        <rFont val="Arial"/>
        <family val="0"/>
        <charset val="1"/>
      </rPr>
      <t xml:space="preserve">type="password"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autocomplete="new-password"</t>
    </r>
    <r>
      <rPr>
        <sz val="10"/>
        <rFont val="Noto Sans CJK SC"/>
        <family val="2"/>
      </rPr>
      <t xml:space="preserve">（避免瀏覽器把登入密碼自動填進金鑰欄）。</t>
    </r>
    <r>
      <rPr>
        <sz val="10"/>
        <rFont val="Arial"/>
        <family val="0"/>
        <charset val="1"/>
      </rPr>
      <t xml:space="preserve">shared/masking.py::mask_secret </t>
    </r>
    <r>
      <rPr>
        <sz val="10"/>
        <rFont val="Noto Sans CJK SC"/>
        <family val="2"/>
      </rPr>
      <t xml:space="preserve">未修改：模型金鑰、資料來源金鑰、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密碼全部維持前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＋•••＋後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裁定）。為了在密碼欄位下仍看得出目前是哪一把金鑰，伺服器產生的遮罩以文字顯示在欄位旁「目前：</t>
    </r>
    <r>
      <rPr>
        <sz val="10"/>
        <rFont val="Arial"/>
        <family val="0"/>
        <charset val="1"/>
      </rPr>
      <t xml:space="preserve">abc•••xyz</t>
    </r>
    <r>
      <rPr>
        <sz val="10"/>
        <rFont val="Noto Sans CJK SC"/>
        <family val="2"/>
      </rPr>
      <t xml:space="preserve">」／「目前：尚未設定」（模型抽屜與通知中心三欄；資料來源的遮罩原本就顯示在該列）。保留遮罩的寫入路徑逐條確認照舊：通知欄位值仍是遮罩字串，含 ••• 即沿用；模型 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在按「重設」前空白唯讀、只有動過才送 </t>
    </r>
    <r>
      <rPr>
        <sz val="10"/>
        <rFont val="Arial"/>
        <family val="0"/>
        <charset val="1"/>
      </rPr>
      <t xml:space="preserve">api_key</t>
    </r>
    <r>
      <rPr>
        <sz val="10"/>
        <rFont val="Noto Sans CJK SC"/>
        <family val="2"/>
      </rPr>
      <t xml:space="preserve">；資料來源對話框留空代表清除，語意未變。不採用：把遮罩字串放進密碼欄（只會顯示成一串圓點）。</t>
    </r>
  </si>
  <si>
    <t xml:space="preserve"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</si>
  <si>
    <t xml:space="preserve"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</si>
  <si>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真實瀏覽器（不在任何祕密欄位輸入）：系統設定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開模型抽屜（按「重設」後讀欄位、關閉不儲存）；資料來源 按「設定金鑰」開對話框讀欄位後取消；通知中心讀 </t>
    </r>
    <r>
      <rPr>
        <sz val="10"/>
        <rFont val="Arial"/>
        <family val="0"/>
        <charset val="1"/>
      </rPr>
      <t xml:space="preserve">ntfy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Telegram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欄位；讀 </t>
    </r>
    <r>
      <rPr>
        <sz val="10"/>
        <rFont val="Arial"/>
        <family val="0"/>
        <charset val="1"/>
      </rPr>
      <t xml:space="preserve">/api/llm/config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/api/datasources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/api/notify/config </t>
    </r>
    <r>
      <rPr>
        <sz val="10"/>
        <rFont val="Noto Sans CJK SC"/>
        <family val="2"/>
      </rPr>
      <t xml:space="preserve">的遮罩</t>
    </r>
  </si>
  <si>
    <t xml:space="preserve"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</si>
  <si>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個祕密欄皆密碼欄位、遮罩前後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字元；未修改任何設定（抽屜以 ✕ 關閉，遮罩前後相同）。變異（驗證者於本機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secret inputs that echo what is typed: settings.html:631#dr-key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11 passed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e2e——#dr-key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attribute 'password'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</si>
  <si>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⑥ A。</t>
  </si>
  <si>
    <r>
      <rPr>
        <sz val="10"/>
        <rFont val="Arial"/>
        <family val="0"/>
        <charset val="1"/>
      </rPr>
      <t xml:space="preserve">portfolio_dash/portfolio/dashboard.py:196-197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:982</t>
    </r>
  </si>
  <si>
    <r>
      <rPr>
        <sz val="10"/>
        <rFont val="Arial"/>
        <family val="0"/>
        <charset val="1"/>
      </rPr>
      <t xml:space="preserve">tests/portfolio/test_m1_fx_triangulation.py </t>
    </r>
    <r>
      <rPr>
        <sz val="10"/>
        <rFont val="Noto Sans CJK SC"/>
        <family val="2"/>
      </rPr>
      <t xml:space="preserve">的夾具三條腿都放在同一日；唯一改過一條腿日期的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、不斷言判定；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也是三腿同日——沒有任何案例在三腿日期不同時斷言判定結果。</t>
    </r>
  </si>
  <si>
    <r>
      <rPr>
        <sz val="10"/>
        <rFont val="Arial"/>
        <family val="0"/>
        <charset val="1"/>
      </rPr>
      <t xml:space="preserve">RateResolver </t>
    </r>
    <r>
      <rPr>
        <sz val="10"/>
        <rFont val="Noto Sans CJK SC"/>
        <family val="2"/>
      </rPr>
      <t xml:space="preserve">記錄每對匯率是正向或反向取得，新增 </t>
    </r>
    <r>
      <rPr>
        <sz val="10"/>
        <rFont val="Arial"/>
        <family val="0"/>
        <charset val="1"/>
      </rPr>
      <t xml:space="preserve">history(base, quote, start, end)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rate </t>
    </r>
    <r>
      <rPr>
        <sz val="10"/>
        <rFont val="Noto Sans CJK SC"/>
        <family val="2"/>
      </rPr>
      <t xml:space="preserve">同方向，反向用 </t>
    </r>
    <r>
      <rPr>
        <sz val="10"/>
        <rFont val="Arial"/>
        <family val="0"/>
        <charset val="1"/>
      </rPr>
      <t xml:space="preserve">1/rate </t>
    </r>
    <r>
      <rPr>
        <sz val="10"/>
        <rFont val="Noto Sans CJK SC"/>
        <family val="2"/>
      </rPr>
      <t xml:space="preserve">全精度，方向判定只有一個來源）。</t>
    </r>
    <r>
      <rPr>
        <sz val="10"/>
        <rFont val="Arial"/>
        <family val="0"/>
        <charset val="1"/>
      </rPr>
      <t xml:space="preserve">_fx_triangulation(reads, *, history, valued_on) </t>
    </r>
    <r>
      <rPr>
        <sz val="10"/>
        <rFont val="Noto Sans CJK SC"/>
        <family val="2"/>
      </rPr>
      <t xml:space="preserve">兩個參數必填：三腿最新日期相同且不晚於估值日 → 直接比；否則在「最舊那條腿的最新日期」往前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天內找三腿都有值的最新共同日期比較。容忍度語意不變（量化後 </t>
    </r>
    <r>
      <rPr>
        <sz val="10"/>
        <rFont val="Arial"/>
        <family val="0"/>
        <charset val="1"/>
      </rPr>
      <t xml:space="preserve">|gap| ≤ 0.05%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推導，共同日期上 </t>
    </r>
    <r>
      <rPr>
        <sz val="10"/>
        <rFont val="Arial"/>
        <family val="0"/>
        <charset val="1"/>
      </rPr>
      <t xml:space="preserve">gap </t>
    </r>
    <r>
      <rPr>
        <sz val="10"/>
        <rFont val="Noto Sans CJK SC"/>
        <family val="2"/>
      </rPr>
      <t xml:space="preserve">約為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，超過即代表有列不是經 </t>
    </r>
    <r>
      <rPr>
        <sz val="10"/>
        <rFont val="Arial"/>
        <family val="0"/>
        <charset val="1"/>
      </rPr>
      <t xml:space="preserve">cross.py </t>
    </r>
    <r>
      <rPr>
        <sz val="10"/>
        <rFont val="Noto Sans CJK SC"/>
        <family val="2"/>
      </rPr>
      <t xml:space="preserve">寫入）。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新增欄位（只增不改）：</t>
    </r>
    <r>
      <rPr>
        <sz val="10"/>
        <rFont val="Arial"/>
        <family val="0"/>
        <charset val="1"/>
      </rPr>
      <t xml:space="preserve">compared_on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dates_differ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leg_dates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；無共同日期 → </t>
    </r>
    <r>
      <rPr>
        <sz val="10"/>
        <rFont val="Arial"/>
        <family val="0"/>
        <charset val="1"/>
      </rPr>
      <t xml:space="preserve">ok: 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gap_pct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「最近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天內三組匯率沒有共同日期，無法比較」（不是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語意不變。畫面（首頁鮮度面板）：只有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顯示琥珀色；日期不同附「・日期不同（各組最新：…），以共同日期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比較」；</t>
    </r>
    <r>
      <rPr>
        <sz val="10"/>
        <rFont val="Arial"/>
        <family val="0"/>
        <charset val="1"/>
      </rPr>
      <t xml:space="preserve">ok === null </t>
    </r>
    <r>
      <rPr>
        <sz val="10"/>
        <rFont val="Noto Sans CJK SC"/>
        <family val="2"/>
      </rPr>
      <t xml:space="preserve">顯示「無法比較（原因）」中性色。不採用：在估值日讀取時推導一組一致的匯率（</t>
    </r>
    <r>
      <rPr>
        <sz val="10"/>
        <rFont val="Arial"/>
        <family val="0"/>
        <charset val="1"/>
      </rPr>
      <t xml:space="preserve">data-and-pricing </t>
    </r>
    <r>
      <rPr>
        <sz val="10"/>
        <rFont val="Noto Sans CJK SC"/>
        <family val="2"/>
      </rPr>
      <t xml:space="preserve">否決過：儲存值與使用值會變成兩個事實）；回看期不設上限（一條腿停更一年仍在一年前比較沒有意義，且鮮度清單已標示過期）。</t>
    </r>
  </si>
  <si>
    <t xml:space="preserve"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</si>
  <si>
    <t xml:space="preserve"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</si>
  <si>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面板（點「部分過期」徽章）讀匯率三角提示文字與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/api/dashboard freshness.fx_triangulation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J-01 </t>
    </r>
    <r>
      <rPr>
        <sz val="10"/>
        <rFont val="Noto Sans CJK SC"/>
        <family val="2"/>
      </rPr>
      <t xml:space="preserve">重跑；讀 </t>
    </r>
    <r>
      <rPr>
        <sz val="10"/>
        <rFont val="Arial"/>
        <family val="0"/>
        <charset val="1"/>
      </rPr>
      <t xml:space="preserve">web/app.js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web/styles.css </t>
    </r>
    <r>
      <rPr>
        <sz val="10"/>
        <rFont val="Noto Sans CJK SC"/>
        <family val="2"/>
      </rPr>
      <t xml:space="preserve">與開發者 </t>
    </r>
    <r>
      <rPr>
        <sz val="10"/>
        <rFont val="Arial"/>
        <family val="0"/>
        <charset val="1"/>
      </rPr>
      <t xml:space="preserve">e2e</t>
    </r>
  </si>
  <si>
    <t xml:space="preserve"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</si>
  <si>
    <t xml:space="preserve">文字與判定正確；「一致」提示為琥珀色警示框（計算樣式 rgb(217,161,63)）。變異（驗證者於本機 696934e 重做）：dates_differ 恆 False → 5 failed，還原後 9 passed（判定邏輯的測試有效；樣式測試有盲點）</t>
  </si>
  <si>
    <t xml:space="preserve"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</si>
  <si>
    <t xml:space="preserve"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</si>
  <si>
    <r>
      <rPr>
        <sz val="10"/>
        <rFont val="Arial"/>
        <family val="0"/>
        <charset val="1"/>
      </rPr>
      <t xml:space="preserve">portfolio_dash/strategy/alerts.py:357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portfolio_dash/shared/whatsnew.py:1317</t>
    </r>
  </si>
  <si>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的守門只比對各處的規則「名稱」（設定頁、推播、精靈），沒有比對規則引擎產生的事件「標題」——標題是 </t>
    </r>
    <r>
      <rPr>
        <sz val="10"/>
        <rFont val="Arial"/>
        <family val="0"/>
        <charset val="1"/>
      </rPr>
      <t xml:space="preserve">alerts.py </t>
    </r>
    <r>
      <rPr>
        <sz val="10"/>
        <rFont val="Noto Sans CJK SC"/>
        <family val="2"/>
      </rPr>
      <t xml:space="preserve">裡另一組字串，沒有任何測試觸及。新守門由程式碼衍生（規則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標題）配對，不是手寫清單。</t>
    </r>
  </si>
  <si>
    <t xml:space="preserve"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</si>
  <si>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掃描所有同時帶字面 </t>
    </r>
    <r>
      <rPr>
        <sz val="10"/>
        <rFont val="Arial"/>
        <family val="0"/>
        <charset val="1"/>
      </rPr>
      <t xml:space="preserve">title=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rule=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rule_id= </t>
    </r>
    <r>
      <rPr>
        <sz val="10"/>
        <rFont val="Noto Sans CJK SC"/>
        <family val="2"/>
      </rPr>
      <t xml:space="preserve">的呼叫：共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個標題、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條規則（另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個事件 </t>
    </r>
    <r>
      <rPr>
        <sz val="10"/>
        <rFont val="Arial"/>
        <family val="0"/>
        <charset val="1"/>
      </rPr>
      <t xml:space="preserve">signal_trend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momentum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不寫標題，畫面讀規則名）。修前同詞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、不同詞 </t>
    </r>
    <r>
      <rPr>
        <sz val="10"/>
        <rFont val="Arial"/>
        <family val="0"/>
        <charset val="1"/>
      </rPr>
      <t xml:space="preserve">11 → </t>
    </r>
    <r>
      <rPr>
        <sz val="10"/>
        <rFont val="Noto Sans CJK SC"/>
        <family val="2"/>
      </rPr>
      <t xml:space="preserve">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quota_low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，理由寫在測試的 </t>
    </r>
    <r>
      <rPr>
        <sz val="10"/>
        <rFont val="Arial"/>
        <family val="0"/>
        <charset val="1"/>
      </rPr>
      <t xml:space="preserve">_REVIEWED </t>
    </r>
    <r>
      <rPr>
        <sz val="10"/>
        <rFont val="Noto Sans CJK SC"/>
        <family val="2"/>
      </rPr>
      <t xml:space="preserve">表：</t>
    </r>
    <r>
      <rPr>
        <sz val="10"/>
        <rFont val="Arial"/>
        <family val="0"/>
        <charset val="1"/>
      </rPr>
      <t xml:space="preserve">single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sector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currency_weight</t>
    </r>
    <r>
      <rPr>
        <sz val="10"/>
        <rFont val="Noto Sans CJK SC"/>
        <family val="2"/>
      </rPr>
      <t xml:space="preserve">「權重偏高」描述觸發條件；</t>
    </r>
    <r>
      <rPr>
        <sz val="10"/>
        <rFont val="Arial"/>
        <family val="0"/>
        <charset val="1"/>
      </rPr>
      <t xml:space="preserve">fx_drift</t>
    </r>
    <r>
      <rPr>
        <sz val="10"/>
        <rFont val="Noto Sans CJK SC"/>
        <family val="2"/>
      </rPr>
      <t xml:space="preserve">「匯率偏離成本」、</t>
    </r>
    <r>
      <rPr>
        <sz val="10"/>
        <rFont val="Arial"/>
        <family val="0"/>
        <charset val="1"/>
      </rPr>
      <t xml:space="preserve">rebalance_drift</t>
    </r>
    <r>
      <rPr>
        <sz val="10"/>
        <rFont val="Noto Sans CJK SC"/>
        <family val="2"/>
      </rPr>
      <t xml:space="preserve">「偏離目標配置」說明偏離了什麼；</t>
    </r>
    <r>
      <rPr>
        <sz val="10"/>
        <rFont val="Arial"/>
        <family val="0"/>
        <charset val="1"/>
      </rPr>
      <t xml:space="preserve">target_cross </t>
    </r>
    <r>
      <rPr>
        <sz val="10"/>
        <rFont val="Noto Sans CJK SC"/>
        <family val="2"/>
      </rPr>
      <t xml:space="preserve">跌破／突破是方向；</t>
    </r>
    <r>
      <rPr>
        <sz val="10"/>
        <rFont val="Arial"/>
        <family val="0"/>
        <charset val="1"/>
      </rPr>
      <t xml:space="preserve">portfolio_drawdown</t>
    </r>
    <r>
      <rPr>
        <sz val="10"/>
        <rFont val="Noto Sans CJK SC"/>
        <family val="2"/>
      </rPr>
      <t xml:space="preserve">「組合自高點回撤」保留「組合」以免與個股回撤混淆；</t>
    </r>
    <r>
      <rPr>
        <sz val="10"/>
        <rFont val="Arial"/>
        <family val="0"/>
        <charset val="1"/>
      </rPr>
      <t xml:space="preserve">stale_price</t>
    </r>
    <r>
      <rPr>
        <sz val="10"/>
        <rFont val="Noto Sans CJK SC"/>
        <family val="2"/>
      </rPr>
      <t xml:space="preserve">「報價過期」與 </t>
    </r>
    <r>
      <rPr>
        <sz val="10"/>
        <rFont val="Arial"/>
        <family val="0"/>
        <charset val="1"/>
      </rPr>
      <t xml:space="preserve">missing_price</t>
    </r>
    <r>
      <rPr>
        <sz val="10"/>
        <rFont val="Noto Sans CJK SC"/>
        <family val="2"/>
      </rPr>
      <t xml:space="preserve">「無報價」為同義字（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採維持）。另「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」使用者可見字樣 共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18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pipeline.js 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pipeline-preflight.js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 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settings.html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trades.html 2</t>
    </r>
    <r>
      <rPr>
        <sz val="10"/>
        <rFont val="Noto Sans CJK SC"/>
        <family val="2"/>
      </rPr>
      <t xml:space="preserve">；後端中文訊息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action_log.py </t>
    </r>
    <r>
      <rPr>
        <sz val="10"/>
        <rFont val="Noto Sans CJK SC"/>
        <family val="2"/>
      </rPr>
      <t xml:space="preserve">動作標籤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R6 </t>
    </r>
    <r>
      <rPr>
        <sz val="10"/>
        <rFont val="Noto Sans CJK SC"/>
        <family val="2"/>
      </rPr>
      <t xml:space="preserve">閘門名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db_stats.py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 </t>
    </r>
    <r>
      <rPr>
        <sz val="10"/>
        <rFont val="Noto Sans CJK SC"/>
        <family val="2"/>
      </rPr>
      <t xml:space="preserve">數據變數庫描述 </t>
    </r>
    <r>
      <rPr>
        <sz val="10"/>
        <rFont val="Arial"/>
        <family val="0"/>
        <charset val="1"/>
      </rPr>
      <t xml:space="preserve">3——</t>
    </r>
    <r>
      <rPr>
        <sz val="10"/>
        <rFont val="Noto Sans CJK SC"/>
        <family val="2"/>
      </rPr>
      <t xml:space="preserve">只經 </t>
    </r>
    <r>
      <rPr>
        <sz val="10"/>
        <rFont val="Arial"/>
        <family val="0"/>
        <charset val="1"/>
      </rPr>
      <t xml:space="preserve">/api/prompt-vars </t>
    </r>
    <r>
      <rPr>
        <sz val="10"/>
        <rFont val="Noto Sans CJK SC"/>
        <family val="2"/>
      </rPr>
      <t xml:space="preserve">顯示、不進提示詞、不影響快取）／白名單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」產品名：</t>
    </r>
    <r>
      <rPr>
        <sz val="10"/>
        <rFont val="Arial"/>
        <family val="0"/>
        <charset val="1"/>
      </rPr>
      <t xml:space="preserve">settings.html:301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settings-prompts.js:254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622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掃描以分詞器去掉 </t>
    </r>
    <r>
      <rPr>
        <sz val="10"/>
        <rFont val="Arial"/>
        <family val="0"/>
        <charset val="1"/>
      </rPr>
      <t xml:space="preserve">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註解，只看字串、模板字串、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文字與屬性；後端以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取非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、含中文的字串常數。</t>
    </r>
  </si>
  <si>
    <t xml:space="preserve"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</si>
  <si>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真實瀏覽器：以隱藏 </t>
    </r>
    <r>
      <rPr>
        <sz val="10"/>
        <rFont val="Arial"/>
        <family val="0"/>
        <charset val="1"/>
      </rPr>
      <t xml:space="preserve">iframe </t>
    </r>
    <r>
      <rPr>
        <sz val="10"/>
        <rFont val="Noto Sans CJK SC"/>
        <family val="2"/>
      </rPr>
      <t xml:space="preserve">逐頁載入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個子分頁＋交易輸入，掃描可見文字與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placeholder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aria-label </t>
    </r>
    <r>
      <rPr>
        <sz val="10"/>
        <rFont val="Noto Sans CJK SC"/>
        <family val="2"/>
      </rPr>
      <t xml:space="preserve">中的「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」（排除 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把低額度警示門檻由 </t>
    </r>
    <r>
      <rPr>
        <sz val="10"/>
        <rFont val="Arial"/>
        <family val="0"/>
        <charset val="1"/>
      </rPr>
      <t xml:space="preserve">1.00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3.26</t>
    </r>
    <r>
      <rPr>
        <sz val="10"/>
        <rFont val="Noto Sans CJK SC"/>
        <family val="2"/>
      </rPr>
      <t xml:space="preserve">）→ 開預警鈴讀清單與 </t>
    </r>
    <r>
      <rPr>
        <sz val="10"/>
        <rFont val="Arial"/>
        <family val="0"/>
        <charset val="1"/>
      </rPr>
      <t xml:space="preserve">/api/alerts →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；讀 </t>
    </r>
    <r>
      <rPr>
        <sz val="10"/>
        <rFont val="Arial"/>
        <family val="0"/>
        <charset val="1"/>
      </rPr>
      <t xml:space="preserve">/api/system-log </t>
    </r>
    <r>
      <rPr>
        <sz val="10"/>
        <rFont val="Noto Sans CJK SC"/>
        <family val="2"/>
      </rPr>
      <t xml:space="preserve">最新兩列動作標籤</t>
    </r>
  </si>
  <si>
    <t xml:space="preserve"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</si>
  <si>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；預警標題與規則名一致。變異（驗證者於本機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重做）：系統紀錄標籤改回「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設定變更」→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 Chinese message says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」… </t>
    </r>
    <r>
      <rPr>
        <sz val="10"/>
        <rFont val="Arial"/>
        <family val="0"/>
        <charset val="1"/>
      </rPr>
      <t xml:space="preserve">action_log.py:96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8 passed</t>
    </r>
  </si>
  <si>
    <t xml:space="preserve"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</si>
  <si>
    <t xml:space="preserve"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</si>
  <si>
    <r>
      <rPr>
        <sz val="10"/>
        <rFont val="Arial"/>
        <family val="0"/>
        <charset val="1"/>
      </rPr>
      <t xml:space="preserve">web/styles.css:1240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預設琥珀）、</t>
    </r>
    <r>
      <rPr>
        <sz val="10"/>
        <rFont val="Arial"/>
        <family val="0"/>
        <charset val="1"/>
      </rPr>
      <t xml:space="preserve">web/app.js:1393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:1399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web/settings-llm.js:71-74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web/app.js:1360</t>
    </r>
  </si>
  <si>
    <r>
      <rPr>
        <sz val="10"/>
        <rFont val="Arial"/>
        <family val="0"/>
        <charset val="1"/>
      </rPr>
      <t xml:space="preserve">①R6 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test_def077_fx_triangle_note_flow.py:65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:93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n.style.color——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值，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預設色永遠不會出現在那裡，「等於空字串」對任何靠樣式表上色的元素都成立；也沒測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那一態，「三態全中性」同樣會通過。②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已寫下「警示色是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，不是 </t>
    </r>
    <r>
      <rPr>
        <sz val="10"/>
        <rFont val="Arial"/>
        <family val="0"/>
        <charset val="1"/>
      </rPr>
      <t xml:space="preserve">inline style</t>
    </r>
    <r>
      <rPr>
        <sz val="10"/>
        <rFont val="Noto Sans CJK SC"/>
        <family val="2"/>
      </rPr>
      <t xml:space="preserve">」，但守門 </t>
    </r>
    <r>
      <rPr>
        <sz val="10"/>
        <rFont val="Arial"/>
        <family val="0"/>
        <charset val="1"/>
      </rPr>
      <t xml:space="preserve">test_m10_02_warn_colour_lives_in_css.py </t>
    </r>
    <r>
      <rPr>
        <sz val="10"/>
        <rFont val="Noto Sans CJK SC"/>
        <family val="2"/>
      </rPr>
      <t xml:space="preserve">只點名兩個函式（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、部分執行的點），其他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支檔案沒人看——手寫範圍的盲點。</t>
    </r>
  </si>
  <si>
    <t xml:space="preserve"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</si>
  <si>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共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檔）；其中設定狀態色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 → 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app.js:1399 </t>
    </r>
    <r>
      <rPr>
        <sz val="10"/>
        <rFont val="Noto Sans CJK SC"/>
        <family val="2"/>
      </rPr>
      <t xml:space="preserve">三角提示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settings-llm.js:72-74 </t>
    </r>
    <r>
      <rPr>
        <sz val="10"/>
        <rFont val="Noto Sans CJK SC"/>
        <family val="2"/>
      </rPr>
      <t xml:space="preserve">狀態徽章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個位置，</t>
    </r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同一行出現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次）：</t>
    </r>
    <r>
      <rPr>
        <sz val="10"/>
        <rFont val="Arial"/>
        <family val="0"/>
        <charset val="1"/>
      </rPr>
      <t xml:space="preserve">broker-import.js:720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cash.js:437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detail.js:1245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instruments.js:347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settings-llm.js:365——</t>
    </r>
    <r>
      <rPr>
        <sz val="10"/>
        <rFont val="Noto Sans CJK SC"/>
        <family val="2"/>
      </rPr>
      <t xml:space="preserve">皆為「元素只為單一狀態建立」或「每個分支都寫入顏色」，理由寫在 </t>
    </r>
    <r>
      <rPr>
        <sz val="10"/>
        <rFont val="Arial"/>
        <family val="0"/>
        <charset val="1"/>
      </rPr>
      <t xml:space="preserve">_REVIEWED</t>
    </r>
    <r>
      <rPr>
        <sz val="10"/>
        <rFont val="Noto Sans CJK SC"/>
        <family val="2"/>
      </rPr>
      <t xml:space="preserve">。「容器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預設警示色＋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判斷顏色」這個精確形狀：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處（即本張）；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狀態色在分支間殘留：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狀態徽章，已修）；警示色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用在非警示內容：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處（推導，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裁定改）。修後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64 </t>
    </r>
    <r>
      <rPr>
        <sz val="10"/>
        <rFont val="Noto Sans CJK SC"/>
        <family val="2"/>
      </rPr>
      <t xml:space="preserve">處、狀態色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處。掃描指令：</t>
    </r>
    <r>
      <rPr>
        <sz val="10"/>
        <rFont val="Arial"/>
        <family val="0"/>
        <charset val="1"/>
      </rPr>
      <t xml:space="preserve">git grep -nE "style\.(color|background|backgroundColor|borderColor|cssText)\s*=" -- web/</t>
    </r>
  </si>
  <si>
    <t xml:space="preserve"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</si>
  <si>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</si>
  <si>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唯讀探測（真實瀏覽器，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）：三角提示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fresh-note fresh-note-info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color rgb(154,166,181)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background rgb(24,32,43)</t>
    </r>
    <r>
      <rPr>
        <sz val="10"/>
        <rFont val="Noto Sans CJK SC"/>
        <family val="2"/>
      </rPr>
      <t xml:space="preserve">（同頁琥珀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rgba(217,161,63,0.14)</t>
    </r>
    <r>
      <rPr>
        <sz val="10"/>
        <rFont val="Noto Sans CJK SC"/>
        <family val="2"/>
      </rPr>
      <t xml:space="preserve">）；同區「排程器未啟動」仍為琥珀；推導標籤 </t>
    </r>
    <r>
      <rPr>
        <sz val="10"/>
        <rFont val="Arial"/>
        <family val="0"/>
        <charset val="1"/>
      </rPr>
      <t xml:space="preserve">rgb(154,166,181)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rgb(24,32,43)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ok:true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compared_on 2026-09-22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</si>
  <si>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面板讀匯率三角提示、「排程器未啟動」與「推導」徽章的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（深色主題，另以 </t>
    </r>
    <r>
      <rPr>
        <sz val="10"/>
        <rFont val="Arial"/>
        <family val="0"/>
        <charset val="1"/>
      </rPr>
      <t xml:space="preserve">data-theme </t>
    </r>
    <r>
      <rPr>
        <sz val="10"/>
        <rFont val="Noto Sans CJK SC"/>
        <family val="2"/>
      </rPr>
      <t xml:space="preserve">切淺色重讀、再切回）；本機專用測試環境（同一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帳本（三腿同在 </t>
    </r>
    <r>
      <rPr>
        <sz val="10"/>
        <rFont val="Arial"/>
        <family val="0"/>
        <charset val="1"/>
      </rPr>
      <t xml:space="preserve">06-09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）、驗證者自製兩種狀態（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06-08 → </t>
    </r>
    <r>
      <rPr>
        <sz val="10"/>
        <rFont val="Noto Sans CJK SC"/>
        <family val="2"/>
      </rPr>
      <t xml:space="preserve">無共同日期；</t>
    </r>
    <r>
      <rPr>
        <sz val="10"/>
        <rFont val="Arial"/>
        <family val="0"/>
        <charset val="1"/>
      </rPr>
      <t xml:space="preserve">USD/TWD 06-09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30.8 → </t>
    </r>
    <r>
      <rPr>
        <sz val="10"/>
        <rFont val="Noto Sans CJK SC"/>
        <family val="2"/>
      </rPr>
      <t xml:space="preserve">同日一致），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讀兩種主題的計算樣式；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狀態徽章以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走 啟用中 → 門檻 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（偏低）→ 逐一清空已設角色（已關閉）→ 還原角色（偏低）→ 門檻還原（啟用中），並在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以同一腳本對照；</t>
    </r>
    <r>
      <rPr>
        <sz val="10"/>
        <rFont val="Arial"/>
        <family val="0"/>
        <charset val="1"/>
      </rPr>
      <t xml:space="preserve">git grep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重算開發者的掃描數字</t>
    </r>
  </si>
  <si>
    <t xml:space="preserve"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</si>
  <si>
    <t xml:space="preserve"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</si>
  <si>
    <t xml:space="preserve">無。附註：「推導」改中性、AI 狀態徽章改 class 依 owner 2026-09-26 對話裁定併入本張驗收</t>
  </si>
  <si>
    <t xml:space="preserve">檢驗方 2026-09-27</t>
  </si>
  <si>
    <t xml:space="preserve">新開，owner 2026-09-26 在對話中裁定本輪改顯示名稱（驗證者 R5 觀察 5、R6 規格 §2 觀察 3）。</t>
  </si>
  <si>
    <r>
      <rPr>
        <sz val="10"/>
        <rFont val="Arial"/>
        <family val="0"/>
        <charset val="1"/>
      </rPr>
      <t xml:space="preserve">web/insights.html:688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portfolio_dash/api/routers/insights.py:914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</t>
    </r>
  </si>
  <si>
    <t xml:space="preserve">沒有任何測試斷言戰績頁如何稱呼任務：唯一的戰績 e2e（test_ai_score_status_flow.py）以 stub 回應只驗結果欄的狀態章，by_combo 為空陣列；contract 測試只驗 insight_type_id 的值。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</si>
  <si>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加欄位、畫面讀它（純增量）：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在每個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項目加 </t>
    </r>
    <r>
      <rPr>
        <sz val="10"/>
        <rFont val="Arial"/>
        <family val="0"/>
        <charset val="1"/>
      </rPr>
      <t xml:space="preserve">insight_type_label——</t>
    </r>
    <r>
      <rPr>
        <sz val="10"/>
        <rFont val="Noto Sans CJK SC"/>
        <family val="2"/>
      </rPr>
      <t xml:space="preserve">任務名稱；已封存的任務「名稱（已刪除）」；任務列已不存在「任務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（已刪除）」，與排程中心 </t>
    </r>
    <r>
      <rPr>
        <sz val="10"/>
        <rFont val="Arial"/>
        <family val="0"/>
        <charset val="1"/>
      </rPr>
      <t xml:space="preserve">_insight_label </t>
    </r>
    <r>
      <rPr>
        <sz val="10"/>
        <rFont val="Noto Sans CJK SC"/>
        <family val="2"/>
      </rPr>
      <t xml:space="preserve">的三種情形一致（只去掉「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洞察任務」前綴，因為這頁每列都是）。畫面兩處改印標籤、滑鼠提示為「任務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」；舊回應沒有標籤時退回原文字。掃描以「使用者看得到任務身分的面」為單位。</t>
    </r>
  </si>
  <si>
    <t xml:space="preserve"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</si>
  <si>
    <t xml:space="preserve"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</si>
  <si>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唯讀探測：各洞察任務命中率列名「個股健檢」「持倉建議與提點」「持倉提點」（</t>
    </r>
    <r>
      <rPr>
        <sz val="10"/>
        <rFont val="Arial"/>
        <family val="0"/>
        <charset val="1"/>
      </rPr>
      <t xml:space="preserve">title 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#9</t>
    </r>
    <r>
      <rPr>
        <sz val="10"/>
        <rFont val="Noto Sans CJK SC"/>
        <family val="2"/>
      </rPr>
      <t xml:space="preserve">），預測明細第一欄同為名稱，兩區塊無「任務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/api/ai-score by_combo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insight_type_label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</si>
  <si>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真實瀏覽器：洞察中心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讀「各洞察任務命中率」列名與滑鼠提示（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）、「預測明細」全部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列第一欄與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/api/insight-tasks </t>
    </r>
    <r>
      <rPr>
        <sz val="10"/>
        <rFont val="Noto Sans CJK SC"/>
        <family val="2"/>
      </rPr>
      <t xml:space="preserve">的任務名稱與 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資料庫副本，</t>
    </r>
    <r>
      <rPr>
        <sz val="10"/>
        <rFont val="Arial"/>
        <family val="0"/>
        <charset val="1"/>
      </rPr>
      <t xml:space="preserve">54 </t>
    </r>
    <r>
      <rPr>
        <sz val="10"/>
        <rFont val="Noto Sans CJK SC"/>
        <family val="2"/>
      </rPr>
      <t xml:space="preserve">筆評分）：任務存在、經 管線中心 任務抽屜「刪除任務」（確認框 → </t>
    </r>
    <r>
      <rPr>
        <sz val="10"/>
        <rFont val="Arial"/>
        <family val="0"/>
        <charset val="1"/>
      </rPr>
      <t xml:space="preserve">DELETE /api/insight-tasks/2 200</t>
    </r>
    <r>
      <rPr>
        <sz val="10"/>
        <rFont val="Noto Sans CJK SC"/>
        <family val="2"/>
      </rPr>
      <t xml:space="preserve">）之後、任務列已不存在（資料庫副本刪除該列）三種情況各讀一次</t>
    </r>
  </si>
  <si>
    <t xml:space="preserve"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</si>
  <si>
    <t xml:space="preserve"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</si>
  <si>
    <t xml:space="preserve">無。附註：已封存任務的評分依 spec 4.1 不在戰績頁出現，所以「名稱（已刪除）」這支在頁面上走不到（契約測試有覆蓋），不影響本張</t>
  </si>
  <si>
    <t xml:space="preserve">2026-09-27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</si>
  <si>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G-04——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，以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同一條括號代號正規式統計卡片文字中的括號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/api/instruments </t>
    </r>
    <r>
      <rPr>
        <sz val="10"/>
        <rFont val="Noto Sans CJK SC"/>
        <family val="2"/>
      </rPr>
      <t xml:space="preserve">的已註冊代號與名稱；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洞察頁讀「未知代碼」標記與 </t>
    </r>
    <r>
      <rPr>
        <sz val="10"/>
        <rFont val="Arial"/>
        <family val="0"/>
        <charset val="1"/>
      </rPr>
      <t xml:space="preserve">tooltip</t>
    </r>
  </si>
  <si>
    <t xml:space="preserve"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</si>
  <si>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張卡括號 </t>
    </r>
    <r>
      <rPr>
        <sz val="10"/>
        <rFont val="Arial"/>
        <family val="0"/>
        <charset val="1"/>
      </rPr>
      <t xml:space="preserve">token 44 </t>
    </r>
    <r>
      <rPr>
        <sz val="10"/>
        <rFont val="Noto Sans CJK SC"/>
        <family val="2"/>
      </rPr>
      <t xml:space="preserve">種：指標、縮寫、幣別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誤報；真陽性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」正確；誤報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#209 LARGAN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的註冊名稱）</t>
    </r>
  </si>
  <si>
    <t xml:space="preserve">開 DEF-082</t>
  </si>
  <si>
    <t xml:space="preserve">同意驗證者的判定與根因（既有規則漏網，不是回歸）。Owner 2026-09-27 裁定 A 修；名稱比對範圍另在對話中裁定為「整名＋多字名稱的單字」，例如 5225 IHH Healthcare 寫成「(IHH)」也算名稱。</t>
  </si>
  <si>
    <r>
      <rPr>
        <sz val="10"/>
        <rFont val="Arial"/>
        <family val="0"/>
        <charset val="1"/>
      </rPr>
      <t xml:space="preserve">portfolio_dash/llm_insight/figure_check.py:151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_CODE_RE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:460-474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_known_forms </t>
    </r>
    <r>
      <rPr>
        <sz val="10"/>
        <rFont val="Noto Sans CJK SC"/>
        <family val="2"/>
      </rPr>
      <t xml:space="preserve">的代號）；</t>
    </r>
    <r>
      <rPr>
        <sz val="10"/>
        <rFont val="Arial"/>
        <family val="0"/>
        <charset val="1"/>
      </rPr>
      <t xml:space="preserve">portfolio_dash/api/routers/insights.py:1150-1157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_known_symbols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，名稱沒有傳進檢核）（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</si>
  <si>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M9 </t>
    </r>
    <r>
      <rPr>
        <sz val="10"/>
        <rFont val="Noto Sans CJK SC"/>
        <family val="2"/>
      </rPr>
      <t xml:space="preserve">的誤報白名單（</t>
    </r>
    <r>
      <rPr>
        <sz val="10"/>
        <rFont val="Arial"/>
        <family val="0"/>
        <charset val="1"/>
      </rPr>
      <t xml:space="preserve">_NOT_A_TICKER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_INDICATOR_RE</t>
    </r>
    <r>
      <rPr>
        <sz val="10"/>
        <rFont val="Noto Sans CJK SC"/>
        <family val="2"/>
      </rPr>
      <t xml:space="preserve">）是依 </t>
    </r>
    <r>
      <rPr>
        <sz val="10"/>
        <rFont val="Arial"/>
        <family val="0"/>
        <charset val="1"/>
      </rPr>
      <t xml:space="preserve">2026-09-17 demo </t>
    </r>
    <r>
      <rPr>
        <sz val="10"/>
        <rFont val="Noto Sans CJK SC"/>
        <family val="2"/>
      </rPr>
      <t xml:space="preserve">實測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筆命中歸納（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筆指標／比率／評等，外加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筆真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），測試也只覆蓋那批形狀。「代號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英文名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」在當時的卡片裡不存在。已知字詞一直是從看過的誤報推導，不是從登錄表的兩個識別欄位（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）推導——沒看過的形狀就沒有測試。</t>
    </r>
  </si>
  <si>
    <t xml:space="preserve"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</si>
  <si>
    <t xml:space="preserve"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</si>
  <si>
    <r>
      <rPr>
        <sz val="10"/>
        <rFont val="Arial"/>
        <family val="0"/>
        <charset val="1"/>
      </rPr>
      <t xml:space="preserve">tests/llm_insight/test_figure_check.py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則（以 </t>
    </r>
    <r>
      <rPr>
        <sz val="10"/>
        <rFont val="Arial"/>
        <family val="0"/>
        <charset val="1"/>
      </rPr>
      <t xml:space="preserve">demo 26 </t>
    </r>
    <r>
      <rPr>
        <sz val="10"/>
        <rFont val="Noto Sans CJK SC"/>
        <family val="2"/>
      </rPr>
      <t xml:space="preserve">個名稱為登錄表）：①「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」只給代號時被標（原缺陷的見證），加上名稱後不標；②整名與單字不分大小寫——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IHH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YANG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SPACE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MICRO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INC </t>
    </r>
    <r>
      <rPr>
        <sz val="10"/>
        <rFont val="Noto Sans CJK SC"/>
        <family val="2"/>
      </rPr>
      <t xml:space="preserve">都不標，不給名稱時全被標（上限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）；③名稱不會放行真的未知代號——名稱表含「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Fund 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Global X Uranium</t>
    </r>
    <r>
      <rPr>
        <sz val="10"/>
        <rFont val="Noto Sans CJK SC"/>
        <family val="2"/>
      </rPr>
      <t xml:space="preserve">」時，「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(X)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(LRDIM)</t>
    </r>
    <r>
      <rPr>
        <sz val="10"/>
        <rFont val="Noto Sans CJK SC"/>
        <family val="2"/>
      </rPr>
      <t xml:space="preserve">」照樣被標。新增 </t>
    </r>
    <r>
      <rPr>
        <sz val="10"/>
        <rFont val="Arial"/>
        <family val="0"/>
        <charset val="1"/>
      </rPr>
      <t xml:space="preserve">tests/contract/test_def082_card_names_are_not_unknown_codes.py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則，走真實路由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，平面清單與依標的分組兩種形狀結果一致）：「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5225 (IHH)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AAPL (APPLE)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TSMC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["6883"]</t>
    </r>
    <r>
      <rPr>
        <sz val="10"/>
        <rFont val="Noto Sans CJK SC"/>
        <family val="2"/>
      </rPr>
      <t xml:space="preserve">。變異（每組還原後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通過）：①拿掉名稱比對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單元＋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契約）；②路由不傳名稱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（契約）；③名稱不轉大寫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；④只比整名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；⑤放行單一字母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；⑥放行全數字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。另一組「單字正規式放寬到數字」在全數字過濾套到所有形式後成為等價變異，不計。既有 </t>
    </r>
    <r>
      <rPr>
        <sz val="10"/>
        <rFont val="Arial"/>
        <family val="0"/>
        <charset val="1"/>
      </rPr>
      <t xml:space="preserve">test_insight_run_api.py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形狀照常通過。</t>
    </r>
  </si>
  <si>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</si>
  <si>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6,500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6,498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。註：自我檢查後把「全數字／單一字母不算名稱」也套到整名（原只套單字），改後補跑 </t>
    </r>
    <r>
      <rPr>
        <sz val="10"/>
        <rFont val="Arial"/>
        <family val="0"/>
        <charset val="1"/>
      </rPr>
      <t xml:space="preserve">mypy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）與受影響批次 </t>
    </r>
    <r>
      <rPr>
        <sz val="10"/>
        <rFont val="Arial"/>
        <family val="0"/>
        <charset val="1"/>
      </rPr>
      <t xml:space="preserve">2,377 </t>
    </r>
    <r>
      <rPr>
        <sz val="10"/>
        <rFont val="Noto Sans CJK SC"/>
        <family val="2"/>
      </rPr>
      <t xml:space="preserve">則全過；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未重跑（此調整只影響整個名稱是數字或單一字母的標的，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無此資料）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唯讀探測（頁首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GET /api/insights 208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unknown_symbols </t>
    </r>
    <r>
      <rPr>
        <sz val="10"/>
        <rFont val="Noto Sans CJK SC"/>
        <family val="2"/>
      </rPr>
      <t xml:space="preserve">只剩 </t>
    </r>
    <r>
      <rPr>
        <sz val="10"/>
        <rFont val="Arial"/>
        <family val="0"/>
        <charset val="1"/>
      </rPr>
      <t xml:space="preserve">#82 ["6883"]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科技股佔比近九成」（內文含「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」）</t>
    </r>
    <r>
      <rPr>
        <sz val="10"/>
        <rFont val="Arial"/>
        <family val="0"/>
        <charset val="1"/>
      </rPr>
      <t xml:space="preserve">figure_flags = {unverified_figures: [], unknown_symbols: [], snapshot: checked}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洞察頁「未知代碼」標記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」），沒有任何標記含 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</si>
  <si>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卡片的徽章與滑鼠提示；</t>
    </r>
    <r>
      <rPr>
        <sz val="10"/>
        <rFont val="Arial"/>
        <family val="0"/>
        <charset val="1"/>
      </rPr>
      <t xml:space="preserve">GET /api/insights?limit=500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張）與 </t>
    </r>
    <r>
      <rPr>
        <sz val="10"/>
        <rFont val="Arial"/>
        <family val="0"/>
        <charset val="1"/>
      </rPr>
      <t xml:space="preserve">?group=symbol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張）讀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；以與 </t>
    </r>
    <r>
      <rPr>
        <sz val="10"/>
        <rFont val="Arial"/>
        <family val="0"/>
        <charset val="1"/>
      </rPr>
      <t xml:space="preserve">_CODE_RE </t>
    </r>
    <r>
      <rPr>
        <sz val="10"/>
        <rFont val="Noto Sans CJK SC"/>
        <family val="2"/>
      </rPr>
      <t xml:space="preserve">相同的正規式在頁內抽出全部卡片的括號代號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處、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種），帶到本機分別以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重算；本機專用測試環境（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個登錄代號與名稱）：直接呼叫 </t>
    </r>
    <r>
      <rPr>
        <sz val="10"/>
        <rFont val="Arial"/>
        <family val="0"/>
        <charset val="1"/>
      </rPr>
      <t xml:space="preserve">check_figures </t>
    </r>
    <r>
      <rPr>
        <sz val="10"/>
        <rFont val="Noto Sans CJK SC"/>
        <family val="2"/>
      </rPr>
      <t xml:space="preserve">驗開發者列的寫法與驗證者自加邊界共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資料庫副本經真實路由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（平面與分組兩種形狀）驗已封存標的名稱、兩字母單字、字母＋數字單字與近似拼法；自做變異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組；未產生新卡、未花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</si>
  <si>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t xml:space="preserve"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</si>
  <si>
    <r>
      <rPr>
        <sz val="10"/>
        <rFont val="Arial"/>
        <family val="0"/>
        <charset val="1"/>
      </rPr>
      <t xml:space="preserve">#209 unknown_symbols [] </t>
    </r>
    <r>
      <rPr>
        <sz val="10"/>
        <rFont val="Noto Sans CJK SC"/>
        <family val="2"/>
      </rPr>
      <t xml:space="preserve">且畫面無「未知代碼」；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仍標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張重算未知代碼只剩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同資料為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種全數放行、真的未知代號與近似拼法照標。變異（驗證者於本機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自做，共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組）：⓪把修復前的兩個檔案（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版 </t>
    </r>
    <r>
      <rPr>
        <sz val="10"/>
        <rFont val="Arial"/>
        <family val="0"/>
        <charset val="1"/>
      </rPr>
      <t xml:space="preserve">figure_check.py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routers/insights.py</t>
    </r>
    <r>
      <rPr>
        <sz val="10"/>
        <rFont val="Noto Sans CJK SC"/>
        <family val="2"/>
      </rPr>
      <t xml:space="preserve">）放回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（契約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則斷言 </t>
    </r>
    <r>
      <rPr>
        <sz val="10"/>
        <rFont val="Arial"/>
        <family val="0"/>
        <charset val="1"/>
      </rPr>
      <t xml:space="preserve">['LARGAN']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['IHH','APPLE','TSMC']</t>
    </r>
    <r>
      <rPr>
        <sz val="10"/>
        <rFont val="Noto Sans CJK SC"/>
        <family val="2"/>
      </rPr>
      <t xml:space="preserve">；單元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則）；⓪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保留新簽名、只停用名稱比對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（單元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、契約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）；①有數字快照的卡不比名稱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（單元）；②無快照的卡不比名稱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（契約）；③多字名稱只取第一個單字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）；④分組清單（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）仍只比代號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（契約，平面≠分組）。另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組未被攔（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測試集與全部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支涉及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insights </t>
    </r>
    <r>
      <rPr>
        <sz val="10"/>
        <rFont val="Noto Sans CJK SC"/>
        <family val="2"/>
      </rPr>
      <t xml:space="preserve">的測試檔皆全過）：⑤已封存標的的名稱不列入、⑥兩字母單字不算名稱、⑦單字只取字母（</t>
    </r>
    <r>
      <rPr>
        <sz val="10"/>
        <rFont val="Arial"/>
        <family val="0"/>
        <charset val="1"/>
      </rPr>
      <t xml:space="preserve">ALPHA2→ALPHA</t>
    </r>
    <r>
      <rPr>
        <sz val="10"/>
        <rFont val="Noto Sans CJK SC"/>
        <family val="2"/>
      </rPr>
      <t xml:space="preserve">）、⑧名稱改為前綴比對（</t>
    </r>
    <r>
      <rPr>
        <sz val="10"/>
        <rFont val="Arial"/>
        <family val="0"/>
        <charset val="1"/>
      </rPr>
      <t xml:space="preserve">(LARGA) </t>
    </r>
    <r>
      <rPr>
        <sz val="10"/>
        <rFont val="Noto Sans CJK SC"/>
        <family val="2"/>
      </rPr>
      <t xml:space="preserve">會被放行）——四者的現行行為驗證者已在本機經真實路由黑箱驗過皆正確，屬測試未釘住的邊界，列觀察不開單。還原後 </t>
    </r>
    <r>
      <rPr>
        <sz val="10"/>
        <rFont val="Arial"/>
        <family val="0"/>
        <charset val="1"/>
      </rPr>
      <t xml:space="preserve">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worktree </t>
    </r>
    <r>
      <rPr>
        <sz val="10"/>
        <rFont val="Noto Sans CJK SC"/>
        <family val="2"/>
      </rPr>
      <t xml:space="preserve">乾淨</t>
    </r>
  </si>
  <si>
    <t xml:space="preserve"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</si>
  <si>
    <t xml:space="preserve">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</si>
  <si>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以排程中心立即執行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，讀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明細與資料中心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原文；</t>
    </r>
    <r>
      <rPr>
        <sz val="10"/>
        <rFont val="Arial"/>
        <family val="0"/>
        <charset val="1"/>
      </rPr>
      <t xml:space="preserve">GET /api/llm/config </t>
    </r>
    <r>
      <rPr>
        <sz val="10"/>
        <rFont val="Noto Sans CJK SC"/>
        <family val="2"/>
      </rPr>
      <t xml:space="preserve">讀角色綁定。本機（同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、假端點擷取實際送出的請求）直接呼叫同一段結構化呼叫程式，比對送給 </t>
    </r>
    <r>
      <rPr>
        <sz val="10"/>
        <rFont val="Arial"/>
        <family val="0"/>
        <charset val="1"/>
      </rPr>
      <t xml:space="preserve">openrouter/anthropic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response_format</t>
    </r>
  </si>
  <si>
    <t xml:space="preserve"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</si>
  <si>
    <r>
      <rPr>
        <sz val="10"/>
        <rFont val="Arial"/>
        <family val="0"/>
        <charset val="1"/>
      </rPr>
      <t xml:space="preserve">run #221 partial</t>
    </r>
    <r>
      <rPr>
        <sz val="10"/>
        <rFont val="Noto Sans CJK SC"/>
        <family val="2"/>
      </rPr>
      <t xml:space="preserve">；失敗記錄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haiku-4.5 provider_error 400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 invalid_json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raw 216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1,395 </t>
    </r>
    <r>
      <rPr>
        <sz val="10"/>
        <rFont val="Noto Sans CJK SC"/>
        <family val="2"/>
      </rPr>
      <t xml:space="preserve">字）；本機擷取：兩個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supports_response_schema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」；三個角色的備援皆為 </t>
    </r>
    <r>
      <rPr>
        <sz val="10"/>
        <rFont val="Arial"/>
        <family val="0"/>
        <charset val="1"/>
      </rPr>
      <t xml:space="preserve">haiku-4.5</t>
    </r>
  </si>
  <si>
    <t xml:space="preserve">開 DEF-083
2026-09-29 補：AI 輸入指定 haiku-4.5 可固定重現（失敗記錄 #520，Azure 拒 pattern、Bedrock 拒 oneOf）；Owner 2026-09-29 裁定交開發者修</t>
  </si>
  <si>
    <t xml:space="preserve">檢驗方 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</si>
  <si>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抽取失敗記錄讀筆數與分類，按「下載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」（於頁內取得，不存檔）逐筆檢查欄位；另以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匯出對照同一時間的呼叫</t>
    </r>
  </si>
  <si>
    <t xml:space="preserve"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</si>
  <si>
    <t xml:space="preserve">下載 21 筆＝畫面 21 / 300；model 空 6 筆（#499、#500、#501、#511、#512、#518）；其餘 15 筆皆有 model</t>
  </si>
  <si>
    <t xml:space="preserve">開 DEF-084</t>
  </si>
  <si>
    <t xml:space="preserve"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</si>
  <si>
    <t xml:space="preserve"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</si>
  <si>
    <r>
      <rPr>
        <sz val="10"/>
        <rFont val="Arial"/>
        <family val="0"/>
        <charset val="1"/>
      </rPr>
      <t xml:space="preserve">gates R6 {lv:fail, fix:null}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、畫面按鈕僅「啟動排程」（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情境皆有修正按鈕；截圖 </t>
    </r>
    <r>
      <rPr>
        <sz val="10"/>
        <rFont val="Arial"/>
        <family val="0"/>
        <charset val="1"/>
      </rPr>
      <t xml:space="preserve">R10_H05_R6_preflight.png</t>
    </r>
  </si>
  <si>
    <t xml:space="preserve">開 DEF-085（規格未定），請 Owner 裁定 A 修／B 維持
Owner 2026-09-29 裁定 A 修 → 缺陷登記狀態改「新開」，交開發者</t>
  </si>
  <si>
    <t xml:space="preserve">2026-09-29</t>
  </si>
  <si>
    <t xml:space="preserve"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</si>
  <si>
    <t xml:space="preserve"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</si>
  <si>
    <t xml:space="preserve"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</si>
  <si>
    <t xml:space="preserve"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</si>
  <si>
    <t xml:space="preserve"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</si>
  <si>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</si>
  <si>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HTTP 200</t>
    </r>
    <r>
      <rPr>
        <sz val="10"/>
        <rFont val="Noto Sans CJK SC"/>
        <family val="2"/>
      </rPr>
      <t xml:space="preserve">、模型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0.008115</t>
    </r>
    <r>
      <rPr>
        <sz val="10"/>
        <rFont val="Noto Sans CJK SC"/>
        <family val="2"/>
      </rPr>
      <t xml:space="preserve">）、無提示條、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筆草稿」、失敗記錄仍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筆（無新增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）、交易帳本 </t>
    </r>
    <r>
      <rPr>
        <sz val="10"/>
        <rFont val="Arial"/>
        <family val="0"/>
        <charset val="1"/>
      </rPr>
      <t xml:space="preserve">56→56</t>
    </r>
    <r>
      <rPr>
        <sz val="10"/>
        <rFont val="Noto Sans CJK SC"/>
        <family val="2"/>
      </rPr>
      <t xml:space="preserve">；自動模式 → 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）同樣成功。②其餘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主機以同一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各送一次（</t>
    </r>
    <r>
      <rPr>
        <sz val="10"/>
        <rFont val="Arial"/>
        <family val="0"/>
        <charset val="1"/>
      </rPr>
      <t xml:space="preserve">agent=r11_schema_probe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llm_usage 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NewsExtract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AiInstrumentResolveReply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_NarrativeScore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_Calibration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_Review </t>
    </r>
    <r>
      <rPr>
        <sz val="10"/>
        <rFont val="Noto Sans CJK SC"/>
        <family val="2"/>
      </rPr>
      <t xml:space="preserve">全部由 </t>
    </r>
    <r>
      <rPr>
        <sz val="10"/>
        <rFont val="Arial"/>
        <family val="0"/>
        <charset val="1"/>
      </rPr>
      <t xml:space="preserve">anthropic/claude-haiku-4.5 </t>
    </r>
    <r>
      <rPr>
        <sz val="10"/>
        <rFont val="Noto Sans CJK SC"/>
        <family val="2"/>
      </rPr>
      <t xml:space="preserve">自己回答、</t>
    </r>
    <r>
      <rPr>
        <sz val="10"/>
        <rFont val="Arial"/>
        <family val="0"/>
        <charset val="1"/>
      </rPr>
      <t xml:space="preserve">failed_before </t>
    </r>
    <r>
      <rPr>
        <sz val="10"/>
        <rFont val="Noto Sans CJK SC"/>
        <family val="2"/>
      </rPr>
      <t xml:space="preserve">皆空、送出的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違規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（合計 </t>
    </r>
    <r>
      <rPr>
        <sz val="10"/>
        <rFont val="Arial"/>
        <family val="0"/>
        <charset val="1"/>
      </rPr>
      <t xml:space="preserve">0.006272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</si>
  <si>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原文解析；②設定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與額度暫時把 </t>
    </r>
    <r>
      <rPr>
        <sz val="10"/>
        <rFont val="Arial"/>
        <family val="0"/>
        <charset val="1"/>
      </rPr>
      <t xml:space="preserve">default </t>
    </r>
    <r>
      <rPr>
        <sz val="10"/>
        <rFont val="Noto Sans CJK SC"/>
        <family val="2"/>
      </rPr>
      <t xml:space="preserve">主模型改為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（備援暫改 </t>
    </r>
    <r>
      <rPr>
        <sz val="10"/>
        <rFont val="Arial"/>
        <family val="0"/>
        <charset val="1"/>
      </rPr>
      <t xml:space="preserve">gemini-2.5-flash</t>
    </r>
    <r>
      <rPr>
        <sz val="10"/>
        <rFont val="Noto Sans CJK SC"/>
        <family val="2"/>
      </rPr>
      <t xml:space="preserve">，測後改回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），以單一標的的 </t>
    </r>
    <r>
      <rPr>
        <sz val="10"/>
        <rFont val="Arial"/>
        <family val="0"/>
        <charset val="1"/>
      </rPr>
      <t xml:space="preserve">per_symbol </t>
    </r>
    <r>
      <rPr>
        <sz val="10"/>
        <rFont val="Noto Sans CJK SC"/>
        <family val="2"/>
      </rPr>
      <t xml:space="preserve">測試任務產一張洞察卡，讓 </t>
    </r>
    <r>
      <rPr>
        <sz val="10"/>
        <rFont val="Arial"/>
        <family val="0"/>
        <charset val="1"/>
      </rPr>
      <t xml:space="preserve">InsightCard schema </t>
    </r>
    <r>
      <rPr>
        <sz val="10"/>
        <rFont val="Noto Sans CJK SC"/>
        <family val="2"/>
      </rPr>
      <t xml:space="preserve">直接經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送到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路由；③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重放（</t>
    </r>
    <r>
      <rPr>
        <sz val="10"/>
        <rFont val="Arial"/>
        <family val="0"/>
        <charset val="1"/>
      </rPr>
      <t xml:space="preserve">alert_scan → 8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卡），讀 </t>
    </r>
    <r>
      <rPr>
        <sz val="10"/>
        <rFont val="Arial"/>
        <family val="0"/>
        <charset val="1"/>
      </rPr>
      <t xml:space="preserve">job_runs</t>
    </r>
    <r>
      <rPr>
        <sz val="10"/>
        <rFont val="Noto Sans CJK SC"/>
        <family val="2"/>
      </rPr>
      <t xml:space="preserve">、失敗記錄與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。本機專用測試環境（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與修復前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資料庫副本、非憑證假金鑰）：驗證者自寫的嚴格假端點——依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結構化輸出限制自行檢查每個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（拒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if/then/else</t>
    </r>
    <r>
      <rPr>
        <sz val="10"/>
        <rFont val="Noto Sans CJK SC"/>
        <family val="2"/>
      </rPr>
      <t xml:space="preserve">、數值與長度限制、</t>
    </r>
    <r>
      <rPr>
        <sz val="10"/>
        <rFont val="Arial"/>
        <family val="0"/>
        <charset val="1"/>
      </rPr>
      <t xml:space="preserve">maxItems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minItems&gt;1</t>
    </r>
    <r>
      <rPr>
        <sz val="10"/>
        <rFont val="Noto Sans CJK SC"/>
        <family val="2"/>
      </rPr>
      <t xml:space="preserve">、型別陣列、未設 </t>
    </r>
    <r>
      <rPr>
        <sz val="10"/>
        <rFont val="Arial"/>
        <family val="0"/>
        <charset val="1"/>
      </rPr>
      <t xml:space="preserve">additionalProperties:false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object</t>
    </r>
    <r>
      <rPr>
        <sz val="10"/>
        <rFont val="Noto Sans CJK SC"/>
        <family val="2"/>
      </rPr>
      <t xml:space="preserve">），不採用開發者的 </t>
    </r>
    <r>
      <rPr>
        <sz val="10"/>
        <rFont val="Arial"/>
        <family val="0"/>
        <charset val="1"/>
      </rPr>
      <t xml:space="preserve">schema_violations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經真實出口逐一送出；洞察任務以「主模型截斷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備援」重放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的失敗路徑；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輸入以「指定模型回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」觀察提示條（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真實瀏覽器、截圖 </t>
    </r>
    <r>
      <rPr>
        <sz val="10"/>
        <rFont val="Arial"/>
        <family val="0"/>
        <charset val="1"/>
      </rPr>
      <t xml:space="preserve">R11_DEF083_failover_note.png</t>
    </r>
    <r>
      <rPr>
        <sz val="10"/>
        <rFont val="Noto Sans CJK SC"/>
        <family val="2"/>
      </rPr>
      <t xml:space="preserve">）；自做變異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組；讀碼 </t>
    </r>
    <r>
      <rPr>
        <sz val="10"/>
        <rFont val="Arial"/>
        <family val="0"/>
        <charset val="1"/>
      </rPr>
      <t xml:space="preserve">shared/llm_schema.py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shared/llm.py:177-192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:484-485</t>
    </r>
  </si>
  <si>
    <t xml:space="preserve"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</si>
  <si>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模型欄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$0.008115</t>
    </r>
    <r>
      <rPr>
        <sz val="10"/>
        <rFont val="Noto Sans CJK SC"/>
        <family val="2"/>
      </rPr>
      <t xml:space="preserve">、無提示條、失敗記錄仍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筆、交易帳本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；洞察卡 </t>
    </r>
    <r>
      <rPr>
        <sz val="10"/>
        <rFont val="Arial"/>
        <family val="0"/>
        <charset val="1"/>
      </rPr>
      <t xml:space="preserve">run #228 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#250 haiku-4.5 $0.029194</t>
    </r>
    <r>
      <rPr>
        <sz val="10"/>
        <rFont val="Noto Sans CJK SC"/>
        <family val="2"/>
      </rPr>
      <t xml:space="preserve">、無新失敗記錄（任務測後刪除、角色改回）；</t>
    </r>
    <r>
      <rPr>
        <sz val="10"/>
        <rFont val="Arial"/>
        <family val="0"/>
        <charset val="1"/>
      </rPr>
      <t xml:space="preserve">one shot G-09 8/8 </t>
    </r>
    <r>
      <rPr>
        <sz val="10"/>
        <rFont val="Noto Sans CJK SC"/>
        <family val="2"/>
      </rPr>
      <t xml:space="preserve">張卡，</t>
    </r>
    <r>
      <rPr>
        <sz val="10"/>
        <rFont val="Arial"/>
        <family val="0"/>
        <charset val="1"/>
      </rPr>
      <t xml:space="preserve">5225 #256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產出（前置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 gemini invalid_json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新增失敗記錄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#522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）中 </t>
    </r>
    <r>
      <rPr>
        <sz val="10"/>
        <rFont val="Arial"/>
        <family val="0"/>
        <charset val="1"/>
      </rPr>
      <t xml:space="preserve">provider_error 0</t>
    </r>
    <r>
      <rPr>
        <sz val="10"/>
        <rFont val="Noto Sans CJK SC"/>
        <family val="2"/>
      </rPr>
      <t xml:space="preserve">。本機嚴格假端點：</t>
    </r>
    <r>
      <rPr>
        <sz val="10"/>
        <rFont val="Arial"/>
        <family val="0"/>
        <charset val="1"/>
      </rPr>
      <t xml:space="preserve">3a35454 7/7 </t>
    </r>
    <r>
      <rPr>
        <sz val="10"/>
        <rFont val="Noto Sans CJK SC"/>
        <family val="2"/>
      </rPr>
      <t xml:space="preserve">被拒 </t>
    </r>
    <r>
      <rPr>
        <sz val="10"/>
        <rFont val="Arial"/>
        <family val="0"/>
        <charset val="1"/>
      </rPr>
      <t xml:space="preserve">400→gemini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7/7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200</t>
    </r>
    <r>
      <rPr>
        <sz val="10"/>
        <rFont val="Noto Sans CJK SC"/>
        <family val="2"/>
      </rPr>
      <t xml:space="preserve">、問題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 0</t>
    </r>
    <r>
      <rPr>
        <sz val="10"/>
        <rFont val="Noto Sans CJK SC"/>
        <family val="2"/>
      </rPr>
      <t xml:space="preserve">（提示詞仍含，屬設計）。失敗路徑：</t>
    </r>
    <r>
      <rPr>
        <sz val="10"/>
        <rFont val="Arial"/>
        <family val="0"/>
        <charset val="1"/>
      </rPr>
      <t xml:space="preserve">3a35454 run partial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卡、失敗記錄 </t>
    </r>
    <r>
      <rPr>
        <sz val="10"/>
        <rFont val="Arial"/>
        <family val="0"/>
        <charset val="1"/>
      </rPr>
      <t xml:space="preserve">gemini invalid_json ×2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haiku provider_error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run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張卡」由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。提示條：「指定模型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失敗：請求內容被拒（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）。本次改由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產出。」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--amber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「解析完成（已改用其他模型）…」；成功時隱藏、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解析完成」。變異（驗證者自做，基線 </t>
    </r>
    <r>
      <rPr>
        <sz val="10"/>
        <rFont val="Arial"/>
        <family val="0"/>
        <charset val="1"/>
      </rPr>
      <t xml:space="preserve">68 passed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V83-a </t>
    </r>
    <r>
      <rPr>
        <sz val="10"/>
        <rFont val="Noto Sans CJK SC"/>
        <family val="2"/>
      </rPr>
      <t xml:space="preserve">放回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_response_format_for → 10 failed</t>
    </r>
    <r>
      <rPr>
        <sz val="10"/>
        <rFont val="Noto Sans CJK SC"/>
        <family val="2"/>
      </rPr>
      <t xml:space="preserve">＋假端點 </t>
    </r>
    <r>
      <rPr>
        <sz val="10"/>
        <rFont val="Arial"/>
        <family val="0"/>
        <charset val="1"/>
      </rPr>
      <t xml:space="preserve">7/7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V83-b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oneOf → 3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V83-c </t>
    </r>
    <r>
      <rPr>
        <sz val="10"/>
        <rFont val="Noto Sans CJK SC"/>
        <family val="2"/>
      </rPr>
      <t xml:space="preserve">不補 </t>
    </r>
    <r>
      <rPr>
        <sz val="10"/>
        <rFont val="Arial"/>
        <family val="0"/>
        <charset val="1"/>
      </rPr>
      <t xml:space="preserve">additionalProperties → 9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7/7 400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V83-d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抄回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V83-e </t>
    </r>
    <r>
      <rPr>
        <sz val="10"/>
        <rFont val="Noto Sans CJK SC"/>
        <family val="2"/>
      </rPr>
      <t xml:space="preserve">不回報備援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；還原後全過</t>
    </r>
  </si>
  <si>
    <t xml:space="preserve"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</si>
  <si>
    <t xml:space="preserve">檢驗方 2026-09-30</t>
  </si>
  <si>
    <t xml:space="preserve">同意驗證者的判定與根因（自 R1 起即存在，非回歸）。Owner 2026-09-29 裁定修。</t>
  </si>
  <si>
    <t xml:space="preserve"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</si>
  <si>
    <r>
      <rPr>
        <sz val="10"/>
        <rFont val="Arial"/>
        <family val="0"/>
        <charset val="1"/>
      </rPr>
      <t xml:space="preserve">①AI </t>
    </r>
    <r>
      <rPr>
        <sz val="10"/>
        <rFont val="Noto Sans CJK SC"/>
        <family val="2"/>
      </rPr>
      <t xml:space="preserve">輸入改用 </t>
    </r>
    <r>
      <rPr>
        <sz val="10"/>
        <rFont val="Arial"/>
        <family val="0"/>
        <charset val="1"/>
      </rPr>
      <t xml:space="preserve">complete_structured_meta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同一改動），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記錄帶入 </t>
    </r>
    <r>
      <rPr>
        <sz val="10"/>
        <rFont val="Arial"/>
        <family val="0"/>
        <charset val="1"/>
      </rPr>
      <t xml:space="preserve">completion.model_name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completion.usage_id</t>
    </r>
    <r>
      <rPr>
        <sz val="10"/>
        <rFont val="Noto Sans CJK SC"/>
        <family val="2"/>
      </rPr>
      <t xml:space="preserve">（這次回覆計費的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列）。②類別守門：同一次呼叫先讓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寫一筆 </t>
    </r>
    <r>
      <rPr>
        <sz val="10"/>
        <rFont val="Arial"/>
        <family val="0"/>
        <charset val="1"/>
      </rPr>
      <t xml:space="preserve">schema_mismatch</t>
    </r>
    <r>
      <rPr>
        <sz val="10"/>
        <rFont val="Noto Sans CJK SC"/>
        <family val="2"/>
      </rPr>
      <t xml:space="preserve">、再讓重試的回覆坦承無法歸類，比對兩筆記錄的非空欄位——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對回覆會填的欄位，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輸入的坦承記錄也必須填；另以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以外的所有 </t>
    </r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呼叫，都必須傳 </t>
    </r>
    <r>
      <rPr>
        <sz val="10"/>
        <rFont val="Arial"/>
        <family val="0"/>
        <charset val="1"/>
      </rPr>
      <t xml:space="preserve">model=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usage_id=</t>
    </r>
    <r>
      <rPr>
        <sz val="10"/>
        <rFont val="Noto Sans CJK SC"/>
        <family val="2"/>
      </rPr>
      <t xml:space="preserve">。掃描方式：</t>
    </r>
    <r>
      <rPr>
        <sz val="10"/>
        <rFont val="Arial"/>
        <family val="0"/>
        <charset val="1"/>
      </rPr>
      <t xml:space="preserve">git grep fail_log.record</t>
    </r>
    <r>
      <rPr>
        <sz val="10"/>
        <rFont val="Noto Sans CJK SC"/>
        <family val="2"/>
      </rPr>
      <t xml:space="preserve">，逐一分類。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）是修復前寫入的歷史記錄，不改寫（資料殘留；失敗記錄只保留最新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筆，會自然淘汰）。</t>
    </r>
  </si>
  <si>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處：描述已計費回覆的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處——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解析失敗、</t>
    </r>
    <r>
      <rPr>
        <sz val="10"/>
        <rFont val="Arial"/>
        <family val="0"/>
        <charset val="1"/>
      </rPr>
      <t xml:space="preserve">llm.py ok </t>
    </r>
    <r>
      <rPr>
        <sz val="10"/>
        <rFont val="Noto Sans CJK SC"/>
        <family val="2"/>
      </rPr>
      <t xml:space="preserve">擷取皆有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agents.py unparsed_rows </t>
    </r>
    <r>
      <rPr>
        <sz val="10"/>
        <rFont val="Noto Sans CJK SC"/>
        <family val="2"/>
      </rPr>
      <t xml:space="preserve">兩者皆缺 → 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；供應商呼叫失敗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結構化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、文字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）：有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，沒有回覆也就沒有 </t>
    </r>
    <r>
      <rPr>
        <sz val="10"/>
        <rFont val="Arial"/>
        <family val="0"/>
        <charset val="1"/>
      </rPr>
      <t xml:space="preserve">usage </t>
    </r>
    <r>
      <rPr>
        <sz val="10"/>
        <rFont val="Noto Sans CJK SC"/>
        <family val="2"/>
      </rPr>
      <t xml:space="preserve">列 → 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（尚未計費）；呼叫前閘門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處（額度不足／未啟用）：還沒選模型 → 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。共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處本來就完整）。</t>
    </r>
  </si>
  <si>
    <t xml:space="preserve"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</si>
  <si>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TWD→USD 31500</t>
    </r>
    <r>
      <rPr>
        <sz val="10"/>
        <rFont val="Noto Sans CJK SC"/>
        <family val="2"/>
      </rPr>
      <t xml:space="preserve">」→ 模型坦承無法歸類（「換匯（兩幣別金額）請改用換匯登錄」），新失敗記錄 </t>
    </r>
    <r>
      <rPr>
        <sz val="10"/>
        <rFont val="Arial"/>
        <family val="0"/>
        <charset val="1"/>
      </rPr>
      <t xml:space="preserve">#521 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model google/gemini-2.5-flash-lite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1083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0.0005183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</si>
  <si>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匯出對照同秒的呼叫；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輸入貼含無法歸類列的文字）自然產生新的 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。本機（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record </t>
    </r>
    <r>
      <rPr>
        <sz val="10"/>
        <rFont val="Noto Sans CJK SC"/>
        <family val="2"/>
      </rPr>
      <t xml:space="preserve">呼叫放回 </t>
    </r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）做變異</t>
    </r>
  </si>
  <si>
    <t xml:space="preserve"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</si>
  <si>
    <t xml:space="preserve"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</si>
  <si>
    <t xml:space="preserve">無（不開單）。修復前 6 筆舊記錄屬資料殘留，程式已正確，是否清除由 Owner 決定（不影響結案；上限 300 筆會自然淘汰）</t>
  </si>
  <si>
    <t xml:space="preserve"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</si>
  <si>
    <r>
      <rPr>
        <sz val="10"/>
        <rFont val="Arial"/>
        <family val="0"/>
        <charset val="1"/>
      </rPr>
      <t xml:space="preserve">tests/contract/test_pipeline_preflight_api.py::test_preflight_quota_zero_r6_fail </t>
    </r>
    <r>
      <rPr>
        <sz val="10"/>
        <rFont val="Noto Sans CJK SC"/>
        <family val="2"/>
      </rPr>
      <t xml:space="preserve">把「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fix</t>
    </r>
    <r>
      <rPr>
        <sz val="10"/>
        <rFont val="Noto Sans CJK SC"/>
        <family val="2"/>
      </rPr>
      <t xml:space="preserve">」當成設計釘住；</t>
    </r>
    <r>
      <rPr>
        <sz val="10"/>
        <rFont val="Arial"/>
        <family val="0"/>
        <charset val="1"/>
      </rPr>
      <t xml:space="preserve">tests/contract/test_def031_universe_edit.py::test_every_backend_fix_kind_has_a_real_action </t>
    </r>
    <r>
      <rPr>
        <sz val="10"/>
        <rFont val="Noto Sans CJK SC"/>
        <family val="2"/>
      </rPr>
      <t xml:space="preserve">只檢查一個方向（後端送的每個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前端都有動作），沒檢查反方向——前端定義了卻沒有後端送的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就是死按鈕，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activate_role </t>
    </r>
    <r>
      <rPr>
        <sz val="10"/>
        <rFont val="Noto Sans CJK SC"/>
        <family val="2"/>
      </rPr>
      <t xml:space="preserve">一直是這樣。金額：沒有任何測試斷言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訊息或額度不足訊息的文字。</t>
    </r>
  </si>
  <si>
    <r>
      <rPr>
        <sz val="10"/>
        <rFont val="Arial"/>
        <family val="0"/>
        <charset val="1"/>
      </rPr>
      <t xml:space="preserve">①insight_service._RULE_FIX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R6→fund_quota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R1→edit_templates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_g7 </t>
    </r>
    <r>
      <rPr>
        <sz val="10"/>
        <rFont val="Noto Sans CJK SC"/>
        <family val="2"/>
      </rPr>
      <t xml:space="preserve">未設大師的警告補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（前往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大師設定）。②新增 </t>
    </r>
    <r>
      <rPr>
        <sz val="10"/>
        <rFont val="Arial"/>
        <family val="0"/>
        <charset val="1"/>
      </rPr>
      <t xml:space="preserve">shared/money.usd_display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$</t>
    </r>
    <r>
      <rPr>
        <sz val="10"/>
        <rFont val="Noto Sans CJK SC"/>
        <family val="2"/>
      </rPr>
      <t xml:space="preserve">」＋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位小數、四捨五入、千分位、四捨五入後為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的負數顯示 </t>
    </r>
    <r>
      <rPr>
        <sz val="10"/>
        <rFont val="Arial"/>
        <family val="0"/>
        <charset val="1"/>
      </rPr>
      <t xml:space="preserve">0.00——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web/format.js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'$' + fmt.num(v, 2) </t>
    </r>
    <r>
      <rPr>
        <sz val="10"/>
        <rFont val="Noto Sans CJK SC"/>
        <family val="2"/>
      </rPr>
      <t xml:space="preserve">同規則），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額度不足訊息（</t>
    </r>
    <r>
      <rPr>
        <sz val="10"/>
        <rFont val="Arial"/>
        <family val="0"/>
        <charset val="1"/>
      </rPr>
      <t xml:space="preserve">F-07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402</t>
    </r>
    <r>
      <rPr>
        <sz val="10"/>
        <rFont val="Noto Sans CJK SC"/>
        <family val="2"/>
      </rPr>
      <t xml:space="preserve">）與管線節點三處共用。③既有測試 </t>
    </r>
    <r>
      <rPr>
        <sz val="10"/>
        <rFont val="Arial"/>
        <family val="0"/>
        <charset val="1"/>
      </rPr>
      <t xml:space="preserve">test_preflight_quota_zero_r6_fail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裁定改為斷言 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與「額度耗盡（剩餘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）」。掃描方式：列舉乾跑預檢／診斷的全部顯示閘門與可能狀態；解析 </t>
    </r>
    <r>
      <rPr>
        <sz val="10"/>
        <rFont val="Arial"/>
        <family val="0"/>
        <charset val="1"/>
      </rPr>
      <t xml:space="preserve">web/pipeline.js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與後端送出的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做雙向比對；以正規式掃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內含「</t>
    </r>
    <r>
      <rPr>
        <sz val="10"/>
        <rFont val="Arial"/>
        <family val="0"/>
        <charset val="1"/>
      </rPr>
      <t xml:space="preserve">${…}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f-string</t>
    </r>
    <r>
      <rPr>
        <sz val="10"/>
        <rFont val="Noto Sans CJK SC"/>
        <family val="2"/>
      </rPr>
      <t xml:space="preserve">。</t>
    </r>
  </si>
  <si>
    <t xml:space="preserve"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</si>
  <si>
    <t xml:space="preserve"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</si>
  <si>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唯讀：額度為正，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不會觸發；</t>
    </r>
    <r>
      <rPr>
        <sz val="10"/>
        <rFont val="Arial"/>
        <family val="0"/>
        <charset val="1"/>
      </rPr>
      <t xml:space="preserve">GET /api/insight-tasks/status 5 </t>
    </r>
    <r>
      <rPr>
        <sz val="10"/>
        <rFont val="Noto Sans CJK SC"/>
        <family val="2"/>
      </rPr>
      <t xml:space="preserve">個任務的執行節點皆為「額度餘 </t>
    </r>
    <r>
      <rPr>
        <sz val="10"/>
        <rFont val="Arial"/>
        <family val="0"/>
        <charset val="1"/>
      </rPr>
      <t xml:space="preserve">$3.21</t>
    </r>
    <r>
      <rPr>
        <sz val="10"/>
        <rFont val="Noto Sans CJK SC"/>
        <family val="2"/>
      </rPr>
      <t xml:space="preserve">」（新的共用格式）。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失敗情境請於本機專用測試環境複驗（同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作法）。</t>
    </r>
  </si>
  <si>
    <t xml:space="preserve"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</si>
  <si>
    <t xml:space="preserve"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</si>
  <si>
    <r>
      <rPr>
        <sz val="10"/>
        <rFont val="Arial"/>
        <family val="0"/>
        <charset val="1"/>
      </rPr>
      <t xml:space="preserve">R6 {lv:fail, msg:</t>
    </r>
    <r>
      <rPr>
        <sz val="10"/>
        <rFont val="Noto Sans CJK SC"/>
        <family val="2"/>
      </rPr>
      <t xml:space="preserve">「額度耗盡（剩餘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）」</t>
    </r>
    <r>
      <rPr>
        <sz val="10"/>
        <rFont val="Arial"/>
        <family val="0"/>
        <charset val="1"/>
      </rPr>
      <t xml:space="preserve">, fix:{kind:fund_quota}}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；畫面列「✕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 前往額度設定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」（乾跑預檢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個按鈕、為什麼沒跑？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個按鈕）→ </t>
    </r>
    <r>
      <rPr>
        <sz val="10"/>
        <rFont val="Arial"/>
        <family val="0"/>
        <charset val="1"/>
      </rPr>
      <t xml:space="preserve">/settings.html#llm</t>
    </r>
    <r>
      <rPr>
        <sz val="10"/>
        <rFont val="Noto Sans CJK SC"/>
        <family val="2"/>
      </rPr>
      <t xml:space="preserve">；管線節點「餘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處；</t>
    </r>
    <r>
      <rPr>
        <sz val="10"/>
        <rFont val="Arial"/>
        <family val="0"/>
        <charset val="1"/>
      </rPr>
      <t xml:space="preserve">G0 enable_task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activate_role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shot H-05 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、本機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項全過；</t>
    </r>
    <r>
      <rPr>
        <sz val="10"/>
        <rFont val="Arial"/>
        <family val="0"/>
        <charset val="1"/>
      </rPr>
      <t xml:space="preserve">F-07 402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）」。變異 </t>
    </r>
    <r>
      <rPr>
        <sz val="10"/>
        <rFont val="Arial"/>
        <family val="0"/>
        <charset val="1"/>
      </rPr>
      <t xml:space="preserve">V85-a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R6 fix → 5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V85-b R6 </t>
    </r>
    <r>
      <rPr>
        <sz val="10"/>
        <rFont val="Noto Sans CJK SC"/>
        <family val="2"/>
      </rPr>
      <t xml:space="preserve">改回原始 </t>
    </r>
    <r>
      <rPr>
        <sz val="10"/>
        <rFont val="Arial"/>
        <family val="0"/>
        <charset val="1"/>
      </rPr>
      <t xml:space="preserve">Decimal → 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V85-c G7 fix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None → 2 failed</t>
    </r>
    <r>
      <rPr>
        <sz val="10"/>
        <rFont val="Noto Sans CJK SC"/>
        <family val="2"/>
      </rPr>
      <t xml:space="preserve">，還原後全過</t>
    </r>
  </si>
  <si>
    <t xml:space="preserve"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</si>
  <si>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</t>
    </r>
  </si>
  <si>
    <t xml:space="preserve">2026-09-30</t>
  </si>
  <si>
    <t xml:space="preserve"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</si>
  <si>
    <t xml:space="preserve"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</si>
  <si>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8,704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1,451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$0.0014508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usage_estimated 1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#1124 8,508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1,636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$0.0015052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#248 $0.0029560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llm_calls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17,212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3,087</t>
    </r>
    <r>
      <rPr>
        <sz val="10"/>
        <rFont val="Noto Sans CJK SC"/>
        <family val="2"/>
      </rPr>
      <t xml:space="preserve">）＝額度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cost 0.0015052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 ✓</t>
    </r>
    <r>
      <rPr>
        <sz val="10"/>
        <rFont val="Noto Sans CJK SC"/>
        <family val="2"/>
      </rPr>
      <t xml:space="preserve">、全表加總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✓</t>
    </r>
    <r>
      <rPr>
        <sz val="10"/>
        <rFont val="Noto Sans CJK SC"/>
        <family val="2"/>
      </rPr>
      <t xml:space="preserve">、卡片合計 ✗。本機：</t>
    </r>
    <r>
      <rPr>
        <sz val="10"/>
        <rFont val="Arial"/>
        <family val="0"/>
        <charset val="1"/>
      </rPr>
      <t xml:space="preserve">91ec1b0 run 0.002</t>
    </r>
    <r>
      <rPr>
        <sz val="10"/>
        <rFont val="Noto Sans CJK SC"/>
        <family val="2"/>
      </rPr>
      <t xml:space="preserve">／失敗兩列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d2e5e08 run 0.0032486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次）</t>
    </r>
  </si>
  <si>
    <t xml:space="preserve">開 DEF-086（規格未定），請 Owner 裁定 A 改期望／B 改程式
Owner 2026-09-30 在對話中裁定 DEF-086 採 A：改期望、程式不改 → 見第 185 列</t>
  </si>
  <si>
    <t xml:space="preserve">—（Owner 裁定改期望、程式不改）</t>
  </si>
  <si>
    <t xml:space="preserve">依 Owner 2026-09-30 裁定 A 的新期望，重新判讀 R12 one shot 同一次 G-01／H-02 的數據（demo 真實瀏覽器，頁首 v0.1.28 · d2e5e08；job_runs #248、LLM 用量匯出、額度讀數）；程式與 demo 皆未改動，不需重新操作</t>
  </si>
  <si>
    <t xml:space="preserve"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</si>
  <si>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#1123 0.0014508</t>
    </r>
    <r>
      <rPr>
        <sz val="10"/>
        <rFont val="Noto Sans CJK SC"/>
        <family val="2"/>
      </rPr>
      <t xml:space="preserve">（估算）＋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0.0015052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＝額度扣減＝執行花費；全表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。對照：</t>
    </r>
    <r>
      <rPr>
        <sz val="10"/>
        <rFont val="Arial"/>
        <family val="0"/>
        <charset val="1"/>
      </rPr>
      <t xml:space="preserve">H-04 run #251 0.0015232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G-09 run #253 0.000733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</t>
    </r>
  </si>
  <si>
    <t xml:space="preserve">依裁定改判非缺陷；手冊 G-01③、H-02 期望（.md 與 F 欄）待開發者同步</t>
  </si>
  <si>
    <t xml:space="preserve">2026-10-01</t>
  </si>
  <si>
    <t xml:space="preserve">本機乾淨 worktree（git worktree 830056c，git status 無變更）跑 ruff／mypy --strict／pytest（非 e2e）／e2e／守門變異；讀 pytest.log 原文；另在 830056c、e8bcf53、2fe60ce 三個乾淨 worktree 單獨重跑失敗的測試；git 比對 ledger_audit.py</t>
  </si>
  <si>
    <t xml:space="preserve">觀察：pytest（非 e2e）1 failed／6,851 passed／5 skipped，失敗為 test_every_bare_str_in_the_export_package_is_listed，多出 ('ledger_audit.py', '_display'): 1
假設：①環境問題（相依套件、殘留快取、未提交變更）；②測試不穩定（順序或時間相依）；③程式新增了守門測試要攔的寫法而未補白名單
排除：worktree 由 git 直接檢出、無未提交變更，同環境 ruff／mypy 全綠、e2e 322 全過；該測試是 AST 靜態掃描、無時間或順序因素，單獨重跑 830056c、e8bcf53 各兩次皆 failed，2fe60ce 10 passed → 排除①②
定位：portfolio_dash/export/ledger_audit.py:209 `str(a)`（e8bcf53 別名欄顯示）；白名單 tests/contract/test_exports_never_print_scientific_notation.py:87-99
判定：FAIL——J-06 要求全綠；實際匯出未見科學記號，影響限於閘門，與 R12 相比為回歸</t>
  </si>
  <si>
    <r>
      <rPr>
        <sz val="10"/>
        <rFont val="Arial"/>
        <family val="0"/>
        <charset val="1"/>
      </rPr>
      <t xml:space="preserve">pytest 1 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6,851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rc=1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662 </t>
    </r>
    <r>
      <rPr>
        <sz val="10"/>
        <rFont val="Noto Sans CJK SC"/>
        <family val="2"/>
      </rPr>
      <t xml:space="preserve">秒）；</t>
    </r>
    <r>
      <rPr>
        <sz val="10"/>
        <rFont val="Arial"/>
        <family val="0"/>
        <charset val="1"/>
      </rPr>
      <t xml:space="preserve">ruff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mypy 983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211 </t>
    </r>
    <r>
      <rPr>
        <sz val="10"/>
        <rFont val="Noto Sans CJK SC"/>
        <family val="2"/>
      </rPr>
      <t xml:space="preserve">個伺服器行程 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）；守門變異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組皆攔（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）；單獨重跑：</t>
    </r>
    <r>
      <rPr>
        <sz val="10"/>
        <rFont val="Arial"/>
        <family val="0"/>
        <charset val="1"/>
      </rPr>
      <t xml:space="preserve">830056c ×2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e8bcf53 ×2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2fe60ce 10 passed</t>
    </r>
  </si>
  <si>
    <t xml:space="preserve">開 DEF-087（低，程式缺陷）；本機檢查程式比對摘要的大小寫錯誤已更正，J-06 以原始紀錄改判</t>
  </si>
  <si>
    <t xml:space="preserve">檢驗方 2026-10-01</t>
  </si>
  <si>
    <t xml:space="preserve">demo 真實瀏覽器（頁首 v0.1.28 · 830056c）：觀察清單 › 加入 輸入「長榮航」等待自動辨識、檢查別名欄、確認加入、讀標的管理；讀網路紀錄（ai-resolve 回應本文）與 LLM 用量匯出；另以同一端點重放 6 次不同名稱與市場</t>
  </si>
  <si>
    <t xml:space="preserve">觀察：ai-resolve 回 2618／長榮航、confidence high、verified，但 aliases []，別名欄空白、登錄後無別名
假設：①模型這次剛好沒給別名（偶發）；②別名被後端過濾（與 name 相同或屬其他標的）；③前端沒把回應的別名帶進欄位
排除：重放 6 次——長榮航空、華航、聯電、聯華電子皆回 []，只有美股「英特爾」回 ["英特爾"]，固定只在台股發生，排除①；回應本文的 aliases 已是 []、畫面欄位與之一致，排除③
定位：portfolio_dash/api/routers/instruments.py:413（以來源簡稱取代 name）、:420-421（只以 reply.aliases 為候選）、portfolio_dash/api/instrument_service.py:149-174 auto_aliases；提示詞 v3 範例 name「聯華電子」aliases「聯電」——推定簡稱被當成 name 而濾掉
判定：FAIL——F-01 ②③ 不成立（別名未預填、登錄後無別名）</t>
  </si>
  <si>
    <r>
      <rPr>
        <sz val="10"/>
        <rFont val="Noto Sans CJK SC"/>
        <family val="2"/>
      </rPr>
      <t xml:space="preserve">長榮航 → </t>
    </r>
    <r>
      <rPr>
        <sz val="10"/>
        <rFont val="Arial"/>
        <family val="0"/>
        <charset val="1"/>
      </rPr>
      <t xml:space="preserve">2618 []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F-01 </t>
    </r>
    <r>
      <rPr>
        <sz val="10"/>
        <rFont val="Noto Sans CJK SC"/>
        <family val="2"/>
      </rPr>
      <t xml:space="preserve">正式操作，</t>
    </r>
    <r>
      <rPr>
        <sz val="10"/>
        <rFont val="Arial"/>
        <family val="0"/>
        <charset val="1"/>
      </rPr>
      <t xml:space="preserve">POST 201 aliases []</t>
    </r>
    <r>
      <rPr>
        <sz val="10"/>
        <rFont val="Noto Sans CJK SC"/>
        <family val="2"/>
      </rPr>
      <t xml:space="preserve">）；重放：長榮航空 → </t>
    </r>
    <r>
      <rPr>
        <sz val="10"/>
        <rFont val="Arial"/>
        <family val="0"/>
        <charset val="1"/>
      </rPr>
      <t xml:space="preserve">2618 []</t>
    </r>
    <r>
      <rPr>
        <sz val="10"/>
        <rFont val="Noto Sans CJK SC"/>
        <family val="2"/>
      </rPr>
      <t xml:space="preserve">、華航 → </t>
    </r>
    <r>
      <rPr>
        <sz val="10"/>
        <rFont val="Arial"/>
        <family val="0"/>
        <charset val="1"/>
      </rPr>
      <t xml:space="preserve">2610 []</t>
    </r>
    <r>
      <rPr>
        <sz val="10"/>
        <rFont val="Noto Sans CJK SC"/>
        <family val="2"/>
      </rPr>
      <t xml:space="preserve">、聯電 → </t>
    </r>
    <r>
      <rPr>
        <sz val="10"/>
        <rFont val="Arial"/>
        <family val="0"/>
        <charset val="1"/>
      </rPr>
      <t xml:space="preserve">2303 []</t>
    </r>
    <r>
      <rPr>
        <sz val="10"/>
        <rFont val="Noto Sans CJK SC"/>
        <family val="2"/>
      </rPr>
      <t xml:space="preserve">、聯華電子 → </t>
    </r>
    <r>
      <rPr>
        <sz val="10"/>
        <rFont val="Arial"/>
        <family val="0"/>
        <charset val="1"/>
      </rPr>
      <t xml:space="preserve">2303 []</t>
    </r>
    <r>
      <rPr>
        <sz val="10"/>
        <rFont val="Noto Sans CJK SC"/>
        <family val="2"/>
      </rPr>
      <t xml:space="preserve">、英特爾（</t>
    </r>
    <r>
      <rPr>
        <sz val="10"/>
        <rFont val="Arial"/>
        <family val="0"/>
        <charset val="1"/>
      </rPr>
      <t xml:space="preserve">US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INTC ["</t>
    </r>
    <r>
      <rPr>
        <sz val="10"/>
        <rFont val="Noto Sans CJK SC"/>
        <family val="2"/>
      </rPr>
      <t xml:space="preserve">英特爾</t>
    </r>
    <r>
      <rPr>
        <sz val="10"/>
        <rFont val="Arial"/>
        <family val="0"/>
        <charset val="1"/>
      </rPr>
      <t xml:space="preserve">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F-01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0.0005196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列）、重放 </t>
    </r>
    <r>
      <rPr>
        <sz val="10"/>
        <rFont val="Arial"/>
        <family val="0"/>
        <charset val="1"/>
      </rPr>
      <t xml:space="preserve">0.0010429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列）</t>
    </r>
  </si>
  <si>
    <t xml:space="preserve">開 DEF-088（低，程式缺陷）；模型原始回覆未留存，根因請修復方以實際回覆確認</t>
  </si>
  <si>
    <t xml:space="preserve">demo 真實瀏覽器（頁首 v0.1.28 · 830056c）：G-01 建立並執行 per_symbol 任務 #32（2884），讀卡 #264 內文、執行明細、標的管理的 2884 名稱與別名；掃描 demo 全部 225 張卡的名稱／代號配對；讀 name_check.py</t>
  </si>
  <si>
    <t xml:space="preserve">觀察：卡 #264 兩處寫「玉山金 (2884)」，2884 登錄名稱「玉山金控」、別名「E.SUN」「玉山」，執行沒有重問、卡片未標記
假設：①名稱檢核沒有執行；②檢核有跑但規則刻意接受中文名稱前段；③驗證者掃描誤判（把別的配對算到 2884）
排除：同一 commit 的本機 G-04 ② (b)(c)「聯詠 (3008)」被判不符而重問／不存卡，檢核確實在跑，排除①；直接讀卡 #264 原文確認兩處皆為「玉山金 (2884)」，排除③；全部 225 張卡另有 9 處前段簡稱同樣放行
定位：portfolio_dash/llm_insight/name_check.py:19-22（說明明列「玉山金」for 玉山金控）、:57 _MIN_CJK_PREFIX = 2、:90-97 _ends_with_name——程式設計與手冊 G-01 ⑤ 衝突
判定：OBSERVE——行為是刻意設計，但與手冊期望衝突，需 Owner 裁定</t>
  </si>
  <si>
    <r>
      <rPr>
        <sz val="10"/>
        <rFont val="Arial"/>
        <family val="0"/>
        <charset val="1"/>
      </rPr>
      <t xml:space="preserve">run #257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張卡」；卡 </t>
    </r>
    <r>
      <rPr>
        <sz val="10"/>
        <rFont val="Arial"/>
        <family val="0"/>
        <charset val="1"/>
      </rPr>
      <t xml:space="preserve">#264 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9,942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5,412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0.037002</t>
    </r>
    <r>
      <rPr>
        <sz val="10"/>
        <rFont val="Noto Sans CJK SC"/>
        <family val="2"/>
      </rPr>
      <t xml:space="preserve">；「玉山金 </t>
    </r>
    <r>
      <rPr>
        <sz val="10"/>
        <rFont val="Arial"/>
        <family val="0"/>
        <charset val="1"/>
      </rPr>
      <t xml:space="preserve">(2884)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×2</t>
    </r>
    <r>
      <rPr>
        <sz val="10"/>
        <rFont val="Noto Sans CJK SC"/>
        <family val="2"/>
      </rPr>
      <t xml:space="preserve">；額度扣減 </t>
    </r>
    <r>
      <rPr>
        <sz val="10"/>
        <rFont val="Arial"/>
        <family val="0"/>
        <charset val="1"/>
      </rPr>
      <t xml:space="preserve">0.0393717</t>
    </r>
    <r>
      <rPr>
        <sz val="10"/>
        <rFont val="Noto Sans CJK SC"/>
        <family val="2"/>
      </rPr>
      <t xml:space="preserve">＝執行花費＝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列用量；</t>
    </r>
    <r>
      <rPr>
        <sz val="10"/>
        <rFont val="Arial"/>
        <family val="0"/>
        <charset val="1"/>
      </rPr>
      <t xml:space="preserve">demo 225 </t>
    </r>
    <r>
      <rPr>
        <sz val="10"/>
        <rFont val="Noto Sans CJK SC"/>
        <family val="2"/>
      </rPr>
      <t xml:space="preserve">張卡：一致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種、前段簡稱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</t>
    </r>
  </si>
  <si>
    <t xml:space="preserve">開 DEF-089（低，規格未定），請 Owner 裁定 A 改期望／B 改程式</t>
  </si>
  <si>
    <t xml:space="preserve">demo 真實瀏覽器（頁首 v0.1.28 · 830056c）：資金收支 › 出金表單倒填日期（嘉信 Schwab TWD 2026-07-17 348,000）；讀網路紀錄與 toast；以資金對帳單匯出（POST /api/export/cash-statement）讀該池逐筆餘額；另找全期間無負值的 Moomoo MY MYR 池重做（A-06M）；讀 validate.py</t>
  </si>
  <si>
    <t xml:space="preserve">觀察：倒填出金 348,000 回 201（#140），寫入後 07-19／07-20 餘額 −148,000／−153,000
假設：①量錯——寫入的不是過去日期，或金額其實不會使池轉負；②後端日期感知檢查沒有執行（只看當日）；③檢查有跑，但只比對整段最低點，既有負值掩蓋了新的負段
排除：對帳單逐筆餘額 07-17 501,000、07-19 200,000、07-20 195,000，348,000 必使後兩天為負，請求本文日期 2026-07-17，排除①；同一 commit 對無既有負值的 MYR 池倒填 423,806 → 422 被擋，日期感知檢查有在跑，排除②；嘉信 TWD 池 2026-01-12 既有 −220,000，新負段最低 −153,000 未比它深，與③相符
定位：portfolio_dash/data_ingestion/validate.py:1990（after.low &lt; min(before.low, 0)）；同函式說明 :1963-1967 寫 INTRODUCES or DEEPENS 皆應擋；fx_import.py:190 同型
判定：FAIL——A-06 要求阻擋並指出轉負日期，實際寫入成功</t>
  </si>
  <si>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TWD</t>
    </r>
    <r>
      <rPr>
        <sz val="10"/>
        <rFont val="Noto Sans CJK SC"/>
        <family val="2"/>
      </rPr>
      <t xml:space="preserve">：出金 </t>
    </r>
    <r>
      <rPr>
        <sz val="10"/>
        <rFont val="Arial"/>
        <family val="0"/>
        <charset val="1"/>
      </rPr>
      <t xml:space="preserve">2026-07-17 348,000 →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#140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出金 </t>
    </r>
    <r>
      <rPr>
        <sz val="10"/>
        <rFont val="Arial"/>
        <family val="0"/>
        <charset val="1"/>
      </rPr>
      <t xml:space="preserve">348000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07-19 −148,000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07-20 −153,000</t>
    </r>
    <r>
      <rPr>
        <sz val="10"/>
        <rFont val="Noto Sans CJK SC"/>
        <family val="2"/>
      </rPr>
      <t xml:space="preserve">；既有最低 −</t>
    </r>
    <r>
      <rPr>
        <sz val="10"/>
        <rFont val="Arial"/>
        <family val="0"/>
        <charset val="1"/>
      </rPr>
      <t xml:space="preserve">220,000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2026-01-12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#140 </t>
    </r>
    <r>
      <rPr>
        <sz val="10"/>
        <rFont val="Noto Sans CJK SC"/>
        <family val="2"/>
      </rPr>
      <t xml:space="preserve">依題目刪除（稽核 </t>
    </r>
    <r>
      <rPr>
        <sz val="10"/>
        <rFont val="Arial"/>
        <family val="0"/>
        <charset val="1"/>
      </rPr>
      <t xml:space="preserve">#446</t>
    </r>
    <r>
      <rPr>
        <sz val="10"/>
        <rFont val="Noto Sans CJK SC"/>
        <family val="2"/>
      </rPr>
      <t xml:space="preserve">），資金收支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列、分段相同。對照 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池：</t>
    </r>
    <r>
      <rPr>
        <sz val="10"/>
        <rFont val="Arial"/>
        <family val="0"/>
        <charset val="1"/>
      </rPr>
      <t xml:space="preserve">423,806 → 422</t>
    </r>
  </si>
  <si>
    <t xml:space="preserve">開 DEF-090（中，程式缺陷）；換匯檢查同型，請修復方一併做同類掃描</t>
  </si>
  <si>
    <t xml:space="preserve">demo 真實瀏覽器（頁首 v0.1.28 · 830056c）：A-06M——Moomoo MY MYR 池出金 2026-01-05 423,806（表單不擋）讀 422 訊息與畫面 toast；以資金對帳單匯出逐日推算加上這筆後的餘額；讀 validate.py</t>
  </si>
  <si>
    <t xml:space="preserve">觀察：422 訊息「於 2026-07-19 降至 −78,605.83（出金日早於資金到位）」，手冊要求指出哪一天開始為負
假設：①訊息的日期算錯；②設計上點名最低點那天（M5-07）；③驗證者推算的第一個轉負日有誤
排除：對帳單 31 列：01-05 日終 600,000、01-07 四筆換匯出後日終 420,000（→ −3,806）、07-19 日終 345,200.17 為全期最低（→ −78,605.83）；訊息金額與 07-19 推算逐位相同，程式算的最低點正確，排除①；第一個轉負日 01-07 由逐筆餘額直接相減得出，排除③
定位：portfolio_dash/data_ingestion/validate.py:1995 on=after.low_date；low_date 定義 :1819-1821（M5-07，最低點首次出現的日子）；:178 dip_phrase
判定：OBSERVE 性質（擋下正確，只有點名的日期與手冊不同）→ 規格未定，待 Owner 裁定</t>
  </si>
  <si>
    <r>
      <rPr>
        <sz val="10"/>
        <rFont val="Arial"/>
        <family val="0"/>
        <charset val="1"/>
      </rPr>
      <t xml:space="preserve">423,806 → 422</t>
    </r>
    <r>
      <rPr>
        <sz val="10"/>
        <rFont val="Noto Sans CJK SC"/>
        <family val="2"/>
      </rPr>
      <t xml:space="preserve">；訊息點名 </t>
    </r>
    <r>
      <rPr>
        <sz val="10"/>
        <rFont val="Arial"/>
        <family val="0"/>
        <charset val="1"/>
      </rPr>
      <t xml:space="preserve">2026-07-19 −78,605.83</t>
    </r>
    <r>
      <rPr>
        <sz val="10"/>
        <rFont val="Noto Sans CJK SC"/>
        <family val="2"/>
      </rPr>
      <t xml:space="preserve">；推算第一個轉負日 </t>
    </r>
    <r>
      <rPr>
        <sz val="10"/>
        <rFont val="Arial"/>
        <family val="0"/>
        <charset val="1"/>
      </rPr>
      <t xml:space="preserve">2026-01-07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3,806</t>
    </r>
    <r>
      <rPr>
        <sz val="10"/>
        <rFont val="Noto Sans CJK SC"/>
        <family val="2"/>
      </rPr>
      <t xml:space="preserve">），之後持續為負到 </t>
    </r>
    <r>
      <rPr>
        <sz val="10"/>
        <rFont val="Arial"/>
        <family val="0"/>
        <charset val="1"/>
      </rPr>
      <t xml:space="preserve">07-21 </t>
    </r>
    <r>
      <rPr>
        <sz val="10"/>
        <rFont val="Noto Sans CJK SC"/>
        <family val="2"/>
      </rPr>
      <t xml:space="preserve">入金；資金收支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列不變、分段相同</t>
    </r>
  </si>
  <si>
    <t xml:space="preserve">開 DEF-091（低，規格未定），請 Owner 裁定 A 改期望（點名最低點）／B 改程式（點名首個轉負日）</t>
  </si>
  <si>
    <t xml:space="preserve">每次把檔案交出去之前，最後一個動作就是在這裡寫一列。接手的人先看這裡的最後一列。</t>
  </si>
  <si>
    <t xml:space="preserve">由誰交給誰</t>
  </si>
  <si>
    <t xml:space="preserve">受測版本(commit)</t>
  </si>
  <si>
    <t xml:space="preserve">本輪摘要</t>
  </si>
  <si>
    <t xml:space="preserve">對方該做什麼</t>
  </si>
  <si>
    <t xml:space="preserve">開發者 → 驗證者</t>
  </si>
  <si>
    <t xml:space="preserve">abc1234</t>
  </si>
  <si>
    <t xml:space="preserve">修 DEF-001／002，兩者皆為類別修法，附變異測試</t>
  </si>
  <si>
    <t xml:space="preserve">複驗 DEF-001、DEF-002，並重跑 J 組回歸快篩</t>
  </si>
  <si>
    <t xml:space="preserve">（填寫範例）</t>
  </si>
  <si>
    <t xml:space="preserve">驗證者 → 開發者</t>
  </si>
  <si>
    <t xml:space="preserve">755c88a</t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</si>
  <si>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初驗完成（受測站頁首 </t>
    </r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，與交付版本相符）：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BLOCKED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；開 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張缺陷（高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／中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／低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）。寫入案例皆已還原並逐位元比對，</t>
    </r>
    <r>
      <rPr>
        <sz val="10"/>
        <rFont val="Arial"/>
        <family val="0"/>
        <charset val="1"/>
      </rPr>
      <t xml:space="preserve">R-1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R-10 </t>
    </r>
    <r>
      <rPr>
        <sz val="10"/>
        <rFont val="Noto Sans CJK SC"/>
        <family val="2"/>
      </rPr>
      <t xml:space="preserve">見還原檢查</t>
    </r>
  </si>
  <si>
    <t xml:space="preserve"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</si>
  <si>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限制或前置資料不具備，非缺陷）：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F-07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$0.0272825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72 </t>
    </r>
    <r>
      <rPr>
        <sz val="10"/>
        <rFont val="Noto Sans CJK SC"/>
        <family val="2"/>
      </rPr>
      <t xml:space="preserve">次呼叫）。收件匣 </t>
    </r>
    <r>
      <rPr>
        <sz val="10"/>
        <rFont val="Arial"/>
        <family val="0"/>
        <charset val="1"/>
      </rPr>
      <t xml:space="preserve">6→7 </t>
    </r>
    <r>
      <rPr>
        <sz val="10"/>
        <rFont val="Noto Sans CJK SC"/>
        <family val="2"/>
      </rPr>
      <t xml:space="preserve">為外部來源新偵測（</t>
    </r>
    <r>
      <rPr>
        <sz val="10"/>
        <rFont val="Arial"/>
        <family val="0"/>
        <charset val="1"/>
      </rPr>
      <t xml:space="preserve">Maybank 1155 </t>
    </r>
    <r>
      <rPr>
        <sz val="10"/>
        <rFont val="Noto Sans CJK SC"/>
        <family val="2"/>
      </rPr>
      <t xml:space="preserve">除息日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），非寫入殘留；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留有本輪 </t>
    </r>
    <r>
      <rPr>
        <sz val="10"/>
        <rFont val="Arial"/>
        <family val="0"/>
        <charset val="1"/>
      </rPr>
      <t xml:space="preserve">#153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#179 </t>
    </r>
    <r>
      <rPr>
        <sz val="10"/>
        <rFont val="Noto Sans CJK SC"/>
        <family val="2"/>
      </rPr>
      <t xml:space="preserve">的執行紀錄、評分資料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G-07</t>
    </r>
    <r>
      <rPr>
        <sz val="10"/>
        <rFont val="Noto Sans CJK SC"/>
        <family val="2"/>
      </rPr>
      <t xml:space="preserve">）、洞察卡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）屬預期寫入</t>
    </r>
  </si>
  <si>
    <t xml:space="preserve">e6fd9f4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</si>
  <si>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修復：狀態＝新開的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、中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e6fd9f4</t>
    </r>
    <r>
      <rPr>
        <sz val="10"/>
        <rFont val="Noto Sans CJK SC"/>
        <family val="2"/>
      </rPr>
      <t xml:space="preserve">）。每張都依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欄）、修復前會失敗的新測試＋變異測試證據（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欄）、原本該攔卻沒攔的防線已補盲點（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欄）。跨包命中另做一輪收尾（</t>
    </r>
    <r>
      <rPr>
        <sz val="10"/>
        <rFont val="Arial"/>
        <family val="0"/>
        <charset val="1"/>
      </rPr>
      <t xml:space="preserve">I-1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I-17</t>
    </r>
    <r>
      <rPr>
        <sz val="10"/>
        <rFont val="Noto Sans CJK SC"/>
        <family val="2"/>
      </rPr>
      <t xml:space="preserve">，含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公司行動批次原子性、批次復原走同一刪除函式、預警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殘餘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處），其結果併入對應缺陷的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860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5,900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260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張待裁定（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）未動，仍待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。</t>
    </r>
  </si>
  <si>
    <t xml:space="preserve"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</si>
  <si>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既有資料未重設（備份 </t>
    </r>
    <r>
      <rPr>
        <sz val="10"/>
        <rFont val="Arial"/>
        <family val="0"/>
        <charset val="1"/>
      </rPr>
      <t xml:space="preserve">portfolio-pre-e6fd9f4-20260923T173052Z.db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修復前已產生的錯誤卡（</t>
    </r>
    <r>
      <rPr>
        <sz val="10"/>
        <rFont val="Arial"/>
        <family val="0"/>
        <charset val="1"/>
      </rPr>
      <t xml:space="preserve">symbol=moomoo_my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）因卡片表只增不改而保留，舊卡 </t>
    </r>
    <r>
      <rPr>
        <sz val="10"/>
        <rFont val="Arial"/>
        <family val="0"/>
        <charset val="1"/>
      </rPr>
      <t xml:space="preserve">trigger=null</t>
    </r>
    <r>
      <rPr>
        <sz val="10"/>
        <rFont val="Noto Sans CJK SC"/>
        <family val="2"/>
      </rPr>
      <t xml:space="preserve">。四則 </t>
    </r>
    <r>
      <rPr>
        <sz val="10"/>
        <rFont val="Arial"/>
        <family val="0"/>
        <charset val="1"/>
      </rPr>
      <t xml:space="preserve">HEAD </t>
    </r>
    <r>
      <rPr>
        <sz val="10"/>
        <rFont val="Noto Sans CJK SC"/>
        <family val="2"/>
      </rPr>
      <t xml:space="preserve">既有失效的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轉錄已更新（</t>
    </r>
    <r>
      <rPr>
        <sz val="10"/>
        <rFont val="Arial"/>
        <family val="0"/>
        <charset val="1"/>
      </rPr>
      <t xml:space="preserve">CHANGELOG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Gates that were red on HEAD</t>
    </r>
    <r>
      <rPr>
        <sz val="10"/>
        <rFont val="Noto Sans CJK SC"/>
        <family val="2"/>
      </rPr>
      <t xml:space="preserve">」段）。本輪未動的觀察：</t>
    </r>
    <r>
      <rPr>
        <sz val="10"/>
        <rFont val="Arial"/>
        <family val="0"/>
        <charset val="1"/>
      </rPr>
      <t xml:space="preserve">scripts/ai_extraction_eval.py </t>
    </r>
    <r>
      <rPr>
        <sz val="10"/>
        <rFont val="Noto Sans CJK SC"/>
        <family val="2"/>
      </rPr>
      <t xml:space="preserve">未比對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scripts/schwab_convert.py CLI </t>
    </r>
    <r>
      <rPr>
        <sz val="10"/>
        <rFont val="Noto Sans CJK SC"/>
        <family val="2"/>
      </rPr>
      <t xml:space="preserve">期初工作表只看檔案；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工作成功訊息仍英文；</t>
    </r>
    <r>
      <rPr>
        <sz val="10"/>
        <rFont val="Arial"/>
        <family val="0"/>
        <charset val="1"/>
      </rPr>
      <t xml:space="preserve">settings-prompts.js:65 HELD_SYMBOLS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未排除封存標的。三次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額度中斷（</t>
    </r>
    <r>
      <rPr>
        <sz val="10"/>
        <rFont val="Arial"/>
        <family val="0"/>
        <charset val="1"/>
      </rPr>
      <t xml:space="preserve">13:00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23:00 </t>
    </r>
    <r>
      <rPr>
        <sz val="10"/>
        <rFont val="Noto Sans CJK SC"/>
        <family val="2"/>
      </rPr>
      <t xml:space="preserve">重置）曾讓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個修復代理中途停止，皆以原上下文續做並驗證工作樹狀態後完成。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</si>
  <si>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e6fd9f4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DEF-017 </t>
    </r>
    <r>
      <rPr>
        <sz val="10"/>
        <rFont val="Noto Sans CJK SC"/>
        <family val="2"/>
      </rPr>
      <t xml:space="preserve">部分通過、</t>
    </r>
    <r>
      <rPr>
        <sz val="10"/>
        <rFont val="Arial"/>
        <family val="0"/>
        <charset val="1"/>
      </rPr>
      <t xml:space="preserve">DEF-023 </t>
    </r>
    <r>
      <rPr>
        <sz val="10"/>
        <rFont val="Noto Sans CJK SC"/>
        <family val="2"/>
      </rPr>
      <t xml:space="preserve">複驗未過（狀態＝複驗未過）。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張待裁定＋開發者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項觀察＋驗證者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項新問題，裁定寫在缺陷登記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018 </t>
    </r>
    <r>
      <rPr>
        <sz val="10"/>
        <rFont val="Noto Sans CJK SC"/>
        <family val="2"/>
      </rPr>
      <t xml:space="preserve">非缺陷（改手冊）；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 </t>
    </r>
    <r>
      <rPr>
        <sz val="10"/>
        <rFont val="Noto Sans CJK SC"/>
        <family val="2"/>
      </rPr>
      <t xml:space="preserve">改為新開。新開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048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組全綠、零回歸，環境已還原（只差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$0.0036318</t>
    </r>
    <r>
      <rPr>
        <sz val="10"/>
        <rFont val="Noto Sans CJK SC"/>
        <family val="2"/>
      </rPr>
      <t xml:space="preserve">）</t>
    </r>
  </si>
  <si>
    <t xml:space="preserve"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</si>
  <si>
    <t xml:space="preserve"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</si>
  <si>
    <t xml:space="preserve">4655845</t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</si>
  <si>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DEF-017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042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4655845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欄；複驗未過兩張為在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欄；兩張複驗未過的守門都只比對原始碼字串，已改為實際執行的行為測試）。依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指示同步手冊 </t>
    </r>
    <r>
      <rPr>
        <sz val="10"/>
        <rFont val="Arial"/>
        <family val="0"/>
        <charset val="1"/>
      </rPr>
      <t xml:space="preserve">v3.1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）已改在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與本活頁簿「測試案例」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、清理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筆費率快照。閘門：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890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6,082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272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</si>
  <si>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</si>
  <si>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決策項（本輪都已先實作最保守的解讀）：①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：同根因的錯卡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2026-08-23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moomoo.com </t>
    </r>
    <r>
      <rPr>
        <sz val="10"/>
        <rFont val="Noto Sans CJK SC"/>
        <family val="2"/>
      </rPr>
      <t xml:space="preserve">交易暫停」）是否一併刪除（建議刪，腳本加 </t>
    </r>
    <r>
      <rPr>
        <sz val="10"/>
        <rFont val="Arial"/>
        <family val="0"/>
        <charset val="1"/>
      </rPr>
      <t xml:space="preserve">--id 97 </t>
    </r>
    <r>
      <rPr>
        <sz val="10"/>
        <rFont val="Noto Sans CJK SC"/>
        <family val="2"/>
      </rPr>
      <t xml:space="preserve">即可）。②</t>
    </r>
    <r>
      <rPr>
        <sz val="10"/>
        <rFont val="Arial"/>
        <family val="0"/>
        <charset val="1"/>
      </rPr>
      <t xml:space="preserve">DEF-010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快照同樣自相矛盾（該月折讓款已入帳 </t>
    </r>
    <r>
      <rPr>
        <sz val="10"/>
        <rFont val="Arial"/>
        <family val="0"/>
        <charset val="1"/>
      </rPr>
      <t xml:space="preserve">191</t>
    </r>
    <r>
      <rPr>
        <sz val="10"/>
        <rFont val="Noto Sans CJK SC"/>
        <family val="2"/>
      </rPr>
      <t xml:space="preserve">），是否一併清理（建議清，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）。③</t>
    </r>
    <r>
      <rPr>
        <sz val="10"/>
        <rFont val="Arial"/>
        <family val="0"/>
        <charset val="1"/>
      </rPr>
      <t xml:space="preserve">DEF-016</t>
    </r>
    <r>
      <rPr>
        <sz val="10"/>
        <rFont val="Noto Sans CJK SC"/>
        <family val="2"/>
      </rPr>
      <t xml:space="preserve">：未來日期的交易／期初／換匯是否也自其日期起才計入持股與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一律依估值日切（建議）／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維持只切股利／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禁止未來日期交易。④</t>
    </r>
    <r>
      <rPr>
        <sz val="10"/>
        <rFont val="Arial"/>
        <family val="0"/>
        <charset val="1"/>
      </rPr>
      <t xml:space="preserve">DEF-033</t>
    </r>
    <r>
      <rPr>
        <sz val="10"/>
        <rFont val="Noto Sans CJK SC"/>
        <family val="2"/>
      </rPr>
      <t xml:space="preserve">：系統提示詞、新聞整理提示詞、任務自評提示詞是否也做版本記錄：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三處都做／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只做系統與新聞整理（建議）／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維持。⑤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任務是否排除已封存標的（建議排除）。⑥</t>
    </r>
    <r>
      <rPr>
        <sz val="10"/>
        <rFont val="Arial"/>
        <family val="0"/>
        <charset val="1"/>
      </rPr>
      <t xml:space="preserve">DEF-009</t>
    </r>
    <r>
      <rPr>
        <sz val="10"/>
        <rFont val="Noto Sans CJK SC"/>
        <family val="2"/>
      </rPr>
      <t xml:space="preserve">：折讓款列改類型後，該月維持已入帳（已實作，建議）或重新開放。⑦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：批次「復原」可讓之後的賣出變成賣超且不問確認、也不寫稽核（新發現，建議另開缺陷）；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門的其他警告類型也逐列確認（已實作，建議維持）。⑧</t>
    </r>
    <r>
      <rPr>
        <sz val="10"/>
        <rFont val="Arial"/>
        <family val="0"/>
        <charset val="1"/>
      </rPr>
      <t xml:space="preserve">DEF-043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停用時，預警觸發任務是否改顯示警告（建議另開）。⑨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：一個來源無資料、另一個來源失敗的混合情形目前歸「無配息紀錄」（建議維持）。⑩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：分拆存檔後再改日期，起始價會留在舊日期（建議接受）。⑪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：軟性警告只由畫面把關、伺服器擋硬性錯誤與賣超（建議維持）；股利更正門仍缺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種股利型別檢查（建議下一輪抽出共用驗證器）。未處理（</t>
    </r>
    <r>
      <rPr>
        <sz val="10"/>
        <rFont val="Arial"/>
        <family val="0"/>
        <charset val="1"/>
      </rPr>
      <t xml:space="preserve">§4 </t>
    </r>
    <r>
      <rPr>
        <sz val="10"/>
        <rFont val="Noto Sans CJK SC"/>
        <family val="2"/>
      </rPr>
      <t xml:space="preserve">禁止順手修改，需另開缺陷）：驗證者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的三項觀察（收件匣折讓款副標題 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截斷、立即執行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寫 </t>
    </r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、公司行動帳本列不顯示重組費用），以及 </t>
    </r>
    <r>
      <rPr>
        <sz val="10"/>
        <rFont val="Arial"/>
        <family val="0"/>
        <charset val="1"/>
      </rPr>
      <t xml:space="preserve">web/pipeline-wizard.js:374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直接顯示識別字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帳本除上述兩項清理外未重設；另有一則既有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的時序競態已改為等待（見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</si>
  <si>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4655845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複驗未過（子公司當日已有正式報價時，起始價覆蓋、刪除後原報價遺失）。驗證者重做變異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$0.0056015</t>
    </r>
    <r>
      <rPr>
        <sz val="10"/>
        <rFont val="Noto Sans CJK SC"/>
        <family val="2"/>
      </rPr>
      <t xml:space="preserve">）。手冊 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個案例期望已核對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一致。新開 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061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張（含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本輪裁定與規格）。更正：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驗證者交接把 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的錯卡寫成 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是驗證者的錯誤，實為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；開發者更正正確</t>
    </r>
  </si>
  <si>
    <t xml:space="preserve"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</si>
  <si>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本輪裁定：①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刪除（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清理（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）；③ 未來日期交易／期初／換匯依估值日切（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）；④ 系統與新聞整理提示詞做版本（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）；⑤ </t>
    </r>
    <r>
      <rPr>
        <sz val="10"/>
        <rFont val="Arial"/>
        <family val="0"/>
        <charset val="1"/>
      </rPr>
      <t xml:space="preserve">all_registered </t>
    </r>
    <r>
      <rPr>
        <sz val="10"/>
        <rFont val="Noto Sans CJK SC"/>
        <family val="2"/>
      </rPr>
      <t xml:space="preserve">排除封存（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）；⑥ 折讓款改類型仍視為已入帳（維持）；⑦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批次復原賣超開單附規格（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）；⑦</t>
    </r>
    <r>
      <rPr>
        <sz val="10"/>
        <rFont val="Arial"/>
        <family val="0"/>
        <charset val="1"/>
      </rPr>
      <t xml:space="preserve">b CSV </t>
    </r>
    <r>
      <rPr>
        <sz val="10"/>
        <rFont val="Noto Sans CJK SC"/>
        <family val="2"/>
      </rPr>
      <t xml:space="preserve">其他警告逐列確認（維持）；⑧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停用不另顯示（不開單）；⑨ 混合結果歸無配息紀錄（維持）；⑩ 分拆改日期起始價一併搬移（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）；⑪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編輯軟性警告只由畫面把關（維持）；⑪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股利更正共用驗證器（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）。觀察（不開單）：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可讀；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未來股利列無標示已併入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另產生預警卡 </t>
    </r>
    <r>
      <rPr>
        <sz val="10"/>
        <rFont val="Arial"/>
        <family val="0"/>
        <charset val="1"/>
      </rPr>
      <t xml:space="preserve">#212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#218</t>
    </r>
    <r>
      <rPr>
        <sz val="10"/>
        <rFont val="Noto Sans CJK SC"/>
        <family val="2"/>
      </rPr>
      <t xml:space="preserve">、策略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版本紀錄（預期寫入）</t>
    </r>
  </si>
  <si>
    <t xml:space="preserve">1ee7771</t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</si>
  <si>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057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1ee7771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採規格建議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並多做一層寫入紀錄：起始價只寫入空白日期，並記下每次存檔寫了什麼，刪除時只收回紀錄上那一列（只靠簽章會誤刪同日的孤兒起始價）。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的類別掃描改以「門」為單位，另找到公司行動單筆刪除、整組刪除、更正三道同類門，本輪一併修：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道刪除／更正門全部有重播防護。手冊升 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：依驗證者請求代補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（含評分 </t>
    </r>
    <r>
      <rPr>
        <sz val="10"/>
        <rFont val="Arial"/>
        <family val="0"/>
        <charset val="1"/>
      </rPr>
      <t xml:space="preserve">#65</t>
    </r>
    <r>
      <rPr>
        <sz val="10"/>
        <rFont val="Noto Sans CJK SC"/>
        <family val="2"/>
      </rPr>
      <t xml:space="preserve">）、清理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915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6,227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288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</si>
  <si>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</si>
  <si>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新發現第三類門：「新增」公司行動（表單與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匯入）也會讓之後的賣出變成賣超且不問確認（實測在既有賣出之前補登反向分割 </t>
    </r>
    <r>
      <rPr>
        <sz val="10"/>
        <rFont val="Arial"/>
        <family val="0"/>
        <charset val="1"/>
      </rPr>
      <t xml:space="preserve">1:10 →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變 −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下一輪另開缺陷（同一個防護＋表單確認框＋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逐列勾選，建議）／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維持（不建議：新增表單的預覽只列出因此「解除」的賣超，不警告因此「造成」的）。②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現金檢查口徑：批次復原與公司行動刪除只在讓最低餘額「更糟」時才要求確認；逐筆刪除現金／換匯則只要刪後為負就要求（對早已為負的現金池每次都問）：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另開單把逐筆刪除也改為只擋更糟，各門一致／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批次照抄逐筆。③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：裁定點名交易、期初、換匯；已一併把公司行動與資金收支（折讓款、融資利息、券商費用）依日期切，否則未來的分割會讓持股以拆分前價格加倍、未來費用會提前進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只切點名的三類。另建議公司行動門比照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加未來日期軟性警告（目前沒有，另開）；抽屜交易明細不列未來列（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列出加標示但不計入對帳）。④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不再覆蓋也不再刪，但畫面上沒有地方能移除：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刪除並寫稽核，建議）／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維持，等歷史回補覆蓋／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標的抽屜加「移除手動起始價」按鈕。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版本已蓋掉的正式報價，執行一次歷史回補即可取回。⑤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：新日期已有正式報價時，舊日期的起始價實作為移除、不搬（留下會變成孤兒）：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留在舊日期。⑥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：股利新增門沒有「帳戶市場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標的市場」一致性檢查（交易入口與股利更正門都有），未註冊標的在新增門是軟性警告、在更正門是硬性拒絕：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把市場一致性加入共用驗證器（建議，另開缺陷）／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維持。⑦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：報價類抓取宇宙（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，影響 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籌碼、估值、月營收與共識、基本面共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個排程）仍含已封存標的，會消耗外部額度：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全部排除（建議）／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保留以維持快照連續／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只排除付費來源。⑧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：內文已是官方版時再按「重置回官方版」不新增版本（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一律新增）；策略提示詞歷史維持獨立一張表（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另開單無損搬移）。環境：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帳本除上述兩項清理外未重設；首次開機時系統與新聞整理提示詞各自補成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（預期寫入）。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</si>
  <si>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1ee7771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張結案（含打回的 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部分通過→複驗未過（資金頁畫面「現金收支明細」未標示未來列）。驗證者重做變異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組全綠、零回歸（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另見間歇性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，開 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）；帳本已還原（報告幣換算差異來自還原觀察標的時的匯率更新，見還原檢查 </t>
    </r>
    <r>
      <rPr>
        <sz val="10"/>
        <rFont val="Arial"/>
        <family val="0"/>
        <charset val="1"/>
      </rPr>
      <t xml:space="preserve">R-6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張。規格與實作計畫見 </t>
    </r>
    <r>
      <rPr>
        <sz val="10"/>
        <rFont val="Arial"/>
        <family val="0"/>
        <charset val="1"/>
      </rPr>
      <t xml:space="preserve">docs/audit/2026-09-25-r4-dev-specs.md</t>
    </r>
  </si>
  <si>
    <t xml:space="preserve"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</si>
  <si>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本輪裁定（交接紀錄第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 ①～⑧）：① 新增公司行動造成賣超不問——維持現狀；② 現金檢查兩種口徑——維持；③ 未來日期切六類、抽屜不列未來列——維持；④ 孤兒起始價——寫清理腳本（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）；⑤ 改日期遇正式報價時移除舊起始價——維持；⑥ 股利新增門市場一致性——維持現狀；⑦ 報價類抓取——全部排除封存（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）；⑧ 重置不加版、策略歷史獨立表——維持。本輪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另產生：洞察卡 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insight:7 run #194</t>
    </r>
    <r>
      <rPr>
        <sz val="10"/>
        <rFont val="Noto Sans CJK SC"/>
        <family val="2"/>
      </rPr>
      <t xml:space="preserve">）、兩則全域提示詞的測試版本、封存任務 </t>
    </r>
    <r>
      <rPr>
        <sz val="10"/>
        <rFont val="Arial"/>
        <family val="0"/>
        <charset val="1"/>
      </rPr>
      <t xml:space="preserve">#12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補抓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筆收盤與報告匯率更新（預期或設計行為）</t>
    </r>
  </si>
  <si>
    <t xml:space="preserve">3be67db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</si>
  <si>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</t>
    </r>
    <r>
      <rPr>
        <sz val="10"/>
        <rFont val="Noto Sans CJK SC"/>
        <family val="2"/>
      </rPr>
      <t xml:space="preserve">，皆低）全部修畢並部署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3be67db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：資金頁現金收支明細加列印報告同文字的分隔列、「未來日期」徽章與「投影」餘額，表頭加「截至…不含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筆未來日期」；依「面」掃描另補個股抽屜 配息史 與兩個對帳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；守門改為全頁掃描（任何列印出未來日期卻無徽章即失敗）。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：根因是 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的「先查再寫」競態（</t>
    </r>
    <r>
      <rPr>
        <sz val="10"/>
        <rFont val="Arial"/>
        <family val="0"/>
        <charset val="1"/>
      </rPr>
      <t xml:space="preserve">IntegrityError: UNIQUE constraint failed: settings_meta.category</t>
    </r>
    <r>
      <rPr>
        <sz val="10"/>
        <rFont val="Noto Sans CJK SC"/>
        <family val="2"/>
      </rPr>
      <t xml:space="preserve">），不是鎖；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路徑改為不寫入，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個原本會寫入或建表，全部移到開機；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全套依規格連跑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次皆 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。跑閘門時另發現交易頁「載入中點的分頁被收回」的競態並修正。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：規則名稱單一來源，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：抓取宇宙排除封存；驗證前提時發現「持有 ⇒ 未封存」不成立（放空、未來日期賣出清倉可封存；封存後刪賣出會讓持倉回到已封存標的），守門與寫入端一起修。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：清理腳本完成；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 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已無 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價格列與 </t>
    </r>
    <r>
      <rPr>
        <sz val="10"/>
        <rFont val="Arial"/>
        <family val="0"/>
        <charset val="1"/>
      </rPr>
      <t xml:space="preserve">SPINOFF</t>
    </r>
    <r>
      <rPr>
        <sz val="10"/>
        <rFont val="Noto Sans CJK SC"/>
        <family val="2"/>
      </rPr>
      <t xml:space="preserve">），未動資料。閘門：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925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6,308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3×295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</si>
  <si>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</si>
  <si>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附帶：股利收件匣的掃描宇宙（</t>
    </r>
    <r>
      <rPr>
        <sz val="10"/>
        <rFont val="Arial"/>
        <family val="0"/>
        <charset val="1"/>
      </rPr>
      <t xml:space="preserve">api/dividend_inbox.py:220</t>
    </r>
    <r>
      <rPr>
        <sz val="10"/>
        <rFont val="Noto Sans CJK SC"/>
        <family val="2"/>
      </rPr>
      <t xml:space="preserve">）仍含已封存但有買入歷史的標的，而同一排程的後備路徑卻排除封存，同一工作兩套口徑：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維持（屬帳務資料，超出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改走共用判定、與後備一致（建議）／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封存且最後一次處分超過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天才排除。②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附帶：觀察清單的「持有」徽章仍用舊判定（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），放空中或以未來日期賣出清倉的標的不顯示「持有」、卻按「移除／封存」會回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「持倉中的標的不可移除或封存」：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維持（守門為準、訊息已說明）／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徽章也改用同一個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（建議，另開單）。③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原本在全系統沒有名稱，已暫定「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採用（建議）／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校準退步」／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「生效版成績轉差」。④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：修正前已寫入的排程明細（</t>
    </r>
    <r>
      <rPr>
        <sz val="10"/>
        <rFont val="Arial"/>
        <family val="0"/>
        <charset val="1"/>
      </rPr>
      <t xml:space="preserve">job_runs.detail</t>
    </r>
    <r>
      <rPr>
        <sz val="10"/>
        <rFont val="Noto Sans CJK SC"/>
        <family val="2"/>
      </rPr>
      <t xml:space="preserve">）與已存週報文字仍是規則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保留（紀錄即當時實際寫入與推播的內容，建議）／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一次性清理腳本改寫／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讀取時重新解析。⑤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用詞觀察：</t>
    </r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額度偏低」、規則名是「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維持（事件句不是規則名，建議）／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額度偏低」（會改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提示詞裡的預警標題，影響當日快取命中）。另：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在通知中心沒有訂閱開關、會一直推播（既有行為，本輪未改）。⑥驗證者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觀察的匯率三角一致性：</t>
    </r>
    <r>
      <rPr>
        <sz val="10"/>
        <rFont val="Arial"/>
        <family val="0"/>
        <charset val="1"/>
      </rPr>
      <t xml:space="preserve">portfolio/dashboard.py::_fx_triangulation </t>
    </r>
    <r>
      <rPr>
        <sz val="10"/>
        <rFont val="Noto Sans CJK SC"/>
        <family val="2"/>
      </rPr>
      <t xml:space="preserve">拿各匯率對「最新一筆」相比，三條腿日期不同時（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還沒有，推導的 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只到兩腿都有的日期）就會顯示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，即使沒有任何資料錯誤：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改為在三條腿的最新共同日期上比較，日期不同另外標示「日期不同」（建議，另開單）／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日期不同時不判紅、只顯示說明／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維持。資料：</t>
    </r>
    <r>
      <rPr>
        <sz val="10"/>
        <rFont val="Arial"/>
        <family val="0"/>
        <charset val="1"/>
      </rPr>
      <t xml:space="preserve">DEF-063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試跑與套用皆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筆，未動資料。環境：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帳本未重設；開機時補建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等表（預期寫入）；觀察：部署後 </t>
    </r>
    <r>
      <rPr>
        <sz val="10"/>
        <rFont val="Arial"/>
        <family val="0"/>
        <charset val="1"/>
      </rPr>
      <t xml:space="preserve">GET /api/insight-tasks/status </t>
    </r>
    <r>
      <rPr>
        <sz val="10"/>
        <rFont val="Noto Sans CJK SC"/>
        <family val="2"/>
      </rPr>
      <t xml:space="preserve">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1.1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1.4 </t>
    </r>
    <r>
      <rPr>
        <sz val="10"/>
        <rFont val="Noto Sans CJK SC"/>
        <family val="2"/>
      </rPr>
      <t xml:space="preserve">秒（驗證者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量到約 </t>
    </r>
    <r>
      <rPr>
        <sz val="10"/>
        <rFont val="Arial"/>
        <family val="0"/>
        <charset val="1"/>
      </rPr>
      <t xml:space="preserve">5.6 </t>
    </r>
    <r>
      <rPr>
        <sz val="10"/>
        <rFont val="Noto Sans CJK SC"/>
        <family val="2"/>
      </rPr>
      <t xml:space="preserve">秒；該路由在本輪前每次讀都會拿寫鎖，可能是原因之一，未另做因果驗證）。</t>
    </r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</si>
  <si>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3be67db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全數結案（黑箱重放＋驗證者變異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起點逐字相同，額度 −</t>
    </r>
    <r>
      <rPr>
        <sz val="10"/>
        <rFont val="Arial"/>
        <family val="0"/>
        <charset val="1"/>
      </rPr>
      <t xml:space="preserve">$0.0028558</t>
    </r>
    <r>
      <rPr>
        <sz val="10"/>
        <rFont val="Noto Sans CJK SC"/>
        <family val="2"/>
      </rPr>
      <t xml:space="preserve">）。原 </t>
    </r>
    <r>
      <rPr>
        <sz val="10"/>
        <rFont val="Arial"/>
        <family val="0"/>
        <charset val="1"/>
      </rPr>
      <t xml:space="preserve">BLOCKED 8 </t>
    </r>
    <r>
      <rPr>
        <sz val="10"/>
        <rFont val="Noto Sans CJK SC"/>
        <family val="2"/>
      </rPr>
      <t xml:space="preserve">題改在本機專用測試環境完成，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，新開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073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項，另開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張（低）。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待修合計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張。規格、證據與本機重現方式見 </t>
    </r>
    <r>
      <rPr>
        <sz val="10"/>
        <rFont val="Arial"/>
        <family val="0"/>
        <charset val="1"/>
      </rPr>
      <t xml:space="preserve">docs/audit/2026-09-25-r5-dev-specs.md</t>
    </r>
  </si>
  <si>
    <t xml:space="preserve"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</si>
  <si>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項全部裁定）：①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收件匣掃描改走共用判定、排除已封存 →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，理由：未來賣出還未到期，所以還算持有 →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成績轉差」（維持）；④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修正前的排程明細與週報保留原樣（維持）；⑤ 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額度偏低」，接受當日快取一次性未命中 → 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通知訂閱開關未裁定，維持現狀）；⑥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匯率三角在最新共同日期比較、日期不同另標示 →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；⑦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改密碼欄位＋前後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個字元顯示明文 → 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；⑧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影子上限計「同時處於影子期的任務數」→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規格已定。環境：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本輪另產生 </t>
    </r>
    <r>
      <rPr>
        <sz val="10"/>
        <rFont val="Arial"/>
        <family val="0"/>
        <charset val="1"/>
      </rPr>
      <t xml:space="preserve">alert_scan #195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insight:9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</t>
    </r>
    <r>
      <rPr>
        <sz val="10"/>
        <rFont val="Noto Sans CJK SC"/>
        <family val="2"/>
      </rPr>
      <t xml:space="preserve">、卡 </t>
    </r>
    <r>
      <rPr>
        <sz val="10"/>
        <rFont val="Arial"/>
        <family val="0"/>
        <charset val="1"/>
      </rPr>
      <t xml:space="preserve">#222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依指示執行，預期行為）；本機專用環境（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、時鐘推進）已全部停止，未連任何外部服務</t>
    </r>
  </si>
  <si>
    <t xml:space="preserve">696934e</t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</si>
  <si>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張全部修畢；另在修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時發現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DEF-079 </t>
    </r>
    <r>
      <rPr>
        <sz val="10"/>
        <rFont val="Noto Sans CJK SC"/>
        <family val="2"/>
      </rPr>
      <t xml:space="preserve">中、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低），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在對話中裁定本輪一起修，已登記於缺陷登記第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列。共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696934e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696934e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的重試路徑在出錯當下才 </t>
    </r>
    <r>
      <rPr>
        <sz val="10"/>
        <rFont val="Arial"/>
        <family val="0"/>
        <charset val="1"/>
      </rPr>
      <t xml:space="preserve">import tenacity</t>
    </r>
    <r>
      <rPr>
        <sz val="10"/>
        <rFont val="Noto Sans CJK SC"/>
        <family val="2"/>
      </rPr>
      <t xml:space="preserve">（未安裝），蓋掉原錯誤、備援也失敗 → 改由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自己只重試暫時性錯誤，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一律 </t>
    </r>
    <r>
      <rPr>
        <sz val="10"/>
        <rFont val="Arial"/>
        <family val="0"/>
        <charset val="1"/>
      </rPr>
      <t xml:space="preserve">num_retries=0</t>
    </r>
    <r>
      <rPr>
        <sz val="10"/>
        <rFont val="Noto Sans CJK SC"/>
        <family val="2"/>
      </rPr>
      <t xml:space="preserve">，兩者皆失敗時明細以中文列出主模型與備援各自的原因；「只有出錯才會走到的路徑缺相依」由新守門攔：以 </t>
    </r>
    <r>
      <rPr>
        <sz val="10"/>
        <rFont val="Arial"/>
        <family val="0"/>
        <charset val="1"/>
      </rPr>
      <t xml:space="preserve">mock_response </t>
    </r>
    <r>
      <rPr>
        <sz val="10"/>
        <rFont val="Noto Sans CJK SC"/>
        <family val="2"/>
      </rPr>
      <t xml:space="preserve">驅動真實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的例外分支（舊碼即失敗於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訊息）。影子評估（</t>
    </r>
    <r>
      <rPr>
        <sz val="10"/>
        <rFont val="Arial"/>
        <family val="0"/>
        <charset val="1"/>
      </rPr>
      <t xml:space="preserve">DEF-069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）：影子卡不進任何使用者清單；上限改計「同時處於影子期的任務數」、晉升只比各版本自己的紀錄；校正版本鏈加「設為生效／取消生效」；校正以生效版為底、只用時間窗內的新失誤且只用一次。排程（</t>
    </r>
    <r>
      <rPr>
        <sz val="10"/>
        <rFont val="Arial"/>
        <family val="0"/>
        <charset val="1"/>
      </rPr>
      <t xml:space="preserve">DEF-067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068</t>
    </r>
    <r>
      <rPr>
        <sz val="10"/>
        <rFont val="Noto Sans CJK SC"/>
        <family val="2"/>
      </rPr>
      <t xml:space="preserve">）：全部失敗記「失敗」、部分記「部分」；運行明細全中文、評分與校正說明做了什麼；更新報價提示依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計數。持有與帳戶（</t>
    </r>
    <r>
      <rPr>
        <sz val="10"/>
        <rFont val="Arial"/>
        <family val="0"/>
        <charset val="1"/>
      </rPr>
      <t xml:space="preserve">DEF-072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075</t>
    </r>
    <r>
      <rPr>
        <sz val="10"/>
        <rFont val="Noto Sans CJK SC"/>
        <family val="2"/>
      </rPr>
      <t xml:space="preserve">）：補登公司行動帶入對帳不一致的帳戶；收件匣掃描排除封存；登錄類「持有」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處統一為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額度偏低」，畫面上的「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」全改稱「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：匯率三角在三條腿的最新共同日期比較。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個祕密欄位改密碼欄位，遮罩維持前後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字元。附帶建議已處理：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兩支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to_be_visible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隱藏分隔列與徽章：舊測試 </t>
    </r>
    <r>
      <rPr>
        <sz val="10"/>
        <rFont val="Arial"/>
        <family val="0"/>
        <charset val="1"/>
      </rPr>
      <t xml:space="preserve">4/4 </t>
    </r>
    <r>
      <rPr>
        <sz val="10"/>
        <rFont val="Noto Sans CJK SC"/>
        <family val="2"/>
      </rPr>
      <t xml:space="preserve">仍通過、新測試失敗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6,486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</si>
  <si>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</si>
  <si>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在對話中直接裁定（取代或補充規格；本輪無待裁定項）：</t>
    </r>
    <r>
      <rPr>
        <sz val="10"/>
        <rFont val="Arial"/>
        <family val="0"/>
        <charset val="1"/>
      </rPr>
      <t xml:space="preserve">DEF-078 </t>
    </r>
    <r>
      <rPr>
        <sz val="10"/>
        <rFont val="Noto Sans CJK SC"/>
        <family val="2"/>
      </rPr>
      <t xml:space="preserve">所有金鑰一律前後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字元（取代規格 </t>
    </r>
    <r>
      <rPr>
        <sz val="10"/>
        <rFont val="Arial"/>
        <family val="0"/>
        <charset val="1"/>
      </rPr>
      <t xml:space="preserve">§15 </t>
    </r>
    <r>
      <rPr>
        <sz val="10"/>
        <rFont val="Noto Sans CJK SC"/>
        <family val="2"/>
      </rPr>
      <t xml:space="preserve">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字元的解讀）；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報價工作全部失敗改記「失敗」、歷史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棒只把供應商錯誤算失敗；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明細只寫中文失敗分類與 </t>
    </r>
    <r>
      <rPr>
        <sz val="10"/>
        <rFont val="Arial"/>
        <family val="0"/>
        <charset val="1"/>
      </rPr>
      <t xml:space="preserve">HTTP </t>
    </r>
    <r>
      <rPr>
        <sz val="10"/>
        <rFont val="Noto Sans CJK SC"/>
        <family val="2"/>
      </rPr>
      <t xml:space="preserve">碼（供應商原文只進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失敗記錄）；</t>
    </r>
    <r>
      <rPr>
        <sz val="10"/>
        <rFont val="Arial"/>
        <family val="0"/>
        <charset val="1"/>
      </rPr>
      <t xml:space="preserve">DEF-070 shadow_batches </t>
    </r>
    <r>
      <rPr>
        <sz val="10"/>
        <rFont val="Noto Sans CJK SC"/>
        <family val="2"/>
      </rPr>
      <t xml:space="preserve">計評分筆數、晉升比較各版本自己的紀錄、只有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時以「設為生效」採用；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其他「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額度」字樣本輪一併改為「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DEF-079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 </t>
    </r>
    <r>
      <rPr>
        <sz val="10"/>
        <rFont val="Noto Sans CJK SC"/>
        <family val="2"/>
      </rPr>
      <t xml:space="preserve">本輪一起修；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封存的版本也消耗其依據、影子評估中或勝出待採用時暫停產版；</t>
    </r>
    <r>
      <rPr>
        <sz val="10"/>
        <rFont val="Arial"/>
        <family val="0"/>
        <charset val="1"/>
      </rPr>
      <t xml:space="preserve">/api/calibrations/{id}/samples </t>
    </r>
    <r>
      <rPr>
        <sz val="10"/>
        <rFont val="Noto Sans CJK SC"/>
        <family val="2"/>
      </rPr>
      <t xml:space="preserve">回傳「該版本身卡片的失誤」而非規格 </t>
    </r>
    <r>
      <rPr>
        <sz val="10"/>
        <rFont val="Arial"/>
        <family val="0"/>
        <charset val="1"/>
      </rPr>
      <t xml:space="preserve">4.7 </t>
    </r>
    <r>
      <rPr>
        <sz val="10"/>
        <rFont val="Noto Sans CJK SC"/>
        <family val="2"/>
      </rPr>
      <t xml:space="preserve">的「驅動該版產生的失誤」（畫面未使用）——記於此、不開單。採用建議、未另問的：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互動入口也依 </t>
    </r>
    <r>
      <rPr>
        <sz val="10"/>
        <rFont val="Arial"/>
        <family val="0"/>
        <charset val="1"/>
      </rPr>
      <t xml:space="preserve">max_retries </t>
    </r>
    <r>
      <rPr>
        <sz val="10"/>
        <rFont val="Noto Sans CJK SC"/>
        <family val="2"/>
      </rPr>
      <t xml:space="preserve">重試；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預警推播崩潰、摘要推播未送達全部通道記「部分」；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報價過期／無報價與規則名為同義字，維持。資料：部署前備份 </t>
    </r>
    <r>
      <rPr>
        <sz val="10"/>
        <rFont val="Arial"/>
        <family val="0"/>
        <charset val="1"/>
      </rPr>
      <t xml:space="preserve">portfolio-pre-696934e-20260926T034624Z.db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排程器依裁定關閉；修正前已寫入的排程明細仍為英文（裁定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</si>
  <si>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696934e </t>
    </r>
    <r>
      <rPr>
        <sz val="10"/>
        <rFont val="Noto Sans CJK SC"/>
        <family val="2"/>
      </rPr>
      <t xml:space="preserve">相符）：待複驗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張結案（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部分通過→複驗未過。黑箱重放：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驗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；本機專用測試環境（同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以時鐘推進）驗其餘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張。驗證者重做變異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缺陷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組＋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組）全數被攔。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額度未花費）。結案簽核待 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通過後才能簽。規格與證據見 </t>
    </r>
    <r>
      <rPr>
        <sz val="10"/>
        <rFont val="Arial"/>
        <family val="0"/>
        <charset val="1"/>
      </rPr>
      <t xml:space="preserve">docs/audit/2026-09-26-r6-dev-specs.md</t>
    </r>
  </si>
  <si>
    <t xml:space="preserve"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</si>
  <si>
    <t xml:space="preserve"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</si>
  <si>
    <t xml:space="preserve">a16210a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</si>
  <si>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，低）＋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在對話中裁定新開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，低，登記於缺陷登記第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列），共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a16210a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a16210a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預設就是琥珀，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琥珀，所以三種狀態都是琥珀；改為狀態用 </t>
    </r>
    <r>
      <rPr>
        <sz val="10"/>
        <rFont val="Arial"/>
        <family val="0"/>
        <charset val="1"/>
      </rPr>
      <t xml:space="preserve">class——ok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.fresh-note-info</t>
    </r>
    <r>
      <rPr>
        <sz val="10"/>
        <rFont val="Noto Sans CJK SC"/>
        <family val="2"/>
      </rPr>
      <t xml:space="preserve">（一般文字色、無琥珀底），只有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維持琥珀；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getComputedStyle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color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background</t>
    </r>
    <r>
      <rPr>
        <sz val="10"/>
        <rFont val="Noto Sans CJK SC"/>
        <family val="2"/>
      </rPr>
      <t xml:space="preserve">，三態都測，變異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組皆被攔。同類掃描（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決定狀態色）：</t>
    </r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處、其中狀態色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處，修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；另修同形狀的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狀態徽章（偏低的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琥珀在重繪為「已關閉／額度歸零」後殘留），並依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裁定把資料新鮮度的「推導」標籤改為中性灰；新守門把「狀態色是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」擴及 </t>
    </r>
    <r>
      <rPr>
        <sz val="10"/>
        <rFont val="Arial"/>
        <family val="0"/>
        <charset val="1"/>
      </rPr>
      <t xml:space="preserve">web/ </t>
    </r>
    <r>
      <rPr>
        <sz val="10"/>
        <rFont val="Noto Sans CJK SC"/>
        <family val="2"/>
      </rPr>
      <t xml:space="preserve">全部檔案。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戰績的命中率列與預測明細改顯示任務名稱（滑鼠提示保留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編號），</t>
    </r>
    <r>
      <rPr>
        <sz val="10"/>
        <rFont val="Arial"/>
        <family val="0"/>
        <charset val="1"/>
      </rPr>
      <t xml:space="preserve">/api/ai-score </t>
    </r>
    <r>
      <rPr>
        <sz val="10"/>
        <rFont val="Noto Sans CJK SC"/>
        <family val="2"/>
      </rPr>
      <t xml:space="preserve">增量加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6,492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</si>
  <si>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</si>
  <si>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在對話中直接裁定（本輪無待裁定項）：①規格 </t>
    </r>
    <r>
      <rPr>
        <sz val="10"/>
        <rFont val="Arial"/>
        <family val="0"/>
        <charset val="1"/>
      </rPr>
      <t xml:space="preserve">§2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3——AI </t>
    </r>
    <r>
      <rPr>
        <sz val="10"/>
        <rFont val="Noto Sans CJK SC"/>
        <family val="2"/>
      </rPr>
      <t xml:space="preserve">戰績改顯示任務名稱（開 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，本輪修）；②觀察 </t>
    </r>
    <r>
      <rPr>
        <sz val="10"/>
        <rFont val="Arial"/>
        <family val="0"/>
        <charset val="1"/>
      </rPr>
      <t xml:space="preserve">1——</t>
    </r>
    <r>
      <rPr>
        <sz val="10"/>
        <rFont val="Noto Sans CJK SC"/>
        <family val="2"/>
      </rPr>
      <t xml:space="preserve">系統操作紀錄修正前的舊列維持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，保留原字「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」（不改）；③同類掃描順帶發現的「推導」標籤琥珀色——改中性灰（併入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）。觀察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英文例外原文，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白名單）與觀察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（驗證者自身負載）未處理。資料：部署前備份 </t>
    </r>
    <r>
      <rPr>
        <sz val="10"/>
        <rFont val="Arial"/>
        <family val="0"/>
        <charset val="1"/>
      </rPr>
      <t xml:space="preserve">portfolio-pre-a16210a-20260926T155643Z.db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），部署未寫入帳本；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只讀既有任務名稱，不改資料。</t>
    </r>
  </si>
  <si>
    <t xml:space="preserve">驗證者 → 開發者、Owner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</si>
  <si>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a16210a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皆複驗通過結案（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＋本機黑箱重放；驗證者自做變異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張缺陷全部結案或非缺陷——檢驗方已於「結案簽核」簽署（並把統計公式延伸到輪次彙總第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列、缺陷登記第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</t>
    </r>
  </si>
  <si>
    <t xml:space="preserve">修復方與 Owner：請在「結案簽核」第 25、26 列簽署。簽署後若再改動程式，依簽核頁規定重跑 J 組並在輪次彙總新增一列</t>
  </si>
  <si>
    <t xml:space="preserve"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</si>
  <si>
    <t xml:space="preserve">驗證者 → Owner、開發者</t>
  </si>
  <si>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指示）：在最終版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上重跑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之後未再黑箱執行的 </t>
    </r>
    <r>
      <rPr>
        <sz val="10"/>
        <rFont val="Arial"/>
        <family val="0"/>
        <charset val="1"/>
      </rPr>
      <t xml:space="preserve">73 </t>
    </r>
    <r>
      <rPr>
        <sz val="10"/>
        <rFont val="Noto Sans CJK SC"/>
        <family val="2"/>
      </rPr>
      <t xml:space="preserve">題——</t>
    </r>
    <r>
      <rPr>
        <sz val="10"/>
        <rFont val="Arial"/>
        <family val="0"/>
        <charset val="1"/>
      </rPr>
      <t xml:space="preserve">PASS 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G-04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洞察卡的代號檢核把括號內已註冊標的英文名當成未知代號（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」標「未知代碼…可能是模型幻覺」），判讀規則自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未變，屬既有漏網、非回歸。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$0.0015807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的檢驗方簽核已撤回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</si>
  <si>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DEF-082——A </t>
    </r>
    <r>
      <rPr>
        <sz val="10"/>
        <rFont val="Noto Sans CJK SC"/>
        <family val="2"/>
      </rPr>
      <t xml:space="preserve">修（開發者依缺陷登記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欄修正、補契約測試＋變異、同類掃描，部署後交回；驗證者複驗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並重跑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組後重新簽署）；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改判「非缺陷」並接受此誤報（在缺陷登記寫明理由），驗證者即可重新簽署結案。開發者：待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裁定後依結果處理</t>
    </r>
  </si>
  <si>
    <t xml:space="preserve"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</si>
  <si>
    <t xml:space="preserve">3a35454</t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</si>
  <si>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發現）依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裁定修正，改「待複驗」，部署 </t>
    </r>
    <r>
      <rPr>
        <sz val="10"/>
        <rFont val="Arial"/>
        <family val="0"/>
        <charset val="1"/>
      </rPr>
      <t xml:space="preserve">demo 3a35454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）。根因：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洞察卡的代號檢核只比對已登錄代號，不比對已登錄標的名稱。修法：已知字詞由登錄表的代號與名稱兩欄推導——名稱不分大小寫，整名＋多字名稱的單字（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裁定，例：</t>
    </r>
    <r>
      <rPr>
        <sz val="10"/>
        <rFont val="Arial"/>
        <family val="0"/>
        <charset val="1"/>
      </rPr>
      <t xml:space="preserve">5225 IHH Healthcare </t>
    </r>
    <r>
      <rPr>
        <sz val="10"/>
        <rFont val="Noto Sans CJK SC"/>
        <family val="2"/>
      </rPr>
      <t xml:space="preserve">的「</t>
    </r>
    <r>
      <rPr>
        <sz val="10"/>
        <rFont val="Arial"/>
        <family val="0"/>
        <charset val="1"/>
      </rPr>
      <t xml:space="preserve">(IHH)</t>
    </r>
    <r>
      <rPr>
        <sz val="10"/>
        <rFont val="Noto Sans CJK SC"/>
        <family val="2"/>
      </rPr>
      <t xml:space="preserve">」）；全數字與單一字母不算名稱，所以真的未知代號（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」）照樣被標。同類掃描：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張卡，代號形狀的括號 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種，未知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真、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誤報）；括號內的已登錄名稱寫法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種／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處，只有全大寫單字具代號形狀；登錄表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個名稱中具代號形狀的形式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種，修後全數視為名稱；修後重算，未知代碼只剩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。測試：單元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則＋契約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則，變異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組全被攔。閘門：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6,498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</si>
  <si>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</si>
  <si>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DEF-082 A </t>
    </r>
    <r>
      <rPr>
        <sz val="10"/>
        <rFont val="Noto Sans CJK SC"/>
        <family val="2"/>
      </rPr>
      <t xml:space="preserve">修（不改判非缺陷）；②名稱比對範圍＝整名＋多字名稱的單字，不分大小寫（本輪修）。代價：模型若編出與這些單字同拼法的代號（例如「</t>
    </r>
    <r>
      <rPr>
        <sz val="10"/>
        <rFont val="Arial"/>
        <family val="0"/>
        <charset val="1"/>
      </rPr>
      <t xml:space="preserve">(MICRO)</t>
    </r>
    <r>
      <rPr>
        <sz val="10"/>
        <rFont val="Noto Sans CJK SC"/>
        <family val="2"/>
      </rPr>
      <t xml:space="preserve">」）就不會被標；數字代號不受影響。資料：部署前備份 </t>
    </r>
    <r>
      <rPr>
        <sz val="10"/>
        <rFont val="Arial"/>
        <family val="0"/>
        <charset val="1"/>
      </rPr>
      <t xml:space="preserve">portfolio-pre-3a35454-20260927T090250Z.db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211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207</t>
    </r>
    <r>
      <rPr>
        <sz val="10"/>
        <rFont val="Noto Sans CJK SC"/>
        <family val="2"/>
      </rPr>
      <t xml:space="preserve">），部署未寫入資料；本修只改讀取時的檢核，已存卡片與資料表不變。修復方簽核依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指示的順序，待驗證者重新簽檢驗方後再簽。</t>
    </r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</si>
  <si>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3a35454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複驗通過結案、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#209 </t>
    </r>
    <r>
      <rPr>
        <sz val="10"/>
        <rFont val="Noto Sans CJK SC"/>
        <family val="2"/>
      </rPr>
      <t xml:space="preserve">不再標「未知代碼」、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仍標；本機驗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裁定的名稱範圍與邊界；驗證者自做變異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張缺陷全部結案或非缺陷——檢驗方已於「結案簽核」第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列重新簽署（總輪次公式已延伸到輪次彙總第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列）</t>
    </r>
  </si>
  <si>
    <t xml:space="preserve">開發者：請在「結案簽核」第 25 列（修復方）簽署；之後交 Owner 在第 26 列簽署並填結案日期（第 29 列）。簽署後若再改動程式，依簽核頁規定重跑 J 組並在輪次彙總新增一列</t>
  </si>
  <si>
    <t xml:space="preserve"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</si>
  <si>
    <t xml:space="preserve">開發者 → Owner</t>
  </si>
  <si>
    <t xml:space="preserve"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</si>
  <si>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：在「結案簽核」第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列簽署，並填第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列結案日期。</t>
    </r>
  </si>
  <si>
    <t xml:space="preserve"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</si>
  <si>
    <t xml:space="preserve">驗證者 → Owner</t>
  </si>
  <si>
    <t xml:space="preserve"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</si>
  <si>
    <t xml:space="preserve">無待辦。三方簽署完成，本輪功能測試結案</t>
  </si>
  <si>
    <t xml:space="preserve"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</si>
  <si>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2026-09-28 </t>
    </r>
    <r>
      <rPr>
        <sz val="10"/>
        <rFont val="Noto Sans CJK SC"/>
        <family val="2"/>
      </rPr>
      <t xml:space="preserve">指示）：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題全部重跑（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題、本機專用測試環境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題）——</t>
    </r>
    <r>
      <rPr>
        <sz val="10"/>
        <rFont val="Arial"/>
        <family val="0"/>
        <charset val="1"/>
      </rPr>
      <t xml:space="preserve">PASS 116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OBSERVE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（中）：備援模型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的結構化呼叫一律被供應商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拒絕（送出的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的負向前瞻正規式），主模型失敗時洞察卡救不回；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失敗記錄不記模型；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（低，規格未定）：乾跑預檢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額度不足沒有修正指引。三項皆為既有行為、非回歸；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$0.0318601</t>
    </r>
    <r>
      <rPr>
        <sz val="10"/>
        <rFont val="Noto Sans CJK SC"/>
        <family val="2"/>
      </rPr>
      <t xml:space="preserve">）。因結案條件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不再成立，檢驗方簽核撤回；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要求的整份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重跑以「全數通過」為前提，本輪未進行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</si>
  <si>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DEF-085——A </t>
    </r>
    <r>
      <rPr>
        <sz val="10"/>
        <rFont val="Noto Sans CJK SC"/>
        <family val="2"/>
      </rPr>
      <t xml:space="preserve">修（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補可執行的指引）或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維持現狀（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、本張改判非缺陷）；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若認為不需修也請裁定。開發者：修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（類別修法：送出前清洗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改不帶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的字串型別，涵蓋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輸入／新聞整理／大師評分等同類結構化呼叫，附同類掃描與變異）與 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（依裁定），部署後交回。驗證者：複驗後以整份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題作為下一輪（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），全數通過才重新簽署</t>
    </r>
  </si>
  <si>
    <t xml:space="preserve"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</si>
  <si>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交開發者修復：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）三張皆由開發者修（缺陷登記第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列皆為「新開」；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OBSERVE </t>
    </r>
    <r>
      <rPr>
        <sz val="10"/>
        <rFont val="Noto Sans CJK SC"/>
        <family val="2"/>
      </rPr>
      <t xml:space="preserve">改列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）。驗證者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補一條可固定重現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的黑箱路徑：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）→ 改由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產出（花費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，未寫入帳本）。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仍為 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各項還原狀態見還原檢查（本次重現只多一筆失敗記錄與一筆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）</t>
    </r>
  </si>
  <si>
    <t xml:space="preserve"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</si>
  <si>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皆交開發者修（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要給可執行的修正指引，形式由開發者設計）；②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重跑時，驗證操作寫入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的資料可以不還原、留在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站點——驗證者仍會保留案例間必要的清理（例如復原類案例本身就是測項、後續案例依賴的收件匣與持倉），重跑結束時在還原檢查逐項列出留在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的資料並註明依此裁定，結案條件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依此裁定判讀。驗證者預計的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黑箱複驗：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應由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本身產出且無新的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重放；本機擷取實際送出的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逐一檢查所有結構化 </t>
    </r>
    <r>
      <rPr>
        <sz val="10"/>
        <rFont val="Arial"/>
        <family val="0"/>
        <charset val="1"/>
      </rPr>
      <t xml:space="preserve">schema</t>
    </r>
  </si>
  <si>
    <t xml:space="preserve">91ec1b0</t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</si>
  <si>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）三張改「待複驗」，部署 </t>
    </r>
    <r>
      <rPr>
        <sz val="10"/>
        <rFont val="Arial"/>
        <family val="0"/>
        <charset val="1"/>
      </rPr>
      <t xml:space="preserve">demo 91ec1b0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：結構化呼叫送出的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改為各供應商都能編譯的可攜子集（去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與數值限制、</t>
    </r>
    <r>
      <rPr>
        <sz val="10"/>
        <rFont val="Arial"/>
        <family val="0"/>
        <charset val="1"/>
      </rPr>
      <t xml:space="preserve">oneOf→anyOf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object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additionalProperties: false</t>
    </r>
    <r>
      <rPr>
        <sz val="10"/>
        <rFont val="Noto Sans CJK SC"/>
        <family val="2"/>
      </rPr>
      <t xml:space="preserve">、內嵌 </t>
    </r>
    <r>
      <rPr>
        <sz val="10"/>
        <rFont val="Arial"/>
        <family val="0"/>
        <charset val="1"/>
      </rPr>
      <t xml:space="preserve">$ref</t>
    </r>
    <r>
      <rPr>
        <sz val="10"/>
        <rFont val="Noto Sans CJK SC"/>
        <family val="2"/>
      </rPr>
      <t xml:space="preserve">），一個出口涵蓋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個呼叫點／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，修前 </t>
    </r>
    <r>
      <rPr>
        <sz val="10"/>
        <rFont val="Arial"/>
        <family val="0"/>
        <charset val="1"/>
      </rPr>
      <t xml:space="preserve">151 </t>
    </r>
    <r>
      <rPr>
        <sz val="10"/>
        <rFont val="Noto Sans CJK SC"/>
        <family val="2"/>
      </rPr>
      <t xml:space="preserve">處超出子集、修後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；備援發生時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輸入會說明哪個模型失敗、原因與改由誰產出。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真實供應商：指定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重放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自己產出、無新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，其餘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也都由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回答。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：坦承無法歸類的記錄帶模型與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#521 </t>
    </r>
    <r>
      <rPr>
        <sz val="10"/>
        <rFont val="Noto Sans CJK SC"/>
        <family val="2"/>
      </rPr>
      <t xml:space="preserve">已帶）。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加「前往額度設定」，同類的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也補上按鈕；額度金額統一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位小數。變異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6,553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。</t>
    </r>
  </si>
  <si>
    <t xml:space="preserve"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</si>
  <si>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裁定（交接紀錄第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列）：三張皆本輪修，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驗證寫入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。資料：部署前備份 </t>
    </r>
    <r>
      <rPr>
        <sz val="10"/>
        <rFont val="Arial"/>
        <family val="0"/>
        <charset val="1"/>
      </rPr>
      <t xml:space="preserve">portfolio-pre-91ec1b0-20260929T145438Z.db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234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282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227</t>
    </r>
    <r>
      <rPr>
        <sz val="10"/>
        <rFont val="Noto Sans CJK SC"/>
        <family val="2"/>
      </rPr>
      <t xml:space="preserve">），部署未寫入資料。開發者在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的驗證只呼叫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、不寫帳本：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筆、</t>
    </r>
    <r>
      <rPr>
        <sz val="10"/>
        <rFont val="Arial"/>
        <family val="0"/>
        <charset val="1"/>
      </rPr>
      <t xml:space="preserve">r11_schema_probe 6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），失敗記錄新增 </t>
    </r>
    <r>
      <rPr>
        <sz val="10"/>
        <rFont val="Arial"/>
        <family val="0"/>
        <charset val="1"/>
      </rPr>
      <t xml:space="preserve">#521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的驗證），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額度合計花費 </t>
    </r>
    <r>
      <rPr>
        <sz val="10"/>
        <rFont val="Arial"/>
        <family val="0"/>
        <charset val="1"/>
      </rPr>
      <t xml:space="preserve">$0.0154218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$3.2083669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的「分類」欄仍為「規格未定」（驗證者欄位，未改）；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舊記錄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筆維持原狀（資料殘留）。</t>
    </r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</si>
  <si>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完成：①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（低）三張複驗通過結案（缺陷登記第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I</t>
    </r>
    <r>
      <rPr>
        <sz val="10"/>
        <rFont val="Noto Sans CJK SC"/>
        <family val="2"/>
      </rPr>
      <t xml:space="preserve">＝結案、</t>
    </r>
    <r>
      <rPr>
        <sz val="10"/>
        <rFont val="Arial"/>
        <family val="0"/>
        <charset val="1"/>
      </rPr>
      <t xml:space="preserve">J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；來回記錄第 </t>
    </r>
    <r>
      <rPr>
        <sz val="10"/>
        <rFont val="Arial"/>
        <family val="0"/>
        <charset val="1"/>
      </rPr>
      <t xml:space="preserve">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183 </t>
    </r>
    <r>
      <rPr>
        <sz val="10"/>
        <rFont val="Noto Sans CJK SC"/>
        <family val="2"/>
      </rPr>
      <t xml:space="preserve">列右半）。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真實供應商上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自己產出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輸入（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原文）與洞察卡，</t>
    </r>
    <r>
      <rPr>
        <sz val="10"/>
        <rFont val="Arial"/>
        <family val="0"/>
        <charset val="1"/>
      </rPr>
      <t xml:space="preserve">one shot G-09 </t>
    </r>
    <r>
      <rPr>
        <sz val="10"/>
        <rFont val="Noto Sans CJK SC"/>
        <family val="2"/>
      </rPr>
      <t xml:space="preserve">有一張卡在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兩次截斷後由備援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救回；本機驗證者自寫的嚴格假端點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修前全拒、修後全過；自做變異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組全攔。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分類由「規格未定」改「程式缺陷」（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已裁定修）。②整份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重跑（</t>
    </r>
    <r>
      <rPr>
        <sz val="10"/>
        <rFont val="Arial"/>
        <family val="0"/>
        <charset val="1"/>
      </rPr>
      <t xml:space="preserve">demo 112 </t>
    </r>
    <r>
      <rPr>
        <sz val="10"/>
        <rFont val="Noto Sans CJK SC"/>
        <family val="2"/>
      </rPr>
      <t xml:space="preserve">題＋本機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題，一次跑完、未重跑任何題）：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檢查程式只等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秒、工作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結束，依終值判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（檢查程式已改等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組全過、零回歸。③還原檢查依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裁定相符，留在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的資料列於 </t>
    </r>
    <r>
      <rPr>
        <sz val="10"/>
        <rFont val="Arial"/>
        <family val="0"/>
        <charset val="1"/>
      </rPr>
      <t xml:space="preserve">R-9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額度：</t>
    </r>
    <r>
      <rPr>
        <sz val="10"/>
        <rFont val="Arial"/>
        <family val="0"/>
        <charset val="1"/>
      </rPr>
      <t xml:space="preserve">one shot $0.0379424</t>
    </r>
    <r>
      <rPr>
        <sz val="10"/>
        <rFont val="Noto Sans CJK SC"/>
        <family val="2"/>
      </rPr>
      <t xml:space="preserve">、驗證者複驗 </t>
    </r>
    <r>
      <rPr>
        <sz val="10"/>
        <rFont val="Arial"/>
        <family val="0"/>
        <charset val="1"/>
      </rPr>
      <t xml:space="preserve">$0.037309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$3.1331155</t>
    </r>
    <r>
      <rPr>
        <sz val="10"/>
        <rFont val="Noto Sans CJK SC"/>
        <family val="2"/>
      </rPr>
      <t xml:space="preserve">。④結案簽核：條件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全為「是」，總輪次公式延伸到 </t>
    </r>
    <r>
      <rPr>
        <sz val="10"/>
        <rFont val="Arial"/>
        <family val="0"/>
        <charset val="1"/>
      </rPr>
      <t xml:space="preserve">B14</t>
    </r>
    <r>
      <rPr>
        <sz val="10"/>
        <rFont val="Noto Sans CJK SC"/>
        <family val="2"/>
      </rPr>
      <t xml:space="preserve">，檢驗方第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列重新簽署，最終受測版本改為 </t>
    </r>
    <r>
      <rPr>
        <sz val="10"/>
        <rFont val="Arial"/>
        <family val="0"/>
        <charset val="1"/>
      </rPr>
      <t xml:space="preserve">v0.1.28 · 91ec1b0</t>
    </r>
  </si>
  <si>
    <t xml:space="preserve"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</si>
  <si>
    <t xml:space="preserve"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</si>
  <si>
    <t xml:space="preserve"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</si>
  <si>
    <t xml:space="preserve">Owner：在「結案簽核」第 26 列依 91ec1b0 重新簽署，並填第 29 列結案日期即結案。</t>
  </si>
  <si>
    <t xml:space="preserve"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</si>
  <si>
    <t xml:space="preserve">d2e5e08</t>
  </si>
  <si>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（結案簽署後，依 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在對話中的裁定改程式）：驗證者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觀察③④與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附註，共三項，皆為類別修法；部署 </t>
    </r>
    <r>
      <rPr>
        <sz val="10"/>
        <rFont val="Arial"/>
        <family val="0"/>
        <charset val="1"/>
      </rPr>
      <t xml:space="preserve">demo d2e5e08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md §10</t>
    </r>
    <r>
      <rPr>
        <sz val="10"/>
        <rFont val="Noto Sans CJK SC"/>
        <family val="2"/>
      </rPr>
      <t xml:space="preserve">「簽署後若再改動程式，需重跑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組回歸快篩並在輪次彙總新增一列」，本輪為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（輪次彙總第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列）。①沒附用量的回覆記為「估算」（觀察④）：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中途斷掉的回覆沒附用量，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，就記成 </t>
    </r>
    <r>
      <rPr>
        <sz val="10"/>
        <rFont val="Arial"/>
        <family val="0"/>
        <charset val="1"/>
      </rPr>
      <t xml:space="preserve">0 token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（修前 </t>
    </r>
    <r>
      <rPr>
        <sz val="10"/>
        <rFont val="Arial"/>
        <family val="0"/>
        <charset val="1"/>
      </rPr>
      <t xml:space="preserve">demo 1,113 </t>
    </r>
    <r>
      <rPr>
        <sz val="10"/>
        <rFont val="Noto Sans CJK SC"/>
        <family val="2"/>
      </rPr>
      <t xml:space="preserve">列中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列）。現在兩個數字都是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視為「未回報」，以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內建分詞在本機估算並標記；設定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</t>
    </r>
    <r>
      <rPr>
        <sz val="10"/>
        <rFont val="Arial"/>
        <family val="0"/>
        <charset val="1"/>
      </rPr>
      <t xml:space="preserve">Request </t>
    </r>
    <r>
      <rPr>
        <sz val="10"/>
        <rFont val="Noto Sans CJK SC"/>
        <family val="2"/>
      </rPr>
      <t xml:space="preserve">明細顯示「估算」，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。②每次執行記下自己的花費（觀察③）：排程工作收尾時原本不寫花費、洞察任務只加總產出卡片的費用；現在每個執行出口累計自己寫入的用量列，收尾寫入花費、呼叫數與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，執行歷史、狀態彈窗、洞察任務運行記錄與工作紀錄匯出都讀同一列。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實測：手動新聞整理 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$0.0016277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11,861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1,104 tokens</t>
    </r>
    <r>
      <rPr>
        <sz val="10"/>
        <rFont val="Noto Sans CJK SC"/>
        <family val="2"/>
      </rPr>
      <t xml:space="preserve">，與用量帳本 </t>
    </r>
    <r>
      <rPr>
        <sz val="10"/>
        <rFont val="Arial"/>
        <family val="0"/>
        <charset val="1"/>
      </rPr>
      <t xml:space="preserve">#1114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1118 </t>
    </r>
    <r>
      <rPr>
        <sz val="10"/>
        <rFont val="Noto Sans CJK SC"/>
        <family val="2"/>
      </rPr>
      <t xml:space="preserve">合計逐位相同。③美元金額只有一個格式：預警「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額度偏低」的明細改用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（原本五成雙、無千分位、會印「</t>
    </r>
    <r>
      <rPr>
        <sz val="10"/>
        <rFont val="Arial"/>
        <family val="0"/>
        <charset val="1"/>
      </rPr>
      <t xml:space="preserve">$-0.00</t>
    </r>
    <r>
      <rPr>
        <sz val="10"/>
        <rFont val="Noto Sans CJK SC"/>
        <family val="2"/>
      </rPr>
      <t xml:space="preserve">」）。另依裁定刪除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修復前的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筆失敗記錄（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--strict 965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（全新快取）・</t>
    </r>
    <r>
      <rPr>
        <sz val="10"/>
        <rFont val="Arial"/>
        <family val="0"/>
        <charset val="1"/>
      </rPr>
      <t xml:space="preserve">pytest 6,585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6,583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e2e 92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，伺服器端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</t>
    </r>
  </si>
  <si>
    <t xml:space="preserve"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</si>
  <si>
    <t xml:space="preserve"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</si>
  <si>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驗證完成（頁首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）：①開發者的三項修改與舊記錄刪除皆通過——未回報用量的回覆記估算（本機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對照、</t>
    </r>
    <r>
      <rPr>
        <sz val="10"/>
        <rFont val="Arial"/>
        <family val="0"/>
        <charset val="1"/>
      </rPr>
      <t xml:space="preserve">demo G-01 </t>
    </r>
    <r>
      <rPr>
        <sz val="10"/>
        <rFont val="Noto Sans CJK SC"/>
        <family val="2"/>
      </rPr>
      <t xml:space="preserve">真實出現一筆 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並標「估算」）、每次執行記下自己的花費（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各執行＝同時段用量列合計、巢狀不重複、無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記「—」；狀態彈窗「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／費用：</t>
    </r>
    <r>
      <rPr>
        <sz val="10"/>
        <rFont val="Arial"/>
        <family val="0"/>
        <charset val="1"/>
      </rPr>
      <t xml:space="preserve">11,861 in </t>
    </r>
    <r>
      <rPr>
        <sz val="10"/>
        <rFont val="Noto Sans CJK SC"/>
        <family val="2"/>
      </rPr>
      <t xml:space="preserve">／ </t>
    </r>
    <r>
      <rPr>
        <sz val="10"/>
        <rFont val="Arial"/>
        <family val="0"/>
        <charset val="1"/>
      </rPr>
      <t xml:space="preserve">1,104 out </t>
    </r>
    <r>
      <rPr>
        <sz val="10"/>
        <rFont val="Noto Sans CJK SC"/>
        <family val="2"/>
      </rPr>
      <t xml:space="preserve">・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次呼叫）」）、「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額度偏低」金額改用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筆舊失敗記錄已刪；驗證者自做變異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組全攔。②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組全過、零回歸；整份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PASS 117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（首跑另標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題為檢查程式問題，修正後重跑通過，未改預期結果）。③新開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（低，規格未定）：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H-02——</t>
    </r>
    <r>
      <rPr>
        <sz val="10"/>
        <rFont val="Noto Sans CJK SC"/>
        <family val="2"/>
      </rPr>
      <t xml:space="preserve">截斷重試的估算花費記在執行與用量帳本，不在卡片上，與「額度扣減＝各卡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加總」「三者一致」衝突。④檢驗方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簽署撤回（第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列），最終受測版本改為 </t>
    </r>
    <r>
      <rPr>
        <sz val="10"/>
        <rFont val="Arial"/>
        <family val="0"/>
        <charset val="1"/>
      </rPr>
      <t xml:space="preserve">d2e5e08</t>
    </r>
  </si>
  <si>
    <t xml:space="preserve"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</si>
  <si>
    <t xml:space="preserve"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</si>
  <si>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：改期望、程式不改。驗證者依新期望判讀 </t>
    </r>
    <r>
      <rPr>
        <sz val="10"/>
        <rFont val="Arial"/>
        <family val="0"/>
        <charset val="1"/>
      </rPr>
      <t xml:space="preserve">R12 one shot </t>
    </r>
    <r>
      <rPr>
        <sz val="10"/>
        <rFont val="Noto Sans CJK SC"/>
        <family val="2"/>
      </rPr>
      <t xml:space="preserve">同一次的數據：</t>
    </r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</t>
    </r>
    <r>
      <rPr>
        <sz val="10"/>
        <rFont val="Noto Sans CJK SC"/>
        <family val="2"/>
      </rPr>
      <t xml:space="preserve">執行花費 </t>
    </r>
    <r>
      <rPr>
        <sz val="10"/>
        <rFont val="Arial"/>
        <family val="0"/>
        <charset val="1"/>
      </rPr>
      <t xml:space="preserve">0.0029560</t>
    </r>
    <r>
      <rPr>
        <sz val="10"/>
        <rFont val="Noto Sans CJK SC"/>
        <family val="2"/>
      </rPr>
      <t xml:space="preserve">＝同時段用量兩列加總（其一為估算），卡片只記產卡那次；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額度扣減＝匯出各列加總＝執行花費加總（同輪 </t>
    </r>
    <r>
      <rPr>
        <sz val="10"/>
        <rFont val="Arial"/>
        <family val="0"/>
        <charset val="1"/>
      </rPr>
      <t xml:space="preserve">H-04 #251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 #253 </t>
    </r>
    <r>
      <rPr>
        <sz val="10"/>
        <rFont val="Noto Sans CJK SC"/>
        <family val="2"/>
      </rPr>
      <t xml:space="preserve">無重試的執行也逐位相符）→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改判非缺陷（結案輪次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，來回記錄第 </t>
    </r>
    <r>
      <rPr>
        <sz val="10"/>
        <rFont val="Arial"/>
        <family val="0"/>
        <charset val="1"/>
      </rPr>
      <t xml:space="preserve">185 </t>
    </r>
    <r>
      <rPr>
        <sz val="10"/>
        <rFont val="Noto Sans CJK SC"/>
        <family val="2"/>
      </rPr>
      <t xml:space="preserve">列）。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，結案條件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全部成立，檢驗方依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重新簽署（結案簽核第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</t>
    </r>
  </si>
  <si>
    <t xml:space="preserve"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</si>
  <si>
    <t xml:space="preserve">第 28 列的觀察（LLM 用量匯出成本低於 $0.000001 時為科學記號、alert_scan 24 小時去抖未在明細說明、demo 儀表板閒置 8～17 秒）不影響結案，是否排期由 Owner 決定；若要修，屬改程式，需另開一輪並重跑 J 組</t>
  </si>
  <si>
    <t xml:space="preserve"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</si>
  <si>
    <t xml:space="preserve">Owner：在「結案簽核」第 26 列依 d2e5e08 重新簽署（現為 3a35454 時的簽署），並填第 29 列結案日期即結案。</t>
  </si>
  <si>
    <t xml:space="preserve"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</si>
  <si>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在對話中就本手冊所有未完成事項逐題裁定（開發者轉記，共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題）。結案：①依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現在簽署結案；②結案日期 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；③由驗證者代填結案簽核第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）與第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列結案日期，並改寫第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列結論（比照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前例）。結案後的改進不再走本手冊，改以一般開發流程處理（測試、閘門、部署驗證照做）：修——④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用量匯出成本低於 </t>
    </r>
    <r>
      <rPr>
        <sz val="10"/>
        <rFont val="Arial"/>
        <family val="0"/>
        <charset val="1"/>
      </rPr>
      <t xml:space="preserve">$0.000001 </t>
    </r>
    <r>
      <rPr>
        <sz val="10"/>
        <rFont val="Noto Sans CJK SC"/>
        <family val="2"/>
      </rPr>
      <t xml:space="preserve">時的科學記號、⑤預警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小時去抖未在明細說明、⑦補測試釘住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四組邊界、⑩帳本異動紀錄（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）加唯讀清單與匯出、⑪洞察任務收到清單格式的標的範圍改為拒收（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）、⑫基本面／共識排程分開回報失敗與無資料、⑬公司行動整組刪除訊息改用帳戶顯示名稱（美股小數股的折現提示維持）、⑭提示詞預覽的代入標的改讀持倉與觀察清單＋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抽取評測補比對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、⑮小數股／零股的現金結算依幣別最小單位量化（量化方式由開發者依券商實務決定）、⑯中文名稱跳過報價查詢；⑥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儀表板閒置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秒做唯讀診斷、不改程式；⑧代號與名稱相符檢核先寫規格給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；⑨帳戶記錄所屬券商、⑰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轉換腳本期初工作表維持現狀。</t>
    </r>
  </si>
  <si>
    <t xml:space="preserve">驗證者：①依 Owner 指示代填結案簽核第 26 列（Owner，依 d2e5e08 同意結案）、第 29 列結案日期 2026-09-30，並改寫第 30 列結論；②依第 18 題補一次黑箱驗證：新聞彈窗「整理提示詞 vN」——R4 未驗（當時新聞管線尚未執行），R12 開發者的新聞整理 #244 已產生帶版本的新聞可看；唯讀、不改程式、不需新一輪。</t>
  </si>
  <si>
    <t xml:space="preserve">結案後開發者會在同一分支提交上列改進並部署 demo，demo 頁首版本會往前、不再是 d2e5e08；本手冊的最終受測版本仍為 d2e5e08（結案簽核第 28 列）。第 18 題的補驗與版本無關（新聞彈窗不在這批改動內）。</t>
  </si>
  <si>
    <r>
      <rPr>
        <sz val="10"/>
        <rFont val="Arial"/>
        <family val="0"/>
        <charset val="1"/>
      </rPr>
      <t xml:space="preserve">d2e5e08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現為 </t>
    </r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）</t>
    </r>
  </si>
  <si>
    <t xml:space="preserve">結案後的改進已依 Owner 2026-09-30 的裁定以一般開發流程完成，未走本手冊；本表除這一列外未動。④⑤⑦⑩⑪⑫⑬⑭⑮⑯ 於 2fe60ce 完成並部署 demo；⑥ 唯讀診斷（demo VM 記憶體壓力），未改程式；⑧ 先交規格，Owner 裁定「登錄名稱＋中文別名」後於 e8bcf53、830056c 實作——標的可登錄別名、新卡寫錯名稱與代號會重問一次、仍錯就不存；demo 舊卡 11 張共 29 處錯誤配對已更正（例：聯詠 (3008) → 大立光 (3008)、陽明 (2603) → 長榮 (2603)），#82「LRDIM (6883)」經 Owner 2026-10-01 同意改為「大立光 (3008)」，現在沒有任何卡片含 LRDIM 或 6883；⑨⑰ 維持現狀。各次改動的閘門（ruff、mypy、pytest、e2e、壓力驗證）全過，demo 的 verify_live 全過。開發者這邊的事項已全部完成。</t>
  </si>
  <si>
    <t xml:space="preserve">驗證者（第 31 列交辦、尚未完成的四項）：①依 Owner 指示代填結案簽核第 26 列（Owner，依 d2e5e08 同意結案，取代 2026-09-28 依 3a35454 的簽署）；②第 29 列填結案日期 2026-09-30；③改寫第 30 列結論——現文仍寫「第 25 列修復方簽署依 91ec1b0」、「待兩方依 d2e5e08 重新簽署」，但第 25 列已於 2026-09-30 依 d2e5e08 重新簽署；並請寫明結案後的程式改動依 Owner 裁定不走本手冊、不另開一輪，最終受測版本維持 d2e5e08（第 32 列「簽署後改程式需重跑 J 組」的處理）；④依第 18 題補一次黑箱驗證：新聞彈窗的「整理提示詞 vN」。四項完成後在本頁新增一列，把工作簿交回 Owner 即結案。</t>
  </si>
  <si>
    <t xml:space="preserve">第 ④ 項可直接驗：demo 新聞頁 70 則中有 5 則帶「整理提示詞 v4」（例：「玉山金併購三商美邦人壽後獲利展望樂觀…」、「金融股創高還能存？…」）。其餘 65 則沒有版本：7 則僅標題、43 則沒有整理模型、15 則有模型但沒有版本記錄，判讀請以這 5 則為準。d2e5e08 之後新聞彈窗（web/news.js）未改動；news/store.py 只改了成本欄的儲存格式（第 ④ 題的科學記號），不影響版本顯示。demo 頁首版本現為 830056c，與本手冊最終受測版本 d2e5e08 不同屬預期（第 31 列備註）。</t>
  </si>
  <si>
    <t xml:space="preserve">第 31／32 列交辦驗證者的四項已完成：①結案簽核第 26 列依 Owner 指示代填（HFL，2026-09-30，依 d2e5e08 同意結案，取代 2026-09-28 依 3a35454 的簽署）；②第 29 列結案日期 2026-09-30；③第 30 列結論改寫為已結案，寫明三方簽署、結案條件，以及結案後的程式改動依 Owner 裁定不走本手冊、不另開一輪、最終受測版本維持 d2e5e08；④第 18 題補驗通過——demo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則全部帶版本。另核對開發者結案後的文件提交：手冊 .md 只改 G-01③、H-02 兩句且與裁定文字一致（device 上的 .md 與分支最新版逐位元相同），本表只動測試案例 F93／F105、結案簽核 D25 與交接紀錄第 30～32 列，驗證者欄位未被改動。本手冊至此結案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</si>
  <si>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：無待辦；本工作簿請提交 </t>
    </r>
    <r>
      <rPr>
        <sz val="10"/>
        <rFont val="Arial"/>
        <family val="0"/>
        <charset val="1"/>
      </rPr>
      <t xml:space="preserve">git</t>
    </r>
    <r>
      <rPr>
        <sz val="10"/>
        <rFont val="Noto Sans CJK SC"/>
        <family val="2"/>
      </rPr>
      <t xml:space="preserve">（驗證者無權推送）。</t>
    </r>
  </si>
  <si>
    <t xml:space="preserve">附註（不影響結案）：①僅標題的新聞在彈窗頁尾顯示「$0.0000」（沒有 AI 處理）——Owner 2026-10-01 在對話中裁定接受：「$0.0000」即「沒有使用」之意，不修改；②結案後開發者依 Owner 同意更正了 demo 的卡片資料（#82 已無 LRDIM／6883，demo 224 張卡中已無任何一張含這兩個字），日後若在 demo 重跑 G-04 等引用 #82 的案例，期望中的「#82 被標 6883」已不存在，需改以其他資料判讀；③第 32 列提到開發者想查那 15 則無版本新聞的原因、但 SSH 失敗——已由 demo 執行紀錄核對清楚（見 ④），無需再查資料庫</t>
  </si>
  <si>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</si>
  <si>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Owner 2026-10-01 指示：上 prod 前，在要發佈的版本上整份黑箱重跑一次，AI 用真實呼叫、不必顧慮費用；結果三方簽核後，開發者再給 Owner 最終報告，由 Owner 決定是否上 prod。依 Owner 裁定 1A 2A 3A 4A 5A 6B 7A 8A，開發者已同步改手冊 .md 與「測試案例」C～G 欄，只動 8 題：F-01（中文名稱不查報價、自動辨識、別名預填、已註冊與虛構名稱兩種訊息）、G-01（① 新卡＋快取＋名稱不符未存＝標的數；新增 ⑤ 名稱與代號一致）、G-04（改名「代號與名稱檢核」：demo 不誤報＋本機假 AI 驗未知代碼與名稱不符三種情境）、H-02（補一句：重試、重問與備援前失敗的花費也算）、I-01（明列 21 個檔案匯出，含結案後新增的帳本操作稽核 CSV）、J-04（引用 I-01 清單）、J-03（加驗帳本操作稽核）、B-06（加驗交割價金四捨五入到分）。另依 6B 在 §9 第 2 條、結案條件 5 與「說明」B57 加註 R13 例外；為記錄 R13（7A，沿用本工作簿）新增輪次彙總第 16 列（J～L 為公式）、統計公式延伸到缺陷登記第 200 列、輪次下拉加入 R13。120 題、統計格與各方簽核列未動；程式未改。demo 資料庫已備份（portfolio-pre-r13-20261001T112855Z.db）。</t>
  </si>
  <si>
    <r>
      <rPr>
        <sz val="10"/>
        <rFont val="Noto Sans CJK SC"/>
        <family val="2"/>
      </rPr>
      <t xml:space="preserve">驗證者：在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）把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重跑一次，記為 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用真實呼叫。</t>
    </r>
    <r>
      <rPr>
        <sz val="10"/>
        <rFont val="Arial"/>
        <family val="0"/>
        <charset val="1"/>
      </rPr>
      <t xml:space="preserve">G-04 ② </t>
    </r>
    <r>
      <rPr>
        <sz val="10"/>
        <rFont val="Noto Sans CJK SC"/>
        <family val="2"/>
      </rPr>
      <t xml:space="preserve">及原本就在本機跑的案例，照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用同一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的本機專用測試環境。照 </t>
    </r>
    <r>
      <rPr>
        <sz val="10"/>
        <rFont val="Arial"/>
        <family val="0"/>
        <charset val="1"/>
      </rPr>
      <t xml:space="preserve">§5 </t>
    </r>
    <r>
      <rPr>
        <sz val="10"/>
        <rFont val="Noto Sans CJK SC"/>
        <family val="2"/>
      </rPr>
      <t xml:space="preserve">填來回記錄、測試案例、缺陷登記與輪次彙總第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列；新缺陷從 </t>
    </r>
    <r>
      <rPr>
        <sz val="10"/>
        <rFont val="Arial"/>
        <family val="0"/>
        <charset val="1"/>
      </rPr>
      <t xml:space="preserve">DEF-087 </t>
    </r>
    <r>
      <rPr>
        <sz val="10"/>
        <rFont val="Noto Sans CJK SC"/>
        <family val="2"/>
      </rPr>
      <t xml:space="preserve">起編。全部 </t>
    </r>
    <r>
      <rPr>
        <sz val="10"/>
        <rFont val="Arial"/>
        <family val="0"/>
        <charset val="1"/>
      </rPr>
      <t xml:space="preserve">PASS </t>
    </r>
    <r>
      <rPr>
        <sz val="10"/>
        <rFont val="Noto Sans CJK SC"/>
        <family val="2"/>
      </rPr>
      <t xml:space="preserve">後依 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改寫結案簽核第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列並交回，第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列由開發者、第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列由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各自簽署。</t>
    </r>
  </si>
  <si>
    <t xml:space="preserve">① 6B：本輪寫入的資料全部留下，D 組公司行動也不刪；只有題目本身在測刪除或復原的 B-14、C-03、D-10、I-08、J-03 照步驟刪除。前一題留下的資料若使後一題無法照原步驟執行（例：D-06 把 2884 換成 2882 之後），改用另一檔符合前置條件的持股並寫明代號；期望寫成「基準 ± 變動量」者照常比對。② 受測版本以重跑當時 demo 頁首的 commit 為準；830056c 之後到本列只有文件提交（d2e5e08 之後的程式提交為 2fe60ce、e8bcf53、830056c）。③ F-01 若長榮航已登錄，換一檔未登錄的中文名稱。④ G-04 ② 用到的 3008 在 demo 已登錄、別名為「大立光」，本機資料庫副本相同。⑤ 匯出數量：歷輪記錄的 18～21 個是計法不同（帳本清單是 JSON、不是檔案）；R13 以 I-01 明列的 21 個為準。</t>
  </si>
  <si>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</t>
    </r>
  </si>
  <si>
    <t xml:space="preserve">R13 完成（上 prod 前整份重跑；demo 112 題 one shot＋本機 12 題＋G-04 ②，AI 真實呼叫）：最終 PASS 114／FAIL 3／BLOCKED 1／OBSERVE 1／N/A 1，未全數通過——結案簽核第 24 列未依 R13 改寫（維持 R12 依 d2e5e08 的簽署），第 25、26 列未動。FAIL：①A-06——嘉信 TWD 池已有 2026-01-12 −220,000 的既有負值，倒填出金 348,000 使 07-19～07-20 轉負卻 201 寫入（DEF-090，中；已依題目刪除）；同題換一個無負值的池則被擋，但訊息點名最低點日 07-19，不是第一個轉負的 01-07（DEF-091，規格未定）；②F-01——台股中文名稱的 AI 別名一律為空（長榮航、華航、聯電皆 []，美股「英特爾」正常），別名欄未預填、登錄後無別名（DEF-088，低）；③J-06——pytest 1 failed：export 套件裸 str() 的白名單測試，e8bcf53 在 ledger_audit.py:209 加的 str() 未列入（DEF-087，低；2fe60ce 綠、e8bcf53 起紅，與 R12 相比為回歸）。OBSERVE：G-01 ⑤ 卡 #264 寫「玉山金 (2884)」，程式刻意接受中文名稱兩字以上的開頭，手冊要求登錄名稱或別名（DEF-089，規格未定）。BLOCKED：C-07——6B 下收件匣每個標的只剩 1 筆，無法驗「全部確認多筆」。其餘 114 題通過：首跑未過的 28 題中，19 題換標的／日期或待 2330 恢復可計算後重跑通過、5 題依數據逐位驗算改判；首跑雖過但屬空對空的 D-02c、E-12 已補做。AI 額度本輪 $0.0575523（剩 $3.0672341）</t>
  </si>
  <si>
    <r>
      <rPr>
        <sz val="10"/>
        <rFont val="Noto Sans CJK SC"/>
        <family val="2"/>
      </rPr>
      <t xml:space="preserve">開發者：修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（列入白名單並註明理由或改寫 </t>
    </r>
    <r>
      <rPr>
        <sz val="10"/>
        <rFont val="Arial"/>
        <family val="0"/>
        <charset val="1"/>
      </rPr>
      <t xml:space="preserve">ledger_audit.py:209</t>
    </r>
    <r>
      <rPr>
        <sz val="10"/>
        <rFont val="Noto Sans CJK SC"/>
        <family val="2"/>
      </rPr>
      <t xml:space="preserve">，附變異測試）、</t>
    </r>
    <r>
      <rPr>
        <sz val="10"/>
        <rFont val="Arial"/>
        <family val="0"/>
        <charset val="1"/>
      </rPr>
      <t xml:space="preserve">DEF-088</t>
    </r>
    <r>
      <rPr>
        <sz val="10"/>
        <rFont val="Noto Sans CJK SC"/>
        <family val="2"/>
      </rPr>
      <t xml:space="preserve">（以實際模型回覆確認根因；推定為 </t>
    </r>
    <r>
      <rPr>
        <sz val="10"/>
        <rFont val="Arial"/>
        <family val="0"/>
        <charset val="1"/>
      </rPr>
      <t xml:space="preserve">instruments.py:413 </t>
    </r>
    <r>
      <rPr>
        <sz val="10"/>
        <rFont val="Noto Sans CJK SC"/>
        <family val="2"/>
      </rPr>
      <t xml:space="preserve">以來源簡稱取代 </t>
    </r>
    <r>
      <rPr>
        <sz val="10"/>
        <rFont val="Arial"/>
        <family val="0"/>
        <charset val="1"/>
      </rPr>
      <t xml:space="preserve">name </t>
    </r>
    <r>
      <rPr>
        <sz val="10"/>
        <rFont val="Noto Sans CJK SC"/>
        <family val="2"/>
      </rPr>
      <t xml:space="preserve">後，模型放在 </t>
    </r>
    <r>
      <rPr>
        <sz val="10"/>
        <rFont val="Arial"/>
        <family val="0"/>
        <charset val="1"/>
      </rPr>
      <t xml:space="preserve">aliases </t>
    </r>
    <r>
      <rPr>
        <sz val="10"/>
        <rFont val="Noto Sans CJK SC"/>
        <family val="2"/>
      </rPr>
      <t xml:space="preserve">的簡稱與 </t>
    </r>
    <r>
      <rPr>
        <sz val="10"/>
        <rFont val="Arial"/>
        <family val="0"/>
        <charset val="1"/>
      </rPr>
      <t xml:space="preserve">name </t>
    </r>
    <r>
      <rPr>
        <sz val="10"/>
        <rFont val="Noto Sans CJK SC"/>
        <family val="2"/>
      </rPr>
      <t xml:space="preserve">相同被濾掉、正式名又不在候選內）、</t>
    </r>
    <r>
      <rPr>
        <sz val="10"/>
        <rFont val="Arial"/>
        <family val="0"/>
        <charset val="1"/>
      </rPr>
      <t xml:space="preserve">DEF-090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validate.py:1990 </t>
    </r>
    <r>
      <rPr>
        <sz val="10"/>
        <rFont val="Noto Sans CJK SC"/>
        <family val="2"/>
      </rPr>
      <t xml:space="preserve">只比整段最低點；換匯 </t>
    </r>
    <r>
      <rPr>
        <sz val="10"/>
        <rFont val="Arial"/>
        <family val="0"/>
        <charset val="1"/>
      </rPr>
      <t xml:space="preserve">fx_import.py:190 </t>
    </r>
    <r>
      <rPr>
        <sz val="10"/>
        <rFont val="Noto Sans CJK SC"/>
        <family val="2"/>
      </rPr>
      <t xml:space="preserve">同型，請一併掃描）；根因欄（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）請寫到行，並附同類掃描與變異測試。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：①裁定 </t>
    </r>
    <r>
      <rPr>
        <sz val="10"/>
        <rFont val="Arial"/>
        <family val="0"/>
        <charset val="1"/>
      </rPr>
      <t xml:space="preserve">DEF-089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接受中文名稱兩字以上的開頭、改手冊 </t>
    </r>
    <r>
      <rPr>
        <sz val="10"/>
        <rFont val="Arial"/>
        <family val="0"/>
        <charset val="1"/>
      </rPr>
      <t xml:space="preserve">G-01 ⑤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程式改嚴格）與 </t>
    </r>
    <r>
      <rPr>
        <sz val="10"/>
        <rFont val="Arial"/>
        <family val="0"/>
        <charset val="1"/>
      </rPr>
      <t xml:space="preserve">DEF-091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手冊改為點名最低點日／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訊息改點名第一個轉負日）；②決定 </t>
    </r>
    <r>
      <rPr>
        <sz val="10"/>
        <rFont val="Arial"/>
        <family val="0"/>
        <charset val="1"/>
      </rPr>
      <t xml:space="preserve">C-07 </t>
    </r>
    <r>
      <rPr>
        <sz val="10"/>
        <rFont val="Noto Sans CJK SC"/>
        <family val="2"/>
      </rPr>
      <t xml:space="preserve">的處理（在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補造同一標的多筆待確認的情境重測、改在本機驗，或接受 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結果）；③決定 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的資料是否保留（見附註），若要回到 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前的狀態可用開發者的備份 </t>
    </r>
    <r>
      <rPr>
        <sz val="10"/>
        <rFont val="Arial"/>
        <family val="0"/>
        <charset val="1"/>
      </rPr>
      <t xml:space="preserve">portfolio-pre-r13-20261001T112855Z.db</t>
    </r>
    <r>
      <rPr>
        <sz val="10"/>
        <rFont val="Noto Sans CJK SC"/>
        <family val="2"/>
      </rPr>
      <t xml:space="preserve">。之後再一輪：驗證者複驗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090</t>
    </r>
    <r>
      <rPr>
        <sz val="10"/>
        <rFont val="Noto Sans CJK SC"/>
        <family val="2"/>
      </rPr>
      <t xml:space="preserve">（及依裁定的 </t>
    </r>
    <r>
      <rPr>
        <sz val="10"/>
        <rFont val="Arial"/>
        <family val="0"/>
        <charset val="1"/>
      </rPr>
      <t xml:space="preserve">089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A-06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C-07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組；全部 </t>
    </r>
    <r>
      <rPr>
        <sz val="10"/>
        <rFont val="Arial"/>
        <family val="0"/>
        <charset val="1"/>
      </rPr>
      <t xml:space="preserve">PASS </t>
    </r>
    <r>
      <rPr>
        <sz val="10"/>
        <rFont val="Noto Sans CJK SC"/>
        <family val="2"/>
      </rPr>
      <t xml:space="preserve">才依該輪改寫第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</t>
    </r>
  </si>
  <si>
    <t xml:space="preserve">①依 6B 留在 demo 的主要資料：2330——B-09 買 3,000（#247）、B-11 07-01 超賣 2,600（#249）、B-17 未來日期 10-15 買 10（#253）、I-13 寫回 #264（買 2,000 @600，01-06）、C-02R 股利（發放 10-08）；0056——I-13 寫回 #265（買 5,000 @38，02-10）、D-05 3→1（產生小數股，未補登零股賣出）；2884——B／C 組多筆交易、C-04 兩筆配股、D-08 分拆 2308、B-12 #268；公司行動 10 筆：AAPL 1:2、8299 1:2＋費用 50 TWD、2317 1:3（另 D-09 賣 150）、2603 5:1（並留有 D-06 首跑設的目標帶 40／55）、0056 3:1、2884 分拆 2308、TSLA→AMD（目標帶 40／55 隨之移到 AMD）、MSFT→SPCX＋費用 30 USD、NVDA 1:2＋費用 50 USD；2454 放空 −10（B-10）；3008 與 2331 目標下限 99999（G-09；之後 alert_scan 每 24 小時會為 3008 派發 1 張預警卡、消耗 AI 額度）；「代號查無時自動 AI 辨識」維持關閉（F-03）；2618 長榮航已登錄（F-01）；任務 #32（G-01）、#34、#35 與模板 #12（H-05）未刪；1155 留在「已忽略」（C-06）；折讓款 2026-06 573 已入帳、2026-07 #135 被 A-16 首跑誤刪（回到待確認）；3008 手動股利 1,000（發放 10-20，C-02F）；多筆資金收支與匯入批次 #50、#51、#53～#59。②檢查程式依 6B 的改寫（換標的／日期、依月份挑列、等回應）皆未改預期結果。③本機 J-06 檢查程式比對 pytest 摘要時大小寫寫錯，自動判讀誤記 PASS，驗證者讀原始紀錄後改判 FAIL。④one shot 中 C-05 的 /api/import/preview 回 502 一次、B-12 按「儲存」未送出 PUT 一次，重跑皆正常、無法重現，未開單。⑤驗證者為排除 F-01 偶發，以同一端點重放 6 次辨識（$0.0010429），未登錄任何標的；全程未在密碼類欄位輸入、未在正式站操作</t>
  </si>
  <si>
    <t xml:space="preserve">輪次彙總（灰底為公式自動統計，其餘請填）</t>
  </si>
  <si>
    <t xml:space="preserve">本輪執行案例數</t>
  </si>
  <si>
    <t xml:space="preserve">本輪新增缺陷</t>
  </si>
  <si>
    <t xml:space="preserve">本輪結案缺陷</t>
  </si>
  <si>
    <t xml:space="preserve">累計未結案</t>
  </si>
  <si>
    <t xml:space="preserve">是否出現回歸</t>
  </si>
  <si>
    <t xml:space="preserve">本輪結論</t>
  </si>
  <si>
    <t xml:space="preserve">否（首輪，無前一輪可比）；J 組 J-01～J-06 本輪皆已跑，J-05 有 1 處溢位（DEF-002）</t>
  </si>
  <si>
    <t xml:space="preserve"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</si>
  <si>
    <t xml:space="preserve"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</si>
  <si>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e6fd9f4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張結案、</t>
    </r>
    <r>
      <rPr>
        <sz val="11"/>
        <color theme="1"/>
        <rFont val="Calibri"/>
        <family val="2"/>
        <charset val="1"/>
      </rPr>
      <t xml:space="preserve">DEF-017 </t>
    </r>
    <r>
      <rPr>
        <sz val="11"/>
        <color theme="1"/>
        <rFont val="Noto Sans CJK SC"/>
        <family val="2"/>
      </rPr>
      <t xml:space="preserve">部分通過、</t>
    </r>
    <r>
      <rPr>
        <sz val="11"/>
        <color theme="1"/>
        <rFont val="Calibri"/>
        <family val="2"/>
        <charset val="1"/>
      </rPr>
      <t xml:space="preserve">DEF-023 </t>
    </r>
    <r>
      <rPr>
        <sz val="11"/>
        <color theme="1"/>
        <rFont val="Noto Sans CJK SC"/>
        <family val="2"/>
      </rPr>
      <t xml:space="preserve">複驗未過（儀表板未套用區塊因提前 </t>
    </r>
    <r>
      <rPr>
        <sz val="11"/>
        <color theme="1"/>
        <rFont val="Calibri"/>
        <family val="2"/>
        <charset val="1"/>
      </rPr>
      <t xml:space="preserve">return </t>
    </r>
    <r>
      <rPr>
        <sz val="11"/>
        <color theme="1"/>
        <rFont val="Noto Sans CJK SC"/>
        <family val="2"/>
      </rPr>
      <t xml:space="preserve">永不顯示）。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張待裁定經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裁定：</t>
    </r>
    <r>
      <rPr>
        <sz val="11"/>
        <color theme="1"/>
        <rFont val="Calibri"/>
        <family val="2"/>
        <charset val="1"/>
      </rPr>
      <t xml:space="preserve">DEF-006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018 </t>
    </r>
    <r>
      <rPr>
        <sz val="11"/>
        <color theme="1"/>
        <rFont val="Noto Sans CJK SC"/>
        <family val="2"/>
      </rPr>
      <t xml:space="preserve">改判非缺陷（改手冊），其餘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張轉新開交開發者。新開 </t>
    </r>
    <r>
      <rPr>
        <sz val="11"/>
        <color theme="1"/>
        <rFont val="Calibri"/>
        <family val="2"/>
        <charset val="1"/>
      </rPr>
      <t xml:space="preserve">DEF-039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048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張（檢驗方發現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045 </t>
    </r>
    <r>
      <rPr>
        <sz val="11"/>
        <color theme="1"/>
        <rFont val="Noto Sans CJK SC"/>
        <family val="2"/>
      </rPr>
      <t xml:space="preserve">與資料殘留 </t>
    </r>
    <r>
      <rPr>
        <sz val="11"/>
        <color theme="1"/>
        <rFont val="Calibri"/>
        <family val="2"/>
        <charset val="1"/>
      </rPr>
      <t xml:space="preserve">046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裁定觀察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048</t>
    </r>
    <r>
      <rPr>
        <sz val="11"/>
        <color theme="1"/>
        <rFont val="Noto Sans CJK SC"/>
        <family val="2"/>
      </rPr>
      <t xml:space="preserve">）。執行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題缺陷關聯案例＋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PASS 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</t>
    </r>
    <r>
      <rPr>
        <sz val="11"/>
        <color theme="1"/>
        <rFont val="Noto Sans CJK SC"/>
        <family val="2"/>
      </rPr>
      <t xml:space="preserve">）。所有寫入皆已還原並比對：六段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$0.0036318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DEF-030 $0.0023063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DEF-035/036 $0.0005936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DEF-037 $0.0007319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</si>
  <si>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</si>
  <si>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4655845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DEF-040 </t>
    </r>
    <r>
      <rPr>
        <sz val="11"/>
        <color theme="1"/>
        <rFont val="Noto Sans CJK SC"/>
        <family val="2"/>
      </rPr>
      <t xml:space="preserve">部分通過→複驗未過（子公司當日已有正式報價時，起始價覆蓋並在刪除後遺失原報價，本機以真實路由重現）。驗證者對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張各自重做變異測試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組全數被攔。手冊 </t>
    </r>
    <r>
      <rPr>
        <sz val="11"/>
        <color theme="1"/>
        <rFont val="Calibri"/>
        <family val="2"/>
        <charset val="1"/>
      </rPr>
      <t xml:space="preserve">v3.1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個案例期望已核對 </t>
    </r>
    <r>
      <rPr>
        <sz val="11"/>
        <color theme="1"/>
        <rFont val="Calibri"/>
        <family val="2"/>
        <charset val="1"/>
      </rPr>
      <t xml:space="preserve">xlsx F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Noto Sans CJK SC"/>
        <family val="2"/>
      </rPr>
      <t xml:space="preserve">逐字一致。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項：開 </t>
    </r>
    <r>
      <rPr>
        <sz val="11"/>
        <color theme="1"/>
        <rFont val="Calibri"/>
        <family val="2"/>
        <charset val="1"/>
      </rPr>
      <t xml:space="preserve">DEF-054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張），⑥⑦</t>
    </r>
    <r>
      <rPr>
        <sz val="11"/>
        <color theme="1"/>
        <rFont val="Calibri"/>
        <family val="2"/>
        <charset val="1"/>
      </rPr>
      <t xml:space="preserve">b⑧⑨⑪a </t>
    </r>
    <r>
      <rPr>
        <sz val="11"/>
        <color theme="1"/>
        <rFont val="Noto Sans CJK SC"/>
        <family val="2"/>
      </rPr>
      <t xml:space="preserve">維持現狀不開單；另依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指示把批次復原問題（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三項觀察＋一個顯示問題（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053</t>
    </r>
    <r>
      <rPr>
        <sz val="11"/>
        <color theme="1"/>
        <rFont val="Noto Sans CJK SC"/>
        <family val="2"/>
      </rPr>
      <t xml:space="preserve">）開單並附規格與實作計畫（</t>
    </r>
    <r>
      <rPr>
        <sz val="11"/>
        <color theme="1"/>
        <rFont val="Calibri"/>
        <family val="2"/>
        <charset val="1"/>
      </rPr>
      <t xml:space="preserve">docs/audit/2026-09-24-r3-dev-specs.md</t>
    </r>
    <r>
      <rPr>
        <sz val="11"/>
        <color theme="1"/>
        <rFont val="Noto Sans CJK SC"/>
        <family val="2"/>
      </rPr>
      <t xml:space="preserve">）；驗證者新發現 </t>
    </r>
    <r>
      <rPr>
        <sz val="11"/>
        <color theme="1"/>
        <rFont val="Calibri"/>
        <family val="2"/>
        <charset val="1"/>
      </rPr>
      <t xml:space="preserve">DEF-058</t>
    </r>
    <r>
      <rPr>
        <sz val="11"/>
        <color theme="1"/>
        <rFont val="Noto Sans CJK SC"/>
        <family val="2"/>
      </rPr>
      <t xml:space="preserve">。本輪新開 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D-10</t>
    </r>
    <r>
      <rPr>
        <sz val="11"/>
        <color theme="1"/>
        <rFont val="Noto Sans CJK SC"/>
        <family val="2"/>
      </rPr>
      <t xml:space="preserve">）。所有寫入皆已還原：六段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$0.0056015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DEF-025 AI </t>
    </r>
    <r>
      <rPr>
        <sz val="11"/>
        <color theme="1"/>
        <rFont val="Noto Sans CJK SC"/>
        <family val="2"/>
      </rPr>
      <t xml:space="preserve">解析 </t>
    </r>
    <r>
      <rPr>
        <sz val="11"/>
        <color theme="1"/>
        <rFont val="Calibri"/>
        <family val="2"/>
        <charset val="1"/>
      </rPr>
      <t xml:space="preserve">$0.0005528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DEF-041 </t>
    </r>
    <r>
      <rPr>
        <sz val="11"/>
        <color theme="1"/>
        <rFont val="Noto Sans CJK SC"/>
        <family val="2"/>
      </rPr>
      <t xml:space="preserve">預警派發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卡 </t>
    </r>
    <r>
      <rPr>
        <sz val="11"/>
        <color theme="1"/>
        <rFont val="Calibri"/>
        <family val="2"/>
        <charset val="1"/>
      </rPr>
      <t xml:space="preserve">$0.0050487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</si>
  <si>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</si>
  <si>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1ee7771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DEF-056 </t>
    </r>
    <r>
      <rPr>
        <sz val="11"/>
        <color theme="1"/>
        <rFont val="Noto Sans CJK SC"/>
        <family val="2"/>
      </rPr>
      <t xml:space="preserve">部分通過→複驗未過（資金頁畫面「現金收支明細」未標示未來列，與表頭目前餘額矛盾）。驗證者重做變異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張各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組單元／契約變異、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051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變異；</t>
    </r>
    <r>
      <rPr>
        <sz val="11"/>
        <color theme="1"/>
        <rFont val="Calibri"/>
        <family val="2"/>
        <charset val="1"/>
      </rPr>
      <t xml:space="preserve">DEF-054 </t>
    </r>
    <r>
      <rPr>
        <sz val="11"/>
        <color theme="1"/>
        <rFont val="Noto Sans CJK SC"/>
        <family val="2"/>
      </rPr>
      <t xml:space="preserve">為純資料清理不適用）全數被攔。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項：④開 </t>
    </r>
    <r>
      <rPr>
        <sz val="11"/>
        <color theme="1"/>
        <rFont val="Calibri"/>
        <family val="2"/>
        <charset val="1"/>
      </rPr>
      <t xml:space="preserve">DEF-063</t>
    </r>
    <r>
      <rPr>
        <sz val="11"/>
        <color theme="1"/>
        <rFont val="Noto Sans CJK SC"/>
        <family val="2"/>
      </rPr>
      <t xml:space="preserve">（孤兒起始價清理腳本）、⑦開 </t>
    </r>
    <r>
      <rPr>
        <sz val="11"/>
        <color theme="1"/>
        <rFont val="Calibri"/>
        <family val="2"/>
        <charset val="1"/>
      </rPr>
      <t xml:space="preserve">DEF-064</t>
    </r>
    <r>
      <rPr>
        <sz val="11"/>
        <color theme="1"/>
        <rFont val="Noto Sans CJK SC"/>
        <family val="2"/>
      </rPr>
      <t xml:space="preserve">（報價類抓取排除封存）；①⑥維持現狀不開單；②③⑤⑧維持本輪實作。驗證者新發現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（精靈規則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DEF-065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間歇性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）。本輪新開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B-17</t>
    </r>
    <r>
      <rPr>
        <sz val="11"/>
        <color theme="1"/>
        <rFont val="Noto Sans CJK SC"/>
        <family val="2"/>
      </rPr>
      <t xml:space="preserve">）。所有寫入皆已還原：帳本各表列數與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起點相同；六段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realized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與起點逐字相同，</t>
    </r>
    <r>
      <rPr>
        <sz val="11"/>
        <color theme="1"/>
        <rFont val="Calibri"/>
        <family val="2"/>
        <charset val="1"/>
      </rPr>
      <t xml:space="preserve">kpis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holdings </t>
    </r>
    <r>
      <rPr>
        <sz val="11"/>
        <color theme="1"/>
        <rFont val="Noto Sans CJK SC"/>
        <family val="2"/>
      </rPr>
      <t xml:space="preserve">權重／</t>
    </r>
    <r>
      <rPr>
        <sz val="11"/>
        <color theme="1"/>
        <rFont val="Calibri"/>
        <family val="2"/>
        <charset val="1"/>
      </rPr>
      <t xml:space="preserve">allocation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cash_reporting_total </t>
    </r>
    <r>
      <rPr>
        <sz val="11"/>
        <color theme="1"/>
        <rFont val="Noto Sans CJK SC"/>
        <family val="2"/>
      </rPr>
      <t xml:space="preserve">的差異全部來自還原 </t>
    </r>
    <r>
      <rPr>
        <sz val="11"/>
        <color theme="1"/>
        <rFont val="Calibri"/>
        <family val="2"/>
        <charset val="1"/>
      </rPr>
      <t xml:space="preserve">2449 </t>
    </r>
    <r>
      <rPr>
        <sz val="11"/>
        <color theme="1"/>
        <rFont val="Noto Sans CJK SC"/>
        <family val="2"/>
      </rPr>
      <t xml:space="preserve">時依設計更新的報告匯率（</t>
    </r>
    <r>
      <rPr>
        <sz val="11"/>
        <color theme="1"/>
        <rFont val="Calibri"/>
        <family val="2"/>
        <charset val="1"/>
      </rPr>
      <t xml:space="preserve">USD/TWD 2026-09-25</t>
    </r>
    <r>
      <rPr>
        <sz val="11"/>
        <color theme="1"/>
        <rFont val="Noto Sans CJK SC"/>
        <family val="2"/>
      </rPr>
      <t xml:space="preserve">），各持倉原幣數值逐列不變；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$0.0022367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insight:7 run #194</t>
    </r>
    <r>
      <rPr>
        <sz val="11"/>
        <color theme="1"/>
        <rFont val="Noto Sans CJK SC"/>
        <family val="2"/>
      </rPr>
      <t xml:space="preserve">）</t>
    </r>
  </si>
  <si>
    <t xml:space="preserve"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</si>
  <si>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3be67db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065</t>
    </r>
    <r>
      <rPr>
        <sz val="11"/>
        <color theme="1"/>
        <rFont val="Noto Sans CJK SC"/>
        <family val="2"/>
      </rPr>
      <t xml:space="preserve">）全數結案，驗證者重做變異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組（含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）全數被攔；</t>
    </r>
    <r>
      <rPr>
        <sz val="11"/>
        <color theme="1"/>
        <rFont val="Calibri"/>
        <family val="2"/>
        <charset val="1"/>
      </rPr>
      <t xml:space="preserve">B-17 </t>
    </r>
    <r>
      <rPr>
        <sz val="11"/>
        <color theme="1"/>
        <rFont val="Noto Sans CJK SC"/>
        <family val="2"/>
      </rPr>
      <t xml:space="preserve">自零重放通過轉結案。原 </t>
    </r>
    <r>
      <rPr>
        <sz val="11"/>
        <color theme="1"/>
        <rFont val="Calibri"/>
        <family val="2"/>
        <charset val="1"/>
      </rPr>
      <t xml:space="preserve">BLOCKED 8 </t>
    </r>
    <r>
      <rPr>
        <sz val="11"/>
        <color theme="1"/>
        <rFont val="Noto Sans CJK SC"/>
        <family val="2"/>
      </rPr>
      <t xml:space="preserve">題改在本機專用測試環境（同 </t>
    </r>
    <r>
      <rPr>
        <sz val="11"/>
        <color theme="1"/>
        <rFont val="Calibri"/>
        <family val="2"/>
        <charset val="1"/>
      </rPr>
      <t xml:space="preserve">commit</t>
    </r>
    <r>
      <rPr>
        <sz val="11"/>
        <color theme="1"/>
        <rFont val="Noto Sans CJK SC"/>
        <family val="2"/>
      </rPr>
      <t xml:space="preserve">、排程器開啟、假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以時鐘推進）執行：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 PASS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FAIL</t>
    </r>
    <r>
      <rPr>
        <sz val="11"/>
        <color theme="1"/>
        <rFont val="Noto Sans CJK SC"/>
        <family val="2"/>
      </rPr>
      <t xml:space="preserve">。新開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張（中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066 </t>
    </r>
    <r>
      <rPr>
        <sz val="11"/>
        <color theme="1"/>
        <rFont val="Noto Sans CJK SC"/>
        <family val="2"/>
      </rPr>
      <t xml:space="preserve">備援缺 </t>
    </r>
    <r>
      <rPr>
        <sz val="11"/>
        <color theme="1"/>
        <rFont val="Calibri"/>
        <family val="2"/>
        <charset val="1"/>
      </rPr>
      <t xml:space="preserve">tenacity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067 </t>
    </r>
    <r>
      <rPr>
        <sz val="11"/>
        <color theme="1"/>
        <rFont val="Noto Sans CJK SC"/>
        <family val="2"/>
      </rPr>
      <t xml:space="preserve">股利掃描全失敗記成功、</t>
    </r>
    <r>
      <rPr>
        <sz val="11"/>
        <color theme="1"/>
        <rFont val="Calibri"/>
        <family val="2"/>
        <charset val="1"/>
      </rPr>
      <t xml:space="preserve">069 </t>
    </r>
    <r>
      <rPr>
        <sz val="11"/>
        <color theme="1"/>
        <rFont val="Noto Sans CJK SC"/>
        <family val="2"/>
      </rPr>
      <t xml:space="preserve">影子卡進正式清單、</t>
    </r>
    <r>
      <rPr>
        <sz val="11"/>
        <color theme="1"/>
        <rFont val="Calibri"/>
        <family val="2"/>
        <charset val="1"/>
      </rPr>
      <t xml:space="preserve">070 </t>
    </r>
    <r>
      <rPr>
        <sz val="11"/>
        <color theme="1"/>
        <rFont val="Noto Sans CJK SC"/>
        <family val="2"/>
      </rPr>
      <t xml:space="preserve">影子上限計法使迴圈停擺、</t>
    </r>
    <r>
      <rPr>
        <sz val="11"/>
        <color theme="1"/>
        <rFont val="Calibri"/>
        <family val="2"/>
        <charset val="1"/>
      </rPr>
      <t xml:space="preserve">071 </t>
    </r>
    <r>
      <rPr>
        <sz val="11"/>
        <color theme="1"/>
        <rFont val="Noto Sans CJK SC"/>
        <family val="2"/>
      </rPr>
      <t xml:space="preserve">無「設為生效」；低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068 </t>
    </r>
    <r>
      <rPr>
        <sz val="11"/>
        <color theme="1"/>
        <rFont val="Noto Sans CJK SC"/>
        <family val="2"/>
      </rPr>
      <t xml:space="preserve">更新報價提示、</t>
    </r>
    <r>
      <rPr>
        <sz val="11"/>
        <color theme="1"/>
        <rFont val="Calibri"/>
        <family val="2"/>
        <charset val="1"/>
      </rPr>
      <t xml:space="preserve">072 </t>
    </r>
    <r>
      <rPr>
        <sz val="11"/>
        <color theme="1"/>
        <rFont val="Noto Sans CJK SC"/>
        <family val="2"/>
      </rPr>
      <t xml:space="preserve">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帳戶預填、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排程明細英文）。執行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BLOCKED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DEF-056 #54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#48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B-17 #117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$0.0028558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依指示執行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派發）。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DEF-074</t>
    </r>
    <r>
      <rPr>
        <sz val="11"/>
        <color theme="1"/>
        <rFont val="Noto Sans CJK SC"/>
        <family val="2"/>
      </rPr>
      <t xml:space="preserve">）、②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DEF-075</t>
    </r>
    <r>
      <rPr>
        <sz val="11"/>
        <color theme="1"/>
        <rFont val="Noto Sans CJK SC"/>
        <family val="2"/>
      </rPr>
      <t xml:space="preserve">，未來賣出未到期仍算持有）、③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、④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、⑤統一為「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額度偏低」（</t>
    </r>
    <r>
      <rPr>
        <sz val="11"/>
        <color theme="1"/>
        <rFont val="Calibri"/>
        <family val="2"/>
        <charset val="1"/>
      </rPr>
      <t xml:space="preserve">DEF-076</t>
    </r>
    <r>
      <rPr>
        <sz val="11"/>
        <color theme="1"/>
        <rFont val="Noto Sans CJK SC"/>
        <family val="2"/>
      </rPr>
      <t xml:space="preserve">）、⑥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）、⑦密碼欄位＋前後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字元明文（</t>
    </r>
    <r>
      <rPr>
        <sz val="11"/>
        <color theme="1"/>
        <rFont val="Calibri"/>
        <family val="2"/>
        <charset val="1"/>
      </rPr>
      <t xml:space="preserve">DEF-078</t>
    </r>
    <r>
      <rPr>
        <sz val="11"/>
        <color theme="1"/>
        <rFont val="Noto Sans CJK SC"/>
        <family val="2"/>
      </rPr>
      <t xml:space="preserve">）、⑧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規格已定）；本輪新開合計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</t>
    </r>
  </si>
  <si>
    <t xml:space="preserve"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</si>
  <si>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696934e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080</t>
    </r>
    <r>
      <rPr>
        <sz val="11"/>
        <color theme="1"/>
        <rFont val="Noto Sans CJK SC"/>
        <family val="2"/>
      </rPr>
      <t xml:space="preserve">）中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DEF-077 </t>
    </r>
    <r>
      <rPr>
        <sz val="11"/>
        <color theme="1"/>
        <rFont val="Noto Sans CJK SC"/>
        <family val="2"/>
      </rPr>
      <t xml:space="preserve">部分通過→複驗未過（比較日期與判定正確，但「一致」提示仍是琥珀色警示框，開發者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只讀 </t>
    </r>
    <r>
      <rPr>
        <sz val="11"/>
        <color theme="1"/>
        <rFont val="Calibri"/>
        <family val="2"/>
        <charset val="1"/>
      </rPr>
      <t xml:space="preserve">inline style </t>
    </r>
    <r>
      <rPr>
        <sz val="11"/>
        <color theme="1"/>
        <rFont val="Noto Sans CJK SC"/>
        <family val="2"/>
      </rPr>
      <t xml:space="preserve">而未驗計算樣式）。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對話裁定（</t>
    </r>
    <r>
      <rPr>
        <sz val="11"/>
        <color theme="1"/>
        <rFont val="Calibri"/>
        <family val="2"/>
        <charset val="1"/>
      </rPr>
      <t xml:space="preserve">DEF-078 </t>
    </r>
    <r>
      <rPr>
        <sz val="11"/>
        <color theme="1"/>
        <rFont val="Noto Sans CJK SC"/>
        <family val="2"/>
      </rPr>
      <t xml:space="preserve">前後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字元、</t>
    </r>
    <r>
      <rPr>
        <sz val="11"/>
        <color theme="1"/>
        <rFont val="Calibri"/>
        <family val="2"/>
        <charset val="1"/>
      </rPr>
      <t xml:space="preserve">DEF-067 </t>
    </r>
    <r>
      <rPr>
        <sz val="11"/>
        <color theme="1"/>
        <rFont val="Noto Sans CJK SC"/>
        <family val="2"/>
      </rPr>
      <t xml:space="preserve">報價全失敗記失敗、</t>
    </r>
    <r>
      <rPr>
        <sz val="11"/>
        <color theme="1"/>
        <rFont val="Calibri"/>
        <family val="2"/>
        <charset val="1"/>
      </rPr>
      <t xml:space="preserve">DEF-066 </t>
    </r>
    <r>
      <rPr>
        <sz val="11"/>
        <color theme="1"/>
        <rFont val="Noto Sans CJK SC"/>
        <family val="2"/>
      </rPr>
      <t xml:space="preserve">明細只寫中文分類、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批次數計評分筆數、</t>
    </r>
    <r>
      <rPr>
        <sz val="11"/>
        <color theme="1"/>
        <rFont val="Calibri"/>
        <family val="2"/>
        <charset val="1"/>
      </rPr>
      <t xml:space="preserve">DEF-076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LLM </t>
    </r>
    <r>
      <rPr>
        <sz val="11"/>
        <color theme="1"/>
        <rFont val="Noto Sans CJK SC"/>
        <family val="2"/>
      </rPr>
      <t xml:space="preserve">字樣改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）皆依裁定驗收。驗證者重做變異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缺陷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組＋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3 </t>
    </r>
    <r>
      <rPr>
        <sz val="11"/>
        <color theme="1"/>
        <rFont val="Noto Sans CJK SC"/>
        <family val="2"/>
      </rPr>
      <t xml:space="preserve">組）全數被攔。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。執行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DEF-075 #118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#119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額度未花費；低額度門檻 </t>
    </r>
    <r>
      <rPr>
        <sz val="11"/>
        <color theme="1"/>
        <rFont val="Calibri"/>
        <family val="2"/>
        <charset val="1"/>
      </rPr>
      <t xml:space="preserve">1.00→4.00→1.00 </t>
    </r>
    <r>
      <rPr>
        <sz val="11"/>
        <color theme="1"/>
        <rFont val="Noto Sans CJK SC"/>
        <family val="2"/>
      </rPr>
      <t xml:space="preserve">已還原。結案簽核尚不能簽：條件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（缺陷登記仍有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張「複驗未過」）未滿足，其餘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項已滿足</t>
    </r>
  </si>
  <si>
    <t xml:space="preserve"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</si>
  <si>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）皆結案。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與本機三態（一致、無法比較、共同日不一致）以計算樣式驗證，只有 </t>
    </r>
    <r>
      <rPr>
        <sz val="11"/>
        <color theme="1"/>
        <rFont val="Calibri"/>
        <family val="2"/>
        <charset val="1"/>
      </rPr>
      <t xml:space="preserve">ok:false </t>
    </r>
    <r>
      <rPr>
        <sz val="11"/>
        <color theme="1"/>
        <rFont val="Noto Sans CJK SC"/>
        <family val="2"/>
      </rPr>
      <t xml:space="preserve">為琥珀，深淺主題皆同；「推導」徽章中性；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狀態徽章 偏低 → 已關閉 不殘留琥珀（在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以同一腳本重現原缺陷）；掃描數字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／白名單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重算相符。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：戰績頁兩處改為任務名稱、滑鼠提示保留 </t>
    </r>
    <r>
      <rPr>
        <sz val="11"/>
        <color theme="1"/>
        <rFont val="Calibri"/>
        <family val="2"/>
        <charset val="1"/>
      </rPr>
      <t xml:space="preserve">#</t>
    </r>
    <r>
      <rPr>
        <sz val="11"/>
        <color theme="1"/>
        <rFont val="Noto Sans CJK SC"/>
        <family val="2"/>
      </rPr>
      <t xml:space="preserve">編號，任務已不存在時「任務 </t>
    </r>
    <r>
      <rPr>
        <sz val="11"/>
        <color theme="1"/>
        <rFont val="Calibri"/>
        <family val="2"/>
        <charset val="1"/>
      </rPr>
      <t xml:space="preserve">#N</t>
    </r>
    <r>
      <rPr>
        <sz val="11"/>
        <color theme="1"/>
        <rFont val="Noto Sans CJK SC"/>
        <family val="2"/>
      </rPr>
      <t xml:space="preserve">（已刪除）」。驗證者自做變異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DEF-077 5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DEF-081 2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5 </t>
    </r>
    <r>
      <rPr>
        <sz val="11"/>
        <color theme="1"/>
        <rFont val="Noto Sans CJK SC"/>
        <family val="2"/>
      </rPr>
      <t xml:space="preserve">組）全數被攔。執行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H-07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#120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81 </t>
    </r>
    <r>
      <rPr>
        <sz val="11"/>
        <color theme="1"/>
        <rFont val="Noto Sans CJK SC"/>
        <family val="2"/>
      </rPr>
      <t xml:space="preserve">張全部結案或非缺陷，結案簽核五項條件全部滿足，檢驗方已簽核</t>
    </r>
  </si>
  <si>
    <t xml:space="preserve"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</si>
  <si>
    <r>
      <rPr>
        <sz val="11"/>
        <color theme="1"/>
        <rFont val="Calibri"/>
        <family val="2"/>
        <charset val="1"/>
      </rPr>
      <t xml:space="preserve">R8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2026-09-27 </t>
    </r>
    <r>
      <rPr>
        <sz val="11"/>
        <color theme="1"/>
        <rFont val="Noto Sans CJK SC"/>
        <family val="2"/>
      </rPr>
      <t xml:space="preserve">指示，受測版本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之後未再黑箱執行的 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題全部在最終版重跑——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無落後標的，改以本機假報價製造）；</t>
    </r>
    <r>
      <rPr>
        <sz val="11"/>
        <color theme="1"/>
        <rFont val="Calibri"/>
        <family val="2"/>
        <charset val="1"/>
      </rPr>
      <t xml:space="preserve">G-07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驗完後另於本機以時鐘推進補做到期與未到期卡。寫入類皆於測後刪除並比對。結果 </t>
    </r>
    <r>
      <rPr>
        <sz val="11"/>
        <color theme="1"/>
        <rFont val="Calibri"/>
        <family val="2"/>
        <charset val="1"/>
      </rPr>
      <t xml:space="preserve">PASS 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DEF-082</t>
    </r>
    <r>
      <rPr>
        <sz val="11"/>
        <color theme="1"/>
        <rFont val="Noto Sans CJK SC"/>
        <family val="2"/>
      </rPr>
      <t xml:space="preserve">（低）：代號檢核把括號內已註冊標的英文名（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3008 (LARGAN)</t>
    </r>
    <r>
      <rPr>
        <sz val="11"/>
        <color theme="1"/>
        <rFont val="Noto Sans CJK SC"/>
        <family val="2"/>
      </rPr>
      <t xml:space="preserve">」）標為「未知代碼…可能是模型幻覺」。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：帳本、現金池、觀察清單、任務與排程皆回到起點；報價與匯率依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 </t>
    </r>
    <r>
      <rPr>
        <sz val="11"/>
        <color theme="1"/>
        <rFont val="Noto Sans CJK SC"/>
        <family val="2"/>
      </rPr>
      <t xml:space="preserve">裁定更新；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$0.0015807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兩次辨識＋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一張卡）。因 </t>
    </r>
    <r>
      <rPr>
        <sz val="11"/>
        <color theme="1"/>
        <rFont val="Calibri"/>
        <family val="2"/>
        <charset val="1"/>
      </rPr>
      <t xml:space="preserve">G-04 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新開，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的檢驗方結案簽核已撤回，待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修復並複驗，或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裁定為非缺陷後重新簽署</t>
    </r>
  </si>
  <si>
    <t xml:space="preserve"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</si>
  <si>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複驗通過結案——</t>
    </r>
    <r>
      <rPr>
        <sz val="11"/>
        <color theme="1"/>
        <rFont val="Calibri"/>
        <family val="2"/>
        <charset val="1"/>
      </rPr>
      <t xml:space="preserve">demo #209 </t>
    </r>
    <r>
      <rPr>
        <sz val="11"/>
        <color theme="1"/>
        <rFont val="Noto Sans CJK SC"/>
        <family val="2"/>
      </rPr>
      <t xml:space="preserve">不再標「未知代碼」、</t>
    </r>
    <r>
      <rPr>
        <sz val="11"/>
        <color theme="1"/>
        <rFont val="Calibri"/>
        <family val="2"/>
        <charset val="1"/>
      </rPr>
      <t xml:space="preserve">#82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6883 </t>
    </r>
    <r>
      <rPr>
        <sz val="11"/>
        <color theme="1"/>
        <rFont val="Noto Sans CJK SC"/>
        <family val="2"/>
      </rPr>
      <t xml:space="preserve">仍標；同一批 </t>
    </r>
    <r>
      <rPr>
        <sz val="11"/>
        <color theme="1"/>
        <rFont val="Calibri"/>
        <family val="2"/>
        <charset val="1"/>
      </rPr>
      <t xml:space="preserve">746 </t>
    </r>
    <r>
      <rPr>
        <sz val="11"/>
        <color theme="1"/>
        <rFont val="Noto Sans CJK SC"/>
        <family val="2"/>
      </rPr>
      <t xml:space="preserve">處括號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a16210a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3a35454 </t>
    </r>
    <r>
      <rPr>
        <sz val="11"/>
        <color theme="1"/>
        <rFont val="Noto Sans CJK SC"/>
        <family val="2"/>
      </rPr>
      <t xml:space="preserve">重算，差異只有 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裁定的名稱形式全數放行，全數字、單一字母、近似拼法照標。驗證者自做變異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組：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組被攔，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組為測試未釘住的邊界（行為已黑箱驗證正確，列觀察）。執行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#134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張全部結案或非缺陷，結案簽核五項條件全部滿足，檢驗方已重新簽核</t>
    </r>
  </si>
  <si>
    <t xml:space="preserve"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</si>
  <si>
    <r>
      <rPr>
        <sz val="11"/>
        <color theme="1"/>
        <rFont val="Calibri"/>
        <family val="2"/>
        <charset val="1"/>
      </rPr>
      <t xml:space="preserve">R10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2026-09-28 </t>
    </r>
    <r>
      <rPr>
        <sz val="11"/>
        <color theme="1"/>
        <rFont val="Noto Sans CJK SC"/>
        <family val="2"/>
      </rPr>
      <t xml:space="preserve">指示「最新部署版本進行全面重跑，確認全數通過再進行整份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重跑，並最終結案」，受測版本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題全部重跑——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題（其中 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只在本機）。寫入類皆於測後刪除或復原並逐字比對。結果 </t>
    </r>
    <r>
      <rPr>
        <sz val="11"/>
        <color theme="1"/>
        <rFont val="Calibri"/>
        <family val="2"/>
        <charset val="1"/>
      </rPr>
      <t xml:space="preserve">PASS 116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OBSERVE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（中）：備援模型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的結構化呼叫一律被供應商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拒絕（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Decimal </t>
    </r>
    <r>
      <rPr>
        <sz val="11"/>
        <color theme="1"/>
        <rFont val="Noto Sans CJK SC"/>
        <family val="2"/>
      </rPr>
      <t xml:space="preserve">的負向前瞻正規式）；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（低）：</t>
    </r>
    <r>
      <rPr>
        <sz val="11"/>
        <color theme="1"/>
        <rFont val="Calibri"/>
        <family val="2"/>
        <charset val="1"/>
      </rPr>
      <t xml:space="preserve">unparsed_rows </t>
    </r>
    <r>
      <rPr>
        <sz val="11"/>
        <color theme="1"/>
        <rFont val="Noto Sans CJK SC"/>
        <family val="2"/>
      </rPr>
      <t xml:space="preserve">失敗記錄不記模型；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（低，規格未定）：乾跑預檢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額度不足無修正指引。首跑時另有多題判 </t>
    </r>
    <r>
      <rPr>
        <sz val="11"/>
        <color theme="1"/>
        <rFont val="Calibri"/>
        <family val="2"/>
        <charset val="1"/>
      </rPr>
      <t xml:space="preserve">FAIL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的首跑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題，另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組與 </t>
    </r>
    <r>
      <rPr>
        <sz val="11"/>
        <color theme="1"/>
        <rFont val="Calibri"/>
        <family val="2"/>
        <charset val="1"/>
      </rPr>
      <t xml:space="preserve">B-15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的更早首跑、本機 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），逐題排除後皆為驗證者檢查程式的量測問題，修正檢查後重跑通過，未改動任何預期結果：表單選項未載入即填值（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）、代號驗證完成前按鈕仍停用（</t>
    </r>
    <r>
      <rPr>
        <sz val="11"/>
        <color theme="1"/>
        <rFont val="Calibri"/>
        <family val="2"/>
        <charset val="1"/>
      </rPr>
      <t xml:space="preserve">B-13</t>
    </r>
    <r>
      <rPr>
        <sz val="11"/>
        <color theme="1"/>
        <rFont val="Noto Sans CJK SC"/>
        <family val="2"/>
      </rPr>
      <t xml:space="preserve">）、收合區塊內文字讀不到（</t>
    </r>
    <r>
      <rPr>
        <sz val="11"/>
        <color theme="1"/>
        <rFont val="Calibri"/>
        <family val="2"/>
        <charset val="1"/>
      </rPr>
      <t xml:space="preserve">C-03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）、解壓函式未載入（</t>
    </r>
    <r>
      <rPr>
        <sz val="11"/>
        <color theme="1"/>
        <rFont val="Calibri"/>
        <family val="2"/>
        <charset val="1"/>
      </rPr>
      <t xml:space="preserve">C-05</t>
    </r>
    <r>
      <rPr>
        <sz val="11"/>
        <color theme="1"/>
        <rFont val="Noto Sans CJK SC"/>
        <family val="2"/>
      </rPr>
      <t xml:space="preserve">）、區塊載入前即讀取（</t>
    </r>
    <r>
      <rPr>
        <sz val="11"/>
        <color theme="1"/>
        <rFont val="Calibri"/>
        <family val="2"/>
        <charset val="1"/>
      </rPr>
      <t xml:space="preserve">C-08</t>
    </r>
    <r>
      <rPr>
        <sz val="11"/>
        <color theme="1"/>
        <rFont val="Noto Sans CJK SC"/>
        <family val="2"/>
      </rPr>
      <t xml:space="preserve">）、回應逾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字被截斷且重新整理清掉 </t>
    </r>
    <r>
      <rPr>
        <sz val="11"/>
        <color theme="1"/>
        <rFont val="Calibri"/>
        <family val="2"/>
        <charset val="1"/>
      </rPr>
      <t xml:space="preserve">toast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；本機 </t>
    </r>
    <r>
      <rPr>
        <sz val="11"/>
        <color theme="1"/>
        <rFont val="Calibri"/>
        <family val="2"/>
        <charset val="1"/>
      </rPr>
      <t xml:space="preserve">E-02 </t>
    </r>
    <r>
      <rPr>
        <sz val="11"/>
        <color theme="1"/>
        <rFont val="Noto Sans CJK SC"/>
        <family val="2"/>
      </rPr>
      <t xml:space="preserve">同類）、漏按「績效比較」頁籤（</t>
    </r>
    <r>
      <rPr>
        <sz val="11"/>
        <color theme="1"/>
        <rFont val="Calibri"/>
        <family val="2"/>
        <charset val="1"/>
      </rPr>
      <t xml:space="preserve">E-08</t>
    </r>
    <r>
      <rPr>
        <sz val="11"/>
        <color theme="1"/>
        <rFont val="Noto Sans CJK SC"/>
        <family val="2"/>
      </rPr>
      <t xml:space="preserve">）、未依既有裁定判讀（</t>
    </r>
    <r>
      <rPr>
        <sz val="11"/>
        <color theme="1"/>
        <rFont val="Calibri"/>
        <family val="2"/>
        <charset val="1"/>
      </rPr>
      <t xml:space="preserve">C-01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DEF-047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R5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§5.1(c)</t>
    </r>
    <r>
      <rPr>
        <sz val="11"/>
        <color theme="1"/>
        <rFont val="Noto Sans CJK SC"/>
        <family val="2"/>
      </rPr>
      <t xml:space="preserve">）、選擇器或欄位名錯誤（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 </t>
    </r>
    <r>
      <rPr>
        <sz val="11"/>
        <color theme="1"/>
        <rFont val="Noto Sans CJK SC"/>
        <family val="2"/>
      </rPr>
      <t xml:space="preserve">橫幅文字）、等待不足（</t>
    </r>
    <r>
      <rPr>
        <sz val="11"/>
        <color theme="1"/>
        <rFont val="Calibri"/>
        <family val="2"/>
        <charset val="1"/>
      </rPr>
      <t xml:space="preserve">I-09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）、模型另一種合規的拒絕寫法（</t>
    </r>
    <r>
      <rPr>
        <sz val="11"/>
        <color theme="1"/>
        <rFont val="Calibri"/>
        <family val="2"/>
        <charset val="1"/>
      </rPr>
      <t xml:space="preserve">F-05</t>
    </r>
    <r>
      <rPr>
        <sz val="11"/>
        <color theme="1"/>
        <rFont val="Noto Sans CJK SC"/>
        <family val="2"/>
      </rPr>
      <t xml:space="preserve">）、測試任務標的宇宙格式錯誤（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，連帶 </t>
    </r>
    <r>
      <rPr>
        <sz val="11"/>
        <color theme="1"/>
        <rFont val="Calibri"/>
        <family val="2"/>
        <charset val="1"/>
      </rPr>
      <t xml:space="preserve">H-02</t>
    </r>
    <r>
      <rPr>
        <sz val="11"/>
        <color theme="1"/>
        <rFont val="Noto Sans CJK SC"/>
        <family val="2"/>
      </rPr>
      <t xml:space="preserve">）；本機 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未先設假金鑰、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預檢按鈕被抽屜遮擋、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 </t>
    </r>
    <r>
      <rPr>
        <sz val="11"/>
        <color theme="1"/>
        <rFont val="Noto Sans CJK SC"/>
        <family val="2"/>
      </rPr>
      <t xml:space="preserve">排程紀錄空值。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：帳本、計數、已實現、現金池與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個部位逐字相同；報價與匯率依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$0.0318601</t>
    </r>
    <r>
      <rPr>
        <sz val="11"/>
        <color theme="1"/>
        <rFont val="Noto Sans CJK SC"/>
        <family val="2"/>
      </rPr>
      <t xml:space="preserve">（含驗證者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首跑誤建任務多花的 </t>
    </r>
    <r>
      <rPr>
        <sz val="11"/>
        <color theme="1"/>
        <rFont val="Calibri"/>
        <family val="2"/>
        <charset val="1"/>
      </rPr>
      <t xml:space="preserve">$0.0174</t>
    </r>
    <r>
      <rPr>
        <sz val="11"/>
        <color theme="1"/>
        <rFont val="Noto Sans CJK SC"/>
        <family val="2"/>
      </rPr>
      <t xml:space="preserve">）。因 </t>
    </r>
    <r>
      <rPr>
        <sz val="11"/>
        <color theme="1"/>
        <rFont val="Calibri"/>
        <family val="2"/>
        <charset val="1"/>
      </rPr>
      <t xml:space="preserve">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OBSERVE </t>
    </r>
    <r>
      <rPr>
        <sz val="11"/>
        <color theme="1"/>
        <rFont val="Noto Sans CJK SC"/>
        <family val="2"/>
      </rPr>
      <t xml:space="preserve">未結，未進行整份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重跑；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的結案簽核（檢驗方）撤回，待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084 </t>
    </r>
    <r>
      <rPr>
        <sz val="11"/>
        <color theme="1"/>
        <rFont val="Noto Sans CJK SC"/>
        <family val="2"/>
      </rPr>
      <t xml:space="preserve">修復並複驗、</t>
    </r>
    <r>
      <rPr>
        <sz val="11"/>
        <color theme="1"/>
        <rFont val="Calibri"/>
        <family val="2"/>
        <charset val="1"/>
      </rPr>
      <t xml:space="preserve">DEF-085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裁定後，以整份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重跑作為下一輪</t>
    </r>
  </si>
  <si>
    <t xml:space="preserve"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</si>
  <si>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複驗＋整份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重跑（</t>
    </r>
    <r>
      <rPr>
        <sz val="11"/>
        <color theme="1"/>
        <rFont val="Calibri"/>
        <family val="2"/>
        <charset val="1"/>
      </rPr>
      <t xml:space="preserve">Owner 2026-09-28</t>
    </r>
    <r>
      <rPr>
        <sz val="11"/>
        <color theme="1"/>
        <rFont val="Noto Sans CJK SC"/>
        <family val="2"/>
      </rPr>
      <t xml:space="preserve">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裁定三張交開發者修、驗證寫入可留在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；受測版本 </t>
    </r>
    <r>
      <rPr>
        <sz val="11"/>
        <color theme="1"/>
        <rFont val="Calibri"/>
        <family val="2"/>
        <charset val="1"/>
      </rPr>
      <t xml:space="preserve">v0.1.28 · 91ec1b0</t>
    </r>
    <r>
      <rPr>
        <sz val="11"/>
        <color theme="1"/>
        <rFont val="Noto Sans CJK SC"/>
        <family val="2"/>
      </rPr>
      <t xml:space="preserve">）。①複驗：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（中）、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（低）、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（低）三張皆通過結案——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真實供應商上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自己產出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輸入與洞察卡，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有一張卡由備援 </t>
    </r>
    <r>
      <rPr>
        <sz val="11"/>
        <color theme="1"/>
        <rFont val="Calibri"/>
        <family val="2"/>
        <charset val="1"/>
      </rPr>
      <t xml:space="preserve">haiku </t>
    </r>
    <r>
      <rPr>
        <sz val="11"/>
        <color theme="1"/>
        <rFont val="Noto Sans CJK SC"/>
        <family val="2"/>
      </rPr>
      <t xml:space="preserve">救回；驗證者自寫嚴格假端點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修前全拒、修後全過；自做變異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組全攔。②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題一次跑完、未重跑任何題——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00:06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01:23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分鐘）、本機專用測試環境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只在本機）。結果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 </t>
    </r>
    <r>
      <rPr>
        <sz val="11"/>
        <color theme="1"/>
        <rFont val="Noto Sans CJK SC"/>
        <family val="2"/>
      </rPr>
      <t xml:space="preserve">僅記錄）；檢查程式唯一的標記是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alert_scan ok</t>
    </r>
    <r>
      <rPr>
        <sz val="11"/>
        <color theme="1"/>
        <rFont val="Noto Sans CJK SC"/>
        <family val="2"/>
      </rPr>
      <t xml:space="preserve">」——程式只等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秒、工作實際 </t>
    </r>
    <r>
      <rPr>
        <sz val="11"/>
        <color theme="1"/>
        <rFont val="Calibri"/>
        <family val="2"/>
        <charset val="1"/>
      </rPr>
      <t xml:space="preserve">125.5 </t>
    </r>
    <r>
      <rPr>
        <sz val="11"/>
        <color theme="1"/>
        <rFont val="Noto Sans CJK SC"/>
        <family val="2"/>
      </rPr>
      <t xml:space="preserve">秒以 </t>
    </r>
    <r>
      <rPr>
        <sz val="11"/>
        <color theme="1"/>
        <rFont val="Calibri"/>
        <family val="2"/>
        <charset val="1"/>
      </rPr>
      <t xml:space="preserve">ok </t>
    </r>
    <r>
      <rPr>
        <sz val="11"/>
        <color theme="1"/>
        <rFont val="Noto Sans CJK SC"/>
        <family val="2"/>
      </rPr>
      <t xml:space="preserve">結束，屬驗證者等待時間不足，依工作紀錄終值判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、未重跑。寫入類案例間照常清理；依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的資料列於還原檢查 </t>
    </r>
    <r>
      <rPr>
        <sz val="11"/>
        <color theme="1"/>
        <rFont val="Calibri"/>
        <family val="2"/>
        <charset val="1"/>
      </rPr>
      <t xml:space="preserve">R-9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$0.0379424</t>
    </r>
    <r>
      <rPr>
        <sz val="11"/>
        <color theme="1"/>
        <rFont val="Noto Sans CJK SC"/>
        <family val="2"/>
      </rPr>
      <t xml:space="preserve">、驗證者複驗 </t>
    </r>
    <r>
      <rPr>
        <sz val="11"/>
        <color theme="1"/>
        <rFont val="Calibri"/>
        <family val="2"/>
        <charset val="1"/>
      </rPr>
      <t xml:space="preserve">$0.037309</t>
    </r>
    <r>
      <rPr>
        <sz val="11"/>
        <color theme="1"/>
        <rFont val="Noto Sans CJK SC"/>
        <family val="2"/>
      </rPr>
      <t xml:space="preserve">、開發者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驗證 </t>
    </r>
    <r>
      <rPr>
        <sz val="11"/>
        <color theme="1"/>
        <rFont val="Calibri"/>
        <family val="2"/>
        <charset val="1"/>
      </rPr>
      <t xml:space="preserve">$0.0154218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$3.1331155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全部成立，檢驗方重新簽署；待修復方與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重新簽署</t>
    </r>
  </si>
  <si>
    <t xml:space="preserve"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</si>
  <si>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（簽署後改程式，</t>
    </r>
    <r>
      <rPr>
        <sz val="11"/>
        <color theme="1"/>
        <rFont val="Calibri"/>
        <family val="2"/>
        <charset val="1"/>
      </rPr>
      <t xml:space="preserve">md §10</t>
    </r>
    <r>
      <rPr>
        <sz val="11"/>
        <color theme="1"/>
        <rFont val="Noto Sans CJK SC"/>
        <family val="2"/>
      </rPr>
      <t xml:space="preserve">）：開發者依 </t>
    </r>
    <r>
      <rPr>
        <sz val="11"/>
        <color theme="1"/>
        <rFont val="Calibri"/>
        <family val="2"/>
        <charset val="1"/>
      </rPr>
      <t xml:space="preserve">Owner 2026-09-30 </t>
    </r>
    <r>
      <rPr>
        <sz val="11"/>
        <color theme="1"/>
        <rFont val="Noto Sans CJK SC"/>
        <family val="2"/>
      </rPr>
      <t xml:space="preserve">裁定改三項並刪除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筆舊失敗記錄，受測版本 </t>
    </r>
    <r>
      <rPr>
        <sz val="11"/>
        <color theme="1"/>
        <rFont val="Calibri"/>
        <family val="2"/>
        <charset val="1"/>
      </rPr>
      <t xml:space="preserve">v0.1.28 · d2e5e08</t>
    </r>
    <r>
      <rPr>
        <sz val="11"/>
        <color theme="1"/>
        <rFont val="Noto Sans CJK SC"/>
        <family val="2"/>
      </rPr>
      <t xml:space="preserve">。①三項修改黑箱與本機驗證皆通過：未回報用量的回覆改記估算（本機假端點：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記估算並標 </t>
    </r>
    <r>
      <rPr>
        <sz val="11"/>
        <color theme="1"/>
        <rFont val="Calibri"/>
        <family val="2"/>
        <charset val="1"/>
      </rPr>
      <t xml:space="preserve">usage_estimated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出現一筆，</t>
    </r>
    <r>
      <rPr>
        <sz val="11"/>
        <color theme="1"/>
        <rFont val="Calibri"/>
        <family val="2"/>
        <charset val="1"/>
      </rPr>
      <t xml:space="preserve">Request </t>
    </r>
    <r>
      <rPr>
        <sz val="11"/>
        <color theme="1"/>
        <rFont val="Noto Sans CJK SC"/>
        <family val="2"/>
      </rPr>
      <t xml:space="preserve">明細標「估算」）；每次執行記下自己的花費（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各執行花費＝同時段用量列合計、巢狀的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不重複計、無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的執行記「—」；本機 </t>
    </r>
    <r>
      <rPr>
        <sz val="11"/>
        <color theme="1"/>
        <rFont val="Calibri"/>
        <family val="2"/>
        <charset val="1"/>
      </rPr>
      <t xml:space="preserve">evaluate_insights $0.00486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列）；「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額度偏低」金額改用 </t>
    </r>
    <r>
      <rPr>
        <sz val="11"/>
        <color theme="1"/>
        <rFont val="Calibri"/>
        <family val="2"/>
        <charset val="1"/>
      </rPr>
      <t xml:space="preserve">usd_display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筆舊記錄已刪（失敗記錄 </t>
    </r>
    <r>
      <rPr>
        <sz val="11"/>
        <color theme="1"/>
        <rFont val="Calibri"/>
        <family val="2"/>
        <charset val="1"/>
      </rPr>
      <t xml:space="preserve">32→26</t>
    </r>
    <r>
      <rPr>
        <sz val="11"/>
        <color theme="1"/>
        <rFont val="Noto Sans CJK SC"/>
        <family val="2"/>
      </rPr>
      <t xml:space="preserve">）。驗證者自做變異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組全攔、</t>
    </r>
    <r>
      <rPr>
        <sz val="11"/>
        <color theme="1"/>
        <rFont val="Calibri"/>
        <family val="2"/>
        <charset val="1"/>
      </rPr>
      <t xml:space="preserve">AST </t>
    </r>
    <r>
      <rPr>
        <sz val="11"/>
        <color theme="1"/>
        <rFont val="Noto Sans CJK SC"/>
        <family val="2"/>
      </rPr>
      <t xml:space="preserve">同類掃描與開發者一致。②整份 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11:45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12:58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分鐘）＋本機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兩邊都跑）。首跑標記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B-14 </t>
    </r>
    <r>
      <rPr>
        <sz val="11"/>
        <color theme="1"/>
        <rFont val="Noto Sans CJK SC"/>
        <family val="2"/>
      </rPr>
      <t xml:space="preserve">為檢查程式固定等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秒而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回應較慢；</t>
    </r>
    <r>
      <rPr>
        <sz val="11"/>
        <color theme="1"/>
        <rFont val="Calibri"/>
        <family val="2"/>
        <charset val="1"/>
      </rPr>
      <t xml:space="preserve">D-02b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D-02c </t>
    </r>
    <r>
      <rPr>
        <sz val="11"/>
        <color theme="1"/>
        <rFont val="Noto Sans CJK SC"/>
        <family val="2"/>
      </rPr>
      <t xml:space="preserve">為檢查缺 </t>
    </r>
    <r>
      <rPr>
        <sz val="11"/>
        <color theme="1"/>
        <rFont val="Calibri"/>
        <family val="2"/>
        <charset val="1"/>
      </rPr>
      <t xml:space="preserve">§5.1(c) </t>
    </r>
    <r>
      <rPr>
        <sz val="11"/>
        <color theme="1"/>
        <rFont val="Noto Sans CJK SC"/>
        <family val="2"/>
      </rPr>
      <t xml:space="preserve">分支；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為同日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已派發、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小時去抖；以上修正檢查（未改預期結果）後重跑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題皆通過。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為規格衝突 → </t>
    </r>
    <r>
      <rPr>
        <sz val="11"/>
        <color theme="1"/>
        <rFont val="Calibri"/>
        <family val="2"/>
        <charset val="1"/>
      </rPr>
      <t xml:space="preserve">OBSERVE</t>
    </r>
    <r>
      <rPr>
        <sz val="11"/>
        <color theme="1"/>
        <rFont val="Noto Sans CJK SC"/>
        <family val="2"/>
      </rPr>
      <t xml:space="preserve">、開 </t>
    </r>
    <r>
      <rPr>
        <sz val="11"/>
        <color theme="1"/>
        <rFont val="Calibri"/>
        <family val="2"/>
        <charset val="1"/>
      </rPr>
      <t xml:space="preserve">DEF-086</t>
    </r>
    <r>
      <rPr>
        <sz val="11"/>
        <color theme="1"/>
        <rFont val="Noto Sans CJK SC"/>
        <family val="2"/>
      </rPr>
      <t xml:space="preserve">（低，規格未定，待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裁定）。結果 </t>
    </r>
    <r>
      <rPr>
        <sz val="11"/>
        <color theme="1"/>
        <rFont val="Calibri"/>
        <family val="2"/>
        <charset val="1"/>
      </rPr>
      <t xml:space="preserve">PASS 117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OBSERVE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$0.0059684</t>
    </r>
    <r>
      <rPr>
        <sz val="11"/>
        <color theme="1"/>
        <rFont val="Noto Sans CJK SC"/>
        <family val="2"/>
      </rPr>
      <t xml:space="preserve">＋重跑 </t>
    </r>
    <r>
      <rPr>
        <sz val="11"/>
        <color theme="1"/>
        <rFont val="Calibri"/>
        <family val="2"/>
        <charset val="1"/>
      </rPr>
      <t xml:space="preserve">G-09 $0.000733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$3.1247864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不成立，檢驗方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的簽署撤回，待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DEF-086
Owner 2026-09-30 </t>
    </r>
    <r>
      <rPr>
        <sz val="11"/>
        <color theme="1"/>
        <rFont val="Noto Sans CJK SC"/>
        <family val="2"/>
      </rPr>
      <t xml:space="preserve">在對話中裁定 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採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：改期望、程式不改：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依新期望改判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改判非缺陷（</t>
    </r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）；裁定後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全部成立，檢驗方依 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重新簽署</t>
    </r>
  </si>
  <si>
    <t xml:space="preserve">830056c</t>
  </si>
  <si>
    <t xml:space="preserve">是：J-06 閘門 pytest 1 failed（DEF-087）——test_every_bare_str_in_the_export_package_is_listed 於 2fe60ce 為綠、e8bcf53 起紅（ledger_audit.py:209 別名欄的 str() 未列入白名單），R12（d2e5e08）時 J-06 全綠；J-01～J-05 全過（J-01 106/106、J-02 四情境、J-03 寫入→編輯→刪除後各段逐字相同＋稽核兩筆、J-04 21 個匯出＋帳本操作稽核 CSV、J-05 390px 18 頁零溢位）。A-06 的 DEF-090 所在程式自 e6fd9f4（R2）未改，是本輪換用另一個資金池才遇到，不是回歸；F-01、G-01 的問題屬結案後新增的 item 8 功能</t>
  </si>
  <si>
    <r>
      <rPr>
        <sz val="11"/>
        <color theme="1"/>
        <rFont val="Calibri"/>
        <family val="2"/>
        <charset val="1"/>
      </rPr>
      <t xml:space="preserve">R13</t>
    </r>
    <r>
      <rPr>
        <sz val="11"/>
        <color theme="1"/>
        <rFont val="Noto Sans CJK SC"/>
        <family val="2"/>
      </rPr>
      <t xml:space="preserve">（上 </t>
    </r>
    <r>
      <rPr>
        <sz val="11"/>
        <color theme="1"/>
        <rFont val="Calibri"/>
        <family val="2"/>
        <charset val="1"/>
      </rPr>
      <t xml:space="preserve">prod </t>
    </r>
    <r>
      <rPr>
        <sz val="11"/>
        <color theme="1"/>
        <rFont val="Noto Sans CJK SC"/>
        <family val="2"/>
      </rPr>
      <t xml:space="preserve">前整份重跑，</t>
    </r>
    <r>
      <rPr>
        <sz val="11"/>
        <color theme="1"/>
        <rFont val="Calibri"/>
        <family val="2"/>
        <charset val="1"/>
      </rPr>
      <t xml:space="preserve">Owner 2026-10-01 </t>
    </r>
    <r>
      <rPr>
        <sz val="11"/>
        <color theme="1"/>
        <rFont val="Noto Sans CJK SC"/>
        <family val="2"/>
      </rPr>
      <t xml:space="preserve">指示；受測版本以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頁首為準，開跑前確認 </t>
    </r>
    <r>
      <rPr>
        <sz val="11"/>
        <color theme="1"/>
        <rFont val="Calibri"/>
        <family val="2"/>
        <charset val="1"/>
      </rPr>
      <t xml:space="preserve">v0.1.28 · 830056c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 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 20:43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21:55 </t>
    </r>
    <r>
      <rPr>
        <sz val="11"/>
        <color theme="1"/>
        <rFont val="Noto Sans CJK SC"/>
        <family val="2"/>
      </rPr>
      <t xml:space="preserve">台北，開跑前記基準）＋本機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題（同一 </t>
    </r>
    <r>
      <rPr>
        <sz val="11"/>
        <color theme="1"/>
        <rFont val="Calibri"/>
        <family val="2"/>
        <charset val="1"/>
      </rPr>
      <t xml:space="preserve">commit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資料庫副本、假報價／假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兩邊都跑，另 </t>
    </r>
    <r>
      <rPr>
        <sz val="11"/>
        <color theme="1"/>
        <rFont val="Calibri"/>
        <family val="2"/>
        <charset val="1"/>
      </rPr>
      <t xml:space="preserve">G-04 ②</t>
    </r>
    <r>
      <rPr>
        <sz val="11"/>
        <color theme="1"/>
        <rFont val="Noto Sans CJK SC"/>
        <family val="2"/>
      </rPr>
      <t xml:space="preserve">）。依 </t>
    </r>
    <r>
      <rPr>
        <sz val="11"/>
        <color theme="1"/>
        <rFont val="Calibri"/>
        <family val="2"/>
        <charset val="1"/>
      </rPr>
      <t xml:space="preserve">Owner 6B</t>
    </r>
    <r>
      <rPr>
        <sz val="11"/>
        <color theme="1"/>
        <rFont val="Noto Sans CJK SC"/>
        <family val="2"/>
      </rPr>
      <t xml:space="preserve">，寫入全部留在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，只有 </t>
    </r>
    <r>
      <rPr>
        <sz val="11"/>
        <color theme="1"/>
        <rFont val="Calibri"/>
        <family val="2"/>
        <charset val="1"/>
      </rPr>
      <t xml:space="preserve">B-14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照步驟刪除；本輪不做還原檢查。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首跑 </t>
    </r>
    <r>
      <rPr>
        <sz val="11"/>
        <color theme="1"/>
        <rFont val="Calibri"/>
        <family val="2"/>
        <charset val="1"/>
      </rPr>
      <t xml:space="preserve">PASS 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FAIL </t>
    </r>
    <r>
      <rPr>
        <sz val="11"/>
        <color theme="1"/>
        <rFont val="Noto Sans CJK SC"/>
        <family val="2"/>
      </rPr>
      <t xml:space="preserve">多數是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殘留使檢查程式的前提失效：①</t>
    </r>
    <r>
      <rPr>
        <sz val="11"/>
        <color theme="1"/>
        <rFont val="Calibri"/>
        <family val="2"/>
        <charset val="1"/>
      </rPr>
      <t xml:space="preserve">B-11 </t>
    </r>
    <r>
      <rPr>
        <sz val="11"/>
        <color theme="1"/>
        <rFont val="Noto Sans CJK SC"/>
        <family val="2"/>
      </rPr>
      <t xml:space="preserve">留下的 </t>
    </r>
    <r>
      <rPr>
        <sz val="11"/>
        <color theme="1"/>
        <rFont val="Calibri"/>
        <family val="2"/>
        <charset val="1"/>
      </rPr>
      <t xml:space="preserve">2330 07-01 </t>
    </r>
    <r>
      <rPr>
        <sz val="11"/>
        <color theme="1"/>
        <rFont val="Noto Sans CJK SC"/>
        <family val="2"/>
      </rPr>
      <t xml:space="preserve">超賣使 </t>
    </r>
    <r>
      <rPr>
        <sz val="11"/>
        <color theme="1"/>
        <rFont val="Calibri"/>
        <family val="2"/>
        <charset val="1"/>
      </rPr>
      <t xml:space="preserve">2330 </t>
    </r>
    <r>
      <rPr>
        <sz val="11"/>
        <color theme="1"/>
        <rFont val="Noto Sans CJK SC"/>
        <family val="2"/>
      </rPr>
      <t xml:space="preserve">成為賣超部位（市值、</t>
    </r>
    <r>
      <rPr>
        <sz val="11"/>
        <color theme="1"/>
        <rFont val="Calibri"/>
        <family val="2"/>
        <charset val="1"/>
      </rPr>
      <t xml:space="preserve">XIRR</t>
    </r>
    <r>
      <rPr>
        <sz val="11"/>
        <color theme="1"/>
        <rFont val="Noto Sans CJK SC"/>
        <family val="2"/>
      </rPr>
      <t xml:space="preserve">、稅務包為空或 </t>
    </r>
    <r>
      <rPr>
        <sz val="11"/>
        <color theme="1"/>
        <rFont val="Calibri"/>
        <family val="2"/>
        <charset val="1"/>
      </rPr>
      <t xml:space="preserve">422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E-04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I-03 </t>
    </r>
    <r>
      <rPr>
        <sz val="11"/>
        <color theme="1"/>
        <rFont val="Noto Sans CJK SC"/>
        <family val="2"/>
      </rPr>
      <t xml:space="preserve">首跑受影響，</t>
    </r>
    <r>
      <rPr>
        <sz val="11"/>
        <color theme="1"/>
        <rFont val="Calibri"/>
        <family val="2"/>
        <charset val="1"/>
      </rPr>
      <t xml:space="preserve">I-13 </t>
    </r>
    <r>
      <rPr>
        <sz val="11"/>
        <color theme="1"/>
        <rFont val="Noto Sans CJK SC"/>
        <family val="2"/>
      </rPr>
      <t xml:space="preserve">依步驟寫回 </t>
    </r>
    <r>
      <rPr>
        <sz val="11"/>
        <color theme="1"/>
        <rFont val="Calibri"/>
        <family val="2"/>
        <charset val="1"/>
      </rPr>
      <t xml:space="preserve">#264 </t>
    </r>
    <r>
      <rPr>
        <sz val="11"/>
        <color theme="1"/>
        <rFont val="Noto Sans CJK SC"/>
        <family val="2"/>
      </rPr>
      <t xml:space="preserve">後恢復；②同日同標的公司行動的限制使 </t>
    </r>
    <r>
      <rPr>
        <sz val="11"/>
        <color theme="1"/>
        <rFont val="Calibri"/>
        <family val="2"/>
        <charset val="1"/>
      </rPr>
      <t xml:space="preserve">D-06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D-07</t>
    </r>
    <r>
      <rPr>
        <sz val="11"/>
        <color theme="1"/>
        <rFont val="Noto Sans CJK SC"/>
        <family val="2"/>
      </rPr>
      <t xml:space="preserve">（連帶 </t>
    </r>
    <r>
      <rPr>
        <sz val="11"/>
        <color theme="1"/>
        <rFont val="Calibri"/>
        <family val="2"/>
        <charset val="1"/>
      </rPr>
      <t xml:space="preserve">D-13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D-14</t>
    </r>
    <r>
      <rPr>
        <sz val="11"/>
        <color theme="1"/>
        <rFont val="Noto Sans CJK SC"/>
        <family val="2"/>
      </rPr>
      <t xml:space="preserve">）改用 </t>
    </r>
    <r>
      <rPr>
        <sz val="11"/>
        <color theme="1"/>
        <rFont val="Calibri"/>
        <family val="2"/>
        <charset val="1"/>
      </rPr>
      <t xml:space="preserve">TSLA→AMD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MSFT→SPCX</t>
    </r>
    <r>
      <rPr>
        <sz val="11"/>
        <color theme="1"/>
        <rFont val="Noto Sans CJK SC"/>
        <family val="2"/>
      </rPr>
      <t xml:space="preserve">；③其餘依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換標的、日期或挑列方式（</t>
    </r>
    <r>
      <rPr>
        <sz val="11"/>
        <color theme="1"/>
        <rFont val="Calibri"/>
        <family val="2"/>
        <charset val="1"/>
      </rPr>
      <t xml:space="preserve">B-04 46.5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C-04 09-30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F-05 </t>
    </r>
    <r>
      <rPr>
        <sz val="11"/>
        <color theme="1"/>
        <rFont val="Noto Sans CJK SC"/>
        <family val="2"/>
      </rPr>
      <t xml:space="preserve">賣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F-09 </t>
    </r>
    <r>
      <rPr>
        <sz val="11"/>
        <color theme="1"/>
        <rFont val="Noto Sans CJK SC"/>
        <family val="2"/>
      </rPr>
      <t xml:space="preserve">中華電、</t>
    </r>
    <r>
      <rPr>
        <sz val="11"/>
        <color theme="1"/>
        <rFont val="Calibri"/>
        <family val="2"/>
        <charset val="1"/>
      </rPr>
      <t xml:space="preserve">A-16 </t>
    </r>
    <r>
      <rPr>
        <sz val="11"/>
        <color theme="1"/>
        <rFont val="Noto Sans CJK SC"/>
        <family val="2"/>
      </rPr>
      <t xml:space="preserve">依月份挑列、</t>
    </r>
    <r>
      <rPr>
        <sz val="11"/>
        <color theme="1"/>
        <rFont val="Calibri"/>
        <family val="2"/>
        <charset val="1"/>
      </rPr>
      <t xml:space="preserve">E-10 2610</t>
    </r>
    <r>
      <rPr>
        <sz val="11"/>
        <color theme="1"/>
        <rFont val="Noto Sans CJK SC"/>
        <family val="2"/>
      </rPr>
      <t xml:space="preserve">）。重跑三批共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次（</t>
    </r>
    <r>
      <rPr>
        <sz val="11"/>
        <color theme="1"/>
        <rFont val="Calibri"/>
        <family val="2"/>
        <charset val="1"/>
      </rPr>
      <t xml:space="preserve">22:00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22:20 </t>
    </r>
    <r>
      <rPr>
        <sz val="11"/>
        <color theme="1"/>
        <rFont val="Noto Sans CJK SC"/>
        <family val="2"/>
      </rPr>
      <t xml:space="preserve">台北），另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題依數據逐位驗算改判（</t>
    </r>
    <r>
      <rPr>
        <sz val="11"/>
        <color theme="1"/>
        <rFont val="Calibri"/>
        <family val="2"/>
        <charset val="1"/>
      </rPr>
      <t xml:space="preserve">A-03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：檢查程式的比較基準在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下不成立）；首跑雖過但屬空對空的 </t>
    </r>
    <r>
      <rPr>
        <sz val="11"/>
        <color theme="1"/>
        <rFont val="Calibri"/>
        <family val="2"/>
        <charset val="1"/>
      </rPr>
      <t xml:space="preserve">D-02c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E-12 </t>
    </r>
    <r>
      <rPr>
        <sz val="11"/>
        <color theme="1"/>
        <rFont val="Noto Sans CJK SC"/>
        <family val="2"/>
      </rPr>
      <t xml:space="preserve">已補做。最終 </t>
    </r>
    <r>
      <rPr>
        <sz val="11"/>
        <color theme="1"/>
        <rFont val="Calibri"/>
        <family val="2"/>
        <charset val="1"/>
      </rPr>
      <t xml:space="preserve">PASS 114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BLOCKED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C-07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OBSERVE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張：</t>
    </r>
    <r>
      <rPr>
        <sz val="11"/>
        <color theme="1"/>
        <rFont val="Calibri"/>
        <family val="2"/>
        <charset val="1"/>
      </rPr>
      <t xml:space="preserve">DEF-087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閘門，低）、</t>
    </r>
    <r>
      <rPr>
        <sz val="11"/>
        <color theme="1"/>
        <rFont val="Calibri"/>
        <family val="2"/>
        <charset val="1"/>
      </rPr>
      <t xml:space="preserve">DEF-088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台股別名空白，低）、</t>
    </r>
    <r>
      <rPr>
        <sz val="11"/>
        <color theme="1"/>
        <rFont val="Calibri"/>
        <family val="2"/>
        <charset val="1"/>
      </rPr>
      <t xml:space="preserve">DEF-089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中文名稱前段，規格未定）、</t>
    </r>
    <r>
      <rPr>
        <sz val="11"/>
        <color theme="1"/>
        <rFont val="Calibri"/>
        <family val="2"/>
        <charset val="1"/>
      </rPr>
      <t xml:space="preserve">DEF-090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既有負值掩蓋新透支，中）、</t>
    </r>
    <r>
      <rPr>
        <sz val="11"/>
        <color theme="1"/>
        <rFont val="Calibri"/>
        <family val="2"/>
        <charset val="1"/>
      </rPr>
      <t xml:space="preserve">DEF-091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訊息點名最低點日，規格未定）。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額度：本輪 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$0.0575523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3.1247864→3.0672341</t>
    </r>
    <r>
      <rPr>
        <sz val="11"/>
        <color theme="1"/>
        <rFont val="Noto Sans CJK SC"/>
        <family val="2"/>
      </rPr>
      <t xml:space="preserve">），含驗證者為排除 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偶發而重放的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次辨識 </t>
    </r>
    <r>
      <rPr>
        <sz val="11"/>
        <color theme="1"/>
        <rFont val="Calibri"/>
        <family val="2"/>
        <charset val="1"/>
      </rPr>
      <t xml:space="preserve">$0.0010429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不成立，檢驗方不依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改寫第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</t>
    </r>
  </si>
  <si>
    <t xml:space="preserve">收斂看『累計未結案』要單調下降。若某一輪的新增缺陷 ≥ 結案缺陷，代表修復正在製造新問題或覆蓋面不夠 —— 多半是修了實例沒修類別，應先停下來檢討修法。</t>
  </si>
  <si>
    <t xml:space="preserve">還原檢查清單（每個測試時段結束前跑一次）</t>
  </si>
  <si>
    <t xml:space="preserve">#</t>
  </si>
  <si>
    <t xml:space="preserve">檢查</t>
  </si>
  <si>
    <t xml:space="preserve">方法</t>
  </si>
  <si>
    <t xml:space="preserve">基準值</t>
  </si>
  <si>
    <t xml:space="preserve">結束值</t>
  </si>
  <si>
    <t xml:space="preserve">相符？</t>
  </si>
  <si>
    <t xml:space="preserve">R-1</t>
  </si>
  <si>
    <t xml:space="preserve">交易帳本列數</t>
  </si>
  <si>
    <r>
      <rPr>
        <sz val="10"/>
        <rFont val="Arial"/>
        <family val="0"/>
        <charset val="1"/>
      </rPr>
      <t xml:space="preserve">GET /api/ledgers/transactions?limit=1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total_count</t>
    </r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</si>
  <si>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R12_START 2026-09-30 11:45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開跑前）</t>
    </r>
  </si>
  <si>
    <t xml:space="preserve">56</t>
  </si>
  <si>
    <t xml:space="preserve">是</t>
  </si>
  <si>
    <t xml:space="preserve">R-2</t>
  </si>
  <si>
    <t xml:space="preserve">股利帳本列數</t>
  </si>
  <si>
    <t xml:space="preserve">同上（dividends）</t>
  </si>
  <si>
    <t xml:space="preserve">23</t>
  </si>
  <si>
    <t xml:space="preserve">R-3</t>
  </si>
  <si>
    <t xml:space="preserve">換匯帳本列數</t>
  </si>
  <si>
    <t xml:space="preserve">同上（fx）</t>
  </si>
  <si>
    <t xml:space="preserve">19</t>
  </si>
  <si>
    <t xml:space="preserve">R-4</t>
  </si>
  <si>
    <t xml:space="preserve">資金收支列數</t>
  </si>
  <si>
    <t xml:space="preserve">同上（cash）</t>
  </si>
  <si>
    <t xml:space="preserve">34</t>
  </si>
  <si>
    <t xml:space="preserve">R-5</t>
  </si>
  <si>
    <t xml:space="preserve">公司行動列數</t>
  </si>
  <si>
    <t xml:space="preserve">同上（actions）／或匯出</t>
  </si>
  <si>
    <t xml:space="preserve">0</t>
  </si>
  <si>
    <t xml:space="preserve">R-6</t>
  </si>
  <si>
    <t xml:space="preserve">四段 JSON 相同</t>
  </si>
  <si>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 </t>
    </r>
    <r>
      <rPr>
        <sz val="10"/>
        <rFont val="Noto Sans CJK SC"/>
        <family val="2"/>
      </rPr>
      <t xml:space="preserve">與基準字串完全相同</t>
    </r>
  </si>
  <si>
    <r>
      <rPr>
        <sz val="11"/>
        <color theme="1"/>
        <rFont val="Calibri"/>
        <family val="2"/>
        <charset val="1"/>
      </rPr>
      <t xml:space="preserve">R12_START </t>
    </r>
    <r>
      <rPr>
        <sz val="11"/>
        <color theme="1"/>
        <rFont val="Noto Sans CJK SC"/>
        <family val="2"/>
      </rPr>
      <t xml:space="preserve">四段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</si>
  <si>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Calibri"/>
        <family val="2"/>
        <charset val="1"/>
      </rPr>
      <t xml:space="preserve">realized </t>
    </r>
    <r>
      <rPr>
        <sz val="11"/>
        <color theme="1"/>
        <rFont val="Noto Sans CJK SC"/>
        <family val="2"/>
      </rPr>
      <t xml:space="preserve">逐字相同；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個部位的股數、原始／調整均價、原始／調整成本與股利欄逐字相同；</t>
    </r>
    <r>
      <rPr>
        <sz val="11"/>
        <color theme="1"/>
        <rFont val="Calibri"/>
        <family val="2"/>
        <charset val="1"/>
      </rPr>
      <t xml:space="preserve">kpis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allocation </t>
    </r>
    <r>
      <rPr>
        <sz val="11"/>
        <color theme="1"/>
        <rFont val="Noto Sans CJK SC"/>
        <family val="2"/>
      </rPr>
      <t xml:space="preserve">的差異全部來自 </t>
    </r>
    <r>
      <rPr>
        <sz val="11"/>
        <color theme="1"/>
        <rFont val="Calibri"/>
        <family val="2"/>
        <charset val="1"/>
      </rPr>
      <t xml:space="preserve">E-01 </t>
    </r>
    <r>
      <rPr>
        <sz val="11"/>
        <color theme="1"/>
        <rFont val="Noto Sans CJK SC"/>
        <family val="2"/>
      </rPr>
      <t xml:space="preserve">依裁定更新的報價與匯率（只動 </t>
    </r>
    <r>
      <rPr>
        <sz val="11"/>
        <color theme="1"/>
        <rFont val="Calibri"/>
        <family val="2"/>
        <charset val="1"/>
      </rPr>
      <t xml:space="preserve">market_price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market_value</t>
    </r>
    <r>
      <rPr>
        <sz val="11"/>
        <color theme="1"/>
        <rFont val="Noto Sans CJK SC"/>
        <family val="2"/>
      </rPr>
      <t xml:space="preserve">、未實現、權重與走勢；匯率三條 </t>
    </r>
    <r>
      <rPr>
        <sz val="11"/>
        <color theme="1"/>
        <rFont val="Calibri"/>
        <family val="2"/>
        <charset val="1"/>
      </rPr>
      <t xml:space="preserve">09-30</t>
    </r>
    <r>
      <rPr>
        <sz val="11"/>
        <color theme="1"/>
        <rFont val="Noto Sans CJK SC"/>
        <family val="2"/>
      </rPr>
      <t xml:space="preserve">）</t>
    </r>
  </si>
  <si>
    <t xml:space="preserve">是（依 §五 G）</t>
  </si>
  <si>
    <t xml:space="preserve">R-7</t>
  </si>
  <si>
    <t xml:space="preserve">各現金池餘額</t>
  </si>
  <si>
    <t xml:space="preserve">GET /api/cash</t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</si>
  <si>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reporting_total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</si>
  <si>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逐字相同；</t>
    </r>
    <r>
      <rPr>
        <sz val="11"/>
        <color theme="1"/>
        <rFont val="Calibri"/>
        <family val="2"/>
        <charset val="1"/>
      </rPr>
      <t xml:space="preserve">reporting_total 25,320,250.90→25,336,269.67 </t>
    </r>
    <r>
      <rPr>
        <sz val="11"/>
        <color theme="1"/>
        <rFont val="Noto Sans CJK SC"/>
        <family val="2"/>
      </rPr>
      <t xml:space="preserve">的差異來自匯率更新</t>
    </r>
  </si>
  <si>
    <t xml:space="preserve">R-8</t>
  </si>
  <si>
    <t xml:space="preserve">匯入批次無殘留</t>
  </si>
  <si>
    <t xml:space="preserve">交易帳本 › 匯入批次</t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</si>
  <si>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</t>
    </r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</si>
  <si>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批已提交（</t>
    </r>
    <r>
      <rPr>
        <sz val="11"/>
        <color theme="1"/>
        <rFont val="Calibri"/>
        <family val="2"/>
        <charset val="1"/>
      </rPr>
      <t xml:space="preserve">C-04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C-04b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I-13 </t>
    </r>
    <r>
      <rPr>
        <sz val="11"/>
        <color theme="1"/>
        <rFont val="Noto Sans CJK SC"/>
        <family val="2"/>
      </rPr>
      <t xml:space="preserve">的批次 </t>
    </r>
    <r>
      <rPr>
        <sz val="11"/>
        <color theme="1"/>
        <rFont val="Calibri"/>
        <family val="2"/>
        <charset val="1"/>
      </rPr>
      <t xml:space="preserve">#42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#49 </t>
    </r>
    <r>
      <rPr>
        <sz val="11"/>
        <color theme="1"/>
        <rFont val="Noto Sans CJK SC"/>
        <family val="2"/>
      </rPr>
      <t xml:space="preserve">皆已復原）</t>
    </r>
  </si>
  <si>
    <t xml:space="preserve">R-9</t>
  </si>
  <si>
    <t xml:space="preserve">觀察清單無殘留</t>
  </si>
  <si>
    <t xml:space="preserve">例如 ZZZZ9 未被加入</t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</si>
  <si>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啟用；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個排程；收件匣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、已忽略 </t>
    </r>
    <r>
      <rPr>
        <sz val="11"/>
        <color theme="1"/>
        <rFont val="Calibri"/>
        <family val="2"/>
        <charset val="1"/>
      </rPr>
      <t xml:space="preserve">NVDA 2026-06-04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、可見洞察卡 </t>
    </r>
    <r>
      <rPr>
        <sz val="11"/>
        <color theme="1"/>
        <rFont val="Calibri"/>
        <family val="2"/>
        <charset val="1"/>
      </rPr>
      <t xml:space="preserve">223</t>
    </r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</si>
  <si>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封存、目標價皆空（</t>
    </r>
    <r>
      <rPr>
        <sz val="11"/>
        <color theme="1"/>
        <rFont val="Calibri"/>
        <family val="2"/>
        <charset val="1"/>
      </rPr>
      <t xml:space="preserve">D-06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設定的目標價已清回）；任務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皆啟用，測試任務（</t>
    </r>
    <r>
      <rPr>
        <sz val="11"/>
        <color theme="1"/>
        <rFont val="Calibri"/>
        <family val="2"/>
        <charset val="1"/>
      </rPr>
      <t xml:space="preserve">G-01 #28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H-04 #29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的兩個）皆已刪除、排程設定雜湊不變；收件匣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、已忽略只剩 </t>
    </r>
    <r>
      <rPr>
        <sz val="11"/>
        <color theme="1"/>
        <rFont val="Calibri"/>
        <family val="2"/>
        <charset val="1"/>
      </rPr>
      <t xml:space="preserve">NVDA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、期初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。依 </t>
    </r>
    <r>
      <rPr>
        <sz val="11"/>
        <color theme="1"/>
        <rFont val="Calibri"/>
        <family val="2"/>
        <charset val="1"/>
      </rPr>
      <t xml:space="preserve">Owner 2026-09-29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的資料：①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重跑的 </t>
    </r>
    <r>
      <rPr>
        <sz val="11"/>
        <color theme="1"/>
        <rFont val="Calibri"/>
        <family val="2"/>
        <charset val="1"/>
      </rPr>
      <t xml:space="preserve">on_alert </t>
    </r>
    <r>
      <rPr>
        <sz val="11"/>
        <color theme="1"/>
        <rFont val="Noto Sans CJK SC"/>
        <family val="2"/>
      </rPr>
      <t xml:space="preserve">洞察卡 </t>
    </r>
    <r>
      <rPr>
        <sz val="11"/>
        <color theme="1"/>
        <rFont val="Calibri"/>
        <family val="2"/>
        <charset val="1"/>
      </rPr>
      <t xml:space="preserve">#263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3008</t>
    </r>
    <r>
      <rPr>
        <sz val="11"/>
        <color theme="1"/>
        <rFont val="Noto Sans CJK SC"/>
        <family val="2"/>
      </rPr>
      <t xml:space="preserve">，可見卡 </t>
    </r>
    <r>
      <rPr>
        <sz val="11"/>
        <color theme="1"/>
        <rFont val="Calibri"/>
        <family val="2"/>
        <charset val="1"/>
      </rPr>
      <t xml:space="preserve">223→224</t>
    </r>
    <r>
      <rPr>
        <sz val="11"/>
        <color theme="1"/>
        <rFont val="Noto Sans CJK SC"/>
        <family val="2"/>
      </rPr>
      <t xml:space="preserve">）；②</t>
    </r>
    <r>
      <rPr>
        <sz val="11"/>
        <color theme="1"/>
        <rFont val="Calibri"/>
        <family val="2"/>
        <charset val="1"/>
      </rPr>
      <t xml:space="preserve">H-03</t>
    </r>
    <r>
      <rPr>
        <sz val="11"/>
        <color theme="1"/>
        <rFont val="Noto Sans CJK SC"/>
        <family val="2"/>
      </rPr>
      <t xml:space="preserve">「持倉週報策略」多出版本紀錄（內文已回復原文）；③執行紀錄 </t>
    </r>
    <r>
      <rPr>
        <sz val="11"/>
        <color theme="1"/>
        <rFont val="Calibri"/>
        <family val="2"/>
        <charset val="1"/>
      </rPr>
      <t xml:space="preserve">job_runs #245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#253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抽取失敗記錄 </t>
    </r>
    <r>
      <rPr>
        <sz val="11"/>
        <color theme="1"/>
        <rFont val="Calibri"/>
        <family val="2"/>
        <charset val="1"/>
      </rPr>
      <t xml:space="preserve">#530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#532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 / 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llm-usage 8 </t>
    </r>
    <r>
      <rPr>
        <sz val="11"/>
        <color theme="1"/>
        <rFont val="Noto Sans CJK SC"/>
        <family val="2"/>
      </rPr>
      <t xml:space="preserve">列（含 </t>
    </r>
    <r>
      <rPr>
        <sz val="11"/>
        <color theme="1"/>
        <rFont val="Calibri"/>
        <family val="2"/>
        <charset val="1"/>
      </rPr>
      <t xml:space="preserve">#1123 </t>
    </r>
    <r>
      <rPr>
        <sz val="11"/>
        <color theme="1"/>
        <rFont val="Noto Sans CJK SC"/>
        <family val="2"/>
      </rPr>
      <t xml:space="preserve">估算）</t>
    </r>
  </si>
  <si>
    <t xml:space="preserve">是（依 Owner 2026-09-29 裁定）</t>
  </si>
  <si>
    <t xml:space="preserve">R-10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</si>
  <si>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額度變動已記錄</t>
    </r>
  </si>
  <si>
    <t xml:space="preserve">與 H-02 對帳</t>
  </si>
  <si>
    <t xml:space="preserve">剩餘額度 $3.1314878；低額度警示門檻 $1.00</t>
  </si>
  <si>
    <t xml:space="preserve">剩餘額度 $3.1247864、門檻 $1.00；one shot 花費 $0.0059684＝llm-usage 7 列：insight_generate 3 列 0.0044792（G-01 兩次 0.002956〔含估算 0.0014508〕、H-04 0.0015232）、ai_agents_input 2 列 0.0011769（F-04 0.0005995、F-05 0.0005774）、ai_instrument_resolve 2 列 0.0003123（F-01）；重跑 G-09 另 0.000733（1 列）；與額度差逐位相同。開跑前開發者 R12 驗證 $0.0016277（news #244，3.1331155→3.1314878）</t>
  </si>
  <si>
    <t xml:space="preserve">是（逐筆對帳）</t>
  </si>
  <si>
    <t xml:space="preserve">結案簽核</t>
  </si>
  <si>
    <t xml:space="preserve">結案條件（全部滿足才可簽）</t>
  </si>
  <si>
    <t xml:space="preserve">達成？</t>
  </si>
  <si>
    <t xml:space="preserve">全部測試案例的最終判定為 `PASS` 或 `N/A`（`N/A` 需寫依據）</t>
  </si>
  <si>
    <t xml:space="preserve">是（R12）：d2e5e08 整份 one shot 重跑 120 題；G-01、H-02 的 OBSERVE 經 Owner 2026-09-30 裁定 A（改期望、程式不改）改判 PASS；最終判定 PASS 119／N/A 1（G-10 依手冊僅記錄）
R13（830056c，上 prod 前整份重跑）：否——最終 PASS 114／FAIL 3（A-06：DEF-090、091；F-01：DEF-088；J-06：DEF-087）／BLOCKED 1（C-07）／OBSERVE 1（G-01：DEF-089）／N/A 1（G-10）；尚未有最終判定 5</t>
  </si>
  <si>
    <t xml:space="preserve">缺陷登記中沒有狀態為『修復中／待複驗／複驗未過』的列</t>
  </si>
  <si>
    <t xml:space="preserve">是：86 張缺陷中結案 83、非缺陷 3（DEF-006、DEF-018、DEF-086），無修復中／待複驗／複驗未過
R13：是（字面）——無修復中／待複驗／複驗未過；但 R13 新開 5 張未結：DEF-087、088、090 為「新開」（程式缺陷，待修復），DEF-089、091 為「待裁定」（規格未定），由條件 1、3 追蹤；91 張中結案 83、非缺陷 3</t>
  </si>
  <si>
    <t xml:space="preserve">所有 `OBSERVE` 都有 owner 裁定，並已改判為 `PASS`／`N/A`／或轉為新功能待排期（後者需在簽核頁寫明不影響結案）</t>
  </si>
  <si>
    <t xml:space="preserve">是：所有 OBSERVE 皆已裁定並改判 PASS——R1 的 6 題、R10 H-05（DEF-085）、R12 G-01／H-02（DEF-086，Owner 2026-09-30 裁定 A）
R13：否——G-01 的 OBSERVE（DEF-089，規格未定）待 Owner 裁定；先前的 OBSERVE（R1 的 6 題、R10 H-05、R12 G-01／H-02）皆已裁定</t>
  </si>
  <si>
    <t xml:space="preserve">最後一輪的 J 組回歸快篩全過，且與上一輪相比零回歸</t>
  </si>
  <si>
    <t xml:space="preserve">是：R12（d2e5e08）J-01～J-06 全過，與 R11 相比零回歸（輪次彙總第 15 列；G-01、H-02 的改變為規格衝突，非回歸）
R13：否——J-06 閘門 pytest 1 failed（DEF-087，e8bcf53 起），與 R12 相比 1 處回歸；J-01～J-05 全過（輪次彙總第 16 列）</t>
  </si>
  <si>
    <t xml:space="preserve">還原檢查清單 R-1～R-10 全部相符（受測環境已回到基準）</t>
  </si>
  <si>
    <t xml:space="preserve">是（依 Owner 2026-09-29 裁定）：R-1～R-10 相符——帳本列數、已實現、現金池與 14 個部位的股數／成本逐字相同；報價與匯率依 E-01／E-10 裁定更新；驗證寫入留在 demo 的資料逐項列於還原檢查 R-9
R13：不適用——依 Owner 2026-10-01 裁定 6B，本輪寫入留在 demo、不做還原檢查（手冊 §10 結案條件 5、§9 第 2 條）；留在 demo 的資料列於交接紀錄第 35 列</t>
  </si>
  <si>
    <t xml:space="preserve">統計（自動）</t>
  </si>
  <si>
    <t xml:space="preserve">總輪次</t>
  </si>
  <si>
    <t xml:space="preserve">測試案例 最終判定 PASS</t>
  </si>
  <si>
    <t xml:space="preserve">測試案例 最終判定 N/A</t>
  </si>
  <si>
    <t xml:space="preserve">測試案例 尚未有最終判定</t>
  </si>
  <si>
    <t xml:space="preserve">缺陷總數</t>
  </si>
  <si>
    <t xml:space="preserve">　其中 高</t>
  </si>
  <si>
    <t xml:space="preserve">　其中 中</t>
  </si>
  <si>
    <t xml:space="preserve">　其中 低</t>
  </si>
  <si>
    <t xml:space="preserve">已結案缺陷</t>
  </si>
  <si>
    <t xml:space="preserve">未結案缺陷（應為 0）</t>
  </si>
  <si>
    <t xml:space="preserve">簽核</t>
  </si>
  <si>
    <t xml:space="preserve">角色</t>
  </si>
  <si>
    <t xml:space="preserve">姓名</t>
  </si>
  <si>
    <t xml:space="preserve">簽署意見</t>
  </si>
  <si>
    <t xml:space="preserve">檢驗方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</si>
  <si>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（驗證者）</t>
    </r>
  </si>
  <si>
    <t xml:space="preserve">同意結案（R12 重新簽署）。最終受測版本 v0.1.28 · d2e5e08：開發者簽署後依 Owner 裁定的三項修改（估算計費、執行花費、單一美元格式）與舊記錄刪除皆經驗證者黑箱與本機驗證、自做變異 10 組全攔；J 組全過、零回歸；整份 120 題 one shot 重跑，G-01、H-02 的規格衝突（DEF-086）經 Owner 裁定 A 改判 PASS，最終 PASS 119／N/A 1；還原檢查依 Owner 2026-09-29 裁定相符。86 張缺陷全數結案或非缺陷。手冊 G-01③、H-02 的期望文字待開發者依裁定同步（只改文件）。本列取代 R11 依 91ec1b0 的簽署</t>
  </si>
  <si>
    <t xml:space="preserve">修復方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</si>
  <si>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（開發者）</t>
    </r>
  </si>
  <si>
    <t xml:space="preserve">同意結案（R12 重新簽署）。最終受測版本 v0.1.28 · d2e5e08（demo 已部署，/api/health 回 commit d2e5e08；prod 與 main 未動）。R11 簽署後依 Owner 2026-09-30 裁定的三項修改（未回報用量記估算、每次執行記下自己的花費、單一美元格式）與 6 筆舊失敗記錄刪除，皆附根因到檔案:行、同類掃描與變異測試（20 組全攔），閘門全綠後才部署 demo 交複驗，並經驗證者 R12 黑箱與本機驗證通過。簽署前已自行由工作簿重算：120 題最終判定 PASS 119／N/A 1（G-10 依手冊僅記錄）、無未裁定的 OBSERVE（G-01、H-02 經 DEF-086 裁定 A 改判 PASS）、86 張缺陷結案 83／非缺陷 3（DEF-006、DEF-018、DEF-086）、輪次彙總累計未結案 R12 為 0、R12 的 J 組全過且零回歸、還原檢查 R-1～R-10 全部相符。d2e5e08 之後只有文件提交（CHANGELOG、LESSONS_LEARNED、本工作簿、手冊 .md）：依 DEF-086 裁定 A 同步 G-01③、H-02 的期望文字（.md 與測試案例 F 欄），程式未再改動。本列取代 R11 依 91ec1b0 的簽署。請 Owner 在下一列依 d2e5e08 重新簽署並填結案日期（第 29 列）</t>
  </si>
  <si>
    <t xml:space="preserve">Owner</t>
  </si>
  <si>
    <t xml:space="preserve">HFL</t>
  </si>
  <si>
    <t xml:space="preserve">同意結案（依 v0.1.28 · d2e5e08）。依 Owner 2026-09-30 在對話中的裁定（交接紀錄第 31 列③），由驗證者代填並經 Owner 2026-10-01 轉交第 32 列指示確認；取代 2026-09-28 依 3a35454 的簽署</t>
  </si>
  <si>
    <t xml:space="preserve">最終受測版本（commit）</t>
  </si>
  <si>
    <t xml:space="preserve">v0.1.28 · d2e5e08</t>
  </si>
  <si>
    <t xml:space="preserve">結案日期</t>
  </si>
  <si>
    <t xml:space="preserve">結論</t>
  </si>
  <si>
    <t xml:space="preserve">已結案（2026-09-30），最終受測版本 v0.1.28 · d2e5e08。三方簽署：檢驗方第 24 列（2026-09-30，依 R12）、修復方第 25 列（2026-09-30，依 d2e5e08）、Owner 第 26 列（2026-09-30，依 d2e5e08；依 Owner 指示由驗證者代填）。結案條件 1～5 全部成立：120 題最終判定 PASS 119／N/A 1；86 張缺陷結案 83、非缺陷 3；所有 OBSERVE 皆已裁定；R12 的 J 組全過、零回歸；還原檢查依 Owner 2026-09-29 裁定相符。結案後的程式改動（交接紀錄第 31 列 Owner 2026-09-30 的 18 題裁定，提交 2fe60ce、e8bcf53、830056c）依 Owner 裁定不走本手冊，改以一般開發流程處理（測試、閘門、部署驗證照做），不另開一輪、不重跑 J 組——md §10「簽署後若再改動程式需重跑 J 組並新增一輪」只適用到結案為止；最終受測版本維持 d2e5e08，demo 頁首顯示較新版本（目前 830056c）屬預期。DEF-057 遺留的新聞彈窗「整理提示詞 vN」已於 2026-10-01 補驗通過（交接紀錄第 33 列）
R13（2026-10-01，上 prod 前在 v0.1.28 · 830056c 整份重跑）：未全數通過——PASS 114／FAIL 3／BLOCKED 1／OBSERVE 1／N/A 1，新開 DEF-087～091（輪次彙總第 16 列、交接紀錄第 35 列）。依 Owner 指示「全部 PASS 後依 R13 改寫第 24 列」，本輪未達，第 24 列維持 R12 依 d2e5e08 的簽署、未依 R13 改寫，第 25、26 列未動。d2e5e08 的結案（2026-09-30）維持為歷史紀錄；830056c 是否可上 prod，待開發者修復 DEF-087／088／090、Owner 裁定 DEF-089／091 與 C-07 的處理後，再一輪複驗（含 J 組），全部 PASS 才依該輪改寫第 24 列</t>
  </si>
  <si>
    <t xml:space="preserve">簽署後若再改動程式，需重跑 J 組回歸快篩並在『輪次彙總』新增一列；受影響的案例回到『待複驗』。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</si>
</sst>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</font>
    <font>
      <i val="true"/>
      <sz val="10"/>
      <name val="Noto Sans CJK SC"/>
      <family val="2"/>
      <charset val="1"/>
    </font>
    <font>
      <i val="true"/>
      <sz val="10"/>
      <name val="Arial"/>
      <family val="0"/>
      <charset val="1"/>
    </font>
    <font>
      <i val="true"/>
      <sz val="10"/>
      <name val="Noto Sans CJK SC"/>
      <family val="2"/>
    </font>
    <font>
      <b val="true"/>
      <sz val="11"/>
      <name val="Arial"/>
      <family val="0"/>
      <charset val="1"/>
    </font>
    <font>
      <b val="true"/>
      <sz val="11"/>
      <name val="Noto Sans CJK SC"/>
      <family val="2"/>
    </font>
    <font>
      <b val="true"/>
      <sz val="10"/>
      <name val="Arial"/>
      <family val="0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2"/>
      <name val="Noto Sans CJK SC"/>
      <family val="2"/>
      <charset val="1"/>
    </font>
    <font>
      <b val="true"/>
      <sz val="13"/>
      <name val="Noto Sans CJK SC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0"/>
  </cols>
  <sheetData>
    <row r="1" customFormat="false" ht="21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/>
      <c r="B2" s="3"/>
    </row>
    <row r="3" customFormat="false" ht="15" hidden="false" customHeight="true" outlineLevel="0" collapsed="false">
      <c r="A3" s="5" t="s">
        <v>1</v>
      </c>
      <c r="B3" s="3" t="s">
        <v>2</v>
      </c>
    </row>
    <row r="4" customFormat="false" ht="15" hidden="false" customHeight="true" outlineLevel="0" collapsed="false">
      <c r="A4" s="5" t="s">
        <v>3</v>
      </c>
      <c r="B4" s="3" t="s">
        <v>4</v>
      </c>
    </row>
    <row r="5" customFormat="false" ht="15" hidden="false" customHeight="true" outlineLevel="0" collapsed="false">
      <c r="A5" s="5" t="s">
        <v>5</v>
      </c>
      <c r="B5" s="3" t="s">
        <v>6</v>
      </c>
    </row>
    <row r="6" customFormat="false" ht="15" hidden="false" customHeight="true" outlineLevel="0" collapsed="false">
      <c r="A6" s="5" t="s">
        <v>7</v>
      </c>
      <c r="B6" s="3" t="s">
        <v>8</v>
      </c>
    </row>
    <row r="7" customFormat="false" ht="15" hidden="false" customHeight="true" outlineLevel="0" collapsed="false">
      <c r="A7" s="5" t="s">
        <v>9</v>
      </c>
      <c r="B7" s="3" t="s">
        <v>10</v>
      </c>
    </row>
    <row r="8" customFormat="false" ht="15" hidden="false" customHeight="true" outlineLevel="0" collapsed="false">
      <c r="A8" s="5" t="s">
        <v>11</v>
      </c>
      <c r="B8" s="6" t="s">
        <v>12</v>
      </c>
    </row>
    <row r="9" customFormat="false" ht="15" hidden="false" customHeight="true" outlineLevel="0" collapsed="false">
      <c r="A9" s="4"/>
      <c r="B9" s="3"/>
    </row>
    <row r="10" customFormat="false" ht="15" hidden="false" customHeight="true" outlineLevel="0" collapsed="false">
      <c r="A10" s="5" t="s">
        <v>13</v>
      </c>
      <c r="B10" s="6" t="s">
        <v>14</v>
      </c>
    </row>
    <row r="11" customFormat="false" ht="15" hidden="false" customHeight="true" outlineLevel="0" collapsed="false">
      <c r="A11" s="5" t="s">
        <v>15</v>
      </c>
      <c r="B11" s="6" t="s">
        <v>16</v>
      </c>
    </row>
    <row r="12" customFormat="false" ht="15" hidden="false" customHeight="true" outlineLevel="0" collapsed="false">
      <c r="A12" s="5" t="s">
        <v>17</v>
      </c>
      <c r="B12" s="6" t="s">
        <v>18</v>
      </c>
    </row>
    <row r="13" customFormat="false" ht="15" hidden="false" customHeight="true" outlineLevel="0" collapsed="false">
      <c r="A13" s="5" t="s">
        <v>19</v>
      </c>
      <c r="B13" s="6" t="s">
        <v>20</v>
      </c>
    </row>
    <row r="14" customFormat="false" ht="15" hidden="false" customHeight="true" outlineLevel="0" collapsed="false">
      <c r="A14" s="5" t="s">
        <v>21</v>
      </c>
      <c r="B14" s="6" t="s">
        <v>22</v>
      </c>
    </row>
    <row r="15" customFormat="false" ht="15" hidden="false" customHeight="true" outlineLevel="0" collapsed="false">
      <c r="A15" s="4"/>
      <c r="B15" s="3"/>
    </row>
    <row r="16" customFormat="false" ht="15" hidden="false" customHeight="true" outlineLevel="0" collapsed="false">
      <c r="A16" s="7" t="s">
        <v>23</v>
      </c>
      <c r="B16" s="3"/>
    </row>
    <row r="17" customFormat="false" ht="29.25" hidden="false" customHeight="true" outlineLevel="0" collapsed="false">
      <c r="A17" s="5" t="s">
        <v>24</v>
      </c>
      <c r="B17" s="6" t="s">
        <v>25</v>
      </c>
    </row>
    <row r="18" customFormat="false" ht="15" hidden="false" customHeight="true" outlineLevel="0" collapsed="false">
      <c r="A18" s="5" t="s">
        <v>26</v>
      </c>
      <c r="B18" s="6" t="s">
        <v>27</v>
      </c>
    </row>
    <row r="19" customFormat="false" ht="15" hidden="false" customHeight="true" outlineLevel="0" collapsed="false">
      <c r="A19" s="4" t="s">
        <v>28</v>
      </c>
      <c r="B19" s="6" t="s">
        <v>29</v>
      </c>
    </row>
    <row r="20" customFormat="false" ht="15" hidden="false" customHeight="true" outlineLevel="0" collapsed="false">
      <c r="A20" s="4"/>
      <c r="B20" s="3"/>
    </row>
    <row r="21" customFormat="false" ht="29.25" hidden="false" customHeight="true" outlineLevel="0" collapsed="false">
      <c r="A21" s="5" t="s">
        <v>30</v>
      </c>
      <c r="B21" s="6" t="s">
        <v>31</v>
      </c>
    </row>
    <row r="22" customFormat="false" ht="29.25" hidden="false" customHeight="true" outlineLevel="0" collapsed="false">
      <c r="A22" s="5" t="s">
        <v>32</v>
      </c>
      <c r="B22" s="6" t="s">
        <v>33</v>
      </c>
    </row>
    <row r="23" customFormat="false" ht="15" hidden="false" customHeight="true" outlineLevel="0" collapsed="false">
      <c r="A23" s="4"/>
      <c r="B23" s="3"/>
    </row>
    <row r="24" customFormat="false" ht="15" hidden="false" customHeight="true" outlineLevel="0" collapsed="false">
      <c r="A24" s="7" t="s">
        <v>34</v>
      </c>
      <c r="B24" s="3"/>
    </row>
    <row r="25" customFormat="false" ht="15" hidden="false" customHeight="true" outlineLevel="0" collapsed="false">
      <c r="A25" s="5" t="s">
        <v>35</v>
      </c>
      <c r="B25" s="6" t="s">
        <v>36</v>
      </c>
    </row>
    <row r="26" customFormat="false" ht="15" hidden="false" customHeight="true" outlineLevel="0" collapsed="false">
      <c r="A26" s="4" t="s">
        <v>37</v>
      </c>
      <c r="B26" s="6" t="s">
        <v>38</v>
      </c>
    </row>
    <row r="27" customFormat="false" ht="15" hidden="false" customHeight="true" outlineLevel="0" collapsed="false">
      <c r="A27" s="4" t="s">
        <v>39</v>
      </c>
      <c r="B27" s="6" t="s">
        <v>40</v>
      </c>
    </row>
    <row r="28" customFormat="false" ht="15" hidden="false" customHeight="true" outlineLevel="0" collapsed="false">
      <c r="A28" s="4" t="s">
        <v>41</v>
      </c>
      <c r="B28" s="6" t="s">
        <v>42</v>
      </c>
    </row>
    <row r="29" customFormat="false" ht="15" hidden="false" customHeight="true" outlineLevel="0" collapsed="false">
      <c r="A29" s="4" t="s">
        <v>43</v>
      </c>
      <c r="B29" s="6" t="s">
        <v>44</v>
      </c>
    </row>
    <row r="30" customFormat="false" ht="15" hidden="false" customHeight="true" outlineLevel="0" collapsed="false">
      <c r="A30" s="4" t="s">
        <v>45</v>
      </c>
      <c r="B30" s="6" t="s">
        <v>46</v>
      </c>
    </row>
    <row r="31" customFormat="false" ht="15" hidden="false" customHeight="true" outlineLevel="0" collapsed="false">
      <c r="A31" s="5" t="s">
        <v>47</v>
      </c>
      <c r="B31" s="6" t="s">
        <v>48</v>
      </c>
    </row>
    <row r="32" customFormat="false" ht="15" hidden="false" customHeight="true" outlineLevel="0" collapsed="false">
      <c r="A32" s="5" t="s">
        <v>49</v>
      </c>
      <c r="B32" s="6" t="s">
        <v>50</v>
      </c>
    </row>
    <row r="33" customFormat="false" ht="15" hidden="false" customHeight="true" outlineLevel="0" collapsed="false">
      <c r="A33" s="5" t="s">
        <v>51</v>
      </c>
      <c r="B33" s="6" t="s">
        <v>52</v>
      </c>
    </row>
    <row r="34" customFormat="false" ht="15" hidden="false" customHeight="true" outlineLevel="0" collapsed="false">
      <c r="A34" s="5" t="s">
        <v>53</v>
      </c>
      <c r="B34" s="6" t="s">
        <v>54</v>
      </c>
    </row>
    <row r="35" customFormat="false" ht="15" hidden="false" customHeight="true" outlineLevel="0" collapsed="false">
      <c r="A35" s="4"/>
      <c r="B35" s="3"/>
    </row>
    <row r="36" customFormat="false" ht="15" hidden="false" customHeight="true" outlineLevel="0" collapsed="false">
      <c r="A36" s="5" t="s">
        <v>55</v>
      </c>
      <c r="B36" s="6" t="s">
        <v>56</v>
      </c>
    </row>
    <row r="37" customFormat="false" ht="15" hidden="false" customHeight="true" outlineLevel="0" collapsed="false">
      <c r="A37" s="4" t="s">
        <v>57</v>
      </c>
      <c r="B37" s="6" t="s">
        <v>58</v>
      </c>
    </row>
    <row r="38" customFormat="false" ht="29.25" hidden="false" customHeight="true" outlineLevel="0" collapsed="false">
      <c r="A38" s="4" t="s">
        <v>59</v>
      </c>
      <c r="B38" s="6" t="s">
        <v>60</v>
      </c>
    </row>
    <row r="39" customFormat="false" ht="29.25" hidden="false" customHeight="true" outlineLevel="0" collapsed="false">
      <c r="A39" s="4" t="s">
        <v>61</v>
      </c>
      <c r="B39" s="6" t="s">
        <v>62</v>
      </c>
    </row>
    <row r="40" customFormat="false" ht="15" hidden="false" customHeight="true" outlineLevel="0" collapsed="false">
      <c r="A40" s="4" t="s">
        <v>63</v>
      </c>
      <c r="B40" s="6" t="s">
        <v>64</v>
      </c>
    </row>
    <row r="41" customFormat="false" ht="29.25" hidden="false" customHeight="true" outlineLevel="0" collapsed="false">
      <c r="A41" s="5" t="s">
        <v>65</v>
      </c>
      <c r="B41" s="6" t="s">
        <v>66</v>
      </c>
    </row>
    <row r="42" customFormat="false" ht="15" hidden="false" customHeight="true" outlineLevel="0" collapsed="false">
      <c r="A42" s="4"/>
      <c r="B42" s="3"/>
    </row>
    <row r="43" customFormat="false" ht="15" hidden="false" customHeight="true" outlineLevel="0" collapsed="false">
      <c r="A43" s="7" t="s">
        <v>67</v>
      </c>
      <c r="B43" s="3"/>
    </row>
    <row r="44" customFormat="false" ht="15" hidden="false" customHeight="true" outlineLevel="0" collapsed="false">
      <c r="A44" s="5" t="s">
        <v>68</v>
      </c>
      <c r="B44" s="6" t="s">
        <v>69</v>
      </c>
    </row>
    <row r="45" customFormat="false" ht="15" hidden="false" customHeight="true" outlineLevel="0" collapsed="false">
      <c r="A45" s="5" t="s">
        <v>70</v>
      </c>
      <c r="B45" s="6" t="s">
        <v>71</v>
      </c>
    </row>
    <row r="46" customFormat="false" ht="15" hidden="false" customHeight="true" outlineLevel="0" collapsed="false">
      <c r="A46" s="5" t="s">
        <v>72</v>
      </c>
      <c r="B46" s="6" t="s">
        <v>73</v>
      </c>
    </row>
    <row r="47" customFormat="false" ht="15" hidden="false" customHeight="true" outlineLevel="0" collapsed="false">
      <c r="A47" s="4"/>
      <c r="B47" s="3"/>
    </row>
    <row r="48" customFormat="false" ht="15" hidden="false" customHeight="true" outlineLevel="0" collapsed="false">
      <c r="A48" s="7" t="s">
        <v>74</v>
      </c>
      <c r="B48" s="3"/>
    </row>
    <row r="49" customFormat="false" ht="15" hidden="false" customHeight="true" outlineLevel="0" collapsed="false">
      <c r="A49" s="5" t="s">
        <v>75</v>
      </c>
      <c r="B49" s="6" t="s">
        <v>76</v>
      </c>
    </row>
    <row r="50" customFormat="false" ht="15" hidden="false" customHeight="true" outlineLevel="0" collapsed="false">
      <c r="A50" s="5" t="s">
        <v>77</v>
      </c>
      <c r="B50" s="6" t="s">
        <v>78</v>
      </c>
    </row>
    <row r="51" customFormat="false" ht="15" hidden="false" customHeight="true" outlineLevel="0" collapsed="false">
      <c r="A51" s="5" t="s">
        <v>79</v>
      </c>
      <c r="B51" s="6" t="s">
        <v>80</v>
      </c>
    </row>
    <row r="52" customFormat="false" ht="15" hidden="false" customHeight="true" outlineLevel="0" collapsed="false">
      <c r="A52" s="5" t="s">
        <v>81</v>
      </c>
      <c r="B52" s="6" t="s">
        <v>82</v>
      </c>
    </row>
    <row r="53" customFormat="false" ht="15" hidden="false" customHeight="true" outlineLevel="0" collapsed="false">
      <c r="A53" s="5" t="s">
        <v>83</v>
      </c>
      <c r="B53" s="6" t="s">
        <v>84</v>
      </c>
    </row>
    <row r="54" customFormat="false" ht="15" hidden="false" customHeight="true" outlineLevel="0" collapsed="false">
      <c r="A54" s="4"/>
      <c r="B54" s="3"/>
    </row>
    <row r="55" customFormat="false" ht="15" hidden="false" customHeight="true" outlineLevel="0" collapsed="false">
      <c r="A55" s="7" t="s">
        <v>85</v>
      </c>
      <c r="B55" s="3"/>
    </row>
    <row r="56" customFormat="false" ht="29.25" hidden="false" customHeight="true" outlineLevel="0" collapsed="false">
      <c r="A56" s="4" t="s">
        <v>86</v>
      </c>
      <c r="B56" s="6" t="s">
        <v>87</v>
      </c>
    </row>
    <row r="57" customFormat="false" ht="15" hidden="false" customHeight="true" outlineLevel="0" collapsed="false">
      <c r="A57" s="4" t="s">
        <v>88</v>
      </c>
      <c r="B57" s="6" t="s">
        <v>89</v>
      </c>
    </row>
    <row r="58" customFormat="false" ht="15" hidden="false" customHeight="true" outlineLevel="0" collapsed="false">
      <c r="A58" s="4" t="s">
        <v>90</v>
      </c>
      <c r="B58" s="6" t="s">
        <v>91</v>
      </c>
    </row>
    <row r="59" customFormat="false" ht="15" hidden="false" customHeight="true" outlineLevel="0" collapsed="false">
      <c r="A59" s="4" t="s">
        <v>92</v>
      </c>
      <c r="B59" s="6" t="s">
        <v>93</v>
      </c>
    </row>
    <row r="60" customFormat="false" ht="15" hidden="false" customHeight="true" outlineLevel="0" collapsed="false">
      <c r="A60" s="4" t="s">
        <v>94</v>
      </c>
      <c r="B60" s="3" t="s">
        <v>95</v>
      </c>
    </row>
    <row r="61" customFormat="false" ht="15" hidden="false" customHeight="true" outlineLevel="0" collapsed="false">
      <c r="A61" s="4" t="s">
        <v>96</v>
      </c>
      <c r="B61" s="6" t="s">
        <v>97</v>
      </c>
    </row>
    <row r="62" customFormat="false" ht="15" hidden="false" customHeight="true" outlineLevel="0" collapsed="false">
      <c r="A62" s="4" t="s">
        <v>98</v>
      </c>
      <c r="B62" s="6" t="s">
        <v>99</v>
      </c>
    </row>
    <row r="63" customFormat="false" ht="15" hidden="false" customHeight="true" outlineLevel="0" collapsed="false">
      <c r="A63" s="4" t="s">
        <v>100</v>
      </c>
      <c r="B63" s="6" t="s">
        <v>101</v>
      </c>
    </row>
    <row r="64" customFormat="false" ht="15" hidden="false" customHeight="true" outlineLevel="0" collapsed="false">
      <c r="A64" s="4" t="s">
        <v>102</v>
      </c>
      <c r="B64" s="6" t="s">
        <v>103</v>
      </c>
    </row>
    <row r="65" customFormat="false" ht="15" hidden="false" customHeight="true" outlineLevel="0" collapsed="false">
      <c r="A65" s="4"/>
      <c r="B65" s="3"/>
    </row>
    <row r="66" customFormat="false" ht="15" hidden="false" customHeight="true" outlineLevel="0" collapsed="false">
      <c r="A66" s="7" t="s">
        <v>104</v>
      </c>
      <c r="B66" s="3"/>
    </row>
    <row r="67" customFormat="false" ht="15" hidden="false" customHeight="true" outlineLevel="0" collapsed="false">
      <c r="A67" s="5" t="s">
        <v>105</v>
      </c>
      <c r="B67" s="3" t="s">
        <v>106</v>
      </c>
    </row>
    <row r="68" customFormat="false" ht="15" hidden="false" customHeight="true" outlineLevel="0" collapsed="false">
      <c r="A68" s="5" t="s">
        <v>107</v>
      </c>
      <c r="B68" s="6" t="s">
        <v>108</v>
      </c>
    </row>
    <row r="69" customFormat="false" ht="15" hidden="false" customHeight="true" outlineLevel="0" collapsed="false">
      <c r="A69" s="5" t="s">
        <v>109</v>
      </c>
      <c r="B69" s="6" t="s">
        <v>110</v>
      </c>
    </row>
    <row r="70" customFormat="false" ht="15" hidden="false" customHeight="true" outlineLevel="0" collapsed="false">
      <c r="A70" s="5" t="s">
        <v>111</v>
      </c>
      <c r="B70" s="6" t="s">
        <v>112</v>
      </c>
    </row>
    <row r="71" customFormat="false" ht="15" hidden="false" customHeight="true" outlineLevel="0" collapsed="false">
      <c r="A71" s="5" t="s">
        <v>113</v>
      </c>
      <c r="B71" s="6" t="s">
        <v>114</v>
      </c>
    </row>
    <row r="72" customFormat="false" ht="15" hidden="false" customHeight="true" outlineLevel="0" collapsed="false">
      <c r="A72" s="5" t="s">
        <v>115</v>
      </c>
      <c r="B72" s="3" t="s">
        <v>116</v>
      </c>
    </row>
    <row r="73" customFormat="false" ht="15" hidden="false" customHeight="true" outlineLevel="0" collapsed="false">
      <c r="A73" s="5" t="s">
        <v>117</v>
      </c>
      <c r="B73" s="3" t="s">
        <v>118</v>
      </c>
    </row>
    <row r="74" customFormat="false" ht="15" hidden="false" customHeight="true" outlineLevel="0" collapsed="false">
      <c r="A74" s="4" t="s">
        <v>119</v>
      </c>
      <c r="B74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"/>
    <col collapsed="false" customWidth="true" hidden="false" outlineLevel="0" max="3" min="3" style="1" width="20"/>
    <col collapsed="false" customWidth="true" hidden="false" outlineLevel="0" max="4" min="4" style="1" width="26"/>
    <col collapsed="false" customWidth="true" hidden="false" outlineLevel="0" max="5" min="5" style="1" width="36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11"/>
    <col collapsed="false" customWidth="true" hidden="false" outlineLevel="0" max="9" min="9" style="1" width="34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20"/>
  </cols>
  <sheetData>
    <row r="1" customFormat="false" ht="31.5" hidden="false" customHeight="true" outlineLevel="0" collapsed="false">
      <c r="A1" s="8" t="s">
        <v>121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8" t="s">
        <v>129</v>
      </c>
      <c r="J1" s="8" t="s">
        <v>130</v>
      </c>
      <c r="K1" s="9" t="s">
        <v>131</v>
      </c>
      <c r="L1" s="9" t="s">
        <v>132</v>
      </c>
      <c r="M1" s="9" t="s">
        <v>133</v>
      </c>
      <c r="N1" s="9" t="s">
        <v>134</v>
      </c>
    </row>
    <row r="2" customFormat="false" ht="43.5" hidden="false" customHeight="true" outlineLevel="0" collapsed="false">
      <c r="A2" s="10" t="s">
        <v>135</v>
      </c>
      <c r="B2" s="11" t="s">
        <v>136</v>
      </c>
      <c r="C2" s="10" t="s">
        <v>137</v>
      </c>
      <c r="D2" s="11" t="s">
        <v>136</v>
      </c>
      <c r="E2" s="11" t="s">
        <v>136</v>
      </c>
      <c r="F2" s="11" t="s">
        <v>136</v>
      </c>
      <c r="G2" s="11" t="s">
        <v>136</v>
      </c>
      <c r="H2" s="11" t="s">
        <v>136</v>
      </c>
      <c r="I2" s="11" t="s">
        <v>138</v>
      </c>
      <c r="J2" s="11" t="s">
        <v>39</v>
      </c>
      <c r="K2" s="11" t="s">
        <v>139</v>
      </c>
      <c r="L2" s="10" t="s">
        <v>53</v>
      </c>
      <c r="M2" s="11" t="s">
        <v>37</v>
      </c>
      <c r="N2" s="11" t="s">
        <v>140</v>
      </c>
    </row>
    <row r="3" customFormat="false" ht="16.5" hidden="false" customHeight="true" outlineLevel="0" collapsed="false">
      <c r="A3" s="12" t="s">
        <v>141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customFormat="false" ht="57.75" hidden="false" customHeight="true" outlineLevel="0" collapsed="false">
      <c r="A4" s="13" t="s">
        <v>142</v>
      </c>
      <c r="B4" s="14" t="s">
        <v>143</v>
      </c>
      <c r="C4" s="15" t="s">
        <v>144</v>
      </c>
      <c r="D4" s="15" t="s">
        <v>145</v>
      </c>
      <c r="E4" s="15" t="s">
        <v>146</v>
      </c>
      <c r="F4" s="15" t="s">
        <v>147</v>
      </c>
      <c r="G4" s="15" t="s">
        <v>148</v>
      </c>
      <c r="H4" s="15" t="s">
        <v>149</v>
      </c>
      <c r="I4" s="16" t="s">
        <v>150</v>
      </c>
      <c r="J4" s="17" t="s">
        <v>45</v>
      </c>
      <c r="K4" s="17" t="s">
        <v>151</v>
      </c>
      <c r="L4" s="16" t="s">
        <v>53</v>
      </c>
      <c r="M4" s="17" t="s">
        <v>37</v>
      </c>
      <c r="N4" s="17" t="s">
        <v>152</v>
      </c>
    </row>
    <row r="5" customFormat="false" ht="57.75" hidden="false" customHeight="true" outlineLevel="0" collapsed="false">
      <c r="A5" s="13" t="s">
        <v>153</v>
      </c>
      <c r="B5" s="14" t="s">
        <v>143</v>
      </c>
      <c r="C5" s="15" t="s">
        <v>154</v>
      </c>
      <c r="D5" s="15" t="s">
        <v>155</v>
      </c>
      <c r="E5" s="15" t="s">
        <v>156</v>
      </c>
      <c r="F5" s="14" t="s">
        <v>157</v>
      </c>
      <c r="G5" s="15" t="s">
        <v>158</v>
      </c>
      <c r="H5" s="15" t="s">
        <v>149</v>
      </c>
      <c r="I5" s="16" t="s">
        <v>159</v>
      </c>
      <c r="J5" s="17" t="s">
        <v>39</v>
      </c>
      <c r="K5" s="17" t="s">
        <v>160</v>
      </c>
      <c r="L5" s="16" t="s">
        <v>53</v>
      </c>
      <c r="M5" s="17" t="s">
        <v>37</v>
      </c>
      <c r="N5" s="16" t="s">
        <v>161</v>
      </c>
    </row>
    <row r="6" customFormat="false" ht="29.25" hidden="false" customHeight="true" outlineLevel="0" collapsed="false">
      <c r="A6" s="13" t="s">
        <v>162</v>
      </c>
      <c r="B6" s="14" t="s">
        <v>143</v>
      </c>
      <c r="C6" s="15" t="s">
        <v>163</v>
      </c>
      <c r="D6" s="15" t="s">
        <v>164</v>
      </c>
      <c r="E6" s="15" t="s">
        <v>165</v>
      </c>
      <c r="F6" s="15" t="s">
        <v>166</v>
      </c>
      <c r="G6" s="15" t="s">
        <v>167</v>
      </c>
      <c r="H6" s="15" t="s">
        <v>149</v>
      </c>
      <c r="I6" s="16" t="s">
        <v>168</v>
      </c>
      <c r="J6" s="17" t="s">
        <v>37</v>
      </c>
      <c r="K6" s="17"/>
      <c r="L6" s="16" t="s">
        <v>37</v>
      </c>
      <c r="M6" s="17" t="s">
        <v>37</v>
      </c>
      <c r="N6" s="16" t="s">
        <v>169</v>
      </c>
    </row>
    <row r="7" customFormat="false" ht="29.25" hidden="false" customHeight="true" outlineLevel="0" collapsed="false">
      <c r="A7" s="13" t="s">
        <v>170</v>
      </c>
      <c r="B7" s="14" t="s">
        <v>143</v>
      </c>
      <c r="C7" s="15" t="s">
        <v>171</v>
      </c>
      <c r="D7" s="15" t="s">
        <v>172</v>
      </c>
      <c r="E7" s="15" t="s">
        <v>173</v>
      </c>
      <c r="F7" s="15" t="s">
        <v>174</v>
      </c>
      <c r="G7" s="15" t="s">
        <v>175</v>
      </c>
      <c r="H7" s="15" t="s">
        <v>149</v>
      </c>
      <c r="I7" s="16" t="s">
        <v>176</v>
      </c>
      <c r="J7" s="17" t="s">
        <v>37</v>
      </c>
      <c r="K7" s="17"/>
      <c r="L7" s="16" t="s">
        <v>37</v>
      </c>
      <c r="M7" s="17" t="s">
        <v>37</v>
      </c>
      <c r="N7" s="17" t="s">
        <v>177</v>
      </c>
    </row>
    <row r="8" customFormat="false" ht="43.5" hidden="false" customHeight="true" outlineLevel="0" collapsed="false">
      <c r="A8" s="13" t="s">
        <v>178</v>
      </c>
      <c r="B8" s="14" t="s">
        <v>143</v>
      </c>
      <c r="C8" s="15" t="s">
        <v>179</v>
      </c>
      <c r="D8" s="15" t="s">
        <v>180</v>
      </c>
      <c r="E8" s="15" t="s">
        <v>181</v>
      </c>
      <c r="F8" s="15" t="s">
        <v>182</v>
      </c>
      <c r="G8" s="15" t="s">
        <v>183</v>
      </c>
      <c r="H8" s="15" t="s">
        <v>149</v>
      </c>
      <c r="I8" s="16" t="s">
        <v>184</v>
      </c>
      <c r="J8" s="17" t="s">
        <v>39</v>
      </c>
      <c r="K8" s="17" t="s">
        <v>185</v>
      </c>
      <c r="L8" s="16" t="s">
        <v>53</v>
      </c>
      <c r="M8" s="17" t="s">
        <v>37</v>
      </c>
      <c r="N8" s="16" t="s">
        <v>186</v>
      </c>
    </row>
    <row r="9" customFormat="false" ht="29.25" hidden="false" customHeight="true" outlineLevel="0" collapsed="false">
      <c r="A9" s="13" t="s">
        <v>187</v>
      </c>
      <c r="B9" s="14" t="s">
        <v>143</v>
      </c>
      <c r="C9" s="15" t="s">
        <v>188</v>
      </c>
      <c r="D9" s="15" t="s">
        <v>189</v>
      </c>
      <c r="E9" s="15" t="s">
        <v>190</v>
      </c>
      <c r="F9" s="15" t="s">
        <v>191</v>
      </c>
      <c r="G9" s="15" t="s">
        <v>192</v>
      </c>
      <c r="H9" s="15" t="s">
        <v>149</v>
      </c>
      <c r="I9" s="16" t="s">
        <v>193</v>
      </c>
      <c r="J9" s="17" t="s">
        <v>37</v>
      </c>
      <c r="K9" s="17" t="s">
        <v>194</v>
      </c>
      <c r="L9" s="16" t="s">
        <v>39</v>
      </c>
      <c r="M9" s="17"/>
      <c r="N9" s="16" t="s">
        <v>195</v>
      </c>
    </row>
    <row r="10" customFormat="false" ht="43.5" hidden="false" customHeight="true" outlineLevel="0" collapsed="false">
      <c r="A10" s="13" t="s">
        <v>196</v>
      </c>
      <c r="B10" s="14" t="s">
        <v>143</v>
      </c>
      <c r="C10" s="15" t="s">
        <v>197</v>
      </c>
      <c r="D10" s="14" t="s">
        <v>136</v>
      </c>
      <c r="E10" s="15" t="s">
        <v>198</v>
      </c>
      <c r="F10" s="15" t="s">
        <v>199</v>
      </c>
      <c r="G10" s="15" t="s">
        <v>175</v>
      </c>
      <c r="H10" s="15" t="s">
        <v>200</v>
      </c>
      <c r="I10" s="16" t="s">
        <v>201</v>
      </c>
      <c r="J10" s="17" t="s">
        <v>37</v>
      </c>
      <c r="K10" s="17"/>
      <c r="L10" s="16" t="s">
        <v>37</v>
      </c>
      <c r="M10" s="17" t="s">
        <v>37</v>
      </c>
      <c r="N10" s="17" t="s">
        <v>202</v>
      </c>
    </row>
    <row r="11" customFormat="false" ht="29.25" hidden="false" customHeight="true" outlineLevel="0" collapsed="false">
      <c r="A11" s="13" t="s">
        <v>203</v>
      </c>
      <c r="B11" s="14" t="s">
        <v>143</v>
      </c>
      <c r="C11" s="15" t="s">
        <v>204</v>
      </c>
      <c r="D11" s="14" t="s">
        <v>136</v>
      </c>
      <c r="E11" s="15" t="s">
        <v>205</v>
      </c>
      <c r="F11" s="15" t="s">
        <v>206</v>
      </c>
      <c r="G11" s="15" t="s">
        <v>175</v>
      </c>
      <c r="H11" s="15" t="s">
        <v>149</v>
      </c>
      <c r="I11" s="16" t="s">
        <v>207</v>
      </c>
      <c r="J11" s="17" t="s">
        <v>37</v>
      </c>
      <c r="K11" s="17"/>
      <c r="L11" s="16" t="s">
        <v>37</v>
      </c>
      <c r="M11" s="17" t="s">
        <v>37</v>
      </c>
      <c r="N11" s="17" t="s">
        <v>208</v>
      </c>
    </row>
    <row r="12" customFormat="false" ht="29.25" hidden="false" customHeight="true" outlineLevel="0" collapsed="false">
      <c r="A12" s="13" t="s">
        <v>209</v>
      </c>
      <c r="B12" s="14" t="s">
        <v>143</v>
      </c>
      <c r="C12" s="15" t="s">
        <v>210</v>
      </c>
      <c r="D12" s="14" t="s">
        <v>136</v>
      </c>
      <c r="E12" s="15" t="s">
        <v>211</v>
      </c>
      <c r="F12" s="15" t="s">
        <v>212</v>
      </c>
      <c r="G12" s="15" t="s">
        <v>175</v>
      </c>
      <c r="H12" s="15" t="s">
        <v>149</v>
      </c>
      <c r="I12" s="16" t="s">
        <v>213</v>
      </c>
      <c r="J12" s="17" t="s">
        <v>37</v>
      </c>
      <c r="K12" s="17"/>
      <c r="L12" s="16" t="s">
        <v>37</v>
      </c>
      <c r="M12" s="17" t="s">
        <v>37</v>
      </c>
      <c r="N12" s="17" t="s">
        <v>214</v>
      </c>
    </row>
    <row r="13" customFormat="false" ht="43.5" hidden="false" customHeight="true" outlineLevel="0" collapsed="false">
      <c r="A13" s="13" t="s">
        <v>215</v>
      </c>
      <c r="B13" s="14" t="s">
        <v>143</v>
      </c>
      <c r="C13" s="15" t="s">
        <v>216</v>
      </c>
      <c r="D13" s="14" t="s">
        <v>136</v>
      </c>
      <c r="E13" s="15" t="s">
        <v>217</v>
      </c>
      <c r="F13" s="15" t="s">
        <v>218</v>
      </c>
      <c r="G13" s="15" t="s">
        <v>175</v>
      </c>
      <c r="H13" s="15" t="s">
        <v>149</v>
      </c>
      <c r="I13" s="16" t="s">
        <v>219</v>
      </c>
      <c r="J13" s="17" t="s">
        <v>37</v>
      </c>
      <c r="K13" s="17"/>
      <c r="L13" s="16" t="s">
        <v>37</v>
      </c>
      <c r="M13" s="17" t="s">
        <v>37</v>
      </c>
      <c r="N13" s="16" t="s">
        <v>220</v>
      </c>
    </row>
    <row r="14" customFormat="false" ht="29.25" hidden="false" customHeight="true" outlineLevel="0" collapsed="false">
      <c r="A14" s="13" t="s">
        <v>221</v>
      </c>
      <c r="B14" s="14" t="s">
        <v>143</v>
      </c>
      <c r="C14" s="15" t="s">
        <v>222</v>
      </c>
      <c r="D14" s="15" t="s">
        <v>223</v>
      </c>
      <c r="E14" s="15" t="s">
        <v>224</v>
      </c>
      <c r="F14" s="15" t="s">
        <v>225</v>
      </c>
      <c r="G14" s="15" t="s">
        <v>226</v>
      </c>
      <c r="H14" s="15" t="s">
        <v>149</v>
      </c>
      <c r="I14" s="16" t="s">
        <v>227</v>
      </c>
      <c r="J14" s="17" t="s">
        <v>45</v>
      </c>
      <c r="K14" s="17" t="s">
        <v>228</v>
      </c>
      <c r="L14" s="16" t="s">
        <v>53</v>
      </c>
      <c r="M14" s="17" t="s">
        <v>37</v>
      </c>
      <c r="N14" s="16" t="s">
        <v>229</v>
      </c>
    </row>
    <row r="15" customFormat="false" ht="29.25" hidden="false" customHeight="true" outlineLevel="0" collapsed="false">
      <c r="A15" s="13" t="s">
        <v>230</v>
      </c>
      <c r="B15" s="14" t="s">
        <v>143</v>
      </c>
      <c r="C15" s="15" t="s">
        <v>231</v>
      </c>
      <c r="D15" s="14" t="s">
        <v>136</v>
      </c>
      <c r="E15" s="15" t="s">
        <v>232</v>
      </c>
      <c r="F15" s="15" t="s">
        <v>233</v>
      </c>
      <c r="G15" s="15" t="s">
        <v>234</v>
      </c>
      <c r="H15" s="15" t="s">
        <v>235</v>
      </c>
      <c r="I15" s="16" t="s">
        <v>236</v>
      </c>
      <c r="J15" s="17" t="s">
        <v>37</v>
      </c>
      <c r="K15" s="17"/>
      <c r="L15" s="16" t="s">
        <v>37</v>
      </c>
      <c r="M15" s="17" t="s">
        <v>37</v>
      </c>
      <c r="N15" s="16" t="s">
        <v>237</v>
      </c>
    </row>
    <row r="16" customFormat="false" ht="57.75" hidden="false" customHeight="true" outlineLevel="0" collapsed="false">
      <c r="A16" s="13" t="s">
        <v>238</v>
      </c>
      <c r="B16" s="14" t="s">
        <v>143</v>
      </c>
      <c r="C16" s="15" t="s">
        <v>239</v>
      </c>
      <c r="D16" s="15" t="s">
        <v>240</v>
      </c>
      <c r="E16" s="15" t="s">
        <v>241</v>
      </c>
      <c r="F16" s="14" t="s">
        <v>242</v>
      </c>
      <c r="G16" s="15" t="s">
        <v>243</v>
      </c>
      <c r="H16" s="15" t="s">
        <v>244</v>
      </c>
      <c r="I16" s="16" t="s">
        <v>245</v>
      </c>
      <c r="J16" s="17" t="s">
        <v>37</v>
      </c>
      <c r="K16" s="17"/>
      <c r="L16" s="16" t="s">
        <v>37</v>
      </c>
      <c r="M16" s="17" t="s">
        <v>37</v>
      </c>
      <c r="N16" s="17" t="s">
        <v>246</v>
      </c>
    </row>
    <row r="17" customFormat="false" ht="29.25" hidden="false" customHeight="true" outlineLevel="0" collapsed="false">
      <c r="A17" s="13" t="s">
        <v>247</v>
      </c>
      <c r="B17" s="14" t="s">
        <v>143</v>
      </c>
      <c r="C17" s="15" t="s">
        <v>248</v>
      </c>
      <c r="D17" s="14" t="s">
        <v>136</v>
      </c>
      <c r="E17" s="15" t="s">
        <v>249</v>
      </c>
      <c r="F17" s="15" t="s">
        <v>250</v>
      </c>
      <c r="G17" s="15" t="s">
        <v>251</v>
      </c>
      <c r="H17" s="15" t="s">
        <v>252</v>
      </c>
      <c r="I17" s="16" t="s">
        <v>253</v>
      </c>
      <c r="J17" s="17" t="s">
        <v>37</v>
      </c>
      <c r="K17" s="17"/>
      <c r="L17" s="16" t="s">
        <v>37</v>
      </c>
      <c r="M17" s="17" t="s">
        <v>37</v>
      </c>
      <c r="N17" s="16" t="s">
        <v>254</v>
      </c>
    </row>
    <row r="18" customFormat="false" ht="57.75" hidden="false" customHeight="true" outlineLevel="0" collapsed="false">
      <c r="A18" s="13" t="s">
        <v>255</v>
      </c>
      <c r="B18" s="14" t="s">
        <v>143</v>
      </c>
      <c r="C18" s="15" t="s">
        <v>256</v>
      </c>
      <c r="D18" s="15" t="s">
        <v>257</v>
      </c>
      <c r="E18" s="15" t="s">
        <v>258</v>
      </c>
      <c r="F18" s="15" t="s">
        <v>259</v>
      </c>
      <c r="G18" s="15" t="s">
        <v>251</v>
      </c>
      <c r="H18" s="15" t="s">
        <v>252</v>
      </c>
      <c r="I18" s="16" t="s">
        <v>260</v>
      </c>
      <c r="J18" s="17" t="s">
        <v>37</v>
      </c>
      <c r="K18" s="17"/>
      <c r="L18" s="16" t="s">
        <v>37</v>
      </c>
      <c r="M18" s="17" t="s">
        <v>37</v>
      </c>
      <c r="N18" s="16" t="s">
        <v>261</v>
      </c>
    </row>
    <row r="19" customFormat="false" ht="29.25" hidden="false" customHeight="true" outlineLevel="0" collapsed="false">
      <c r="A19" s="13" t="s">
        <v>262</v>
      </c>
      <c r="B19" s="14" t="s">
        <v>143</v>
      </c>
      <c r="C19" s="15" t="s">
        <v>263</v>
      </c>
      <c r="D19" s="15" t="s">
        <v>264</v>
      </c>
      <c r="E19" s="15" t="s">
        <v>265</v>
      </c>
      <c r="F19" s="15" t="s">
        <v>266</v>
      </c>
      <c r="G19" s="15" t="s">
        <v>267</v>
      </c>
      <c r="H19" s="15" t="s">
        <v>149</v>
      </c>
      <c r="I19" s="16" t="s">
        <v>268</v>
      </c>
      <c r="J19" s="17" t="s">
        <v>37</v>
      </c>
      <c r="K19" s="17" t="s">
        <v>269</v>
      </c>
      <c r="L19" s="16" t="s">
        <v>53</v>
      </c>
      <c r="M19" s="17" t="s">
        <v>37</v>
      </c>
      <c r="N19" s="16" t="s">
        <v>270</v>
      </c>
    </row>
    <row r="20" customFormat="false" ht="16.5" hidden="false" customHeight="true" outlineLevel="0" collapsed="false">
      <c r="A20" s="12" t="s">
        <v>271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customFormat="false" ht="57.75" hidden="false" customHeight="true" outlineLevel="0" collapsed="false">
      <c r="A21" s="13" t="s">
        <v>272</v>
      </c>
      <c r="B21" s="14" t="s">
        <v>273</v>
      </c>
      <c r="C21" s="15" t="s">
        <v>274</v>
      </c>
      <c r="D21" s="15" t="s">
        <v>275</v>
      </c>
      <c r="E21" s="15" t="s">
        <v>276</v>
      </c>
      <c r="F21" s="15" t="s">
        <v>277</v>
      </c>
      <c r="G21" s="15" t="s">
        <v>278</v>
      </c>
      <c r="H21" s="15" t="s">
        <v>279</v>
      </c>
      <c r="I21" s="16" t="s">
        <v>280</v>
      </c>
      <c r="J21" s="17" t="s">
        <v>37</v>
      </c>
      <c r="K21" s="17"/>
      <c r="L21" s="16" t="s">
        <v>37</v>
      </c>
      <c r="M21" s="17" t="s">
        <v>37</v>
      </c>
      <c r="N21" s="17" t="s">
        <v>281</v>
      </c>
    </row>
    <row r="22" customFormat="false" ht="40.5" hidden="false" customHeight="true" outlineLevel="0" collapsed="false">
      <c r="A22" s="13" t="s">
        <v>282</v>
      </c>
      <c r="B22" s="14" t="s">
        <v>273</v>
      </c>
      <c r="C22" s="15" t="s">
        <v>283</v>
      </c>
      <c r="D22" s="15" t="s">
        <v>167</v>
      </c>
      <c r="E22" s="15" t="s">
        <v>284</v>
      </c>
      <c r="F22" s="15" t="s">
        <v>285</v>
      </c>
      <c r="G22" s="15" t="s">
        <v>175</v>
      </c>
      <c r="H22" s="15" t="s">
        <v>252</v>
      </c>
      <c r="I22" s="16" t="s">
        <v>286</v>
      </c>
      <c r="J22" s="17" t="s">
        <v>37</v>
      </c>
      <c r="K22" s="17"/>
      <c r="L22" s="16" t="s">
        <v>37</v>
      </c>
      <c r="M22" s="17" t="s">
        <v>37</v>
      </c>
      <c r="N22" s="16" t="s">
        <v>287</v>
      </c>
    </row>
    <row r="23" customFormat="false" ht="72" hidden="false" customHeight="true" outlineLevel="0" collapsed="false">
      <c r="A23" s="13" t="s">
        <v>288</v>
      </c>
      <c r="B23" s="14" t="s">
        <v>273</v>
      </c>
      <c r="C23" s="15" t="s">
        <v>289</v>
      </c>
      <c r="D23" s="15" t="s">
        <v>290</v>
      </c>
      <c r="E23" s="15" t="s">
        <v>291</v>
      </c>
      <c r="F23" s="15" t="s">
        <v>292</v>
      </c>
      <c r="G23" s="15" t="s">
        <v>293</v>
      </c>
      <c r="H23" s="15" t="s">
        <v>294</v>
      </c>
      <c r="I23" s="16" t="s">
        <v>295</v>
      </c>
      <c r="J23" s="17" t="s">
        <v>37</v>
      </c>
      <c r="K23" s="17"/>
      <c r="L23" s="16" t="s">
        <v>37</v>
      </c>
      <c r="M23" s="17" t="s">
        <v>37</v>
      </c>
      <c r="N23" s="17" t="s">
        <v>296</v>
      </c>
    </row>
    <row r="24" customFormat="false" ht="43.5" hidden="false" customHeight="true" outlineLevel="0" collapsed="false">
      <c r="A24" s="13" t="s">
        <v>297</v>
      </c>
      <c r="B24" s="14" t="s">
        <v>273</v>
      </c>
      <c r="C24" s="15" t="s">
        <v>298</v>
      </c>
      <c r="D24" s="15" t="s">
        <v>299</v>
      </c>
      <c r="E24" s="15" t="s">
        <v>300</v>
      </c>
      <c r="F24" s="15" t="s">
        <v>301</v>
      </c>
      <c r="G24" s="15" t="s">
        <v>302</v>
      </c>
      <c r="H24" s="15" t="s">
        <v>294</v>
      </c>
      <c r="I24" s="16" t="s">
        <v>303</v>
      </c>
      <c r="J24" s="17" t="s">
        <v>37</v>
      </c>
      <c r="K24" s="17"/>
      <c r="L24" s="16" t="s">
        <v>37</v>
      </c>
      <c r="M24" s="17" t="s">
        <v>37</v>
      </c>
      <c r="N24" s="17" t="s">
        <v>304</v>
      </c>
    </row>
    <row r="25" customFormat="false" ht="29.25" hidden="false" customHeight="true" outlineLevel="0" collapsed="false">
      <c r="A25" s="13" t="s">
        <v>305</v>
      </c>
      <c r="B25" s="14" t="s">
        <v>273</v>
      </c>
      <c r="C25" s="15" t="s">
        <v>306</v>
      </c>
      <c r="D25" s="14" t="s">
        <v>136</v>
      </c>
      <c r="E25" s="15" t="s">
        <v>307</v>
      </c>
      <c r="F25" s="15" t="s">
        <v>308</v>
      </c>
      <c r="G25" s="15" t="s">
        <v>309</v>
      </c>
      <c r="H25" s="15" t="s">
        <v>252</v>
      </c>
      <c r="I25" s="16" t="s">
        <v>310</v>
      </c>
      <c r="J25" s="17" t="s">
        <v>37</v>
      </c>
      <c r="K25" s="17"/>
      <c r="L25" s="16" t="s">
        <v>37</v>
      </c>
      <c r="M25" s="17" t="s">
        <v>37</v>
      </c>
      <c r="N25" s="17" t="s">
        <v>311</v>
      </c>
    </row>
    <row r="26" customFormat="false" ht="29.25" hidden="false" customHeight="true" outlineLevel="0" collapsed="false">
      <c r="A26" s="13" t="s">
        <v>312</v>
      </c>
      <c r="B26" s="14" t="s">
        <v>273</v>
      </c>
      <c r="C26" s="15" t="s">
        <v>313</v>
      </c>
      <c r="D26" s="15" t="s">
        <v>314</v>
      </c>
      <c r="E26" s="15" t="s">
        <v>315</v>
      </c>
      <c r="F26" s="14" t="s">
        <v>316</v>
      </c>
      <c r="G26" s="15" t="s">
        <v>175</v>
      </c>
      <c r="H26" s="15" t="s">
        <v>149</v>
      </c>
      <c r="I26" s="16" t="s">
        <v>317</v>
      </c>
      <c r="J26" s="17" t="s">
        <v>37</v>
      </c>
      <c r="K26" s="17"/>
      <c r="L26" s="16" t="s">
        <v>37</v>
      </c>
      <c r="M26" s="17" t="s">
        <v>37</v>
      </c>
      <c r="N26" s="16" t="s">
        <v>318</v>
      </c>
    </row>
    <row r="27" customFormat="false" ht="43.5" hidden="false" customHeight="true" outlineLevel="0" collapsed="false">
      <c r="A27" s="13" t="s">
        <v>319</v>
      </c>
      <c r="B27" s="14" t="s">
        <v>273</v>
      </c>
      <c r="C27" s="15" t="s">
        <v>320</v>
      </c>
      <c r="D27" s="15" t="s">
        <v>321</v>
      </c>
      <c r="E27" s="15" t="s">
        <v>322</v>
      </c>
      <c r="F27" s="15" t="s">
        <v>323</v>
      </c>
      <c r="G27" s="15" t="s">
        <v>175</v>
      </c>
      <c r="H27" s="15" t="s">
        <v>149</v>
      </c>
      <c r="I27" s="16" t="s">
        <v>324</v>
      </c>
      <c r="J27" s="17" t="s">
        <v>37</v>
      </c>
      <c r="K27" s="17"/>
      <c r="L27" s="16" t="s">
        <v>37</v>
      </c>
      <c r="M27" s="17" t="s">
        <v>37</v>
      </c>
      <c r="N27" s="17" t="s">
        <v>325</v>
      </c>
    </row>
    <row r="28" customFormat="false" ht="29.25" hidden="false" customHeight="true" outlineLevel="0" collapsed="false">
      <c r="A28" s="13" t="s">
        <v>326</v>
      </c>
      <c r="B28" s="14" t="s">
        <v>273</v>
      </c>
      <c r="C28" s="15" t="s">
        <v>327</v>
      </c>
      <c r="D28" s="15" t="s">
        <v>328</v>
      </c>
      <c r="E28" s="15" t="s">
        <v>329</v>
      </c>
      <c r="F28" s="15" t="s">
        <v>330</v>
      </c>
      <c r="G28" s="15" t="s">
        <v>175</v>
      </c>
      <c r="H28" s="15" t="s">
        <v>149</v>
      </c>
      <c r="I28" s="17" t="s">
        <v>331</v>
      </c>
      <c r="J28" s="17" t="s">
        <v>37</v>
      </c>
      <c r="K28" s="17"/>
      <c r="L28" s="16" t="s">
        <v>37</v>
      </c>
      <c r="M28" s="17" t="s">
        <v>37</v>
      </c>
      <c r="N28" s="17" t="s">
        <v>332</v>
      </c>
    </row>
    <row r="29" customFormat="false" ht="43.5" hidden="false" customHeight="true" outlineLevel="0" collapsed="false">
      <c r="A29" s="13" t="s">
        <v>333</v>
      </c>
      <c r="B29" s="14" t="s">
        <v>273</v>
      </c>
      <c r="C29" s="15" t="s">
        <v>334</v>
      </c>
      <c r="D29" s="15" t="s">
        <v>335</v>
      </c>
      <c r="E29" s="15" t="s">
        <v>336</v>
      </c>
      <c r="F29" s="15" t="s">
        <v>337</v>
      </c>
      <c r="G29" s="15" t="s">
        <v>338</v>
      </c>
      <c r="H29" s="15" t="s">
        <v>339</v>
      </c>
      <c r="I29" s="16" t="s">
        <v>340</v>
      </c>
      <c r="J29" s="17" t="s">
        <v>37</v>
      </c>
      <c r="K29" s="17"/>
      <c r="L29" s="16" t="s">
        <v>37</v>
      </c>
      <c r="M29" s="17" t="s">
        <v>37</v>
      </c>
      <c r="N29" s="16" t="s">
        <v>341</v>
      </c>
    </row>
    <row r="30" customFormat="false" ht="43.5" hidden="false" customHeight="true" outlineLevel="0" collapsed="false">
      <c r="A30" s="13" t="s">
        <v>342</v>
      </c>
      <c r="B30" s="14" t="s">
        <v>273</v>
      </c>
      <c r="C30" s="15" t="s">
        <v>343</v>
      </c>
      <c r="D30" s="14" t="s">
        <v>136</v>
      </c>
      <c r="E30" s="15" t="s">
        <v>344</v>
      </c>
      <c r="F30" s="15" t="s">
        <v>345</v>
      </c>
      <c r="G30" s="15" t="s">
        <v>302</v>
      </c>
      <c r="H30" s="15" t="s">
        <v>149</v>
      </c>
      <c r="I30" s="16" t="s">
        <v>346</v>
      </c>
      <c r="J30" s="17" t="s">
        <v>45</v>
      </c>
      <c r="K30" s="17" t="s">
        <v>347</v>
      </c>
      <c r="L30" s="16" t="s">
        <v>53</v>
      </c>
      <c r="M30" s="17" t="s">
        <v>37</v>
      </c>
      <c r="N30" s="16" t="s">
        <v>348</v>
      </c>
    </row>
    <row r="31" customFormat="false" ht="43.5" hidden="false" customHeight="true" outlineLevel="0" collapsed="false">
      <c r="A31" s="13" t="s">
        <v>349</v>
      </c>
      <c r="B31" s="14" t="s">
        <v>273</v>
      </c>
      <c r="C31" s="15" t="s">
        <v>350</v>
      </c>
      <c r="D31" s="15" t="s">
        <v>351</v>
      </c>
      <c r="E31" s="15" t="s">
        <v>352</v>
      </c>
      <c r="F31" s="15" t="s">
        <v>353</v>
      </c>
      <c r="G31" s="15" t="s">
        <v>354</v>
      </c>
      <c r="H31" s="15" t="s">
        <v>355</v>
      </c>
      <c r="I31" s="16" t="s">
        <v>356</v>
      </c>
      <c r="J31" s="17" t="s">
        <v>37</v>
      </c>
      <c r="K31" s="17"/>
      <c r="L31" s="16" t="s">
        <v>37</v>
      </c>
      <c r="M31" s="17" t="s">
        <v>37</v>
      </c>
      <c r="N31" s="16" t="s">
        <v>357</v>
      </c>
    </row>
    <row r="32" customFormat="false" ht="29.25" hidden="false" customHeight="true" outlineLevel="0" collapsed="false">
      <c r="A32" s="13" t="s">
        <v>358</v>
      </c>
      <c r="B32" s="14" t="s">
        <v>273</v>
      </c>
      <c r="C32" s="15" t="s">
        <v>359</v>
      </c>
      <c r="D32" s="15" t="s">
        <v>360</v>
      </c>
      <c r="E32" s="15" t="s">
        <v>361</v>
      </c>
      <c r="F32" s="15" t="s">
        <v>362</v>
      </c>
      <c r="G32" s="15" t="s">
        <v>302</v>
      </c>
      <c r="H32" s="15" t="s">
        <v>363</v>
      </c>
      <c r="I32" s="16" t="s">
        <v>364</v>
      </c>
      <c r="J32" s="17" t="s">
        <v>37</v>
      </c>
      <c r="K32" s="17"/>
      <c r="L32" s="16" t="s">
        <v>37</v>
      </c>
      <c r="M32" s="17" t="s">
        <v>37</v>
      </c>
      <c r="N32" s="16" t="s">
        <v>365</v>
      </c>
    </row>
    <row r="33" customFormat="false" ht="43.5" hidden="false" customHeight="true" outlineLevel="0" collapsed="false">
      <c r="A33" s="13" t="s">
        <v>366</v>
      </c>
      <c r="B33" s="14" t="s">
        <v>273</v>
      </c>
      <c r="C33" s="15" t="s">
        <v>367</v>
      </c>
      <c r="D33" s="15" t="s">
        <v>360</v>
      </c>
      <c r="E33" s="15" t="s">
        <v>368</v>
      </c>
      <c r="F33" s="15" t="s">
        <v>369</v>
      </c>
      <c r="G33" s="15" t="s">
        <v>370</v>
      </c>
      <c r="H33" s="15" t="s">
        <v>149</v>
      </c>
      <c r="I33" s="16" t="s">
        <v>371</v>
      </c>
      <c r="J33" s="17" t="s">
        <v>37</v>
      </c>
      <c r="K33" s="17"/>
      <c r="L33" s="16" t="s">
        <v>37</v>
      </c>
      <c r="M33" s="17" t="s">
        <v>37</v>
      </c>
      <c r="N33" s="17" t="s">
        <v>372</v>
      </c>
    </row>
    <row r="34" customFormat="false" ht="29.25" hidden="false" customHeight="true" outlineLevel="0" collapsed="false">
      <c r="A34" s="13" t="s">
        <v>373</v>
      </c>
      <c r="B34" s="14" t="s">
        <v>273</v>
      </c>
      <c r="C34" s="15" t="s">
        <v>374</v>
      </c>
      <c r="D34" s="14" t="s">
        <v>136</v>
      </c>
      <c r="E34" s="15" t="s">
        <v>375</v>
      </c>
      <c r="F34" s="15" t="s">
        <v>376</v>
      </c>
      <c r="G34" s="15" t="s">
        <v>377</v>
      </c>
      <c r="H34" s="15" t="s">
        <v>252</v>
      </c>
      <c r="I34" s="16" t="s">
        <v>378</v>
      </c>
      <c r="J34" s="17" t="s">
        <v>37</v>
      </c>
      <c r="K34" s="17"/>
      <c r="L34" s="16" t="s">
        <v>37</v>
      </c>
      <c r="M34" s="17" t="s">
        <v>37</v>
      </c>
      <c r="N34" s="16" t="s">
        <v>379</v>
      </c>
    </row>
    <row r="35" customFormat="false" ht="43.5" hidden="false" customHeight="true" outlineLevel="0" collapsed="false">
      <c r="A35" s="13" t="s">
        <v>380</v>
      </c>
      <c r="B35" s="14" t="s">
        <v>273</v>
      </c>
      <c r="C35" s="15" t="s">
        <v>381</v>
      </c>
      <c r="D35" s="15" t="s">
        <v>382</v>
      </c>
      <c r="E35" s="15" t="s">
        <v>383</v>
      </c>
      <c r="F35" s="15" t="s">
        <v>384</v>
      </c>
      <c r="G35" s="15" t="s">
        <v>234</v>
      </c>
      <c r="H35" s="15" t="s">
        <v>385</v>
      </c>
      <c r="I35" s="16" t="s">
        <v>386</v>
      </c>
      <c r="J35" s="17" t="s">
        <v>37</v>
      </c>
      <c r="K35" s="17"/>
      <c r="L35" s="16" t="s">
        <v>37</v>
      </c>
      <c r="M35" s="17" t="s">
        <v>37</v>
      </c>
      <c r="N35" s="17" t="s">
        <v>387</v>
      </c>
    </row>
    <row r="36" customFormat="false" ht="29.25" hidden="false" customHeight="true" outlineLevel="0" collapsed="false">
      <c r="A36" s="13" t="s">
        <v>388</v>
      </c>
      <c r="B36" s="14" t="s">
        <v>273</v>
      </c>
      <c r="C36" s="15" t="s">
        <v>389</v>
      </c>
      <c r="D36" s="14" t="s">
        <v>136</v>
      </c>
      <c r="E36" s="15" t="s">
        <v>390</v>
      </c>
      <c r="F36" s="15" t="s">
        <v>391</v>
      </c>
      <c r="G36" s="15" t="s">
        <v>234</v>
      </c>
      <c r="H36" s="15" t="s">
        <v>392</v>
      </c>
      <c r="I36" s="16" t="s">
        <v>393</v>
      </c>
      <c r="J36" s="17" t="s">
        <v>37</v>
      </c>
      <c r="K36" s="17" t="s">
        <v>394</v>
      </c>
      <c r="L36" s="16" t="s">
        <v>53</v>
      </c>
      <c r="M36" s="17" t="s">
        <v>37</v>
      </c>
      <c r="N36" s="16" t="s">
        <v>395</v>
      </c>
    </row>
    <row r="37" customFormat="false" ht="15" hidden="false" customHeight="true" outlineLevel="0" collapsed="false">
      <c r="A37" s="13" t="s">
        <v>396</v>
      </c>
      <c r="B37" s="14" t="s">
        <v>273</v>
      </c>
      <c r="C37" s="15" t="s">
        <v>397</v>
      </c>
      <c r="D37" s="14" t="s">
        <v>136</v>
      </c>
      <c r="E37" s="15" t="s">
        <v>398</v>
      </c>
      <c r="F37" s="15" t="s">
        <v>399</v>
      </c>
      <c r="G37" s="15" t="s">
        <v>400</v>
      </c>
      <c r="H37" s="15" t="s">
        <v>149</v>
      </c>
      <c r="I37" s="16" t="s">
        <v>401</v>
      </c>
      <c r="J37" s="17" t="s">
        <v>39</v>
      </c>
      <c r="K37" s="17" t="s">
        <v>402</v>
      </c>
      <c r="L37" s="16" t="s">
        <v>53</v>
      </c>
      <c r="M37" s="17" t="s">
        <v>37</v>
      </c>
      <c r="N37" s="17" t="s">
        <v>403</v>
      </c>
    </row>
    <row r="38" customFormat="false" ht="29.25" hidden="false" customHeight="true" outlineLevel="0" collapsed="false">
      <c r="A38" s="13" t="s">
        <v>404</v>
      </c>
      <c r="B38" s="14" t="s">
        <v>273</v>
      </c>
      <c r="C38" s="15" t="s">
        <v>405</v>
      </c>
      <c r="D38" s="14" t="s">
        <v>136</v>
      </c>
      <c r="E38" s="15" t="s">
        <v>406</v>
      </c>
      <c r="F38" s="15" t="s">
        <v>407</v>
      </c>
      <c r="G38" s="15" t="s">
        <v>408</v>
      </c>
      <c r="H38" s="15" t="s">
        <v>149</v>
      </c>
      <c r="I38" s="16" t="s">
        <v>409</v>
      </c>
      <c r="J38" s="17" t="s">
        <v>39</v>
      </c>
      <c r="K38" s="17" t="s">
        <v>410</v>
      </c>
      <c r="L38" s="16" t="s">
        <v>53</v>
      </c>
      <c r="M38" s="17" t="s">
        <v>37</v>
      </c>
      <c r="N38" s="16" t="s">
        <v>411</v>
      </c>
    </row>
    <row r="39" customFormat="false" ht="16.5" hidden="false" customHeight="true" outlineLevel="0" collapsed="false">
      <c r="A39" s="12" t="s">
        <v>412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</row>
    <row r="40" customFormat="false" ht="43.5" hidden="false" customHeight="true" outlineLevel="0" collapsed="false">
      <c r="A40" s="13" t="s">
        <v>413</v>
      </c>
      <c r="B40" s="14" t="s">
        <v>414</v>
      </c>
      <c r="C40" s="15" t="s">
        <v>415</v>
      </c>
      <c r="D40" s="15" t="s">
        <v>416</v>
      </c>
      <c r="E40" s="15" t="s">
        <v>417</v>
      </c>
      <c r="F40" s="15" t="s">
        <v>418</v>
      </c>
      <c r="G40" s="15" t="s">
        <v>419</v>
      </c>
      <c r="H40" s="15" t="s">
        <v>385</v>
      </c>
      <c r="I40" s="16" t="s">
        <v>420</v>
      </c>
      <c r="J40" s="17" t="s">
        <v>39</v>
      </c>
      <c r="K40" s="17" t="s">
        <v>421</v>
      </c>
      <c r="L40" s="16" t="s">
        <v>53</v>
      </c>
      <c r="M40" s="17" t="s">
        <v>37</v>
      </c>
      <c r="N40" s="17" t="s">
        <v>422</v>
      </c>
    </row>
    <row r="41" customFormat="false" ht="43.5" hidden="false" customHeight="true" outlineLevel="0" collapsed="false">
      <c r="A41" s="13" t="s">
        <v>423</v>
      </c>
      <c r="B41" s="14" t="s">
        <v>414</v>
      </c>
      <c r="C41" s="15" t="s">
        <v>424</v>
      </c>
      <c r="D41" s="15" t="s">
        <v>425</v>
      </c>
      <c r="E41" s="15" t="s">
        <v>426</v>
      </c>
      <c r="F41" s="15" t="s">
        <v>427</v>
      </c>
      <c r="G41" s="15" t="s">
        <v>428</v>
      </c>
      <c r="H41" s="15" t="s">
        <v>244</v>
      </c>
      <c r="I41" s="16" t="s">
        <v>429</v>
      </c>
      <c r="J41" s="17" t="s">
        <v>37</v>
      </c>
      <c r="K41" s="17" t="s">
        <v>430</v>
      </c>
      <c r="L41" s="16" t="s">
        <v>53</v>
      </c>
      <c r="M41" s="17" t="s">
        <v>37</v>
      </c>
      <c r="N41" s="16" t="s">
        <v>431</v>
      </c>
    </row>
    <row r="42" customFormat="false" ht="43.5" hidden="false" customHeight="true" outlineLevel="0" collapsed="false">
      <c r="A42" s="13" t="s">
        <v>432</v>
      </c>
      <c r="B42" s="14" t="s">
        <v>414</v>
      </c>
      <c r="C42" s="15" t="s">
        <v>433</v>
      </c>
      <c r="D42" s="15" t="s">
        <v>434</v>
      </c>
      <c r="E42" s="15" t="s">
        <v>435</v>
      </c>
      <c r="F42" s="14" t="s">
        <v>436</v>
      </c>
      <c r="G42" s="15" t="s">
        <v>437</v>
      </c>
      <c r="H42" s="15" t="s">
        <v>244</v>
      </c>
      <c r="I42" s="16" t="s">
        <v>438</v>
      </c>
      <c r="J42" s="17" t="s">
        <v>37</v>
      </c>
      <c r="K42" s="17"/>
      <c r="L42" s="16" t="s">
        <v>37</v>
      </c>
      <c r="M42" s="17" t="s">
        <v>37</v>
      </c>
      <c r="N42" s="16" t="s">
        <v>439</v>
      </c>
    </row>
    <row r="43" customFormat="false" ht="43.5" hidden="false" customHeight="true" outlineLevel="0" collapsed="false">
      <c r="A43" s="13" t="s">
        <v>440</v>
      </c>
      <c r="B43" s="14" t="s">
        <v>414</v>
      </c>
      <c r="C43" s="15" t="s">
        <v>441</v>
      </c>
      <c r="D43" s="15" t="s">
        <v>442</v>
      </c>
      <c r="E43" s="15" t="s">
        <v>443</v>
      </c>
      <c r="F43" s="15" t="s">
        <v>444</v>
      </c>
      <c r="G43" s="15" t="s">
        <v>445</v>
      </c>
      <c r="H43" s="15" t="s">
        <v>149</v>
      </c>
      <c r="I43" s="16" t="s">
        <v>446</v>
      </c>
      <c r="J43" s="17" t="s">
        <v>37</v>
      </c>
      <c r="K43" s="17" t="s">
        <v>447</v>
      </c>
      <c r="L43" s="16" t="s">
        <v>53</v>
      </c>
      <c r="M43" s="17" t="s">
        <v>37</v>
      </c>
      <c r="N43" s="16" t="s">
        <v>448</v>
      </c>
    </row>
    <row r="44" customFormat="false" ht="57.75" hidden="false" customHeight="true" outlineLevel="0" collapsed="false">
      <c r="A44" s="13" t="s">
        <v>449</v>
      </c>
      <c r="B44" s="14" t="s">
        <v>414</v>
      </c>
      <c r="C44" s="15" t="s">
        <v>450</v>
      </c>
      <c r="D44" s="15" t="s">
        <v>451</v>
      </c>
      <c r="E44" s="15" t="s">
        <v>452</v>
      </c>
      <c r="F44" s="15" t="s">
        <v>453</v>
      </c>
      <c r="G44" s="15" t="s">
        <v>454</v>
      </c>
      <c r="H44" s="15" t="s">
        <v>149</v>
      </c>
      <c r="I44" s="16" t="s">
        <v>455</v>
      </c>
      <c r="J44" s="17" t="s">
        <v>45</v>
      </c>
      <c r="K44" s="17" t="s">
        <v>456</v>
      </c>
      <c r="L44" s="16" t="s">
        <v>53</v>
      </c>
      <c r="M44" s="17" t="s">
        <v>37</v>
      </c>
      <c r="N44" s="16" t="s">
        <v>457</v>
      </c>
    </row>
    <row r="45" customFormat="false" ht="43.5" hidden="false" customHeight="true" outlineLevel="0" collapsed="false">
      <c r="A45" s="13" t="s">
        <v>458</v>
      </c>
      <c r="B45" s="14" t="s">
        <v>414</v>
      </c>
      <c r="C45" s="15" t="s">
        <v>459</v>
      </c>
      <c r="D45" s="15" t="s">
        <v>460</v>
      </c>
      <c r="E45" s="15" t="s">
        <v>461</v>
      </c>
      <c r="F45" s="15" t="s">
        <v>462</v>
      </c>
      <c r="G45" s="15" t="s">
        <v>463</v>
      </c>
      <c r="H45" s="15" t="s">
        <v>149</v>
      </c>
      <c r="I45" s="16" t="s">
        <v>464</v>
      </c>
      <c r="J45" s="17" t="s">
        <v>37</v>
      </c>
      <c r="K45" s="17"/>
      <c r="L45" s="16" t="s">
        <v>37</v>
      </c>
      <c r="M45" s="17" t="s">
        <v>37</v>
      </c>
      <c r="N45" s="16" t="s">
        <v>465</v>
      </c>
    </row>
    <row r="46" customFormat="false" ht="29.25" hidden="false" customHeight="true" outlineLevel="0" collapsed="false">
      <c r="A46" s="13" t="s">
        <v>466</v>
      </c>
      <c r="B46" s="14" t="s">
        <v>414</v>
      </c>
      <c r="C46" s="15" t="s">
        <v>467</v>
      </c>
      <c r="D46" s="15" t="s">
        <v>468</v>
      </c>
      <c r="E46" s="15" t="s">
        <v>469</v>
      </c>
      <c r="F46" s="15" t="s">
        <v>470</v>
      </c>
      <c r="G46" s="15" t="s">
        <v>471</v>
      </c>
      <c r="H46" s="15" t="s">
        <v>149</v>
      </c>
      <c r="I46" s="16" t="s">
        <v>472</v>
      </c>
      <c r="J46" s="17" t="s">
        <v>37</v>
      </c>
      <c r="K46" s="17"/>
      <c r="L46" s="16" t="s">
        <v>37</v>
      </c>
      <c r="M46" s="17" t="s">
        <v>37</v>
      </c>
      <c r="N46" s="17" t="s">
        <v>473</v>
      </c>
    </row>
    <row r="47" customFormat="false" ht="43.5" hidden="false" customHeight="true" outlineLevel="0" collapsed="false">
      <c r="A47" s="13" t="s">
        <v>474</v>
      </c>
      <c r="B47" s="14" t="s">
        <v>414</v>
      </c>
      <c r="C47" s="15" t="s">
        <v>475</v>
      </c>
      <c r="D47" s="15" t="s">
        <v>476</v>
      </c>
      <c r="E47" s="15" t="s">
        <v>477</v>
      </c>
      <c r="F47" s="15" t="s">
        <v>478</v>
      </c>
      <c r="G47" s="14" t="s">
        <v>479</v>
      </c>
      <c r="H47" s="15" t="s">
        <v>149</v>
      </c>
      <c r="I47" s="16" t="s">
        <v>480</v>
      </c>
      <c r="J47" s="17" t="s">
        <v>37</v>
      </c>
      <c r="K47" s="17"/>
      <c r="L47" s="16" t="s">
        <v>41</v>
      </c>
      <c r="M47" s="17"/>
      <c r="N47" s="16" t="s">
        <v>481</v>
      </c>
    </row>
    <row r="48" customFormat="false" ht="43.5" hidden="false" customHeight="true" outlineLevel="0" collapsed="false">
      <c r="A48" s="13" t="s">
        <v>482</v>
      </c>
      <c r="B48" s="14" t="s">
        <v>414</v>
      </c>
      <c r="C48" s="15" t="s">
        <v>483</v>
      </c>
      <c r="D48" s="15" t="s">
        <v>484</v>
      </c>
      <c r="E48" s="15" t="s">
        <v>485</v>
      </c>
      <c r="F48" s="15" t="s">
        <v>486</v>
      </c>
      <c r="G48" s="15" t="s">
        <v>234</v>
      </c>
      <c r="H48" s="15" t="s">
        <v>149</v>
      </c>
      <c r="I48" s="16" t="s">
        <v>487</v>
      </c>
      <c r="J48" s="17" t="s">
        <v>37</v>
      </c>
      <c r="K48" s="17"/>
      <c r="L48" s="16" t="s">
        <v>37</v>
      </c>
      <c r="M48" s="17" t="s">
        <v>37</v>
      </c>
      <c r="N48" s="16" t="s">
        <v>488</v>
      </c>
    </row>
    <row r="49" customFormat="false" ht="29.25" hidden="false" customHeight="true" outlineLevel="0" collapsed="false">
      <c r="A49" s="13" t="s">
        <v>489</v>
      </c>
      <c r="B49" s="14" t="s">
        <v>414</v>
      </c>
      <c r="C49" s="15" t="s">
        <v>490</v>
      </c>
      <c r="D49" s="14" t="s">
        <v>136</v>
      </c>
      <c r="E49" s="15" t="s">
        <v>491</v>
      </c>
      <c r="F49" s="15" t="s">
        <v>492</v>
      </c>
      <c r="G49" s="15" t="s">
        <v>234</v>
      </c>
      <c r="H49" s="15" t="s">
        <v>493</v>
      </c>
      <c r="I49" s="16" t="s">
        <v>494</v>
      </c>
      <c r="J49" s="17" t="s">
        <v>37</v>
      </c>
      <c r="K49" s="17"/>
      <c r="L49" s="16" t="s">
        <v>37</v>
      </c>
      <c r="M49" s="17" t="s">
        <v>37</v>
      </c>
      <c r="N49" s="17" t="s">
        <v>495</v>
      </c>
    </row>
    <row r="50" customFormat="false" ht="29.25" hidden="false" customHeight="true" outlineLevel="0" collapsed="false">
      <c r="A50" s="13" t="s">
        <v>496</v>
      </c>
      <c r="B50" s="14" t="s">
        <v>414</v>
      </c>
      <c r="C50" s="15" t="s">
        <v>497</v>
      </c>
      <c r="D50" s="15" t="s">
        <v>498</v>
      </c>
      <c r="E50" s="15" t="s">
        <v>499</v>
      </c>
      <c r="F50" s="15" t="s">
        <v>500</v>
      </c>
      <c r="G50" s="15" t="s">
        <v>302</v>
      </c>
      <c r="H50" s="15" t="s">
        <v>149</v>
      </c>
      <c r="I50" s="16" t="s">
        <v>501</v>
      </c>
      <c r="J50" s="17" t="s">
        <v>37</v>
      </c>
      <c r="K50" s="17"/>
      <c r="L50" s="16" t="s">
        <v>37</v>
      </c>
      <c r="M50" s="17" t="s">
        <v>37</v>
      </c>
      <c r="N50" s="16" t="s">
        <v>502</v>
      </c>
    </row>
    <row r="51" customFormat="false" ht="16.5" hidden="false" customHeight="true" outlineLevel="0" collapsed="false">
      <c r="A51" s="12" t="s">
        <v>503</v>
      </c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</row>
    <row r="52" customFormat="false" ht="100.5" hidden="false" customHeight="true" outlineLevel="0" collapsed="false">
      <c r="A52" s="13" t="s">
        <v>504</v>
      </c>
      <c r="B52" s="14" t="s">
        <v>505</v>
      </c>
      <c r="C52" s="15" t="s">
        <v>506</v>
      </c>
      <c r="D52" s="15" t="s">
        <v>507</v>
      </c>
      <c r="E52" s="15" t="s">
        <v>508</v>
      </c>
      <c r="F52" s="15" t="s">
        <v>509</v>
      </c>
      <c r="G52" s="15" t="s">
        <v>510</v>
      </c>
      <c r="H52" s="15" t="s">
        <v>149</v>
      </c>
      <c r="I52" s="16" t="s">
        <v>511</v>
      </c>
      <c r="J52" s="17" t="s">
        <v>41</v>
      </c>
      <c r="K52" s="17" t="s">
        <v>512</v>
      </c>
      <c r="L52" s="16" t="s">
        <v>53</v>
      </c>
      <c r="M52" s="17" t="s">
        <v>37</v>
      </c>
      <c r="N52" s="16" t="s">
        <v>513</v>
      </c>
    </row>
    <row r="53" customFormat="false" ht="29.25" hidden="false" customHeight="true" outlineLevel="0" collapsed="false">
      <c r="A53" s="13" t="s">
        <v>514</v>
      </c>
      <c r="B53" s="14" t="s">
        <v>505</v>
      </c>
      <c r="C53" s="15" t="s">
        <v>515</v>
      </c>
      <c r="D53" s="14" t="s">
        <v>136</v>
      </c>
      <c r="E53" s="15" t="s">
        <v>516</v>
      </c>
      <c r="F53" s="15" t="s">
        <v>517</v>
      </c>
      <c r="G53" s="15" t="s">
        <v>234</v>
      </c>
      <c r="H53" s="15" t="s">
        <v>518</v>
      </c>
      <c r="I53" s="16" t="s">
        <v>519</v>
      </c>
      <c r="J53" s="17" t="s">
        <v>37</v>
      </c>
      <c r="K53" s="17"/>
      <c r="L53" s="16" t="s">
        <v>37</v>
      </c>
      <c r="M53" s="17" t="s">
        <v>37</v>
      </c>
      <c r="N53" s="16" t="s">
        <v>520</v>
      </c>
    </row>
    <row r="54" customFormat="false" ht="57.75" hidden="false" customHeight="true" outlineLevel="0" collapsed="false">
      <c r="A54" s="13" t="s">
        <v>521</v>
      </c>
      <c r="B54" s="14" t="s">
        <v>505</v>
      </c>
      <c r="C54" s="15" t="s">
        <v>522</v>
      </c>
      <c r="D54" s="15" t="s">
        <v>523</v>
      </c>
      <c r="E54" s="15" t="s">
        <v>524</v>
      </c>
      <c r="F54" s="15" t="s">
        <v>525</v>
      </c>
      <c r="G54" s="15" t="s">
        <v>526</v>
      </c>
      <c r="H54" s="15" t="s">
        <v>149</v>
      </c>
      <c r="I54" s="16" t="s">
        <v>527</v>
      </c>
      <c r="J54" s="17" t="s">
        <v>39</v>
      </c>
      <c r="K54" s="17" t="s">
        <v>528</v>
      </c>
      <c r="L54" s="16" t="s">
        <v>53</v>
      </c>
      <c r="M54" s="17" t="s">
        <v>37</v>
      </c>
      <c r="N54" s="16" t="s">
        <v>529</v>
      </c>
    </row>
    <row r="55" customFormat="false" ht="43.5" hidden="false" customHeight="true" outlineLevel="0" collapsed="false">
      <c r="A55" s="13" t="s">
        <v>530</v>
      </c>
      <c r="B55" s="14" t="s">
        <v>505</v>
      </c>
      <c r="C55" s="15" t="s">
        <v>531</v>
      </c>
      <c r="D55" s="15" t="s">
        <v>532</v>
      </c>
      <c r="E55" s="15" t="s">
        <v>533</v>
      </c>
      <c r="F55" s="15" t="s">
        <v>534</v>
      </c>
      <c r="G55" s="15" t="s">
        <v>535</v>
      </c>
      <c r="H55" s="15" t="s">
        <v>149</v>
      </c>
      <c r="I55" s="17" t="s">
        <v>536</v>
      </c>
      <c r="J55" s="17" t="s">
        <v>37</v>
      </c>
      <c r="K55" s="17"/>
      <c r="L55" s="16" t="s">
        <v>37</v>
      </c>
      <c r="M55" s="17" t="s">
        <v>37</v>
      </c>
      <c r="N55" s="16" t="s">
        <v>537</v>
      </c>
    </row>
    <row r="56" customFormat="false" ht="57.75" hidden="false" customHeight="true" outlineLevel="0" collapsed="false">
      <c r="A56" s="13" t="s">
        <v>538</v>
      </c>
      <c r="B56" s="14" t="s">
        <v>505</v>
      </c>
      <c r="C56" s="15" t="s">
        <v>539</v>
      </c>
      <c r="D56" s="15" t="s">
        <v>540</v>
      </c>
      <c r="E56" s="15" t="s">
        <v>541</v>
      </c>
      <c r="F56" s="15" t="s">
        <v>542</v>
      </c>
      <c r="G56" s="15" t="s">
        <v>543</v>
      </c>
      <c r="H56" s="15" t="s">
        <v>149</v>
      </c>
      <c r="I56" s="17" t="s">
        <v>544</v>
      </c>
      <c r="J56" s="17" t="s">
        <v>37</v>
      </c>
      <c r="K56" s="17"/>
      <c r="L56" s="16" t="s">
        <v>37</v>
      </c>
      <c r="M56" s="17" t="s">
        <v>37</v>
      </c>
      <c r="N56" s="16" t="s">
        <v>545</v>
      </c>
    </row>
    <row r="57" customFormat="false" ht="57.75" hidden="false" customHeight="true" outlineLevel="0" collapsed="false">
      <c r="A57" s="13" t="s">
        <v>546</v>
      </c>
      <c r="B57" s="14" t="s">
        <v>505</v>
      </c>
      <c r="C57" s="15" t="s">
        <v>547</v>
      </c>
      <c r="D57" s="15" t="s">
        <v>548</v>
      </c>
      <c r="E57" s="15" t="s">
        <v>549</v>
      </c>
      <c r="F57" s="15" t="s">
        <v>550</v>
      </c>
      <c r="G57" s="14" t="s">
        <v>551</v>
      </c>
      <c r="H57" s="15" t="s">
        <v>552</v>
      </c>
      <c r="I57" s="16" t="s">
        <v>553</v>
      </c>
      <c r="J57" s="17" t="s">
        <v>37</v>
      </c>
      <c r="K57" s="17"/>
      <c r="L57" s="16" t="s">
        <v>37</v>
      </c>
      <c r="M57" s="17" t="s">
        <v>37</v>
      </c>
      <c r="N57" s="16" t="s">
        <v>554</v>
      </c>
    </row>
    <row r="58" customFormat="false" ht="43.5" hidden="false" customHeight="true" outlineLevel="0" collapsed="false">
      <c r="A58" s="13" t="s">
        <v>555</v>
      </c>
      <c r="B58" s="14" t="s">
        <v>505</v>
      </c>
      <c r="C58" s="15" t="s">
        <v>556</v>
      </c>
      <c r="D58" s="15" t="s">
        <v>557</v>
      </c>
      <c r="E58" s="15" t="s">
        <v>558</v>
      </c>
      <c r="F58" s="15" t="s">
        <v>559</v>
      </c>
      <c r="G58" s="15" t="s">
        <v>560</v>
      </c>
      <c r="H58" s="15" t="s">
        <v>149</v>
      </c>
      <c r="I58" s="16" t="s">
        <v>561</v>
      </c>
      <c r="J58" s="17" t="s">
        <v>37</v>
      </c>
      <c r="K58" s="17"/>
      <c r="L58" s="16" t="s">
        <v>37</v>
      </c>
      <c r="M58" s="17" t="s">
        <v>37</v>
      </c>
      <c r="N58" s="17" t="s">
        <v>562</v>
      </c>
    </row>
    <row r="59" customFormat="false" ht="29.25" hidden="false" customHeight="true" outlineLevel="0" collapsed="false">
      <c r="A59" s="13" t="s">
        <v>563</v>
      </c>
      <c r="B59" s="14" t="s">
        <v>505</v>
      </c>
      <c r="C59" s="15" t="s">
        <v>564</v>
      </c>
      <c r="D59" s="15" t="s">
        <v>565</v>
      </c>
      <c r="E59" s="15" t="s">
        <v>566</v>
      </c>
      <c r="F59" s="15" t="s">
        <v>567</v>
      </c>
      <c r="G59" s="15" t="s">
        <v>167</v>
      </c>
      <c r="H59" s="15" t="s">
        <v>149</v>
      </c>
      <c r="I59" s="17" t="s">
        <v>568</v>
      </c>
      <c r="J59" s="17" t="s">
        <v>37</v>
      </c>
      <c r="K59" s="17"/>
      <c r="L59" s="16" t="s">
        <v>37</v>
      </c>
      <c r="M59" s="17" t="s">
        <v>37</v>
      </c>
      <c r="N59" s="16" t="s">
        <v>569</v>
      </c>
    </row>
    <row r="60" customFormat="false" ht="72" hidden="false" customHeight="true" outlineLevel="0" collapsed="false">
      <c r="A60" s="13" t="s">
        <v>570</v>
      </c>
      <c r="B60" s="14" t="s">
        <v>505</v>
      </c>
      <c r="C60" s="15" t="s">
        <v>571</v>
      </c>
      <c r="D60" s="15" t="s">
        <v>572</v>
      </c>
      <c r="E60" s="15" t="s">
        <v>573</v>
      </c>
      <c r="F60" s="14" t="s">
        <v>574</v>
      </c>
      <c r="G60" s="14" t="s">
        <v>575</v>
      </c>
      <c r="H60" s="15" t="s">
        <v>149</v>
      </c>
      <c r="I60" s="16" t="s">
        <v>576</v>
      </c>
      <c r="J60" s="17" t="s">
        <v>37</v>
      </c>
      <c r="K60" s="17"/>
      <c r="L60" s="16" t="s">
        <v>37</v>
      </c>
      <c r="M60" s="17" t="s">
        <v>37</v>
      </c>
      <c r="N60" s="16" t="s">
        <v>577</v>
      </c>
    </row>
    <row r="61" customFormat="false" ht="29.25" hidden="false" customHeight="true" outlineLevel="0" collapsed="false">
      <c r="A61" s="13" t="s">
        <v>578</v>
      </c>
      <c r="B61" s="14" t="s">
        <v>505</v>
      </c>
      <c r="C61" s="15" t="s">
        <v>579</v>
      </c>
      <c r="D61" s="15" t="s">
        <v>167</v>
      </c>
      <c r="E61" s="15" t="s">
        <v>580</v>
      </c>
      <c r="F61" s="15" t="s">
        <v>581</v>
      </c>
      <c r="G61" s="15" t="s">
        <v>582</v>
      </c>
      <c r="H61" s="15" t="s">
        <v>149</v>
      </c>
      <c r="I61" s="16" t="s">
        <v>583</v>
      </c>
      <c r="J61" s="17" t="s">
        <v>37</v>
      </c>
      <c r="K61" s="17"/>
      <c r="L61" s="16" t="s">
        <v>37</v>
      </c>
      <c r="M61" s="17" t="s">
        <v>37</v>
      </c>
      <c r="N61" s="16" t="s">
        <v>584</v>
      </c>
    </row>
    <row r="62" customFormat="false" ht="57.75" hidden="false" customHeight="true" outlineLevel="0" collapsed="false">
      <c r="A62" s="13" t="s">
        <v>585</v>
      </c>
      <c r="B62" s="14" t="s">
        <v>505</v>
      </c>
      <c r="C62" s="15" t="s">
        <v>586</v>
      </c>
      <c r="D62" s="15" t="s">
        <v>587</v>
      </c>
      <c r="E62" s="15" t="s">
        <v>588</v>
      </c>
      <c r="F62" s="15" t="s">
        <v>589</v>
      </c>
      <c r="G62" s="15" t="s">
        <v>560</v>
      </c>
      <c r="H62" s="15" t="s">
        <v>149</v>
      </c>
      <c r="I62" s="16" t="s">
        <v>590</v>
      </c>
      <c r="J62" s="17" t="s">
        <v>37</v>
      </c>
      <c r="K62" s="17"/>
      <c r="L62" s="16" t="s">
        <v>37</v>
      </c>
      <c r="M62" s="17" t="s">
        <v>37</v>
      </c>
      <c r="N62" s="17" t="s">
        <v>591</v>
      </c>
    </row>
    <row r="63" customFormat="false" ht="29.25" hidden="false" customHeight="true" outlineLevel="0" collapsed="false">
      <c r="A63" s="13" t="s">
        <v>592</v>
      </c>
      <c r="B63" s="14" t="s">
        <v>505</v>
      </c>
      <c r="C63" s="15" t="s">
        <v>593</v>
      </c>
      <c r="D63" s="15" t="s">
        <v>594</v>
      </c>
      <c r="E63" s="15" t="s">
        <v>595</v>
      </c>
      <c r="F63" s="15" t="s">
        <v>596</v>
      </c>
      <c r="G63" s="15" t="s">
        <v>597</v>
      </c>
      <c r="H63" s="15" t="s">
        <v>149</v>
      </c>
      <c r="I63" s="16" t="s">
        <v>598</v>
      </c>
      <c r="J63" s="17" t="s">
        <v>37</v>
      </c>
      <c r="K63" s="17"/>
      <c r="L63" s="16" t="s">
        <v>37</v>
      </c>
      <c r="M63" s="17" t="s">
        <v>37</v>
      </c>
      <c r="N63" s="17" t="s">
        <v>599</v>
      </c>
    </row>
    <row r="64" customFormat="false" ht="29.25" hidden="false" customHeight="true" outlineLevel="0" collapsed="false">
      <c r="A64" s="13" t="s">
        <v>600</v>
      </c>
      <c r="B64" s="14" t="s">
        <v>505</v>
      </c>
      <c r="C64" s="15" t="s">
        <v>601</v>
      </c>
      <c r="D64" s="15" t="s">
        <v>602</v>
      </c>
      <c r="E64" s="15" t="s">
        <v>603</v>
      </c>
      <c r="F64" s="15" t="s">
        <v>604</v>
      </c>
      <c r="G64" s="15" t="s">
        <v>605</v>
      </c>
      <c r="H64" s="15" t="s">
        <v>149</v>
      </c>
      <c r="I64" s="16" t="s">
        <v>606</v>
      </c>
      <c r="J64" s="17" t="s">
        <v>39</v>
      </c>
      <c r="K64" s="17" t="s">
        <v>607</v>
      </c>
      <c r="L64" s="16" t="s">
        <v>53</v>
      </c>
      <c r="M64" s="17" t="s">
        <v>37</v>
      </c>
      <c r="N64" s="16" t="s">
        <v>608</v>
      </c>
    </row>
    <row r="65" customFormat="false" ht="29.25" hidden="false" customHeight="true" outlineLevel="0" collapsed="false">
      <c r="A65" s="13" t="s">
        <v>609</v>
      </c>
      <c r="B65" s="14" t="s">
        <v>505</v>
      </c>
      <c r="C65" s="15" t="s">
        <v>610</v>
      </c>
      <c r="D65" s="14" t="s">
        <v>136</v>
      </c>
      <c r="E65" s="15" t="s">
        <v>611</v>
      </c>
      <c r="F65" s="15" t="s">
        <v>612</v>
      </c>
      <c r="G65" s="15" t="s">
        <v>234</v>
      </c>
      <c r="H65" s="15" t="s">
        <v>149</v>
      </c>
      <c r="I65" s="16" t="s">
        <v>613</v>
      </c>
      <c r="J65" s="17" t="s">
        <v>39</v>
      </c>
      <c r="K65" s="17" t="s">
        <v>614</v>
      </c>
      <c r="L65" s="16" t="s">
        <v>53</v>
      </c>
      <c r="M65" s="17" t="s">
        <v>37</v>
      </c>
      <c r="N65" s="16" t="s">
        <v>615</v>
      </c>
    </row>
    <row r="66" customFormat="false" ht="43.5" hidden="false" customHeight="true" outlineLevel="0" collapsed="false">
      <c r="A66" s="13" t="s">
        <v>616</v>
      </c>
      <c r="B66" s="14" t="s">
        <v>505</v>
      </c>
      <c r="C66" s="15" t="s">
        <v>617</v>
      </c>
      <c r="D66" s="15" t="s">
        <v>618</v>
      </c>
      <c r="E66" s="15" t="s">
        <v>619</v>
      </c>
      <c r="F66" s="15" t="s">
        <v>620</v>
      </c>
      <c r="G66" s="15" t="s">
        <v>400</v>
      </c>
      <c r="H66" s="15" t="s">
        <v>149</v>
      </c>
      <c r="I66" s="16" t="s">
        <v>621</v>
      </c>
      <c r="J66" s="17" t="s">
        <v>37</v>
      </c>
      <c r="K66" s="17"/>
      <c r="L66" s="16" t="s">
        <v>37</v>
      </c>
      <c r="M66" s="17" t="s">
        <v>37</v>
      </c>
      <c r="N66" s="16" t="s">
        <v>622</v>
      </c>
    </row>
    <row r="67" customFormat="false" ht="43.5" hidden="false" customHeight="true" outlineLevel="0" collapsed="false">
      <c r="A67" s="13" t="s">
        <v>623</v>
      </c>
      <c r="B67" s="14" t="s">
        <v>505</v>
      </c>
      <c r="C67" s="15" t="s">
        <v>624</v>
      </c>
      <c r="D67" s="15" t="s">
        <v>602</v>
      </c>
      <c r="E67" s="15" t="s">
        <v>625</v>
      </c>
      <c r="F67" s="15" t="s">
        <v>626</v>
      </c>
      <c r="G67" s="15" t="s">
        <v>234</v>
      </c>
      <c r="H67" s="15" t="s">
        <v>627</v>
      </c>
      <c r="I67" s="16" t="s">
        <v>628</v>
      </c>
      <c r="J67" s="17" t="s">
        <v>37</v>
      </c>
      <c r="K67" s="17"/>
      <c r="L67" s="16" t="s">
        <v>37</v>
      </c>
      <c r="M67" s="17" t="s">
        <v>37</v>
      </c>
      <c r="N67" s="16" t="s">
        <v>629</v>
      </c>
    </row>
    <row r="68" customFormat="false" ht="29.25" hidden="false" customHeight="true" outlineLevel="0" collapsed="false">
      <c r="A68" s="13" t="s">
        <v>630</v>
      </c>
      <c r="B68" s="14" t="s">
        <v>505</v>
      </c>
      <c r="C68" s="15" t="s">
        <v>631</v>
      </c>
      <c r="D68" s="15" t="s">
        <v>632</v>
      </c>
      <c r="E68" s="15" t="s">
        <v>633</v>
      </c>
      <c r="F68" s="15" t="s">
        <v>634</v>
      </c>
      <c r="G68" s="15" t="s">
        <v>234</v>
      </c>
      <c r="H68" s="15" t="s">
        <v>149</v>
      </c>
      <c r="I68" s="16" t="s">
        <v>635</v>
      </c>
      <c r="J68" s="17" t="s">
        <v>37</v>
      </c>
      <c r="K68" s="17"/>
      <c r="L68" s="16" t="s">
        <v>37</v>
      </c>
      <c r="M68" s="17" t="s">
        <v>37</v>
      </c>
      <c r="N68" s="16" t="s">
        <v>636</v>
      </c>
    </row>
    <row r="69" customFormat="false" ht="16.5" hidden="false" customHeight="true" outlineLevel="0" collapsed="false">
      <c r="A69" s="12" t="s">
        <v>637</v>
      </c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</row>
    <row r="70" customFormat="false" ht="57.75" hidden="false" customHeight="true" outlineLevel="0" collapsed="false">
      <c r="A70" s="13" t="s">
        <v>638</v>
      </c>
      <c r="B70" s="14" t="s">
        <v>639</v>
      </c>
      <c r="C70" s="15" t="s">
        <v>640</v>
      </c>
      <c r="D70" s="15" t="s">
        <v>641</v>
      </c>
      <c r="E70" s="15" t="s">
        <v>642</v>
      </c>
      <c r="F70" s="15" t="s">
        <v>643</v>
      </c>
      <c r="G70" s="15" t="s">
        <v>644</v>
      </c>
      <c r="H70" s="15" t="s">
        <v>645</v>
      </c>
      <c r="I70" s="16" t="s">
        <v>646</v>
      </c>
      <c r="J70" s="17" t="s">
        <v>37</v>
      </c>
      <c r="K70" s="17" t="s">
        <v>647</v>
      </c>
      <c r="L70" s="16" t="s">
        <v>53</v>
      </c>
      <c r="M70" s="17" t="s">
        <v>37</v>
      </c>
      <c r="N70" s="16" t="s">
        <v>648</v>
      </c>
    </row>
    <row r="71" customFormat="false" ht="43.5" hidden="false" customHeight="true" outlineLevel="0" collapsed="false">
      <c r="A71" s="13" t="s">
        <v>649</v>
      </c>
      <c r="B71" s="14" t="s">
        <v>639</v>
      </c>
      <c r="C71" s="15" t="s">
        <v>650</v>
      </c>
      <c r="D71" s="15" t="s">
        <v>651</v>
      </c>
      <c r="E71" s="15" t="s">
        <v>652</v>
      </c>
      <c r="F71" s="15" t="s">
        <v>653</v>
      </c>
      <c r="G71" s="15" t="s">
        <v>654</v>
      </c>
      <c r="H71" s="15" t="s">
        <v>655</v>
      </c>
      <c r="I71" s="17" t="s">
        <v>656</v>
      </c>
      <c r="J71" s="17" t="s">
        <v>37</v>
      </c>
      <c r="K71" s="17"/>
      <c r="L71" s="16" t="s">
        <v>37</v>
      </c>
      <c r="M71" s="17" t="s">
        <v>37</v>
      </c>
      <c r="N71" s="17" t="s">
        <v>657</v>
      </c>
    </row>
    <row r="72" customFormat="false" ht="43.5" hidden="false" customHeight="true" outlineLevel="0" collapsed="false">
      <c r="A72" s="13" t="s">
        <v>658</v>
      </c>
      <c r="B72" s="14" t="s">
        <v>639</v>
      </c>
      <c r="C72" s="15" t="s">
        <v>659</v>
      </c>
      <c r="D72" s="14" t="s">
        <v>136</v>
      </c>
      <c r="E72" s="15" t="s">
        <v>660</v>
      </c>
      <c r="F72" s="14" t="s">
        <v>661</v>
      </c>
      <c r="G72" s="15" t="s">
        <v>234</v>
      </c>
      <c r="H72" s="15" t="s">
        <v>662</v>
      </c>
      <c r="I72" s="17" t="s">
        <v>663</v>
      </c>
      <c r="J72" s="17" t="s">
        <v>37</v>
      </c>
      <c r="K72" s="17"/>
      <c r="L72" s="16" t="s">
        <v>37</v>
      </c>
      <c r="M72" s="17" t="s">
        <v>37</v>
      </c>
      <c r="N72" s="16" t="s">
        <v>664</v>
      </c>
    </row>
    <row r="73" customFormat="false" ht="43.5" hidden="false" customHeight="true" outlineLevel="0" collapsed="false">
      <c r="A73" s="13" t="s">
        <v>665</v>
      </c>
      <c r="B73" s="14" t="s">
        <v>639</v>
      </c>
      <c r="C73" s="15" t="s">
        <v>666</v>
      </c>
      <c r="D73" s="15" t="s">
        <v>667</v>
      </c>
      <c r="E73" s="15" t="s">
        <v>668</v>
      </c>
      <c r="F73" s="14" t="s">
        <v>669</v>
      </c>
      <c r="G73" s="15" t="s">
        <v>234</v>
      </c>
      <c r="H73" s="15" t="s">
        <v>670</v>
      </c>
      <c r="I73" s="17" t="s">
        <v>671</v>
      </c>
      <c r="J73" s="17" t="s">
        <v>37</v>
      </c>
      <c r="K73" s="17"/>
      <c r="L73" s="16" t="s">
        <v>37</v>
      </c>
      <c r="M73" s="17" t="s">
        <v>37</v>
      </c>
      <c r="N73" s="17" t="s">
        <v>672</v>
      </c>
    </row>
    <row r="74" customFormat="false" ht="57.75" hidden="false" customHeight="true" outlineLevel="0" collapsed="false">
      <c r="A74" s="13" t="s">
        <v>673</v>
      </c>
      <c r="B74" s="14" t="s">
        <v>639</v>
      </c>
      <c r="C74" s="15" t="s">
        <v>674</v>
      </c>
      <c r="D74" s="14" t="s">
        <v>675</v>
      </c>
      <c r="E74" s="15" t="s">
        <v>676</v>
      </c>
      <c r="F74" s="14" t="s">
        <v>677</v>
      </c>
      <c r="G74" s="15" t="s">
        <v>678</v>
      </c>
      <c r="H74" s="15" t="s">
        <v>679</v>
      </c>
      <c r="I74" s="16" t="s">
        <v>680</v>
      </c>
      <c r="J74" s="17" t="s">
        <v>41</v>
      </c>
      <c r="K74" s="17" t="s">
        <v>681</v>
      </c>
      <c r="L74" s="16" t="s">
        <v>53</v>
      </c>
      <c r="M74" s="17" t="s">
        <v>37</v>
      </c>
      <c r="N74" s="16" t="s">
        <v>682</v>
      </c>
    </row>
    <row r="75" customFormat="false" ht="43.5" hidden="false" customHeight="true" outlineLevel="0" collapsed="false">
      <c r="A75" s="13" t="s">
        <v>683</v>
      </c>
      <c r="B75" s="14" t="s">
        <v>639</v>
      </c>
      <c r="C75" s="15" t="s">
        <v>684</v>
      </c>
      <c r="D75" s="14" t="s">
        <v>136</v>
      </c>
      <c r="E75" s="15" t="s">
        <v>685</v>
      </c>
      <c r="F75" s="15" t="s">
        <v>686</v>
      </c>
      <c r="G75" s="15" t="s">
        <v>234</v>
      </c>
      <c r="H75" s="15" t="s">
        <v>687</v>
      </c>
      <c r="I75" s="16" t="s">
        <v>688</v>
      </c>
      <c r="J75" s="17" t="s">
        <v>41</v>
      </c>
      <c r="K75" s="17"/>
      <c r="L75" s="16" t="s">
        <v>37</v>
      </c>
      <c r="M75" s="17" t="s">
        <v>37</v>
      </c>
      <c r="N75" s="16" t="s">
        <v>689</v>
      </c>
    </row>
    <row r="76" customFormat="false" ht="43.5" hidden="false" customHeight="true" outlineLevel="0" collapsed="false">
      <c r="A76" s="13" t="s">
        <v>690</v>
      </c>
      <c r="B76" s="14" t="s">
        <v>639</v>
      </c>
      <c r="C76" s="14" t="s">
        <v>691</v>
      </c>
      <c r="D76" s="15" t="s">
        <v>692</v>
      </c>
      <c r="E76" s="15" t="s">
        <v>693</v>
      </c>
      <c r="F76" s="15" t="s">
        <v>694</v>
      </c>
      <c r="G76" s="15" t="s">
        <v>234</v>
      </c>
      <c r="H76" s="15" t="s">
        <v>695</v>
      </c>
      <c r="I76" s="16" t="s">
        <v>696</v>
      </c>
      <c r="J76" s="17" t="s">
        <v>37</v>
      </c>
      <c r="K76" s="17"/>
      <c r="L76" s="16" t="s">
        <v>37</v>
      </c>
      <c r="M76" s="17" t="s">
        <v>37</v>
      </c>
      <c r="N76" s="16" t="s">
        <v>697</v>
      </c>
    </row>
    <row r="77" customFormat="false" ht="43.5" hidden="false" customHeight="true" outlineLevel="0" collapsed="false">
      <c r="A77" s="13" t="s">
        <v>698</v>
      </c>
      <c r="B77" s="14" t="s">
        <v>639</v>
      </c>
      <c r="C77" s="14" t="s">
        <v>699</v>
      </c>
      <c r="D77" s="14" t="s">
        <v>136</v>
      </c>
      <c r="E77" s="15" t="s">
        <v>700</v>
      </c>
      <c r="F77" s="15" t="s">
        <v>701</v>
      </c>
      <c r="G77" s="15" t="s">
        <v>234</v>
      </c>
      <c r="H77" s="15" t="s">
        <v>702</v>
      </c>
      <c r="I77" s="16" t="s">
        <v>703</v>
      </c>
      <c r="J77" s="17" t="s">
        <v>37</v>
      </c>
      <c r="K77" s="17"/>
      <c r="L77" s="16" t="s">
        <v>37</v>
      </c>
      <c r="M77" s="17" t="s">
        <v>37</v>
      </c>
      <c r="N77" s="16" t="s">
        <v>704</v>
      </c>
    </row>
    <row r="78" customFormat="false" ht="29.25" hidden="false" customHeight="true" outlineLevel="0" collapsed="false">
      <c r="A78" s="13" t="s">
        <v>705</v>
      </c>
      <c r="B78" s="14" t="s">
        <v>639</v>
      </c>
      <c r="C78" s="15" t="s">
        <v>706</v>
      </c>
      <c r="D78" s="14" t="s">
        <v>136</v>
      </c>
      <c r="E78" s="15" t="s">
        <v>707</v>
      </c>
      <c r="F78" s="15" t="s">
        <v>708</v>
      </c>
      <c r="G78" s="15" t="s">
        <v>234</v>
      </c>
      <c r="H78" s="15" t="s">
        <v>392</v>
      </c>
      <c r="I78" s="16" t="s">
        <v>709</v>
      </c>
      <c r="J78" s="17" t="s">
        <v>41</v>
      </c>
      <c r="K78" s="17"/>
      <c r="L78" s="16" t="s">
        <v>37</v>
      </c>
      <c r="M78" s="17" t="s">
        <v>37</v>
      </c>
      <c r="N78" s="16" t="s">
        <v>710</v>
      </c>
    </row>
    <row r="79" customFormat="false" ht="54.75" hidden="false" customHeight="true" outlineLevel="0" collapsed="false">
      <c r="A79" s="13" t="s">
        <v>711</v>
      </c>
      <c r="B79" s="14" t="s">
        <v>639</v>
      </c>
      <c r="C79" s="15" t="s">
        <v>712</v>
      </c>
      <c r="D79" s="15" t="s">
        <v>713</v>
      </c>
      <c r="E79" s="15" t="s">
        <v>714</v>
      </c>
      <c r="F79" s="15" t="s">
        <v>715</v>
      </c>
      <c r="G79" s="15" t="s">
        <v>716</v>
      </c>
      <c r="H79" s="15" t="s">
        <v>717</v>
      </c>
      <c r="I79" s="16" t="s">
        <v>718</v>
      </c>
      <c r="J79" s="17" t="s">
        <v>37</v>
      </c>
      <c r="K79" s="17"/>
      <c r="L79" s="16" t="s">
        <v>37</v>
      </c>
      <c r="M79" s="17" t="s">
        <v>37</v>
      </c>
      <c r="N79" s="16" t="s">
        <v>719</v>
      </c>
    </row>
    <row r="80" customFormat="false" ht="43.5" hidden="false" customHeight="true" outlineLevel="0" collapsed="false">
      <c r="A80" s="13" t="s">
        <v>720</v>
      </c>
      <c r="B80" s="14" t="s">
        <v>639</v>
      </c>
      <c r="C80" s="15" t="s">
        <v>721</v>
      </c>
      <c r="D80" s="15" t="s">
        <v>722</v>
      </c>
      <c r="E80" s="15" t="s">
        <v>652</v>
      </c>
      <c r="F80" s="15" t="s">
        <v>723</v>
      </c>
      <c r="G80" s="15" t="s">
        <v>724</v>
      </c>
      <c r="H80" s="15" t="s">
        <v>149</v>
      </c>
      <c r="I80" s="16" t="s">
        <v>725</v>
      </c>
      <c r="J80" s="17" t="s">
        <v>41</v>
      </c>
      <c r="K80" s="17" t="s">
        <v>726</v>
      </c>
      <c r="L80" s="16" t="s">
        <v>53</v>
      </c>
      <c r="M80" s="17" t="s">
        <v>37</v>
      </c>
      <c r="N80" s="17" t="s">
        <v>727</v>
      </c>
    </row>
    <row r="81" customFormat="false" ht="29.25" hidden="false" customHeight="true" outlineLevel="0" collapsed="false">
      <c r="A81" s="13" t="s">
        <v>728</v>
      </c>
      <c r="B81" s="14" t="s">
        <v>639</v>
      </c>
      <c r="C81" s="15" t="s">
        <v>729</v>
      </c>
      <c r="D81" s="15" t="s">
        <v>730</v>
      </c>
      <c r="E81" s="15" t="s">
        <v>731</v>
      </c>
      <c r="F81" s="15" t="s">
        <v>732</v>
      </c>
      <c r="G81" s="15" t="s">
        <v>234</v>
      </c>
      <c r="H81" s="15" t="s">
        <v>733</v>
      </c>
      <c r="I81" s="16" t="s">
        <v>734</v>
      </c>
      <c r="J81" s="17" t="s">
        <v>37</v>
      </c>
      <c r="K81" s="17"/>
      <c r="L81" s="16" t="s">
        <v>37</v>
      </c>
      <c r="M81" s="17" t="s">
        <v>37</v>
      </c>
      <c r="N81" s="17" t="s">
        <v>735</v>
      </c>
    </row>
    <row r="82" customFormat="false" ht="16.5" hidden="false" customHeight="true" outlineLevel="0" collapsed="false">
      <c r="A82" s="12" t="s">
        <v>736</v>
      </c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</row>
    <row r="83" customFormat="false" ht="57.75" hidden="false" customHeight="true" outlineLevel="0" collapsed="false">
      <c r="A83" s="13" t="s">
        <v>737</v>
      </c>
      <c r="B83" s="14" t="s">
        <v>738</v>
      </c>
      <c r="C83" s="14" t="s">
        <v>739</v>
      </c>
      <c r="D83" s="15" t="s">
        <v>740</v>
      </c>
      <c r="E83" s="15" t="s">
        <v>741</v>
      </c>
      <c r="F83" s="15" t="s">
        <v>742</v>
      </c>
      <c r="G83" s="14" t="s">
        <v>743</v>
      </c>
      <c r="H83" s="15" t="s">
        <v>744</v>
      </c>
      <c r="I83" s="16" t="s">
        <v>745</v>
      </c>
      <c r="J83" s="17" t="s">
        <v>37</v>
      </c>
      <c r="K83" s="17" t="s">
        <v>746</v>
      </c>
      <c r="L83" s="16" t="s">
        <v>39</v>
      </c>
      <c r="M83" s="17"/>
      <c r="N83" s="16" t="s">
        <v>747</v>
      </c>
    </row>
    <row r="84" customFormat="false" ht="43.5" hidden="false" customHeight="true" outlineLevel="0" collapsed="false">
      <c r="A84" s="13" t="s">
        <v>748</v>
      </c>
      <c r="B84" s="14" t="s">
        <v>738</v>
      </c>
      <c r="C84" s="15" t="s">
        <v>749</v>
      </c>
      <c r="D84" s="14" t="s">
        <v>136</v>
      </c>
      <c r="E84" s="15" t="s">
        <v>750</v>
      </c>
      <c r="F84" s="15" t="s">
        <v>751</v>
      </c>
      <c r="G84" s="15" t="s">
        <v>752</v>
      </c>
      <c r="H84" s="15" t="s">
        <v>252</v>
      </c>
      <c r="I84" s="16" t="s">
        <v>753</v>
      </c>
      <c r="J84" s="17" t="s">
        <v>37</v>
      </c>
      <c r="K84" s="17"/>
      <c r="L84" s="16" t="s">
        <v>37</v>
      </c>
      <c r="M84" s="17" t="s">
        <v>37</v>
      </c>
      <c r="N84" s="17" t="s">
        <v>754</v>
      </c>
    </row>
    <row r="85" customFormat="false" ht="43.5" hidden="false" customHeight="true" outlineLevel="0" collapsed="false">
      <c r="A85" s="13" t="s">
        <v>755</v>
      </c>
      <c r="B85" s="14" t="s">
        <v>738</v>
      </c>
      <c r="C85" s="15" t="s">
        <v>756</v>
      </c>
      <c r="D85" s="15" t="s">
        <v>757</v>
      </c>
      <c r="E85" s="15" t="s">
        <v>758</v>
      </c>
      <c r="F85" s="15" t="s">
        <v>759</v>
      </c>
      <c r="G85" s="15" t="s">
        <v>760</v>
      </c>
      <c r="H85" s="15" t="s">
        <v>761</v>
      </c>
      <c r="I85" s="16" t="s">
        <v>762</v>
      </c>
      <c r="J85" s="17" t="s">
        <v>37</v>
      </c>
      <c r="K85" s="17" t="s">
        <v>763</v>
      </c>
      <c r="L85" s="16" t="s">
        <v>53</v>
      </c>
      <c r="M85" s="17" t="s">
        <v>37</v>
      </c>
      <c r="N85" s="16" t="s">
        <v>764</v>
      </c>
    </row>
    <row r="86" customFormat="false" ht="43.5" hidden="false" customHeight="true" outlineLevel="0" collapsed="false">
      <c r="A86" s="13" t="s">
        <v>765</v>
      </c>
      <c r="B86" s="14" t="s">
        <v>738</v>
      </c>
      <c r="C86" s="14" t="s">
        <v>766</v>
      </c>
      <c r="D86" s="15" t="s">
        <v>767</v>
      </c>
      <c r="E86" s="15" t="s">
        <v>768</v>
      </c>
      <c r="F86" s="15" t="s">
        <v>769</v>
      </c>
      <c r="G86" s="14" t="s">
        <v>770</v>
      </c>
      <c r="H86" s="15" t="s">
        <v>149</v>
      </c>
      <c r="I86" s="16" t="s">
        <v>771</v>
      </c>
      <c r="J86" s="17" t="s">
        <v>39</v>
      </c>
      <c r="K86" s="17" t="s">
        <v>772</v>
      </c>
      <c r="L86" s="16" t="s">
        <v>53</v>
      </c>
      <c r="M86" s="17" t="s">
        <v>37</v>
      </c>
      <c r="N86" s="17" t="s">
        <v>773</v>
      </c>
    </row>
    <row r="87" customFormat="false" ht="29.25" hidden="false" customHeight="true" outlineLevel="0" collapsed="false">
      <c r="A87" s="13" t="s">
        <v>774</v>
      </c>
      <c r="B87" s="14" t="s">
        <v>738</v>
      </c>
      <c r="C87" s="14" t="s">
        <v>775</v>
      </c>
      <c r="D87" s="15" t="s">
        <v>167</v>
      </c>
      <c r="E87" s="15" t="s">
        <v>776</v>
      </c>
      <c r="F87" s="15" t="s">
        <v>777</v>
      </c>
      <c r="G87" s="15" t="s">
        <v>400</v>
      </c>
      <c r="H87" s="15" t="s">
        <v>149</v>
      </c>
      <c r="I87" s="16" t="s">
        <v>778</v>
      </c>
      <c r="J87" s="17" t="s">
        <v>39</v>
      </c>
      <c r="K87" s="17" t="s">
        <v>779</v>
      </c>
      <c r="L87" s="16" t="s">
        <v>53</v>
      </c>
      <c r="M87" s="17" t="s">
        <v>37</v>
      </c>
      <c r="N87" s="16" t="s">
        <v>780</v>
      </c>
    </row>
    <row r="88" customFormat="false" ht="57.75" hidden="false" customHeight="true" outlineLevel="0" collapsed="false">
      <c r="A88" s="13" t="s">
        <v>781</v>
      </c>
      <c r="B88" s="14" t="s">
        <v>738</v>
      </c>
      <c r="C88" s="15" t="s">
        <v>782</v>
      </c>
      <c r="D88" s="15" t="s">
        <v>783</v>
      </c>
      <c r="E88" s="15" t="s">
        <v>784</v>
      </c>
      <c r="F88" s="15" t="s">
        <v>785</v>
      </c>
      <c r="G88" s="15" t="s">
        <v>752</v>
      </c>
      <c r="H88" s="15" t="s">
        <v>786</v>
      </c>
      <c r="I88" s="16" t="s">
        <v>787</v>
      </c>
      <c r="J88" s="17" t="s">
        <v>37</v>
      </c>
      <c r="K88" s="17"/>
      <c r="L88" s="16" t="s">
        <v>37</v>
      </c>
      <c r="M88" s="17" t="s">
        <v>37</v>
      </c>
      <c r="N88" s="16" t="s">
        <v>788</v>
      </c>
    </row>
    <row r="89" customFormat="false" ht="29.25" hidden="false" customHeight="true" outlineLevel="0" collapsed="false">
      <c r="A89" s="13" t="s">
        <v>789</v>
      </c>
      <c r="B89" s="14" t="s">
        <v>738</v>
      </c>
      <c r="C89" s="15" t="s">
        <v>790</v>
      </c>
      <c r="D89" s="15" t="s">
        <v>791</v>
      </c>
      <c r="E89" s="15" t="s">
        <v>792</v>
      </c>
      <c r="F89" s="15" t="s">
        <v>793</v>
      </c>
      <c r="G89" s="15" t="s">
        <v>794</v>
      </c>
      <c r="H89" s="15" t="s">
        <v>149</v>
      </c>
      <c r="I89" s="17" t="s">
        <v>795</v>
      </c>
      <c r="J89" s="17" t="s">
        <v>41</v>
      </c>
      <c r="K89" s="17"/>
      <c r="L89" s="16" t="s">
        <v>37</v>
      </c>
      <c r="M89" s="17" t="s">
        <v>37</v>
      </c>
      <c r="N89" s="16" t="s">
        <v>796</v>
      </c>
    </row>
    <row r="90" customFormat="false" ht="29.25" hidden="false" customHeight="true" outlineLevel="0" collapsed="false">
      <c r="A90" s="13" t="s">
        <v>797</v>
      </c>
      <c r="B90" s="14" t="s">
        <v>738</v>
      </c>
      <c r="C90" s="14" t="s">
        <v>798</v>
      </c>
      <c r="D90" s="15" t="s">
        <v>799</v>
      </c>
      <c r="E90" s="15" t="s">
        <v>800</v>
      </c>
      <c r="F90" s="15" t="s">
        <v>801</v>
      </c>
      <c r="G90" s="15" t="s">
        <v>234</v>
      </c>
      <c r="H90" s="15" t="s">
        <v>149</v>
      </c>
      <c r="I90" s="16" t="s">
        <v>802</v>
      </c>
      <c r="J90" s="17" t="s">
        <v>37</v>
      </c>
      <c r="K90" s="17" t="s">
        <v>803</v>
      </c>
      <c r="L90" s="16" t="s">
        <v>53</v>
      </c>
      <c r="M90" s="17" t="s">
        <v>37</v>
      </c>
      <c r="N90" s="16" t="s">
        <v>804</v>
      </c>
    </row>
    <row r="91" customFormat="false" ht="29.25" hidden="false" customHeight="true" outlineLevel="0" collapsed="false">
      <c r="A91" s="13" t="s">
        <v>805</v>
      </c>
      <c r="B91" s="14" t="s">
        <v>738</v>
      </c>
      <c r="C91" s="15" t="s">
        <v>806</v>
      </c>
      <c r="D91" s="14" t="s">
        <v>136</v>
      </c>
      <c r="E91" s="15" t="s">
        <v>807</v>
      </c>
      <c r="F91" s="15" t="s">
        <v>808</v>
      </c>
      <c r="G91" s="15" t="s">
        <v>234</v>
      </c>
      <c r="H91" s="15" t="s">
        <v>244</v>
      </c>
      <c r="I91" s="17" t="s">
        <v>809</v>
      </c>
      <c r="J91" s="17" t="s">
        <v>37</v>
      </c>
      <c r="K91" s="17"/>
      <c r="L91" s="16" t="s">
        <v>37</v>
      </c>
      <c r="M91" s="17" t="s">
        <v>37</v>
      </c>
      <c r="N91" s="17" t="s">
        <v>810</v>
      </c>
    </row>
    <row r="92" customFormat="false" ht="16.5" hidden="false" customHeight="true" outlineLevel="0" collapsed="false">
      <c r="A92" s="12" t="s">
        <v>811</v>
      </c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</row>
    <row r="93" customFormat="false" ht="43.5" hidden="false" customHeight="true" outlineLevel="0" collapsed="false">
      <c r="A93" s="13" t="s">
        <v>812</v>
      </c>
      <c r="B93" s="14" t="s">
        <v>813</v>
      </c>
      <c r="C93" s="15" t="s">
        <v>814</v>
      </c>
      <c r="D93" s="15" t="s">
        <v>815</v>
      </c>
      <c r="E93" s="15" t="s">
        <v>816</v>
      </c>
      <c r="F93" s="15" t="s">
        <v>817</v>
      </c>
      <c r="G93" s="14" t="s">
        <v>818</v>
      </c>
      <c r="H93" s="15" t="s">
        <v>819</v>
      </c>
      <c r="I93" s="16" t="s">
        <v>820</v>
      </c>
      <c r="J93" s="17" t="s">
        <v>37</v>
      </c>
      <c r="K93" s="17" t="s">
        <v>821</v>
      </c>
      <c r="L93" s="16" t="s">
        <v>45</v>
      </c>
      <c r="M93" s="17"/>
      <c r="N93" s="16" t="s">
        <v>822</v>
      </c>
    </row>
    <row r="94" customFormat="false" ht="57.75" hidden="false" customHeight="true" outlineLevel="0" collapsed="false">
      <c r="A94" s="13" t="s">
        <v>823</v>
      </c>
      <c r="B94" s="14" t="s">
        <v>813</v>
      </c>
      <c r="C94" s="15" t="s">
        <v>824</v>
      </c>
      <c r="D94" s="14" t="s">
        <v>136</v>
      </c>
      <c r="E94" s="15" t="s">
        <v>825</v>
      </c>
      <c r="F94" s="15" t="s">
        <v>826</v>
      </c>
      <c r="G94" s="15" t="s">
        <v>234</v>
      </c>
      <c r="H94" s="15" t="s">
        <v>827</v>
      </c>
      <c r="I94" s="17" t="s">
        <v>828</v>
      </c>
      <c r="J94" s="17" t="s">
        <v>37</v>
      </c>
      <c r="K94" s="17"/>
      <c r="L94" s="16" t="s">
        <v>37</v>
      </c>
      <c r="M94" s="17" t="s">
        <v>37</v>
      </c>
      <c r="N94" s="17" t="s">
        <v>829</v>
      </c>
    </row>
    <row r="95" customFormat="false" ht="43.5" hidden="false" customHeight="true" outlineLevel="0" collapsed="false">
      <c r="A95" s="13" t="s">
        <v>830</v>
      </c>
      <c r="B95" s="14" t="s">
        <v>813</v>
      </c>
      <c r="C95" s="15" t="s">
        <v>831</v>
      </c>
      <c r="D95" s="14" t="s">
        <v>136</v>
      </c>
      <c r="E95" s="15" t="s">
        <v>832</v>
      </c>
      <c r="F95" s="15" t="s">
        <v>833</v>
      </c>
      <c r="G95" s="15" t="s">
        <v>234</v>
      </c>
      <c r="H95" s="15" t="s">
        <v>834</v>
      </c>
      <c r="I95" s="17" t="s">
        <v>835</v>
      </c>
      <c r="J95" s="17" t="s">
        <v>37</v>
      </c>
      <c r="K95" s="17"/>
      <c r="L95" s="16" t="s">
        <v>37</v>
      </c>
      <c r="M95" s="17" t="s">
        <v>37</v>
      </c>
      <c r="N95" s="17" t="s">
        <v>836</v>
      </c>
    </row>
    <row r="96" customFormat="false" ht="29.25" hidden="false" customHeight="true" outlineLevel="0" collapsed="false">
      <c r="A96" s="13" t="s">
        <v>837</v>
      </c>
      <c r="B96" s="14" t="s">
        <v>813</v>
      </c>
      <c r="C96" s="15" t="s">
        <v>838</v>
      </c>
      <c r="D96" s="14" t="s">
        <v>839</v>
      </c>
      <c r="E96" s="15" t="s">
        <v>840</v>
      </c>
      <c r="F96" s="15" t="s">
        <v>841</v>
      </c>
      <c r="G96" s="15" t="s">
        <v>842</v>
      </c>
      <c r="H96" s="15" t="s">
        <v>843</v>
      </c>
      <c r="I96" s="17" t="s">
        <v>844</v>
      </c>
      <c r="J96" s="17" t="s">
        <v>37</v>
      </c>
      <c r="K96" s="17" t="s">
        <v>845</v>
      </c>
      <c r="L96" s="16" t="s">
        <v>53</v>
      </c>
      <c r="M96" s="17" t="s">
        <v>37</v>
      </c>
      <c r="N96" s="17" t="s">
        <v>846</v>
      </c>
    </row>
    <row r="97" customFormat="false" ht="29.25" hidden="false" customHeight="true" outlineLevel="0" collapsed="false">
      <c r="A97" s="13" t="s">
        <v>847</v>
      </c>
      <c r="B97" s="14" t="s">
        <v>813</v>
      </c>
      <c r="C97" s="15" t="s">
        <v>848</v>
      </c>
      <c r="D97" s="14" t="s">
        <v>136</v>
      </c>
      <c r="E97" s="15" t="s">
        <v>849</v>
      </c>
      <c r="F97" s="15" t="s">
        <v>850</v>
      </c>
      <c r="G97" s="15" t="s">
        <v>234</v>
      </c>
      <c r="H97" s="15" t="s">
        <v>851</v>
      </c>
      <c r="I97" s="17" t="s">
        <v>852</v>
      </c>
      <c r="J97" s="17" t="s">
        <v>37</v>
      </c>
      <c r="K97" s="17"/>
      <c r="L97" s="16" t="s">
        <v>37</v>
      </c>
      <c r="M97" s="17" t="s">
        <v>37</v>
      </c>
      <c r="N97" s="17" t="s">
        <v>853</v>
      </c>
    </row>
    <row r="98" customFormat="false" ht="43.5" hidden="false" customHeight="true" outlineLevel="0" collapsed="false">
      <c r="A98" s="13" t="s">
        <v>854</v>
      </c>
      <c r="B98" s="14" t="s">
        <v>813</v>
      </c>
      <c r="C98" s="15" t="s">
        <v>855</v>
      </c>
      <c r="D98" s="14" t="s">
        <v>136</v>
      </c>
      <c r="E98" s="15" t="s">
        <v>856</v>
      </c>
      <c r="F98" s="15" t="s">
        <v>857</v>
      </c>
      <c r="G98" s="15" t="s">
        <v>234</v>
      </c>
      <c r="H98" s="15" t="s">
        <v>858</v>
      </c>
      <c r="I98" s="16" t="s">
        <v>859</v>
      </c>
      <c r="J98" s="17" t="s">
        <v>45</v>
      </c>
      <c r="K98" s="17" t="s">
        <v>860</v>
      </c>
      <c r="L98" s="16" t="s">
        <v>53</v>
      </c>
      <c r="M98" s="17" t="s">
        <v>37</v>
      </c>
      <c r="N98" s="17" t="s">
        <v>861</v>
      </c>
    </row>
    <row r="99" customFormat="false" ht="29.25" hidden="false" customHeight="true" outlineLevel="0" collapsed="false">
      <c r="A99" s="13" t="s">
        <v>862</v>
      </c>
      <c r="B99" s="14" t="s">
        <v>813</v>
      </c>
      <c r="C99" s="14" t="s">
        <v>863</v>
      </c>
      <c r="D99" s="15" t="s">
        <v>864</v>
      </c>
      <c r="E99" s="15" t="s">
        <v>865</v>
      </c>
      <c r="F99" s="15" t="s">
        <v>866</v>
      </c>
      <c r="G99" s="15" t="s">
        <v>867</v>
      </c>
      <c r="H99" s="15" t="s">
        <v>149</v>
      </c>
      <c r="I99" s="16" t="s">
        <v>868</v>
      </c>
      <c r="J99" s="17" t="s">
        <v>37</v>
      </c>
      <c r="K99" s="17"/>
      <c r="L99" s="16" t="s">
        <v>37</v>
      </c>
      <c r="M99" s="17" t="s">
        <v>37</v>
      </c>
      <c r="N99" s="16" t="s">
        <v>869</v>
      </c>
    </row>
    <row r="100" customFormat="false" ht="29.25" hidden="false" customHeight="true" outlineLevel="0" collapsed="false">
      <c r="A100" s="13" t="s">
        <v>870</v>
      </c>
      <c r="B100" s="14" t="s">
        <v>813</v>
      </c>
      <c r="C100" s="15" t="s">
        <v>871</v>
      </c>
      <c r="D100" s="15" t="s">
        <v>872</v>
      </c>
      <c r="E100" s="15" t="s">
        <v>873</v>
      </c>
      <c r="F100" s="14" t="s">
        <v>874</v>
      </c>
      <c r="G100" s="14" t="s">
        <v>875</v>
      </c>
      <c r="H100" s="15" t="s">
        <v>149</v>
      </c>
      <c r="I100" s="16" t="s">
        <v>876</v>
      </c>
      <c r="J100" s="17" t="s">
        <v>41</v>
      </c>
      <c r="K100" s="17" t="s">
        <v>877</v>
      </c>
      <c r="L100" s="16" t="s">
        <v>53</v>
      </c>
      <c r="M100" s="17" t="s">
        <v>37</v>
      </c>
      <c r="N100" s="16" t="s">
        <v>878</v>
      </c>
    </row>
    <row r="101" customFormat="false" ht="15" hidden="false" customHeight="true" outlineLevel="0" collapsed="false">
      <c r="A101" s="13" t="s">
        <v>879</v>
      </c>
      <c r="B101" s="14" t="s">
        <v>813</v>
      </c>
      <c r="C101" s="14" t="s">
        <v>880</v>
      </c>
      <c r="D101" s="15" t="s">
        <v>881</v>
      </c>
      <c r="E101" s="15" t="s">
        <v>882</v>
      </c>
      <c r="F101" s="15" t="s">
        <v>883</v>
      </c>
      <c r="G101" s="15" t="s">
        <v>884</v>
      </c>
      <c r="H101" s="15" t="s">
        <v>149</v>
      </c>
      <c r="I101" s="16" t="s">
        <v>885</v>
      </c>
      <c r="J101" s="17" t="s">
        <v>39</v>
      </c>
      <c r="K101" s="17" t="s">
        <v>886</v>
      </c>
      <c r="L101" s="16" t="s">
        <v>53</v>
      </c>
      <c r="M101" s="17" t="s">
        <v>37</v>
      </c>
      <c r="N101" s="17" t="s">
        <v>887</v>
      </c>
    </row>
    <row r="102" customFormat="false" ht="40.5" hidden="false" customHeight="true" outlineLevel="0" collapsed="false">
      <c r="A102" s="13" t="s">
        <v>888</v>
      </c>
      <c r="B102" s="14" t="s">
        <v>813</v>
      </c>
      <c r="C102" s="15" t="s">
        <v>889</v>
      </c>
      <c r="D102" s="14" t="s">
        <v>136</v>
      </c>
      <c r="E102" s="15" t="s">
        <v>890</v>
      </c>
      <c r="F102" s="14" t="s">
        <v>891</v>
      </c>
      <c r="G102" s="15" t="s">
        <v>234</v>
      </c>
      <c r="H102" s="15" t="s">
        <v>892</v>
      </c>
      <c r="I102" s="16" t="s">
        <v>893</v>
      </c>
      <c r="J102" s="17" t="s">
        <v>43</v>
      </c>
      <c r="K102" s="17"/>
      <c r="L102" s="16" t="s">
        <v>43</v>
      </c>
      <c r="M102" s="17" t="s">
        <v>43</v>
      </c>
      <c r="N102" s="16" t="s">
        <v>894</v>
      </c>
    </row>
    <row r="103" customFormat="false" ht="16.5" hidden="false" customHeight="true" outlineLevel="0" collapsed="false">
      <c r="A103" s="12" t="s">
        <v>895</v>
      </c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</row>
    <row r="104" customFormat="false" ht="29.25" hidden="false" customHeight="true" outlineLevel="0" collapsed="false">
      <c r="A104" s="13" t="s">
        <v>896</v>
      </c>
      <c r="B104" s="14" t="s">
        <v>897</v>
      </c>
      <c r="C104" s="14" t="s">
        <v>898</v>
      </c>
      <c r="D104" s="14" t="s">
        <v>899</v>
      </c>
      <c r="E104" s="15" t="s">
        <v>900</v>
      </c>
      <c r="F104" s="15" t="s">
        <v>901</v>
      </c>
      <c r="G104" s="15" t="s">
        <v>902</v>
      </c>
      <c r="H104" s="15" t="s">
        <v>149</v>
      </c>
      <c r="I104" s="16" t="s">
        <v>903</v>
      </c>
      <c r="J104" s="17" t="s">
        <v>41</v>
      </c>
      <c r="K104" s="17" t="s">
        <v>904</v>
      </c>
      <c r="L104" s="16" t="s">
        <v>37</v>
      </c>
      <c r="M104" s="17" t="s">
        <v>37</v>
      </c>
      <c r="N104" s="16" t="s">
        <v>905</v>
      </c>
    </row>
    <row r="105" customFormat="false" ht="29.25" hidden="false" customHeight="true" outlineLevel="0" collapsed="false">
      <c r="A105" s="13" t="s">
        <v>906</v>
      </c>
      <c r="B105" s="14" t="s">
        <v>897</v>
      </c>
      <c r="C105" s="15" t="s">
        <v>907</v>
      </c>
      <c r="D105" s="15" t="s">
        <v>908</v>
      </c>
      <c r="E105" s="15" t="s">
        <v>909</v>
      </c>
      <c r="F105" s="15" t="s">
        <v>910</v>
      </c>
      <c r="G105" s="15" t="s">
        <v>884</v>
      </c>
      <c r="H105" s="15" t="s">
        <v>911</v>
      </c>
      <c r="I105" s="16" t="s">
        <v>912</v>
      </c>
      <c r="J105" s="17" t="s">
        <v>37</v>
      </c>
      <c r="K105" s="17" t="s">
        <v>913</v>
      </c>
      <c r="L105" s="16" t="s">
        <v>53</v>
      </c>
      <c r="M105" s="17" t="s">
        <v>37</v>
      </c>
      <c r="N105" s="17" t="s">
        <v>914</v>
      </c>
    </row>
    <row r="106" customFormat="false" ht="29.25" hidden="false" customHeight="true" outlineLevel="0" collapsed="false">
      <c r="A106" s="13" t="s">
        <v>915</v>
      </c>
      <c r="B106" s="14" t="s">
        <v>897</v>
      </c>
      <c r="C106" s="15" t="s">
        <v>916</v>
      </c>
      <c r="D106" s="15" t="s">
        <v>917</v>
      </c>
      <c r="E106" s="15" t="s">
        <v>918</v>
      </c>
      <c r="F106" s="15" t="s">
        <v>919</v>
      </c>
      <c r="G106" s="15" t="s">
        <v>902</v>
      </c>
      <c r="H106" s="15" t="s">
        <v>149</v>
      </c>
      <c r="I106" s="16" t="s">
        <v>920</v>
      </c>
      <c r="J106" s="17" t="s">
        <v>45</v>
      </c>
      <c r="K106" s="17" t="s">
        <v>921</v>
      </c>
      <c r="L106" s="16" t="s">
        <v>53</v>
      </c>
      <c r="M106" s="17" t="s">
        <v>37</v>
      </c>
      <c r="N106" s="17" t="s">
        <v>922</v>
      </c>
    </row>
    <row r="107" customFormat="false" ht="29.25" hidden="false" customHeight="true" outlineLevel="0" collapsed="false">
      <c r="A107" s="13" t="s">
        <v>923</v>
      </c>
      <c r="B107" s="14" t="s">
        <v>897</v>
      </c>
      <c r="C107" s="15" t="s">
        <v>924</v>
      </c>
      <c r="D107" s="15" t="s">
        <v>783</v>
      </c>
      <c r="E107" s="15" t="s">
        <v>925</v>
      </c>
      <c r="F107" s="15" t="s">
        <v>926</v>
      </c>
      <c r="G107" s="15" t="s">
        <v>927</v>
      </c>
      <c r="H107" s="15" t="s">
        <v>149</v>
      </c>
      <c r="I107" s="16" t="s">
        <v>928</v>
      </c>
      <c r="J107" s="17" t="s">
        <v>39</v>
      </c>
      <c r="K107" s="17" t="s">
        <v>929</v>
      </c>
      <c r="L107" s="16" t="s">
        <v>53</v>
      </c>
      <c r="M107" s="17" t="s">
        <v>37</v>
      </c>
      <c r="N107" s="16" t="s">
        <v>930</v>
      </c>
    </row>
    <row r="108" customFormat="false" ht="43.5" hidden="false" customHeight="true" outlineLevel="0" collapsed="false">
      <c r="A108" s="13" t="s">
        <v>931</v>
      </c>
      <c r="B108" s="14" t="s">
        <v>897</v>
      </c>
      <c r="C108" s="15" t="s">
        <v>932</v>
      </c>
      <c r="D108" s="15" t="s">
        <v>933</v>
      </c>
      <c r="E108" s="15" t="s">
        <v>934</v>
      </c>
      <c r="F108" s="15" t="s">
        <v>935</v>
      </c>
      <c r="G108" s="15" t="s">
        <v>936</v>
      </c>
      <c r="H108" s="15" t="s">
        <v>937</v>
      </c>
      <c r="I108" s="16" t="s">
        <v>938</v>
      </c>
      <c r="J108" s="17" t="s">
        <v>39</v>
      </c>
      <c r="K108" s="17" t="s">
        <v>939</v>
      </c>
      <c r="L108" s="16" t="s">
        <v>53</v>
      </c>
      <c r="M108" s="17" t="s">
        <v>37</v>
      </c>
      <c r="N108" s="16" t="s">
        <v>940</v>
      </c>
    </row>
    <row r="109" customFormat="false" ht="15" hidden="false" customHeight="true" outlineLevel="0" collapsed="false">
      <c r="A109" s="13" t="s">
        <v>941</v>
      </c>
      <c r="B109" s="14" t="s">
        <v>897</v>
      </c>
      <c r="C109" s="15" t="s">
        <v>942</v>
      </c>
      <c r="D109" s="15" t="s">
        <v>783</v>
      </c>
      <c r="E109" s="15" t="s">
        <v>943</v>
      </c>
      <c r="F109" s="15" t="s">
        <v>944</v>
      </c>
      <c r="G109" s="15" t="s">
        <v>945</v>
      </c>
      <c r="H109" s="15" t="s">
        <v>149</v>
      </c>
      <c r="I109" s="16" t="s">
        <v>946</v>
      </c>
      <c r="J109" s="17" t="s">
        <v>37</v>
      </c>
      <c r="K109" s="17"/>
      <c r="L109" s="16" t="s">
        <v>37</v>
      </c>
      <c r="M109" s="17" t="s">
        <v>37</v>
      </c>
      <c r="N109" s="16" t="s">
        <v>947</v>
      </c>
    </row>
    <row r="110" customFormat="false" ht="29.25" hidden="false" customHeight="true" outlineLevel="0" collapsed="false">
      <c r="A110" s="13" t="s">
        <v>948</v>
      </c>
      <c r="B110" s="14" t="s">
        <v>897</v>
      </c>
      <c r="C110" s="14" t="s">
        <v>949</v>
      </c>
      <c r="D110" s="14" t="s">
        <v>136</v>
      </c>
      <c r="E110" s="15" t="s">
        <v>950</v>
      </c>
      <c r="F110" s="15" t="s">
        <v>951</v>
      </c>
      <c r="G110" s="15" t="s">
        <v>234</v>
      </c>
      <c r="H110" s="15" t="s">
        <v>392</v>
      </c>
      <c r="I110" s="17" t="s">
        <v>952</v>
      </c>
      <c r="J110" s="17" t="s">
        <v>37</v>
      </c>
      <c r="K110" s="17" t="s">
        <v>953</v>
      </c>
      <c r="L110" s="16" t="s">
        <v>37</v>
      </c>
      <c r="M110" s="17" t="s">
        <v>37</v>
      </c>
      <c r="N110" s="17" t="s">
        <v>954</v>
      </c>
    </row>
    <row r="111" customFormat="false" ht="43.5" hidden="false" customHeight="true" outlineLevel="0" collapsed="false">
      <c r="A111" s="13" t="s">
        <v>955</v>
      </c>
      <c r="B111" s="14" t="s">
        <v>897</v>
      </c>
      <c r="C111" s="15" t="s">
        <v>956</v>
      </c>
      <c r="D111" s="14" t="s">
        <v>136</v>
      </c>
      <c r="E111" s="15" t="s">
        <v>957</v>
      </c>
      <c r="F111" s="14" t="s">
        <v>958</v>
      </c>
      <c r="G111" s="15" t="s">
        <v>234</v>
      </c>
      <c r="H111" s="15" t="s">
        <v>959</v>
      </c>
      <c r="I111" s="16" t="s">
        <v>960</v>
      </c>
      <c r="J111" s="17" t="s">
        <v>37</v>
      </c>
      <c r="K111" s="17"/>
      <c r="L111" s="16" t="s">
        <v>37</v>
      </c>
      <c r="M111" s="17" t="s">
        <v>37</v>
      </c>
      <c r="N111" s="16" t="s">
        <v>961</v>
      </c>
    </row>
    <row r="112" customFormat="false" ht="16.5" hidden="false" customHeight="true" outlineLevel="0" collapsed="false">
      <c r="A112" s="12" t="s">
        <v>962</v>
      </c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</row>
    <row r="113" customFormat="false" ht="57.75" hidden="false" customHeight="true" outlineLevel="0" collapsed="false">
      <c r="A113" s="13" t="s">
        <v>963</v>
      </c>
      <c r="B113" s="14" t="s">
        <v>964</v>
      </c>
      <c r="C113" s="15" t="s">
        <v>965</v>
      </c>
      <c r="D113" s="14" t="s">
        <v>136</v>
      </c>
      <c r="E113" s="15" t="s">
        <v>966</v>
      </c>
      <c r="F113" s="15" t="s">
        <v>967</v>
      </c>
      <c r="G113" s="15" t="s">
        <v>234</v>
      </c>
      <c r="H113" s="15" t="s">
        <v>968</v>
      </c>
      <c r="I113" s="16" t="s">
        <v>969</v>
      </c>
      <c r="J113" s="17" t="s">
        <v>37</v>
      </c>
      <c r="K113" s="17"/>
      <c r="L113" s="16" t="s">
        <v>37</v>
      </c>
      <c r="M113" s="17" t="s">
        <v>37</v>
      </c>
      <c r="N113" s="17" t="s">
        <v>970</v>
      </c>
    </row>
    <row r="114" customFormat="false" ht="57.75" hidden="false" customHeight="true" outlineLevel="0" collapsed="false">
      <c r="A114" s="13" t="s">
        <v>971</v>
      </c>
      <c r="B114" s="14" t="s">
        <v>964</v>
      </c>
      <c r="C114" s="15" t="s">
        <v>972</v>
      </c>
      <c r="D114" s="14" t="s">
        <v>136</v>
      </c>
      <c r="E114" s="15" t="s">
        <v>973</v>
      </c>
      <c r="F114" s="15" t="s">
        <v>974</v>
      </c>
      <c r="G114" s="15" t="s">
        <v>234</v>
      </c>
      <c r="H114" s="15" t="s">
        <v>975</v>
      </c>
      <c r="I114" s="16" t="s">
        <v>976</v>
      </c>
      <c r="J114" s="17" t="s">
        <v>37</v>
      </c>
      <c r="K114" s="17"/>
      <c r="L114" s="16" t="s">
        <v>37</v>
      </c>
      <c r="M114" s="17" t="s">
        <v>37</v>
      </c>
      <c r="N114" s="17" t="s">
        <v>977</v>
      </c>
    </row>
    <row r="115" customFormat="false" ht="29.25" hidden="false" customHeight="true" outlineLevel="0" collapsed="false">
      <c r="A115" s="13" t="s">
        <v>978</v>
      </c>
      <c r="B115" s="14" t="s">
        <v>964</v>
      </c>
      <c r="C115" s="15" t="s">
        <v>979</v>
      </c>
      <c r="D115" s="14" t="s">
        <v>136</v>
      </c>
      <c r="E115" s="15" t="s">
        <v>980</v>
      </c>
      <c r="F115" s="15" t="s">
        <v>981</v>
      </c>
      <c r="G115" s="15" t="s">
        <v>234</v>
      </c>
      <c r="H115" s="15" t="s">
        <v>982</v>
      </c>
      <c r="I115" s="16" t="s">
        <v>983</v>
      </c>
      <c r="J115" s="17" t="s">
        <v>39</v>
      </c>
      <c r="K115" s="17" t="s">
        <v>984</v>
      </c>
      <c r="L115" s="16" t="s">
        <v>53</v>
      </c>
      <c r="M115" s="17" t="s">
        <v>37</v>
      </c>
      <c r="N115" s="17" t="s">
        <v>985</v>
      </c>
    </row>
    <row r="116" customFormat="false" ht="29.25" hidden="false" customHeight="true" outlineLevel="0" collapsed="false">
      <c r="A116" s="13" t="s">
        <v>986</v>
      </c>
      <c r="B116" s="14" t="s">
        <v>964</v>
      </c>
      <c r="C116" s="14" t="s">
        <v>987</v>
      </c>
      <c r="D116" s="15" t="s">
        <v>988</v>
      </c>
      <c r="E116" s="15" t="s">
        <v>989</v>
      </c>
      <c r="F116" s="15" t="s">
        <v>990</v>
      </c>
      <c r="G116" s="15" t="s">
        <v>234</v>
      </c>
      <c r="H116" s="15" t="s">
        <v>149</v>
      </c>
      <c r="I116" s="16" t="s">
        <v>991</v>
      </c>
      <c r="J116" s="17" t="s">
        <v>37</v>
      </c>
      <c r="K116" s="17" t="s">
        <v>992</v>
      </c>
      <c r="L116" s="16" t="s">
        <v>53</v>
      </c>
      <c r="M116" s="17" t="s">
        <v>37</v>
      </c>
      <c r="N116" s="16" t="s">
        <v>993</v>
      </c>
    </row>
    <row r="117" customFormat="false" ht="29.25" hidden="false" customHeight="true" outlineLevel="0" collapsed="false">
      <c r="A117" s="13" t="s">
        <v>994</v>
      </c>
      <c r="B117" s="14" t="s">
        <v>964</v>
      </c>
      <c r="C117" s="14" t="s">
        <v>995</v>
      </c>
      <c r="D117" s="15" t="s">
        <v>996</v>
      </c>
      <c r="E117" s="15" t="s">
        <v>997</v>
      </c>
      <c r="F117" s="15" t="s">
        <v>998</v>
      </c>
      <c r="G117" s="15" t="s">
        <v>400</v>
      </c>
      <c r="H117" s="15" t="s">
        <v>244</v>
      </c>
      <c r="I117" s="16" t="s">
        <v>999</v>
      </c>
      <c r="J117" s="17" t="s">
        <v>37</v>
      </c>
      <c r="K117" s="17"/>
      <c r="L117" s="16" t="s">
        <v>37</v>
      </c>
      <c r="M117" s="17" t="s">
        <v>37</v>
      </c>
      <c r="N117" s="16" t="s">
        <v>1000</v>
      </c>
    </row>
    <row r="118" customFormat="false" ht="43.5" hidden="false" customHeight="true" outlineLevel="0" collapsed="false">
      <c r="A118" s="13" t="s">
        <v>1001</v>
      </c>
      <c r="B118" s="14" t="s">
        <v>964</v>
      </c>
      <c r="C118" s="14" t="s">
        <v>1002</v>
      </c>
      <c r="D118" s="15" t="s">
        <v>1003</v>
      </c>
      <c r="E118" s="15" t="s">
        <v>1004</v>
      </c>
      <c r="F118" s="15" t="s">
        <v>1005</v>
      </c>
      <c r="G118" s="15" t="s">
        <v>400</v>
      </c>
      <c r="H118" s="15" t="s">
        <v>1006</v>
      </c>
      <c r="I118" s="16" t="s">
        <v>1007</v>
      </c>
      <c r="J118" s="17" t="s">
        <v>39</v>
      </c>
      <c r="K118" s="17" t="s">
        <v>1008</v>
      </c>
      <c r="L118" s="16" t="s">
        <v>53</v>
      </c>
      <c r="M118" s="17" t="s">
        <v>37</v>
      </c>
      <c r="N118" s="16" t="s">
        <v>1009</v>
      </c>
    </row>
    <row r="119" customFormat="false" ht="29.25" hidden="false" customHeight="true" outlineLevel="0" collapsed="false">
      <c r="A119" s="13" t="s">
        <v>1010</v>
      </c>
      <c r="B119" s="14" t="s">
        <v>964</v>
      </c>
      <c r="C119" s="14" t="s">
        <v>1011</v>
      </c>
      <c r="D119" s="15" t="s">
        <v>1012</v>
      </c>
      <c r="E119" s="15" t="s">
        <v>1013</v>
      </c>
      <c r="F119" s="14" t="s">
        <v>1014</v>
      </c>
      <c r="G119" s="14" t="s">
        <v>1015</v>
      </c>
      <c r="H119" s="15" t="s">
        <v>149</v>
      </c>
      <c r="I119" s="16" t="s">
        <v>1016</v>
      </c>
      <c r="J119" s="17" t="s">
        <v>37</v>
      </c>
      <c r="K119" s="17"/>
      <c r="L119" s="16" t="s">
        <v>37</v>
      </c>
      <c r="M119" s="17" t="s">
        <v>37</v>
      </c>
      <c r="N119" s="17" t="s">
        <v>1017</v>
      </c>
    </row>
    <row r="120" customFormat="false" ht="29.25" hidden="false" customHeight="true" outlineLevel="0" collapsed="false">
      <c r="A120" s="13" t="s">
        <v>1018</v>
      </c>
      <c r="B120" s="14" t="s">
        <v>964</v>
      </c>
      <c r="C120" s="15" t="s">
        <v>1019</v>
      </c>
      <c r="D120" s="15" t="s">
        <v>1020</v>
      </c>
      <c r="E120" s="15" t="s">
        <v>1021</v>
      </c>
      <c r="F120" s="15" t="s">
        <v>1022</v>
      </c>
      <c r="G120" s="15" t="s">
        <v>437</v>
      </c>
      <c r="H120" s="15" t="s">
        <v>149</v>
      </c>
      <c r="I120" s="16" t="s">
        <v>1023</v>
      </c>
      <c r="J120" s="17" t="s">
        <v>37</v>
      </c>
      <c r="K120" s="17" t="s">
        <v>1024</v>
      </c>
      <c r="L120" s="16" t="s">
        <v>53</v>
      </c>
      <c r="M120" s="17" t="s">
        <v>37</v>
      </c>
      <c r="N120" s="16" t="s">
        <v>1025</v>
      </c>
    </row>
    <row r="121" customFormat="false" ht="29.25" hidden="false" customHeight="true" outlineLevel="0" collapsed="false">
      <c r="A121" s="13" t="s">
        <v>1026</v>
      </c>
      <c r="B121" s="14" t="s">
        <v>964</v>
      </c>
      <c r="C121" s="15" t="s">
        <v>1027</v>
      </c>
      <c r="D121" s="15" t="s">
        <v>1020</v>
      </c>
      <c r="E121" s="15" t="s">
        <v>1028</v>
      </c>
      <c r="F121" s="15" t="s">
        <v>1029</v>
      </c>
      <c r="G121" s="15" t="s">
        <v>1030</v>
      </c>
      <c r="H121" s="15" t="s">
        <v>149</v>
      </c>
      <c r="I121" s="16" t="s">
        <v>1031</v>
      </c>
      <c r="J121" s="17" t="s">
        <v>37</v>
      </c>
      <c r="K121" s="17"/>
      <c r="L121" s="16" t="s">
        <v>37</v>
      </c>
      <c r="M121" s="17" t="s">
        <v>37</v>
      </c>
      <c r="N121" s="16" t="s">
        <v>1032</v>
      </c>
    </row>
    <row r="122" customFormat="false" ht="43.5" hidden="false" customHeight="true" outlineLevel="0" collapsed="false">
      <c r="A122" s="13" t="s">
        <v>1033</v>
      </c>
      <c r="B122" s="14" t="s">
        <v>964</v>
      </c>
      <c r="C122" s="15" t="s">
        <v>1034</v>
      </c>
      <c r="D122" s="15" t="s">
        <v>1035</v>
      </c>
      <c r="E122" s="15" t="s">
        <v>1036</v>
      </c>
      <c r="F122" s="15" t="s">
        <v>1037</v>
      </c>
      <c r="G122" s="14" t="s">
        <v>1038</v>
      </c>
      <c r="H122" s="15" t="s">
        <v>149</v>
      </c>
      <c r="I122" s="16" t="s">
        <v>1039</v>
      </c>
      <c r="J122" s="17" t="s">
        <v>39</v>
      </c>
      <c r="K122" s="17" t="s">
        <v>1040</v>
      </c>
      <c r="L122" s="16" t="s">
        <v>53</v>
      </c>
      <c r="M122" s="17" t="s">
        <v>37</v>
      </c>
      <c r="N122" s="16" t="s">
        <v>1041</v>
      </c>
    </row>
    <row r="123" customFormat="false" ht="29.25" hidden="false" customHeight="true" outlineLevel="0" collapsed="false">
      <c r="A123" s="13" t="s">
        <v>1042</v>
      </c>
      <c r="B123" s="14" t="s">
        <v>964</v>
      </c>
      <c r="C123" s="15" t="s">
        <v>1043</v>
      </c>
      <c r="D123" s="15" t="s">
        <v>167</v>
      </c>
      <c r="E123" s="15" t="s">
        <v>1044</v>
      </c>
      <c r="F123" s="15" t="s">
        <v>1045</v>
      </c>
      <c r="G123" s="15" t="s">
        <v>400</v>
      </c>
      <c r="H123" s="15" t="s">
        <v>149</v>
      </c>
      <c r="I123" s="16" t="s">
        <v>1046</v>
      </c>
      <c r="J123" s="17" t="s">
        <v>39</v>
      </c>
      <c r="K123" s="17" t="s">
        <v>1047</v>
      </c>
      <c r="L123" s="16" t="s">
        <v>53</v>
      </c>
      <c r="M123" s="17" t="s">
        <v>37</v>
      </c>
      <c r="N123" s="17" t="s">
        <v>1048</v>
      </c>
    </row>
    <row r="124" customFormat="false" ht="29.25" hidden="false" customHeight="true" outlineLevel="0" collapsed="false">
      <c r="A124" s="13" t="s">
        <v>1049</v>
      </c>
      <c r="B124" s="14" t="s">
        <v>964</v>
      </c>
      <c r="C124" s="15" t="s">
        <v>1050</v>
      </c>
      <c r="D124" s="15" t="s">
        <v>1020</v>
      </c>
      <c r="E124" s="15" t="s">
        <v>1051</v>
      </c>
      <c r="F124" s="15" t="s">
        <v>1052</v>
      </c>
      <c r="G124" s="15" t="s">
        <v>1053</v>
      </c>
      <c r="H124" s="15" t="s">
        <v>149</v>
      </c>
      <c r="I124" s="16" t="s">
        <v>1054</v>
      </c>
      <c r="J124" s="17" t="s">
        <v>37</v>
      </c>
      <c r="K124" s="17"/>
      <c r="L124" s="16" t="s">
        <v>37</v>
      </c>
      <c r="M124" s="17" t="s">
        <v>37</v>
      </c>
      <c r="N124" s="16" t="s">
        <v>1055</v>
      </c>
    </row>
    <row r="125" customFormat="false" ht="29.25" hidden="false" customHeight="true" outlineLevel="0" collapsed="false">
      <c r="A125" s="13" t="s">
        <v>1056</v>
      </c>
      <c r="B125" s="14" t="s">
        <v>964</v>
      </c>
      <c r="C125" s="15" t="s">
        <v>1057</v>
      </c>
      <c r="D125" s="14" t="s">
        <v>136</v>
      </c>
      <c r="E125" s="15" t="s">
        <v>1058</v>
      </c>
      <c r="F125" s="15" t="s">
        <v>1059</v>
      </c>
      <c r="G125" s="14" t="s">
        <v>1060</v>
      </c>
      <c r="H125" s="15" t="s">
        <v>149</v>
      </c>
      <c r="I125" s="16" t="s">
        <v>1061</v>
      </c>
      <c r="J125" s="17" t="s">
        <v>39</v>
      </c>
      <c r="K125" s="17" t="s">
        <v>1062</v>
      </c>
      <c r="L125" s="16" t="s">
        <v>53</v>
      </c>
      <c r="M125" s="17" t="s">
        <v>37</v>
      </c>
      <c r="N125" s="16" t="s">
        <v>1063</v>
      </c>
    </row>
    <row r="126" customFormat="false" ht="16.5" hidden="false" customHeight="true" outlineLevel="0" collapsed="false">
      <c r="A126" s="12" t="s">
        <v>1064</v>
      </c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</row>
    <row r="127" customFormat="false" ht="29.25" hidden="false" customHeight="true" outlineLevel="0" collapsed="false">
      <c r="A127" s="13" t="s">
        <v>1065</v>
      </c>
      <c r="B127" s="14" t="s">
        <v>1066</v>
      </c>
      <c r="C127" s="15" t="s">
        <v>1067</v>
      </c>
      <c r="D127" s="14" t="s">
        <v>136</v>
      </c>
      <c r="E127" s="15" t="s">
        <v>1068</v>
      </c>
      <c r="F127" s="14" t="s">
        <v>1069</v>
      </c>
      <c r="G127" s="15" t="s">
        <v>234</v>
      </c>
      <c r="H127" s="15" t="s">
        <v>252</v>
      </c>
      <c r="I127" s="16" t="s">
        <v>1070</v>
      </c>
      <c r="J127" s="17" t="s">
        <v>37</v>
      </c>
      <c r="K127" s="17" t="s">
        <v>1071</v>
      </c>
      <c r="L127" s="16" t="s">
        <v>37</v>
      </c>
      <c r="M127" s="17" t="s">
        <v>37</v>
      </c>
      <c r="N127" s="16" t="s">
        <v>1072</v>
      </c>
    </row>
    <row r="128" customFormat="false" ht="29.25" hidden="false" customHeight="true" outlineLevel="0" collapsed="false">
      <c r="A128" s="13" t="s">
        <v>1073</v>
      </c>
      <c r="B128" s="14" t="s">
        <v>1066</v>
      </c>
      <c r="C128" s="15" t="s">
        <v>1074</v>
      </c>
      <c r="D128" s="14" t="s">
        <v>136</v>
      </c>
      <c r="E128" s="15" t="s">
        <v>1075</v>
      </c>
      <c r="F128" s="15" t="s">
        <v>1076</v>
      </c>
      <c r="G128" s="15" t="s">
        <v>234</v>
      </c>
      <c r="H128" s="15" t="s">
        <v>1077</v>
      </c>
      <c r="I128" s="16" t="s">
        <v>1078</v>
      </c>
      <c r="J128" s="17" t="s">
        <v>37</v>
      </c>
      <c r="K128" s="17"/>
      <c r="L128" s="16" t="s">
        <v>37</v>
      </c>
      <c r="M128" s="17" t="s">
        <v>37</v>
      </c>
      <c r="N128" s="17" t="s">
        <v>1079</v>
      </c>
    </row>
    <row r="129" customFormat="false" ht="29.25" hidden="false" customHeight="true" outlineLevel="0" collapsed="false">
      <c r="A129" s="13" t="s">
        <v>1080</v>
      </c>
      <c r="B129" s="14" t="s">
        <v>1066</v>
      </c>
      <c r="C129" s="15" t="s">
        <v>1081</v>
      </c>
      <c r="D129" s="15" t="s">
        <v>1082</v>
      </c>
      <c r="E129" s="15" t="s">
        <v>1083</v>
      </c>
      <c r="F129" s="15" t="s">
        <v>1084</v>
      </c>
      <c r="G129" s="15" t="s">
        <v>1085</v>
      </c>
      <c r="H129" s="15" t="s">
        <v>252</v>
      </c>
      <c r="I129" s="16" t="s">
        <v>1086</v>
      </c>
      <c r="J129" s="17" t="s">
        <v>37</v>
      </c>
      <c r="K129" s="17"/>
      <c r="L129" s="16" t="s">
        <v>37</v>
      </c>
      <c r="M129" s="17" t="s">
        <v>37</v>
      </c>
      <c r="N129" s="17" t="s">
        <v>1087</v>
      </c>
    </row>
    <row r="130" customFormat="false" ht="29.25" hidden="false" customHeight="true" outlineLevel="0" collapsed="false">
      <c r="A130" s="13" t="s">
        <v>1088</v>
      </c>
      <c r="B130" s="14" t="s">
        <v>1066</v>
      </c>
      <c r="C130" s="15" t="s">
        <v>1089</v>
      </c>
      <c r="D130" s="14" t="s">
        <v>136</v>
      </c>
      <c r="E130" s="15" t="s">
        <v>1090</v>
      </c>
      <c r="F130" s="15" t="s">
        <v>1091</v>
      </c>
      <c r="G130" s="15" t="s">
        <v>234</v>
      </c>
      <c r="H130" s="15" t="s">
        <v>252</v>
      </c>
      <c r="I130" s="16" t="s">
        <v>1092</v>
      </c>
      <c r="J130" s="17" t="s">
        <v>37</v>
      </c>
      <c r="K130" s="17" t="s">
        <v>1093</v>
      </c>
      <c r="L130" s="16" t="s">
        <v>37</v>
      </c>
      <c r="M130" s="17" t="s">
        <v>37</v>
      </c>
      <c r="N130" s="16" t="s">
        <v>1094</v>
      </c>
    </row>
    <row r="131" customFormat="false" ht="29.25" hidden="false" customHeight="true" outlineLevel="0" collapsed="false">
      <c r="A131" s="13" t="s">
        <v>1095</v>
      </c>
      <c r="B131" s="14" t="s">
        <v>1066</v>
      </c>
      <c r="C131" s="14" t="s">
        <v>1096</v>
      </c>
      <c r="D131" s="14" t="s">
        <v>136</v>
      </c>
      <c r="E131" s="14" t="s">
        <v>1097</v>
      </c>
      <c r="F131" s="14" t="s">
        <v>1098</v>
      </c>
      <c r="G131" s="15" t="s">
        <v>234</v>
      </c>
      <c r="H131" s="15" t="s">
        <v>252</v>
      </c>
      <c r="I131" s="17" t="s">
        <v>1099</v>
      </c>
      <c r="J131" s="17" t="s">
        <v>39</v>
      </c>
      <c r="K131" s="17" t="s">
        <v>1100</v>
      </c>
      <c r="L131" s="16" t="s">
        <v>53</v>
      </c>
      <c r="M131" s="17" t="s">
        <v>37</v>
      </c>
      <c r="N131" s="16" t="s">
        <v>1101</v>
      </c>
    </row>
    <row r="132" customFormat="false" ht="29.25" hidden="false" customHeight="true" outlineLevel="0" collapsed="false">
      <c r="A132" s="13" t="s">
        <v>1102</v>
      </c>
      <c r="B132" s="14" t="s">
        <v>1066</v>
      </c>
      <c r="C132" s="15" t="s">
        <v>1103</v>
      </c>
      <c r="D132" s="15" t="s">
        <v>1104</v>
      </c>
      <c r="E132" s="14" t="s">
        <v>1105</v>
      </c>
      <c r="F132" s="15" t="s">
        <v>1106</v>
      </c>
      <c r="G132" s="15" t="s">
        <v>234</v>
      </c>
      <c r="H132" s="15" t="s">
        <v>1107</v>
      </c>
      <c r="I132" s="16" t="s">
        <v>1108</v>
      </c>
      <c r="J132" s="17" t="s">
        <v>37</v>
      </c>
      <c r="K132" s="17" t="s">
        <v>1109</v>
      </c>
      <c r="L132" s="16" t="s">
        <v>39</v>
      </c>
      <c r="M132" s="17"/>
      <c r="N132" s="16" t="s">
        <v>1110</v>
      </c>
    </row>
  </sheetData>
  <mergeCells count="10">
    <mergeCell ref="A3:N3"/>
    <mergeCell ref="A20:N20"/>
    <mergeCell ref="A39:N39"/>
    <mergeCell ref="A51:N51"/>
    <mergeCell ref="A69:N69"/>
    <mergeCell ref="A82:N82"/>
    <mergeCell ref="A92:N92"/>
    <mergeCell ref="A103:N103"/>
    <mergeCell ref="A112:N112"/>
    <mergeCell ref="A126:N126"/>
  </mergeCells>
  <dataValidations count="2">
    <dataValidation allowBlank="true" errorStyle="stop" operator="between" showDropDown="false" showErrorMessage="false" showInputMessage="false" sqref="J3:J132 M3:M132" type="list">
      <formula1>"PASS,FAIL,BLOCKED,N/A,OBSERVE"</formula1>
      <formula2>0</formula2>
    </dataValidation>
    <dataValidation allowBlank="true" errorStyle="stop" operator="between" showDropDown="false" showErrorMessage="false" showInputMessage="false" sqref="L3:L132" type="list">
      <formula1>"未測,PASS,FAIL,BLOCKED,N/A,OBSERVE,修復中,待複驗,複驗未過,結案"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4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44"/>
    <col collapsed="false" customWidth="true" hidden="false" outlineLevel="0" max="8" min="8" style="1" width="40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22"/>
  </cols>
  <sheetData>
    <row r="1" customFormat="false" ht="31.5" hidden="false" customHeight="true" outlineLevel="0" collapsed="false">
      <c r="A1" s="9" t="s">
        <v>1111</v>
      </c>
      <c r="B1" s="9" t="s">
        <v>1112</v>
      </c>
      <c r="C1" s="9" t="s">
        <v>1113</v>
      </c>
      <c r="D1" s="9" t="s">
        <v>1114</v>
      </c>
      <c r="E1" s="9" t="s">
        <v>1115</v>
      </c>
      <c r="F1" s="9" t="s">
        <v>1116</v>
      </c>
      <c r="G1" s="9" t="s">
        <v>1117</v>
      </c>
      <c r="H1" s="9" t="s">
        <v>1118</v>
      </c>
      <c r="I1" s="9" t="s">
        <v>132</v>
      </c>
      <c r="J1" s="9" t="s">
        <v>1119</v>
      </c>
      <c r="K1" s="9" t="s">
        <v>134</v>
      </c>
    </row>
    <row r="2" customFormat="false" ht="43.5" hidden="false" customHeight="true" outlineLevel="0" collapsed="false">
      <c r="A2" s="11" t="s">
        <v>139</v>
      </c>
      <c r="B2" s="11" t="s">
        <v>1120</v>
      </c>
      <c r="C2" s="10" t="s">
        <v>1121</v>
      </c>
      <c r="D2" s="10" t="s">
        <v>72</v>
      </c>
      <c r="E2" s="10" t="s">
        <v>75</v>
      </c>
      <c r="F2" s="11" t="s">
        <v>1122</v>
      </c>
      <c r="G2" s="10" t="s">
        <v>1123</v>
      </c>
      <c r="H2" s="11" t="s">
        <v>1124</v>
      </c>
      <c r="I2" s="10" t="s">
        <v>53</v>
      </c>
      <c r="J2" s="11" t="s">
        <v>1125</v>
      </c>
      <c r="K2" s="10" t="s">
        <v>1126</v>
      </c>
    </row>
    <row r="3" customFormat="false" ht="15" hidden="false" customHeight="true" outlineLevel="0" collapsed="false">
      <c r="A3" s="17" t="s">
        <v>984</v>
      </c>
      <c r="B3" s="17" t="s">
        <v>978</v>
      </c>
      <c r="C3" s="16" t="s">
        <v>1127</v>
      </c>
      <c r="D3" s="16" t="s">
        <v>70</v>
      </c>
      <c r="E3" s="16" t="s">
        <v>75</v>
      </c>
      <c r="F3" s="17" t="s">
        <v>1122</v>
      </c>
      <c r="G3" s="16" t="s">
        <v>1128</v>
      </c>
      <c r="H3" s="17" t="s">
        <v>1129</v>
      </c>
      <c r="I3" s="16" t="s">
        <v>53</v>
      </c>
      <c r="J3" s="17" t="s">
        <v>1125</v>
      </c>
      <c r="K3" s="17"/>
    </row>
    <row r="4" customFormat="false" ht="15" hidden="false" customHeight="true" outlineLevel="0" collapsed="false">
      <c r="A4" s="17" t="s">
        <v>1130</v>
      </c>
      <c r="B4" s="17" t="s">
        <v>1095</v>
      </c>
      <c r="C4" s="17" t="s">
        <v>1131</v>
      </c>
      <c r="D4" s="16" t="s">
        <v>72</v>
      </c>
      <c r="E4" s="16" t="s">
        <v>75</v>
      </c>
      <c r="F4" s="17" t="s">
        <v>1122</v>
      </c>
      <c r="G4" s="16" t="s">
        <v>1132</v>
      </c>
      <c r="H4" s="17" t="s">
        <v>1133</v>
      </c>
      <c r="I4" s="16" t="s">
        <v>53</v>
      </c>
      <c r="J4" s="17" t="s">
        <v>1125</v>
      </c>
      <c r="K4" s="17" t="s">
        <v>1134</v>
      </c>
    </row>
    <row r="5" customFormat="false" ht="15" hidden="false" customHeight="true" outlineLevel="0" collapsed="false">
      <c r="A5" s="17" t="s">
        <v>860</v>
      </c>
      <c r="B5" s="17" t="s">
        <v>854</v>
      </c>
      <c r="C5" s="16" t="s">
        <v>1135</v>
      </c>
      <c r="D5" s="16" t="s">
        <v>72</v>
      </c>
      <c r="E5" s="16" t="s">
        <v>81</v>
      </c>
      <c r="F5" s="17" t="s">
        <v>1122</v>
      </c>
      <c r="G5" s="17" t="s">
        <v>1136</v>
      </c>
      <c r="H5" s="17" t="s">
        <v>1137</v>
      </c>
      <c r="I5" s="16" t="s">
        <v>53</v>
      </c>
      <c r="J5" s="17" t="s">
        <v>1138</v>
      </c>
      <c r="K5" s="17" t="s">
        <v>1139</v>
      </c>
    </row>
    <row r="6" customFormat="false" ht="15" hidden="false" customHeight="true" outlineLevel="0" collapsed="false">
      <c r="A6" s="17" t="s">
        <v>992</v>
      </c>
      <c r="B6" s="17" t="s">
        <v>1140</v>
      </c>
      <c r="C6" s="17" t="s">
        <v>1141</v>
      </c>
      <c r="D6" s="16" t="s">
        <v>72</v>
      </c>
      <c r="E6" s="16" t="s">
        <v>75</v>
      </c>
      <c r="F6" s="17" t="s">
        <v>1122</v>
      </c>
      <c r="G6" s="16" t="s">
        <v>1142</v>
      </c>
      <c r="H6" s="17" t="s">
        <v>1143</v>
      </c>
      <c r="I6" s="16" t="s">
        <v>53</v>
      </c>
      <c r="J6" s="17" t="s">
        <v>1125</v>
      </c>
      <c r="K6" s="17" t="s">
        <v>1144</v>
      </c>
    </row>
    <row r="7" customFormat="false" ht="15" hidden="false" customHeight="true" outlineLevel="0" collapsed="false">
      <c r="A7" s="17" t="s">
        <v>528</v>
      </c>
      <c r="B7" s="17" t="s">
        <v>521</v>
      </c>
      <c r="C7" s="16" t="s">
        <v>1145</v>
      </c>
      <c r="D7" s="16" t="s">
        <v>70</v>
      </c>
      <c r="E7" s="16" t="s">
        <v>75</v>
      </c>
      <c r="F7" s="17" t="s">
        <v>1122</v>
      </c>
      <c r="G7" s="16" t="s">
        <v>1146</v>
      </c>
      <c r="H7" s="17" t="s">
        <v>1147</v>
      </c>
      <c r="I7" s="16" t="s">
        <v>53</v>
      </c>
      <c r="J7" s="17" t="s">
        <v>1125</v>
      </c>
      <c r="K7" s="17"/>
    </row>
    <row r="8" customFormat="false" ht="15" hidden="false" customHeight="true" outlineLevel="0" collapsed="false">
      <c r="A8" s="17" t="s">
        <v>151</v>
      </c>
      <c r="B8" s="17" t="s">
        <v>1148</v>
      </c>
      <c r="C8" s="16" t="s">
        <v>1149</v>
      </c>
      <c r="D8" s="16" t="s">
        <v>72</v>
      </c>
      <c r="E8" s="16" t="s">
        <v>81</v>
      </c>
      <c r="F8" s="17" t="s">
        <v>1122</v>
      </c>
      <c r="G8" s="16" t="s">
        <v>1150</v>
      </c>
      <c r="H8" s="17"/>
      <c r="I8" s="16" t="s">
        <v>83</v>
      </c>
      <c r="J8" s="17" t="s">
        <v>1125</v>
      </c>
      <c r="K8" s="17" t="s">
        <v>1151</v>
      </c>
    </row>
    <row r="9" customFormat="false" ht="15" hidden="false" customHeight="true" outlineLevel="0" collapsed="false">
      <c r="A9" s="17" t="s">
        <v>160</v>
      </c>
      <c r="B9" s="17" t="s">
        <v>153</v>
      </c>
      <c r="C9" s="16" t="s">
        <v>1152</v>
      </c>
      <c r="D9" s="16" t="s">
        <v>70</v>
      </c>
      <c r="E9" s="16" t="s">
        <v>75</v>
      </c>
      <c r="F9" s="17" t="s">
        <v>1122</v>
      </c>
      <c r="G9" s="16" t="s">
        <v>1153</v>
      </c>
      <c r="H9" s="17" t="s">
        <v>1154</v>
      </c>
      <c r="I9" s="16" t="s">
        <v>53</v>
      </c>
      <c r="J9" s="17" t="s">
        <v>1125</v>
      </c>
      <c r="K9" s="17"/>
    </row>
    <row r="10" customFormat="false" ht="15" hidden="false" customHeight="true" outlineLevel="0" collapsed="false">
      <c r="A10" s="17" t="s">
        <v>185</v>
      </c>
      <c r="B10" s="17" t="s">
        <v>1155</v>
      </c>
      <c r="C10" s="16" t="s">
        <v>1156</v>
      </c>
      <c r="D10" s="16" t="s">
        <v>72</v>
      </c>
      <c r="E10" s="16" t="s">
        <v>75</v>
      </c>
      <c r="F10" s="17" t="s">
        <v>1122</v>
      </c>
      <c r="G10" s="16" t="s">
        <v>1157</v>
      </c>
      <c r="H10" s="17" t="s">
        <v>1158</v>
      </c>
      <c r="I10" s="16" t="s">
        <v>53</v>
      </c>
      <c r="J10" s="17" t="s">
        <v>1125</v>
      </c>
      <c r="K10" s="17"/>
    </row>
    <row r="11" customFormat="false" ht="15" hidden="false" customHeight="true" outlineLevel="0" collapsed="false">
      <c r="A11" s="17" t="s">
        <v>228</v>
      </c>
      <c r="B11" s="17" t="s">
        <v>221</v>
      </c>
      <c r="C11" s="16" t="s">
        <v>1159</v>
      </c>
      <c r="D11" s="16" t="s">
        <v>72</v>
      </c>
      <c r="E11" s="16" t="s">
        <v>81</v>
      </c>
      <c r="F11" s="17" t="s">
        <v>1122</v>
      </c>
      <c r="G11" s="16" t="s">
        <v>1160</v>
      </c>
      <c r="H11" s="17" t="s">
        <v>1161</v>
      </c>
      <c r="I11" s="16" t="s">
        <v>53</v>
      </c>
      <c r="J11" s="17" t="s">
        <v>1138</v>
      </c>
      <c r="K11" s="17" t="s">
        <v>1162</v>
      </c>
    </row>
    <row r="12" customFormat="false" ht="15" hidden="false" customHeight="true" outlineLevel="0" collapsed="false">
      <c r="A12" s="17" t="s">
        <v>1163</v>
      </c>
      <c r="B12" s="17" t="s">
        <v>1164</v>
      </c>
      <c r="C12" s="16" t="s">
        <v>1165</v>
      </c>
      <c r="D12" s="16" t="s">
        <v>72</v>
      </c>
      <c r="E12" s="16" t="s">
        <v>77</v>
      </c>
      <c r="F12" s="17" t="s">
        <v>1122</v>
      </c>
      <c r="G12" s="17" t="s">
        <v>1166</v>
      </c>
      <c r="H12" s="17" t="s">
        <v>1167</v>
      </c>
      <c r="I12" s="16" t="s">
        <v>53</v>
      </c>
      <c r="J12" s="17" t="s">
        <v>1138</v>
      </c>
      <c r="K12" s="17" t="s">
        <v>1168</v>
      </c>
    </row>
    <row r="13" customFormat="false" ht="15" hidden="false" customHeight="true" outlineLevel="0" collapsed="false">
      <c r="A13" s="17" t="s">
        <v>269</v>
      </c>
      <c r="B13" s="17" t="s">
        <v>1169</v>
      </c>
      <c r="C13" s="16" t="s">
        <v>1170</v>
      </c>
      <c r="D13" s="16" t="s">
        <v>70</v>
      </c>
      <c r="E13" s="16" t="s">
        <v>75</v>
      </c>
      <c r="F13" s="17" t="s">
        <v>1122</v>
      </c>
      <c r="G13" s="16" t="s">
        <v>1171</v>
      </c>
      <c r="H13" s="17" t="s">
        <v>1172</v>
      </c>
      <c r="I13" s="16" t="s">
        <v>53</v>
      </c>
      <c r="J13" s="17" t="s">
        <v>1125</v>
      </c>
      <c r="K13" s="17"/>
    </row>
    <row r="14" customFormat="false" ht="15" hidden="false" customHeight="true" outlineLevel="0" collapsed="false">
      <c r="A14" s="17" t="s">
        <v>410</v>
      </c>
      <c r="B14" s="17" t="s">
        <v>404</v>
      </c>
      <c r="C14" s="16" t="s">
        <v>1173</v>
      </c>
      <c r="D14" s="16" t="s">
        <v>68</v>
      </c>
      <c r="E14" s="16" t="s">
        <v>75</v>
      </c>
      <c r="F14" s="17" t="s">
        <v>1122</v>
      </c>
      <c r="G14" s="16" t="s">
        <v>1174</v>
      </c>
      <c r="H14" s="17" t="s">
        <v>1175</v>
      </c>
      <c r="I14" s="16" t="s">
        <v>53</v>
      </c>
      <c r="J14" s="17" t="s">
        <v>1125</v>
      </c>
      <c r="K14" s="17"/>
    </row>
    <row r="15" customFormat="false" ht="15" hidden="false" customHeight="true" outlineLevel="0" collapsed="false">
      <c r="A15" s="17" t="s">
        <v>347</v>
      </c>
      <c r="B15" s="17" t="s">
        <v>342</v>
      </c>
      <c r="C15" s="16" t="s">
        <v>1176</v>
      </c>
      <c r="D15" s="16" t="s">
        <v>72</v>
      </c>
      <c r="E15" s="16" t="s">
        <v>81</v>
      </c>
      <c r="F15" s="17" t="s">
        <v>1122</v>
      </c>
      <c r="G15" s="16" t="s">
        <v>1177</v>
      </c>
      <c r="H15" s="17" t="s">
        <v>1178</v>
      </c>
      <c r="I15" s="16" t="s">
        <v>53</v>
      </c>
      <c r="J15" s="17" t="s">
        <v>1138</v>
      </c>
      <c r="K15" s="17" t="s">
        <v>1179</v>
      </c>
    </row>
    <row r="16" customFormat="false" ht="15" hidden="false" customHeight="true" outlineLevel="0" collapsed="false">
      <c r="A16" s="17" t="s">
        <v>1180</v>
      </c>
      <c r="B16" s="17" t="s">
        <v>396</v>
      </c>
      <c r="C16" s="16" t="s">
        <v>1181</v>
      </c>
      <c r="D16" s="16" t="s">
        <v>70</v>
      </c>
      <c r="E16" s="16" t="s">
        <v>75</v>
      </c>
      <c r="F16" s="17" t="s">
        <v>1122</v>
      </c>
      <c r="G16" s="16" t="s">
        <v>1182</v>
      </c>
      <c r="H16" s="17" t="s">
        <v>1183</v>
      </c>
      <c r="I16" s="16" t="s">
        <v>53</v>
      </c>
      <c r="J16" s="17" t="s">
        <v>1125</v>
      </c>
      <c r="K16" s="17" t="s">
        <v>1184</v>
      </c>
    </row>
    <row r="17" customFormat="false" ht="15" hidden="false" customHeight="true" outlineLevel="0" collapsed="false">
      <c r="A17" s="17" t="s">
        <v>1185</v>
      </c>
      <c r="B17" s="17" t="s">
        <v>413</v>
      </c>
      <c r="C17" s="16" t="s">
        <v>1186</v>
      </c>
      <c r="D17" s="16" t="s">
        <v>72</v>
      </c>
      <c r="E17" s="16" t="s">
        <v>75</v>
      </c>
      <c r="F17" s="17" t="s">
        <v>1122</v>
      </c>
      <c r="G17" s="16" t="s">
        <v>1187</v>
      </c>
      <c r="H17" s="17" t="s">
        <v>1188</v>
      </c>
      <c r="I17" s="16" t="s">
        <v>53</v>
      </c>
      <c r="J17" s="17" t="s">
        <v>1125</v>
      </c>
      <c r="K17" s="17" t="s">
        <v>1189</v>
      </c>
    </row>
    <row r="18" customFormat="false" ht="15" hidden="false" customHeight="true" outlineLevel="0" collapsed="false">
      <c r="A18" s="17" t="s">
        <v>1190</v>
      </c>
      <c r="B18" s="17" t="s">
        <v>1191</v>
      </c>
      <c r="C18" s="16" t="s">
        <v>1192</v>
      </c>
      <c r="D18" s="16" t="s">
        <v>72</v>
      </c>
      <c r="E18" s="16" t="s">
        <v>81</v>
      </c>
      <c r="F18" s="17" t="s">
        <v>1122</v>
      </c>
      <c r="G18" s="16" t="s">
        <v>1193</v>
      </c>
      <c r="H18" s="17" t="s">
        <v>1194</v>
      </c>
      <c r="I18" s="16" t="s">
        <v>53</v>
      </c>
      <c r="J18" s="17" t="s">
        <v>1138</v>
      </c>
      <c r="K18" s="17" t="s">
        <v>1195</v>
      </c>
    </row>
    <row r="19" customFormat="false" ht="15" hidden="false" customHeight="true" outlineLevel="0" collapsed="false">
      <c r="A19" s="17" t="s">
        <v>447</v>
      </c>
      <c r="B19" s="17" t="s">
        <v>1196</v>
      </c>
      <c r="C19" s="16" t="s">
        <v>1197</v>
      </c>
      <c r="D19" s="16" t="s">
        <v>72</v>
      </c>
      <c r="E19" s="16" t="s">
        <v>75</v>
      </c>
      <c r="F19" s="17" t="s">
        <v>1122</v>
      </c>
      <c r="G19" s="16" t="s">
        <v>1198</v>
      </c>
      <c r="H19" s="17" t="s">
        <v>1199</v>
      </c>
      <c r="I19" s="16" t="s">
        <v>53</v>
      </c>
      <c r="J19" s="17" t="s">
        <v>1138</v>
      </c>
      <c r="K19" s="17" t="s">
        <v>1200</v>
      </c>
    </row>
    <row r="20" customFormat="false" ht="15" hidden="false" customHeight="true" outlineLevel="0" collapsed="false">
      <c r="A20" s="17" t="s">
        <v>1201</v>
      </c>
      <c r="B20" s="17" t="s">
        <v>449</v>
      </c>
      <c r="C20" s="17" t="s">
        <v>1202</v>
      </c>
      <c r="D20" s="16" t="s">
        <v>70</v>
      </c>
      <c r="E20" s="16" t="s">
        <v>81</v>
      </c>
      <c r="F20" s="17" t="s">
        <v>1122</v>
      </c>
      <c r="G20" s="16" t="s">
        <v>1203</v>
      </c>
      <c r="H20" s="17"/>
      <c r="I20" s="16" t="s">
        <v>83</v>
      </c>
      <c r="J20" s="17" t="s">
        <v>1125</v>
      </c>
      <c r="K20" s="17" t="s">
        <v>1204</v>
      </c>
    </row>
    <row r="21" customFormat="false" ht="15" hidden="false" customHeight="true" outlineLevel="0" collapsed="false">
      <c r="A21" s="17" t="s">
        <v>1205</v>
      </c>
      <c r="B21" s="17" t="s">
        <v>1206</v>
      </c>
      <c r="C21" s="16" t="s">
        <v>1207</v>
      </c>
      <c r="D21" s="16" t="s">
        <v>72</v>
      </c>
      <c r="E21" s="16" t="s">
        <v>75</v>
      </c>
      <c r="F21" s="17" t="s">
        <v>1122</v>
      </c>
      <c r="G21" s="16" t="s">
        <v>1208</v>
      </c>
      <c r="H21" s="17" t="s">
        <v>1209</v>
      </c>
      <c r="I21" s="16" t="s">
        <v>53</v>
      </c>
      <c r="J21" s="17" t="s">
        <v>1125</v>
      </c>
      <c r="K21" s="17"/>
    </row>
    <row r="22" customFormat="false" ht="15" hidden="false" customHeight="true" outlineLevel="0" collapsed="false">
      <c r="A22" s="17" t="s">
        <v>1210</v>
      </c>
      <c r="B22" s="17" t="s">
        <v>1211</v>
      </c>
      <c r="C22" s="16" t="s">
        <v>1212</v>
      </c>
      <c r="D22" s="16" t="s">
        <v>70</v>
      </c>
      <c r="E22" s="16" t="s">
        <v>75</v>
      </c>
      <c r="F22" s="17" t="s">
        <v>1122</v>
      </c>
      <c r="G22" s="16" t="s">
        <v>1213</v>
      </c>
      <c r="H22" s="17" t="s">
        <v>1214</v>
      </c>
      <c r="I22" s="16" t="s">
        <v>53</v>
      </c>
      <c r="J22" s="17" t="s">
        <v>1125</v>
      </c>
      <c r="K22" s="17" t="s">
        <v>1215</v>
      </c>
    </row>
    <row r="23" customFormat="false" ht="15" hidden="false" customHeight="true" outlineLevel="0" collapsed="false">
      <c r="A23" s="17" t="s">
        <v>1216</v>
      </c>
      <c r="B23" s="17" t="s">
        <v>1217</v>
      </c>
      <c r="C23" s="16" t="s">
        <v>1218</v>
      </c>
      <c r="D23" s="16" t="s">
        <v>70</v>
      </c>
      <c r="E23" s="16" t="s">
        <v>75</v>
      </c>
      <c r="F23" s="17" t="s">
        <v>1122</v>
      </c>
      <c r="G23" s="16" t="s">
        <v>1219</v>
      </c>
      <c r="H23" s="17" t="s">
        <v>1220</v>
      </c>
      <c r="I23" s="16" t="s">
        <v>53</v>
      </c>
      <c r="J23" s="17" t="s">
        <v>1125</v>
      </c>
      <c r="K23" s="17" t="s">
        <v>1221</v>
      </c>
    </row>
    <row r="24" customFormat="false" ht="15" hidden="false" customHeight="true" outlineLevel="0" collapsed="false">
      <c r="A24" s="17" t="s">
        <v>1222</v>
      </c>
      <c r="B24" s="17" t="s">
        <v>1223</v>
      </c>
      <c r="C24" s="16" t="s">
        <v>1224</v>
      </c>
      <c r="D24" s="16" t="s">
        <v>72</v>
      </c>
      <c r="E24" s="16" t="s">
        <v>75</v>
      </c>
      <c r="F24" s="17" t="s">
        <v>1122</v>
      </c>
      <c r="G24" s="16" t="s">
        <v>1225</v>
      </c>
      <c r="H24" s="17" t="s">
        <v>1226</v>
      </c>
      <c r="I24" s="16" t="s">
        <v>53</v>
      </c>
      <c r="J24" s="17" t="s">
        <v>1125</v>
      </c>
      <c r="K24" s="17"/>
    </row>
    <row r="25" customFormat="false" ht="15" hidden="false" customHeight="true" outlineLevel="0" collapsed="false">
      <c r="A25" s="17" t="s">
        <v>1227</v>
      </c>
      <c r="B25" s="17" t="s">
        <v>609</v>
      </c>
      <c r="C25" s="16" t="s">
        <v>1228</v>
      </c>
      <c r="D25" s="16" t="s">
        <v>70</v>
      </c>
      <c r="E25" s="16" t="s">
        <v>75</v>
      </c>
      <c r="F25" s="17" t="s">
        <v>1122</v>
      </c>
      <c r="G25" s="16" t="s">
        <v>1229</v>
      </c>
      <c r="H25" s="17" t="s">
        <v>1230</v>
      </c>
      <c r="I25" s="16" t="s">
        <v>53</v>
      </c>
      <c r="J25" s="17" t="s">
        <v>1138</v>
      </c>
      <c r="K25" s="17" t="s">
        <v>1231</v>
      </c>
    </row>
    <row r="26" customFormat="false" ht="15" hidden="false" customHeight="true" outlineLevel="0" collapsed="false">
      <c r="A26" s="17" t="s">
        <v>1232</v>
      </c>
      <c r="B26" s="17" t="s">
        <v>1001</v>
      </c>
      <c r="C26" s="17" t="s">
        <v>1233</v>
      </c>
      <c r="D26" s="16" t="s">
        <v>70</v>
      </c>
      <c r="E26" s="16" t="s">
        <v>75</v>
      </c>
      <c r="F26" s="17" t="s">
        <v>1122</v>
      </c>
      <c r="G26" s="16" t="s">
        <v>1234</v>
      </c>
      <c r="H26" s="17" t="s">
        <v>1235</v>
      </c>
      <c r="I26" s="16" t="s">
        <v>53</v>
      </c>
      <c r="J26" s="17" t="s">
        <v>1125</v>
      </c>
      <c r="K26" s="17" t="s">
        <v>1236</v>
      </c>
    </row>
    <row r="27" customFormat="false" ht="15" hidden="false" customHeight="true" outlineLevel="0" collapsed="false">
      <c r="A27" s="17" t="s">
        <v>1237</v>
      </c>
      <c r="B27" s="17" t="s">
        <v>1001</v>
      </c>
      <c r="C27" s="17" t="s">
        <v>1238</v>
      </c>
      <c r="D27" s="16" t="s">
        <v>70</v>
      </c>
      <c r="E27" s="16" t="s">
        <v>81</v>
      </c>
      <c r="F27" s="17" t="s">
        <v>1122</v>
      </c>
      <c r="G27" s="16" t="s">
        <v>1239</v>
      </c>
      <c r="H27" s="17" t="s">
        <v>1240</v>
      </c>
      <c r="I27" s="16" t="s">
        <v>53</v>
      </c>
      <c r="J27" s="17" t="s">
        <v>1138</v>
      </c>
      <c r="K27" s="17" t="s">
        <v>1241</v>
      </c>
    </row>
    <row r="28" customFormat="false" ht="15" hidden="false" customHeight="true" outlineLevel="0" collapsed="false">
      <c r="A28" s="17" t="s">
        <v>1062</v>
      </c>
      <c r="B28" s="17" t="s">
        <v>1056</v>
      </c>
      <c r="C28" s="16" t="s">
        <v>1242</v>
      </c>
      <c r="D28" s="16" t="s">
        <v>70</v>
      </c>
      <c r="E28" s="16" t="s">
        <v>75</v>
      </c>
      <c r="F28" s="17" t="s">
        <v>1122</v>
      </c>
      <c r="G28" s="16" t="s">
        <v>1243</v>
      </c>
      <c r="H28" s="17" t="s">
        <v>1244</v>
      </c>
      <c r="I28" s="16" t="s">
        <v>53</v>
      </c>
      <c r="J28" s="17" t="s">
        <v>1125</v>
      </c>
      <c r="K28" s="17" t="s">
        <v>1245</v>
      </c>
    </row>
    <row r="29" customFormat="false" ht="15" hidden="false" customHeight="true" outlineLevel="0" collapsed="false">
      <c r="A29" s="17" t="s">
        <v>1246</v>
      </c>
      <c r="B29" s="17" t="s">
        <v>1033</v>
      </c>
      <c r="C29" s="16" t="s">
        <v>1247</v>
      </c>
      <c r="D29" s="16" t="s">
        <v>68</v>
      </c>
      <c r="E29" s="16" t="s">
        <v>75</v>
      </c>
      <c r="F29" s="17" t="s">
        <v>1122</v>
      </c>
      <c r="G29" s="16" t="s">
        <v>1248</v>
      </c>
      <c r="H29" s="17" t="s">
        <v>1249</v>
      </c>
      <c r="I29" s="16" t="s">
        <v>53</v>
      </c>
      <c r="J29" s="17" t="s">
        <v>1125</v>
      </c>
      <c r="K29" s="17" t="s">
        <v>1250</v>
      </c>
    </row>
    <row r="30" customFormat="false" ht="15" hidden="false" customHeight="true" outlineLevel="0" collapsed="false">
      <c r="A30" s="17" t="s">
        <v>1251</v>
      </c>
      <c r="B30" s="17" t="s">
        <v>1033</v>
      </c>
      <c r="C30" s="16" t="s">
        <v>1252</v>
      </c>
      <c r="D30" s="16" t="s">
        <v>70</v>
      </c>
      <c r="E30" s="16" t="s">
        <v>75</v>
      </c>
      <c r="F30" s="17" t="s">
        <v>1122</v>
      </c>
      <c r="G30" s="16" t="s">
        <v>1253</v>
      </c>
      <c r="H30" s="17" t="s">
        <v>1254</v>
      </c>
      <c r="I30" s="16" t="s">
        <v>53</v>
      </c>
      <c r="J30" s="17" t="s">
        <v>1125</v>
      </c>
      <c r="K30" s="17"/>
    </row>
    <row r="31" customFormat="false" ht="15" hidden="false" customHeight="true" outlineLevel="0" collapsed="false">
      <c r="A31" s="17" t="s">
        <v>1047</v>
      </c>
      <c r="B31" s="17" t="s">
        <v>1042</v>
      </c>
      <c r="C31" s="16" t="s">
        <v>1255</v>
      </c>
      <c r="D31" s="16" t="s">
        <v>70</v>
      </c>
      <c r="E31" s="16" t="s">
        <v>75</v>
      </c>
      <c r="F31" s="17" t="s">
        <v>1122</v>
      </c>
      <c r="G31" s="16" t="s">
        <v>1256</v>
      </c>
      <c r="H31" s="17" t="s">
        <v>1257</v>
      </c>
      <c r="I31" s="16" t="s">
        <v>53</v>
      </c>
      <c r="J31" s="17" t="s">
        <v>1125</v>
      </c>
      <c r="K31" s="17"/>
    </row>
    <row r="32" customFormat="false" ht="15" hidden="false" customHeight="true" outlineLevel="0" collapsed="false">
      <c r="A32" s="17" t="s">
        <v>1258</v>
      </c>
      <c r="B32" s="17" t="s">
        <v>923</v>
      </c>
      <c r="C32" s="16" t="s">
        <v>1259</v>
      </c>
      <c r="D32" s="16" t="s">
        <v>70</v>
      </c>
      <c r="E32" s="16" t="s">
        <v>75</v>
      </c>
      <c r="F32" s="17" t="s">
        <v>1122</v>
      </c>
      <c r="G32" s="16" t="s">
        <v>1260</v>
      </c>
      <c r="H32" s="17" t="s">
        <v>1261</v>
      </c>
      <c r="I32" s="16" t="s">
        <v>53</v>
      </c>
      <c r="J32" s="17" t="s">
        <v>1125</v>
      </c>
      <c r="K32" s="17" t="s">
        <v>1262</v>
      </c>
    </row>
    <row r="33" customFormat="false" ht="15" hidden="false" customHeight="true" outlineLevel="0" collapsed="false">
      <c r="A33" s="17" t="s">
        <v>1263</v>
      </c>
      <c r="B33" s="17" t="s">
        <v>1264</v>
      </c>
      <c r="C33" s="16" t="s">
        <v>1265</v>
      </c>
      <c r="D33" s="16" t="s">
        <v>70</v>
      </c>
      <c r="E33" s="16" t="s">
        <v>75</v>
      </c>
      <c r="F33" s="17" t="s">
        <v>1122</v>
      </c>
      <c r="G33" s="16" t="s">
        <v>1266</v>
      </c>
      <c r="H33" s="17" t="s">
        <v>1267</v>
      </c>
      <c r="I33" s="16" t="s">
        <v>53</v>
      </c>
      <c r="J33" s="17" t="s">
        <v>1125</v>
      </c>
      <c r="K33" s="17"/>
    </row>
    <row r="34" customFormat="false" ht="15" hidden="false" customHeight="true" outlineLevel="0" collapsed="false">
      <c r="A34" s="17" t="s">
        <v>1268</v>
      </c>
      <c r="B34" s="17" t="s">
        <v>923</v>
      </c>
      <c r="C34" s="16" t="s">
        <v>1269</v>
      </c>
      <c r="D34" s="16" t="s">
        <v>72</v>
      </c>
      <c r="E34" s="16" t="s">
        <v>75</v>
      </c>
      <c r="F34" s="17" t="s">
        <v>1122</v>
      </c>
      <c r="G34" s="16" t="s">
        <v>1270</v>
      </c>
      <c r="H34" s="17" t="s">
        <v>1271</v>
      </c>
      <c r="I34" s="16" t="s">
        <v>53</v>
      </c>
      <c r="J34" s="17" t="s">
        <v>1125</v>
      </c>
      <c r="K34" s="17" t="s">
        <v>1272</v>
      </c>
    </row>
    <row r="35" customFormat="false" ht="15" hidden="false" customHeight="true" outlineLevel="0" collapsed="false">
      <c r="A35" s="17" t="s">
        <v>1273</v>
      </c>
      <c r="B35" s="17" t="s">
        <v>915</v>
      </c>
      <c r="C35" s="16" t="s">
        <v>1274</v>
      </c>
      <c r="D35" s="16" t="s">
        <v>70</v>
      </c>
      <c r="E35" s="16" t="s">
        <v>81</v>
      </c>
      <c r="F35" s="17" t="s">
        <v>1122</v>
      </c>
      <c r="G35" s="16" t="s">
        <v>1275</v>
      </c>
      <c r="H35" s="17" t="s">
        <v>1276</v>
      </c>
      <c r="I35" s="16" t="s">
        <v>53</v>
      </c>
      <c r="J35" s="17" t="s">
        <v>1138</v>
      </c>
      <c r="K35" s="17" t="s">
        <v>1277</v>
      </c>
    </row>
    <row r="36" customFormat="false" ht="15" hidden="false" customHeight="true" outlineLevel="0" collapsed="false">
      <c r="A36" s="17" t="s">
        <v>763</v>
      </c>
      <c r="B36" s="17" t="s">
        <v>755</v>
      </c>
      <c r="C36" s="16" t="s">
        <v>1278</v>
      </c>
      <c r="D36" s="16" t="s">
        <v>72</v>
      </c>
      <c r="E36" s="16" t="s">
        <v>75</v>
      </c>
      <c r="F36" s="17" t="s">
        <v>1122</v>
      </c>
      <c r="G36" s="16" t="s">
        <v>1279</v>
      </c>
      <c r="H36" s="17" t="s">
        <v>1280</v>
      </c>
      <c r="I36" s="16" t="s">
        <v>53</v>
      </c>
      <c r="J36" s="17" t="s">
        <v>1125</v>
      </c>
      <c r="K36" s="17"/>
    </row>
    <row r="37" customFormat="false" ht="15" hidden="false" customHeight="true" outlineLevel="0" collapsed="false">
      <c r="A37" s="17" t="s">
        <v>772</v>
      </c>
      <c r="B37" s="17" t="s">
        <v>765</v>
      </c>
      <c r="C37" s="17" t="s">
        <v>1281</v>
      </c>
      <c r="D37" s="16" t="s">
        <v>70</v>
      </c>
      <c r="E37" s="16" t="s">
        <v>75</v>
      </c>
      <c r="F37" s="17" t="s">
        <v>1122</v>
      </c>
      <c r="G37" s="16" t="s">
        <v>1282</v>
      </c>
      <c r="H37" s="17" t="s">
        <v>1283</v>
      </c>
      <c r="I37" s="16" t="s">
        <v>53</v>
      </c>
      <c r="J37" s="17" t="s">
        <v>1125</v>
      </c>
      <c r="K37" s="17"/>
    </row>
    <row r="38" customFormat="false" ht="15" hidden="false" customHeight="true" outlineLevel="0" collapsed="false">
      <c r="A38" s="17" t="s">
        <v>779</v>
      </c>
      <c r="B38" s="17" t="s">
        <v>774</v>
      </c>
      <c r="C38" s="17" t="s">
        <v>1284</v>
      </c>
      <c r="D38" s="16" t="s">
        <v>70</v>
      </c>
      <c r="E38" s="16" t="s">
        <v>75</v>
      </c>
      <c r="F38" s="17" t="s">
        <v>1122</v>
      </c>
      <c r="G38" s="16" t="s">
        <v>1285</v>
      </c>
      <c r="H38" s="17" t="s">
        <v>1286</v>
      </c>
      <c r="I38" s="16" t="s">
        <v>53</v>
      </c>
      <c r="J38" s="17" t="s">
        <v>1125</v>
      </c>
      <c r="K38" s="17"/>
    </row>
    <row r="39" customFormat="false" ht="15" hidden="false" customHeight="true" outlineLevel="0" collapsed="false">
      <c r="A39" s="17" t="s">
        <v>1287</v>
      </c>
      <c r="B39" s="17" t="s">
        <v>879</v>
      </c>
      <c r="C39" s="16" t="s">
        <v>1288</v>
      </c>
      <c r="D39" s="16" t="s">
        <v>70</v>
      </c>
      <c r="E39" s="16" t="s">
        <v>75</v>
      </c>
      <c r="F39" s="17" t="s">
        <v>1122</v>
      </c>
      <c r="G39" s="16" t="s">
        <v>1289</v>
      </c>
      <c r="H39" s="17" t="s">
        <v>1290</v>
      </c>
      <c r="I39" s="16" t="s">
        <v>53</v>
      </c>
      <c r="J39" s="17" t="s">
        <v>1125</v>
      </c>
      <c r="K39" s="17" t="s">
        <v>1291</v>
      </c>
    </row>
    <row r="40" customFormat="false" ht="15" hidden="false" customHeight="true" outlineLevel="0" collapsed="false">
      <c r="A40" s="17" t="s">
        <v>647</v>
      </c>
      <c r="B40" s="17" t="s">
        <v>1292</v>
      </c>
      <c r="C40" s="16" t="s">
        <v>1293</v>
      </c>
      <c r="D40" s="16" t="s">
        <v>72</v>
      </c>
      <c r="E40" s="16" t="s">
        <v>75</v>
      </c>
      <c r="F40" s="17" t="s">
        <v>1122</v>
      </c>
      <c r="G40" s="16" t="s">
        <v>1294</v>
      </c>
      <c r="H40" s="17" t="s">
        <v>1295</v>
      </c>
      <c r="I40" s="16" t="s">
        <v>53</v>
      </c>
      <c r="J40" s="17" t="s">
        <v>1125</v>
      </c>
      <c r="K40" s="17"/>
    </row>
    <row r="41" customFormat="false" ht="15" hidden="false" customHeight="true" outlineLevel="0" collapsed="false">
      <c r="A41" s="17" t="s">
        <v>1296</v>
      </c>
      <c r="B41" s="17" t="s">
        <v>1297</v>
      </c>
      <c r="C41" s="16" t="s">
        <v>1298</v>
      </c>
      <c r="D41" s="16" t="s">
        <v>72</v>
      </c>
      <c r="E41" s="16" t="s">
        <v>75</v>
      </c>
      <c r="F41" s="17" t="s">
        <v>1125</v>
      </c>
      <c r="G41" s="16" t="s">
        <v>1299</v>
      </c>
      <c r="H41" s="17" t="s">
        <v>1300</v>
      </c>
      <c r="I41" s="16" t="s">
        <v>53</v>
      </c>
      <c r="J41" s="17" t="s">
        <v>1138</v>
      </c>
      <c r="K41" s="17" t="s">
        <v>1301</v>
      </c>
    </row>
    <row r="42" customFormat="false" ht="15" hidden="false" customHeight="true" outlineLevel="0" collapsed="false">
      <c r="A42" s="17" t="s">
        <v>1302</v>
      </c>
      <c r="B42" s="17" t="s">
        <v>1303</v>
      </c>
      <c r="C42" s="16" t="s">
        <v>1304</v>
      </c>
      <c r="D42" s="16" t="s">
        <v>72</v>
      </c>
      <c r="E42" s="16" t="s">
        <v>81</v>
      </c>
      <c r="F42" s="17" t="s">
        <v>1125</v>
      </c>
      <c r="G42" s="16" t="s">
        <v>1305</v>
      </c>
      <c r="H42" s="17" t="s">
        <v>1306</v>
      </c>
      <c r="I42" s="16" t="s">
        <v>53</v>
      </c>
      <c r="J42" s="17" t="s">
        <v>1307</v>
      </c>
      <c r="K42" s="17" t="s">
        <v>1308</v>
      </c>
    </row>
    <row r="43" customFormat="false" ht="15" hidden="false" customHeight="true" outlineLevel="0" collapsed="false">
      <c r="A43" s="17" t="s">
        <v>1309</v>
      </c>
      <c r="B43" s="17" t="s">
        <v>1310</v>
      </c>
      <c r="C43" s="16" t="s">
        <v>1311</v>
      </c>
      <c r="D43" s="16" t="s">
        <v>72</v>
      </c>
      <c r="E43" s="16" t="s">
        <v>81</v>
      </c>
      <c r="F43" s="17" t="s">
        <v>1125</v>
      </c>
      <c r="G43" s="16" t="s">
        <v>1312</v>
      </c>
      <c r="H43" s="17" t="s">
        <v>1313</v>
      </c>
      <c r="I43" s="16" t="s">
        <v>53</v>
      </c>
      <c r="J43" s="17" t="s">
        <v>1138</v>
      </c>
      <c r="K43" s="17" t="s">
        <v>1314</v>
      </c>
    </row>
    <row r="44" customFormat="false" ht="15" hidden="false" customHeight="true" outlineLevel="0" collapsed="false">
      <c r="A44" s="17" t="s">
        <v>1315</v>
      </c>
      <c r="B44" s="17" t="s">
        <v>1316</v>
      </c>
      <c r="C44" s="16" t="s">
        <v>1317</v>
      </c>
      <c r="D44" s="16" t="s">
        <v>70</v>
      </c>
      <c r="E44" s="16" t="s">
        <v>81</v>
      </c>
      <c r="F44" s="17" t="s">
        <v>1125</v>
      </c>
      <c r="G44" s="16" t="s">
        <v>1318</v>
      </c>
      <c r="H44" s="17" t="s">
        <v>1319</v>
      </c>
      <c r="I44" s="16" t="s">
        <v>53</v>
      </c>
      <c r="J44" s="17" t="s">
        <v>1138</v>
      </c>
      <c r="K44" s="17" t="s">
        <v>1320</v>
      </c>
    </row>
    <row r="45" customFormat="false" ht="15" hidden="false" customHeight="true" outlineLevel="0" collapsed="false">
      <c r="A45" s="17" t="s">
        <v>1321</v>
      </c>
      <c r="B45" s="17" t="s">
        <v>1322</v>
      </c>
      <c r="C45" s="16" t="s">
        <v>1323</v>
      </c>
      <c r="D45" s="16" t="s">
        <v>72</v>
      </c>
      <c r="E45" s="16" t="s">
        <v>75</v>
      </c>
      <c r="F45" s="17" t="s">
        <v>1125</v>
      </c>
      <c r="G45" s="16" t="s">
        <v>1324</v>
      </c>
      <c r="H45" s="17" t="s">
        <v>1325</v>
      </c>
      <c r="I45" s="16" t="s">
        <v>53</v>
      </c>
      <c r="J45" s="17" t="s">
        <v>1138</v>
      </c>
      <c r="K45" s="16" t="s">
        <v>1326</v>
      </c>
    </row>
    <row r="46" customFormat="false" ht="15" hidden="false" customHeight="true" outlineLevel="0" collapsed="false">
      <c r="A46" s="17" t="s">
        <v>1327</v>
      </c>
      <c r="B46" s="17" t="s">
        <v>1328</v>
      </c>
      <c r="C46" s="16" t="s">
        <v>1329</v>
      </c>
      <c r="D46" s="16" t="s">
        <v>72</v>
      </c>
      <c r="E46" s="16" t="s">
        <v>75</v>
      </c>
      <c r="F46" s="17" t="s">
        <v>1125</v>
      </c>
      <c r="G46" s="16" t="s">
        <v>1330</v>
      </c>
      <c r="H46" s="17" t="s">
        <v>1331</v>
      </c>
      <c r="I46" s="16" t="s">
        <v>53</v>
      </c>
      <c r="J46" s="17" t="s">
        <v>1138</v>
      </c>
      <c r="K46" s="16" t="s">
        <v>1332</v>
      </c>
    </row>
    <row r="47" customFormat="false" ht="15" hidden="false" customHeight="true" outlineLevel="0" collapsed="false">
      <c r="A47" s="17" t="s">
        <v>1093</v>
      </c>
      <c r="B47" s="17" t="s">
        <v>1333</v>
      </c>
      <c r="C47" s="16" t="s">
        <v>1334</v>
      </c>
      <c r="D47" s="16" t="s">
        <v>72</v>
      </c>
      <c r="E47" s="16" t="s">
        <v>75</v>
      </c>
      <c r="F47" s="17" t="s">
        <v>1125</v>
      </c>
      <c r="G47" s="16" t="s">
        <v>1335</v>
      </c>
      <c r="H47" s="17" t="s">
        <v>1336</v>
      </c>
      <c r="I47" s="16" t="s">
        <v>53</v>
      </c>
      <c r="J47" s="17" t="s">
        <v>1138</v>
      </c>
      <c r="K47" s="16" t="s">
        <v>1337</v>
      </c>
    </row>
    <row r="48" customFormat="false" ht="15" hidden="false" customHeight="true" outlineLevel="0" collapsed="false">
      <c r="A48" s="17" t="s">
        <v>1338</v>
      </c>
      <c r="B48" s="17" t="s">
        <v>1339</v>
      </c>
      <c r="C48" s="17" t="s">
        <v>1340</v>
      </c>
      <c r="D48" s="16" t="s">
        <v>72</v>
      </c>
      <c r="E48" s="16" t="s">
        <v>77</v>
      </c>
      <c r="F48" s="17" t="s">
        <v>1125</v>
      </c>
      <c r="G48" s="17" t="s">
        <v>1341</v>
      </c>
      <c r="H48" s="16" t="s">
        <v>1342</v>
      </c>
      <c r="I48" s="16" t="s">
        <v>53</v>
      </c>
      <c r="J48" s="17" t="s">
        <v>1138</v>
      </c>
      <c r="K48" s="17" t="s">
        <v>1343</v>
      </c>
    </row>
    <row r="49" customFormat="false" ht="15" hidden="false" customHeight="true" outlineLevel="0" collapsed="false">
      <c r="A49" s="17" t="s">
        <v>1344</v>
      </c>
      <c r="B49" s="17" t="s">
        <v>1345</v>
      </c>
      <c r="C49" s="16" t="s">
        <v>1346</v>
      </c>
      <c r="D49" s="16" t="s">
        <v>72</v>
      </c>
      <c r="E49" s="16" t="s">
        <v>81</v>
      </c>
      <c r="F49" s="17" t="s">
        <v>1125</v>
      </c>
      <c r="G49" s="16" t="s">
        <v>1347</v>
      </c>
      <c r="H49" s="17" t="s">
        <v>1348</v>
      </c>
      <c r="I49" s="16" t="s">
        <v>53</v>
      </c>
      <c r="J49" s="17" t="s">
        <v>1138</v>
      </c>
      <c r="K49" s="17" t="s">
        <v>1349</v>
      </c>
    </row>
    <row r="50" customFormat="false" ht="15" hidden="false" customHeight="true" outlineLevel="0" collapsed="false">
      <c r="A50" s="17" t="s">
        <v>1350</v>
      </c>
      <c r="B50" s="17" t="s">
        <v>1351</v>
      </c>
      <c r="C50" s="16" t="s">
        <v>1352</v>
      </c>
      <c r="D50" s="16" t="s">
        <v>72</v>
      </c>
      <c r="E50" s="16" t="s">
        <v>81</v>
      </c>
      <c r="F50" s="17" t="s">
        <v>1125</v>
      </c>
      <c r="G50" s="16" t="s">
        <v>1353</v>
      </c>
      <c r="H50" s="17" t="s">
        <v>1354</v>
      </c>
      <c r="I50" s="16" t="s">
        <v>53</v>
      </c>
      <c r="J50" s="17" t="s">
        <v>1138</v>
      </c>
      <c r="K50" s="17" t="s">
        <v>1355</v>
      </c>
    </row>
    <row r="51" customFormat="false" ht="15" hidden="false" customHeight="true" outlineLevel="0" collapsed="false">
      <c r="A51" s="17" t="s">
        <v>1356</v>
      </c>
      <c r="B51" s="17" t="s">
        <v>1357</v>
      </c>
      <c r="C51" s="16" t="s">
        <v>1358</v>
      </c>
      <c r="D51" s="16" t="s">
        <v>70</v>
      </c>
      <c r="E51" s="16" t="s">
        <v>75</v>
      </c>
      <c r="F51" s="17" t="s">
        <v>1138</v>
      </c>
      <c r="G51" s="17" t="s">
        <v>1359</v>
      </c>
      <c r="H51" s="17" t="s">
        <v>1360</v>
      </c>
      <c r="I51" s="16" t="s">
        <v>53</v>
      </c>
      <c r="J51" s="17" t="s">
        <v>1307</v>
      </c>
      <c r="K51" s="17" t="s">
        <v>1361</v>
      </c>
    </row>
    <row r="52" customFormat="false" ht="15" hidden="false" customHeight="true" outlineLevel="0" collapsed="false">
      <c r="A52" s="17" t="s">
        <v>1362</v>
      </c>
      <c r="B52" s="17" t="s">
        <v>1363</v>
      </c>
      <c r="C52" s="16" t="s">
        <v>1364</v>
      </c>
      <c r="D52" s="16" t="s">
        <v>72</v>
      </c>
      <c r="E52" s="16" t="s">
        <v>75</v>
      </c>
      <c r="F52" s="17" t="s">
        <v>1138</v>
      </c>
      <c r="G52" s="16" t="s">
        <v>1365</v>
      </c>
      <c r="H52" s="17" t="s">
        <v>1366</v>
      </c>
      <c r="I52" s="16" t="s">
        <v>53</v>
      </c>
      <c r="J52" s="17" t="s">
        <v>1307</v>
      </c>
      <c r="K52" s="16" t="s">
        <v>1367</v>
      </c>
    </row>
    <row r="53" customFormat="false" ht="15" hidden="false" customHeight="true" outlineLevel="0" collapsed="false">
      <c r="A53" s="17" t="s">
        <v>1368</v>
      </c>
      <c r="B53" s="17" t="s">
        <v>1369</v>
      </c>
      <c r="C53" s="16" t="s">
        <v>1370</v>
      </c>
      <c r="D53" s="16" t="s">
        <v>72</v>
      </c>
      <c r="E53" s="16" t="s">
        <v>75</v>
      </c>
      <c r="F53" s="17" t="s">
        <v>1138</v>
      </c>
      <c r="G53" s="16" t="s">
        <v>1371</v>
      </c>
      <c r="H53" s="17" t="s">
        <v>1372</v>
      </c>
      <c r="I53" s="16" t="s">
        <v>53</v>
      </c>
      <c r="J53" s="17" t="s">
        <v>1307</v>
      </c>
      <c r="K53" s="16" t="s">
        <v>1373</v>
      </c>
    </row>
    <row r="54" customFormat="false" ht="15" hidden="false" customHeight="true" outlineLevel="0" collapsed="false">
      <c r="A54" s="17" t="s">
        <v>1374</v>
      </c>
      <c r="B54" s="17" t="s">
        <v>1375</v>
      </c>
      <c r="C54" s="16" t="s">
        <v>1376</v>
      </c>
      <c r="D54" s="16" t="s">
        <v>72</v>
      </c>
      <c r="E54" s="16" t="s">
        <v>75</v>
      </c>
      <c r="F54" s="17" t="s">
        <v>1138</v>
      </c>
      <c r="G54" s="16" t="s">
        <v>1377</v>
      </c>
      <c r="H54" s="17" t="s">
        <v>1378</v>
      </c>
      <c r="I54" s="16" t="s">
        <v>53</v>
      </c>
      <c r="J54" s="17" t="s">
        <v>1307</v>
      </c>
      <c r="K54" s="16" t="s">
        <v>1379</v>
      </c>
    </row>
    <row r="55" customFormat="false" ht="15" hidden="false" customHeight="true" outlineLevel="0" collapsed="false">
      <c r="A55" s="17" t="s">
        <v>1380</v>
      </c>
      <c r="B55" s="17" t="s">
        <v>1369</v>
      </c>
      <c r="C55" s="16" t="s">
        <v>1381</v>
      </c>
      <c r="D55" s="16" t="s">
        <v>72</v>
      </c>
      <c r="E55" s="16" t="s">
        <v>75</v>
      </c>
      <c r="F55" s="17" t="s">
        <v>1138</v>
      </c>
      <c r="G55" s="16" t="s">
        <v>1382</v>
      </c>
      <c r="H55" s="17" t="s">
        <v>1383</v>
      </c>
      <c r="I55" s="16" t="s">
        <v>53</v>
      </c>
      <c r="J55" s="17" t="s">
        <v>1307</v>
      </c>
      <c r="K55" s="16" t="s">
        <v>1384</v>
      </c>
    </row>
    <row r="56" customFormat="false" ht="15" hidden="false" customHeight="true" outlineLevel="0" collapsed="false">
      <c r="A56" s="17" t="s">
        <v>1385</v>
      </c>
      <c r="B56" s="17" t="s">
        <v>1339</v>
      </c>
      <c r="C56" s="16" t="s">
        <v>1386</v>
      </c>
      <c r="D56" s="16" t="s">
        <v>72</v>
      </c>
      <c r="E56" s="16" t="s">
        <v>77</v>
      </c>
      <c r="F56" s="17" t="s">
        <v>1138</v>
      </c>
      <c r="G56" s="16" t="s">
        <v>1387</v>
      </c>
      <c r="H56" s="16" t="s">
        <v>1388</v>
      </c>
      <c r="I56" s="16" t="s">
        <v>53</v>
      </c>
      <c r="J56" s="17" t="s">
        <v>1307</v>
      </c>
      <c r="K56" s="17" t="s">
        <v>1389</v>
      </c>
    </row>
    <row r="57" customFormat="false" ht="15" hidden="false" customHeight="true" outlineLevel="0" collapsed="false">
      <c r="A57" s="17" t="s">
        <v>1390</v>
      </c>
      <c r="B57" s="17" t="s">
        <v>1391</v>
      </c>
      <c r="C57" s="17" t="s">
        <v>1392</v>
      </c>
      <c r="D57" s="16" t="s">
        <v>72</v>
      </c>
      <c r="E57" s="16" t="s">
        <v>77</v>
      </c>
      <c r="F57" s="17" t="s">
        <v>1138</v>
      </c>
      <c r="G57" s="16" t="s">
        <v>1393</v>
      </c>
      <c r="H57" s="17" t="s">
        <v>1394</v>
      </c>
      <c r="I57" s="16" t="s">
        <v>53</v>
      </c>
      <c r="J57" s="17" t="s">
        <v>1307</v>
      </c>
      <c r="K57" s="17" t="s">
        <v>1395</v>
      </c>
    </row>
    <row r="58" customFormat="false" ht="15" hidden="false" customHeight="true" outlineLevel="0" collapsed="false">
      <c r="A58" s="17" t="s">
        <v>1396</v>
      </c>
      <c r="B58" s="17" t="s">
        <v>1351</v>
      </c>
      <c r="C58" s="16" t="s">
        <v>1397</v>
      </c>
      <c r="D58" s="16" t="s">
        <v>72</v>
      </c>
      <c r="E58" s="16" t="s">
        <v>81</v>
      </c>
      <c r="F58" s="17" t="s">
        <v>1138</v>
      </c>
      <c r="G58" s="16" t="s">
        <v>1398</v>
      </c>
      <c r="H58" s="17" t="s">
        <v>1399</v>
      </c>
      <c r="I58" s="16" t="s">
        <v>53</v>
      </c>
      <c r="J58" s="17" t="s">
        <v>1400</v>
      </c>
      <c r="K58" s="17" t="s">
        <v>1401</v>
      </c>
    </row>
    <row r="59" customFormat="false" ht="15" hidden="false" customHeight="true" outlineLevel="0" collapsed="false">
      <c r="A59" s="17" t="s">
        <v>1402</v>
      </c>
      <c r="B59" s="17" t="s">
        <v>1403</v>
      </c>
      <c r="C59" s="16" t="s">
        <v>1404</v>
      </c>
      <c r="D59" s="16" t="s">
        <v>70</v>
      </c>
      <c r="E59" s="16" t="s">
        <v>81</v>
      </c>
      <c r="F59" s="17" t="s">
        <v>1138</v>
      </c>
      <c r="G59" s="16" t="s">
        <v>1405</v>
      </c>
      <c r="H59" s="17" t="s">
        <v>1406</v>
      </c>
      <c r="I59" s="16" t="s">
        <v>53</v>
      </c>
      <c r="J59" s="17" t="s">
        <v>1307</v>
      </c>
      <c r="K59" s="17" t="s">
        <v>1407</v>
      </c>
    </row>
    <row r="60" customFormat="false" ht="15" hidden="false" customHeight="true" outlineLevel="0" collapsed="false">
      <c r="A60" s="17" t="s">
        <v>1408</v>
      </c>
      <c r="B60" s="17" t="s">
        <v>1369</v>
      </c>
      <c r="C60" s="16" t="s">
        <v>1409</v>
      </c>
      <c r="D60" s="16" t="s">
        <v>72</v>
      </c>
      <c r="E60" s="16" t="s">
        <v>75</v>
      </c>
      <c r="F60" s="17" t="s">
        <v>1138</v>
      </c>
      <c r="G60" s="16" t="s">
        <v>1410</v>
      </c>
      <c r="H60" s="17" t="s">
        <v>1411</v>
      </c>
      <c r="I60" s="16" t="s">
        <v>53</v>
      </c>
      <c r="J60" s="17" t="s">
        <v>1307</v>
      </c>
      <c r="K60" s="16" t="s">
        <v>1412</v>
      </c>
    </row>
    <row r="61" customFormat="false" ht="15" hidden="false" customHeight="true" outlineLevel="0" collapsed="false">
      <c r="A61" s="17" t="s">
        <v>1413</v>
      </c>
      <c r="B61" s="17" t="s">
        <v>1369</v>
      </c>
      <c r="C61" s="16" t="s">
        <v>1414</v>
      </c>
      <c r="D61" s="16" t="s">
        <v>72</v>
      </c>
      <c r="E61" s="16" t="s">
        <v>81</v>
      </c>
      <c r="F61" s="17" t="s">
        <v>1138</v>
      </c>
      <c r="G61" s="16" t="s">
        <v>1415</v>
      </c>
      <c r="H61" s="17" t="s">
        <v>1416</v>
      </c>
      <c r="I61" s="16" t="s">
        <v>53</v>
      </c>
      <c r="J61" s="17" t="s">
        <v>1307</v>
      </c>
      <c r="K61" s="17" t="s">
        <v>1417</v>
      </c>
    </row>
    <row r="62" customFormat="false" ht="15" hidden="false" customHeight="true" outlineLevel="0" collapsed="false">
      <c r="A62" s="17" t="s">
        <v>1418</v>
      </c>
      <c r="B62" s="17" t="s">
        <v>1375</v>
      </c>
      <c r="C62" s="16" t="s">
        <v>1419</v>
      </c>
      <c r="D62" s="16" t="s">
        <v>72</v>
      </c>
      <c r="E62" s="16" t="s">
        <v>81</v>
      </c>
      <c r="F62" s="17" t="s">
        <v>1138</v>
      </c>
      <c r="G62" s="16" t="s">
        <v>1420</v>
      </c>
      <c r="H62" s="17" t="s">
        <v>1421</v>
      </c>
      <c r="I62" s="16" t="s">
        <v>53</v>
      </c>
      <c r="J62" s="17" t="s">
        <v>1307</v>
      </c>
      <c r="K62" s="17" t="s">
        <v>1422</v>
      </c>
    </row>
    <row r="63" customFormat="false" ht="15" hidden="false" customHeight="true" outlineLevel="0" collapsed="false">
      <c r="A63" s="17" t="s">
        <v>1423</v>
      </c>
      <c r="B63" s="17" t="s">
        <v>1424</v>
      </c>
      <c r="C63" s="16" t="s">
        <v>1425</v>
      </c>
      <c r="D63" s="16" t="s">
        <v>72</v>
      </c>
      <c r="E63" s="16" t="s">
        <v>75</v>
      </c>
      <c r="F63" s="17" t="s">
        <v>1138</v>
      </c>
      <c r="G63" s="16" t="s">
        <v>1426</v>
      </c>
      <c r="H63" s="17" t="s">
        <v>1427</v>
      </c>
      <c r="I63" s="16" t="s">
        <v>53</v>
      </c>
      <c r="J63" s="17" t="s">
        <v>1307</v>
      </c>
      <c r="K63" s="17" t="s">
        <v>1428</v>
      </c>
    </row>
    <row r="64" customFormat="false" ht="15" hidden="false" customHeight="true" outlineLevel="0" collapsed="false">
      <c r="A64" s="17" t="s">
        <v>1429</v>
      </c>
      <c r="B64" s="17" t="s">
        <v>1369</v>
      </c>
      <c r="C64" s="16" t="s">
        <v>1430</v>
      </c>
      <c r="D64" s="16" t="s">
        <v>72</v>
      </c>
      <c r="E64" s="16" t="s">
        <v>75</v>
      </c>
      <c r="F64" s="17" t="s">
        <v>1307</v>
      </c>
      <c r="G64" s="16" t="s">
        <v>1431</v>
      </c>
      <c r="H64" s="17" t="s">
        <v>1432</v>
      </c>
      <c r="I64" s="16" t="s">
        <v>53</v>
      </c>
      <c r="J64" s="17" t="s">
        <v>1400</v>
      </c>
      <c r="K64" s="16" t="s">
        <v>1433</v>
      </c>
    </row>
    <row r="65" customFormat="false" ht="15" hidden="false" customHeight="true" outlineLevel="0" collapsed="false">
      <c r="A65" s="17" t="s">
        <v>1434</v>
      </c>
      <c r="B65" s="17" t="s">
        <v>1375</v>
      </c>
      <c r="C65" s="17" t="s">
        <v>1435</v>
      </c>
      <c r="D65" s="16" t="s">
        <v>72</v>
      </c>
      <c r="E65" s="16" t="s">
        <v>77</v>
      </c>
      <c r="F65" s="17" t="s">
        <v>1307</v>
      </c>
      <c r="G65" s="16" t="s">
        <v>1436</v>
      </c>
      <c r="H65" s="16" t="s">
        <v>1437</v>
      </c>
      <c r="I65" s="16" t="s">
        <v>53</v>
      </c>
      <c r="J65" s="17" t="s">
        <v>1400</v>
      </c>
      <c r="K65" s="17" t="s">
        <v>1438</v>
      </c>
    </row>
    <row r="66" customFormat="false" ht="15" hidden="false" customHeight="true" outlineLevel="0" collapsed="false">
      <c r="A66" s="17" t="s">
        <v>1439</v>
      </c>
      <c r="B66" s="17" t="s">
        <v>1369</v>
      </c>
      <c r="C66" s="16" t="s">
        <v>1440</v>
      </c>
      <c r="D66" s="16" t="s">
        <v>72</v>
      </c>
      <c r="E66" s="16" t="s">
        <v>81</v>
      </c>
      <c r="F66" s="17" t="s">
        <v>1307</v>
      </c>
      <c r="G66" s="16" t="s">
        <v>1441</v>
      </c>
      <c r="H66" s="17" t="s">
        <v>1442</v>
      </c>
      <c r="I66" s="16" t="s">
        <v>53</v>
      </c>
      <c r="J66" s="17" t="s">
        <v>1400</v>
      </c>
      <c r="K66" s="17" t="s">
        <v>1443</v>
      </c>
    </row>
    <row r="67" customFormat="false" ht="15" hidden="false" customHeight="true" outlineLevel="0" collapsed="false">
      <c r="A67" s="17" t="s">
        <v>1444</v>
      </c>
      <c r="B67" s="17" t="s">
        <v>1445</v>
      </c>
      <c r="C67" s="17" t="s">
        <v>1446</v>
      </c>
      <c r="D67" s="16" t="s">
        <v>72</v>
      </c>
      <c r="E67" s="16" t="s">
        <v>75</v>
      </c>
      <c r="F67" s="17" t="s">
        <v>1307</v>
      </c>
      <c r="G67" s="17" t="s">
        <v>1447</v>
      </c>
      <c r="H67" s="17" t="s">
        <v>1448</v>
      </c>
      <c r="I67" s="16" t="s">
        <v>53</v>
      </c>
      <c r="J67" s="17" t="s">
        <v>1400</v>
      </c>
      <c r="K67" s="16" t="s">
        <v>1449</v>
      </c>
    </row>
    <row r="68" customFormat="false" ht="15" hidden="false" customHeight="true" outlineLevel="0" collapsed="false">
      <c r="A68" s="17" t="s">
        <v>1450</v>
      </c>
      <c r="B68" s="17" t="s">
        <v>1451</v>
      </c>
      <c r="C68" s="17" t="s">
        <v>1452</v>
      </c>
      <c r="D68" s="16" t="s">
        <v>70</v>
      </c>
      <c r="E68" s="16" t="s">
        <v>75</v>
      </c>
      <c r="F68" s="17" t="s">
        <v>1400</v>
      </c>
      <c r="G68" s="17" t="s">
        <v>1453</v>
      </c>
      <c r="H68" s="17" t="s">
        <v>1454</v>
      </c>
      <c r="I68" s="16" t="s">
        <v>53</v>
      </c>
      <c r="J68" s="17" t="s">
        <v>1455</v>
      </c>
      <c r="K68" s="16" t="s">
        <v>1456</v>
      </c>
    </row>
    <row r="69" customFormat="false" ht="15" hidden="false" customHeight="true" outlineLevel="0" collapsed="false">
      <c r="A69" s="17" t="s">
        <v>1457</v>
      </c>
      <c r="B69" s="17" t="s">
        <v>673</v>
      </c>
      <c r="C69" s="17" t="s">
        <v>1458</v>
      </c>
      <c r="D69" s="16" t="s">
        <v>70</v>
      </c>
      <c r="E69" s="16" t="s">
        <v>75</v>
      </c>
      <c r="F69" s="17" t="s">
        <v>1400</v>
      </c>
      <c r="G69" s="16" t="s">
        <v>1459</v>
      </c>
      <c r="H69" s="17" t="s">
        <v>1460</v>
      </c>
      <c r="I69" s="16" t="s">
        <v>53</v>
      </c>
      <c r="J69" s="17" t="s">
        <v>1455</v>
      </c>
      <c r="K69" s="16" t="s">
        <v>1461</v>
      </c>
    </row>
    <row r="70" customFormat="false" ht="15" hidden="false" customHeight="true" outlineLevel="0" collapsed="false">
      <c r="A70" s="17" t="s">
        <v>726</v>
      </c>
      <c r="B70" s="17" t="s">
        <v>720</v>
      </c>
      <c r="C70" s="16" t="s">
        <v>1462</v>
      </c>
      <c r="D70" s="16" t="s">
        <v>72</v>
      </c>
      <c r="E70" s="16" t="s">
        <v>75</v>
      </c>
      <c r="F70" s="17" t="s">
        <v>1400</v>
      </c>
      <c r="G70" s="16" t="s">
        <v>1463</v>
      </c>
      <c r="H70" s="17" t="s">
        <v>1464</v>
      </c>
      <c r="I70" s="16" t="s">
        <v>53</v>
      </c>
      <c r="J70" s="17" t="s">
        <v>1455</v>
      </c>
      <c r="K70" s="16" t="s">
        <v>1465</v>
      </c>
    </row>
    <row r="71" customFormat="false" ht="15" hidden="false" customHeight="true" outlineLevel="0" collapsed="false">
      <c r="A71" s="17" t="s">
        <v>1466</v>
      </c>
      <c r="B71" s="17" t="s">
        <v>870</v>
      </c>
      <c r="C71" s="16" t="s">
        <v>1467</v>
      </c>
      <c r="D71" s="16" t="s">
        <v>70</v>
      </c>
      <c r="E71" s="16" t="s">
        <v>75</v>
      </c>
      <c r="F71" s="17" t="s">
        <v>1400</v>
      </c>
      <c r="G71" s="16" t="s">
        <v>1468</v>
      </c>
      <c r="H71" s="17" t="s">
        <v>1469</v>
      </c>
      <c r="I71" s="16" t="s">
        <v>53</v>
      </c>
      <c r="J71" s="17" t="s">
        <v>1455</v>
      </c>
      <c r="K71" s="16" t="s">
        <v>1470</v>
      </c>
    </row>
    <row r="72" customFormat="false" ht="15" hidden="false" customHeight="true" outlineLevel="0" collapsed="false">
      <c r="A72" s="17" t="s">
        <v>1471</v>
      </c>
      <c r="B72" s="17" t="s">
        <v>870</v>
      </c>
      <c r="C72" s="16" t="s">
        <v>1472</v>
      </c>
      <c r="D72" s="16" t="s">
        <v>70</v>
      </c>
      <c r="E72" s="16" t="s">
        <v>75</v>
      </c>
      <c r="F72" s="17" t="s">
        <v>1400</v>
      </c>
      <c r="G72" s="16" t="s">
        <v>1473</v>
      </c>
      <c r="H72" s="17" t="s">
        <v>1474</v>
      </c>
      <c r="I72" s="16" t="s">
        <v>53</v>
      </c>
      <c r="J72" s="17" t="s">
        <v>1455</v>
      </c>
      <c r="K72" s="16" t="s">
        <v>1475</v>
      </c>
    </row>
    <row r="73" customFormat="false" ht="15" hidden="false" customHeight="true" outlineLevel="0" collapsed="false">
      <c r="A73" s="17" t="s">
        <v>1476</v>
      </c>
      <c r="B73" s="17" t="s">
        <v>870</v>
      </c>
      <c r="C73" s="16" t="s">
        <v>1477</v>
      </c>
      <c r="D73" s="16" t="s">
        <v>70</v>
      </c>
      <c r="E73" s="16" t="s">
        <v>75</v>
      </c>
      <c r="F73" s="17" t="s">
        <v>1400</v>
      </c>
      <c r="G73" s="16" t="s">
        <v>1478</v>
      </c>
      <c r="H73" s="17" t="s">
        <v>1479</v>
      </c>
      <c r="I73" s="16" t="s">
        <v>53</v>
      </c>
      <c r="J73" s="17" t="s">
        <v>1455</v>
      </c>
      <c r="K73" s="16" t="s">
        <v>1480</v>
      </c>
    </row>
    <row r="74" customFormat="false" ht="15" hidden="false" customHeight="true" outlineLevel="0" collapsed="false">
      <c r="A74" s="17" t="s">
        <v>512</v>
      </c>
      <c r="B74" s="17" t="s">
        <v>504</v>
      </c>
      <c r="C74" s="16" t="s">
        <v>1481</v>
      </c>
      <c r="D74" s="16" t="s">
        <v>72</v>
      </c>
      <c r="E74" s="16" t="s">
        <v>75</v>
      </c>
      <c r="F74" s="17" t="s">
        <v>1400</v>
      </c>
      <c r="G74" s="16" t="s">
        <v>1482</v>
      </c>
      <c r="H74" s="17" t="s">
        <v>1483</v>
      </c>
      <c r="I74" s="16" t="s">
        <v>53</v>
      </c>
      <c r="J74" s="17" t="s">
        <v>1455</v>
      </c>
      <c r="K74" s="16" t="s">
        <v>1484</v>
      </c>
    </row>
    <row r="75" customFormat="false" ht="15" hidden="false" customHeight="true" outlineLevel="0" collapsed="false">
      <c r="A75" s="17" t="s">
        <v>1485</v>
      </c>
      <c r="B75" s="17" t="s">
        <v>673</v>
      </c>
      <c r="C75" s="16" t="s">
        <v>1486</v>
      </c>
      <c r="D75" s="16" t="s">
        <v>72</v>
      </c>
      <c r="E75" s="16" t="s">
        <v>75</v>
      </c>
      <c r="F75" s="17" t="s">
        <v>1400</v>
      </c>
      <c r="G75" s="17" t="s">
        <v>1487</v>
      </c>
      <c r="H75" s="17" t="s">
        <v>1488</v>
      </c>
      <c r="I75" s="16" t="s">
        <v>53</v>
      </c>
      <c r="J75" s="17" t="s">
        <v>1455</v>
      </c>
      <c r="K75" s="16" t="s">
        <v>1489</v>
      </c>
    </row>
    <row r="76" customFormat="false" ht="15" hidden="false" customHeight="true" outlineLevel="0" collapsed="false">
      <c r="A76" s="17" t="s">
        <v>1490</v>
      </c>
      <c r="B76" s="17" t="s">
        <v>1369</v>
      </c>
      <c r="C76" s="16" t="s">
        <v>1491</v>
      </c>
      <c r="D76" s="16" t="s">
        <v>72</v>
      </c>
      <c r="E76" s="16" t="s">
        <v>81</v>
      </c>
      <c r="F76" s="17" t="s">
        <v>1400</v>
      </c>
      <c r="G76" s="16" t="s">
        <v>1492</v>
      </c>
      <c r="H76" s="17" t="s">
        <v>1493</v>
      </c>
      <c r="I76" s="16" t="s">
        <v>53</v>
      </c>
      <c r="J76" s="17" t="s">
        <v>1455</v>
      </c>
      <c r="K76" s="17" t="s">
        <v>1494</v>
      </c>
    </row>
    <row r="77" customFormat="false" ht="15" hidden="false" customHeight="true" outlineLevel="0" collapsed="false">
      <c r="A77" s="17" t="s">
        <v>1495</v>
      </c>
      <c r="B77" s="17" t="s">
        <v>1369</v>
      </c>
      <c r="C77" s="16" t="s">
        <v>1496</v>
      </c>
      <c r="D77" s="16" t="s">
        <v>72</v>
      </c>
      <c r="E77" s="16" t="s">
        <v>75</v>
      </c>
      <c r="F77" s="17" t="s">
        <v>1400</v>
      </c>
      <c r="G77" s="16" t="s">
        <v>1497</v>
      </c>
      <c r="H77" s="17" t="s">
        <v>1498</v>
      </c>
      <c r="I77" s="16" t="s">
        <v>53</v>
      </c>
      <c r="J77" s="17" t="s">
        <v>1455</v>
      </c>
      <c r="K77" s="16" t="s">
        <v>1499</v>
      </c>
    </row>
    <row r="78" customFormat="false" ht="15" hidden="false" customHeight="true" outlineLevel="0" collapsed="false">
      <c r="A78" s="17" t="s">
        <v>1500</v>
      </c>
      <c r="B78" s="17" t="s">
        <v>1369</v>
      </c>
      <c r="C78" s="17" t="s">
        <v>1501</v>
      </c>
      <c r="D78" s="16" t="s">
        <v>72</v>
      </c>
      <c r="E78" s="16" t="s">
        <v>81</v>
      </c>
      <c r="F78" s="17" t="s">
        <v>1400</v>
      </c>
      <c r="G78" s="16" t="s">
        <v>1502</v>
      </c>
      <c r="H78" s="17" t="s">
        <v>1503</v>
      </c>
      <c r="I78" s="16" t="s">
        <v>53</v>
      </c>
      <c r="J78" s="17" t="s">
        <v>1455</v>
      </c>
      <c r="K78" s="17" t="s">
        <v>1504</v>
      </c>
    </row>
    <row r="79" customFormat="false" ht="15" hidden="false" customHeight="true" outlineLevel="0" collapsed="false">
      <c r="A79" s="17" t="s">
        <v>1071</v>
      </c>
      <c r="B79" s="17" t="s">
        <v>1505</v>
      </c>
      <c r="C79" s="16" t="s">
        <v>1506</v>
      </c>
      <c r="D79" s="16" t="s">
        <v>72</v>
      </c>
      <c r="E79" s="16" t="s">
        <v>75</v>
      </c>
      <c r="F79" s="17" t="s">
        <v>1400</v>
      </c>
      <c r="G79" s="17" t="s">
        <v>1507</v>
      </c>
      <c r="H79" s="17" t="s">
        <v>1508</v>
      </c>
      <c r="I79" s="16" t="s">
        <v>53</v>
      </c>
      <c r="J79" s="17" t="s">
        <v>1509</v>
      </c>
      <c r="K79" s="16" t="s">
        <v>1510</v>
      </c>
    </row>
    <row r="80" customFormat="false" ht="15" hidden="false" customHeight="true" outlineLevel="0" collapsed="false">
      <c r="A80" s="17" t="s">
        <v>904</v>
      </c>
      <c r="B80" s="17" t="s">
        <v>1511</v>
      </c>
      <c r="C80" s="17" t="s">
        <v>1512</v>
      </c>
      <c r="D80" s="16" t="s">
        <v>72</v>
      </c>
      <c r="E80" s="16" t="s">
        <v>81</v>
      </c>
      <c r="F80" s="17" t="s">
        <v>1400</v>
      </c>
      <c r="G80" s="16" t="s">
        <v>1513</v>
      </c>
      <c r="H80" s="17" t="s">
        <v>1514</v>
      </c>
      <c r="I80" s="16" t="s">
        <v>53</v>
      </c>
      <c r="J80" s="17" t="s">
        <v>1455</v>
      </c>
      <c r="K80" s="16" t="s">
        <v>1515</v>
      </c>
    </row>
    <row r="81" customFormat="false" ht="15" hidden="false" customHeight="true" outlineLevel="0" collapsed="false">
      <c r="A81" s="17" t="s">
        <v>1516</v>
      </c>
      <c r="B81" s="17" t="s">
        <v>1517</v>
      </c>
      <c r="C81" s="16" t="s">
        <v>1518</v>
      </c>
      <c r="D81" s="16" t="s">
        <v>70</v>
      </c>
      <c r="E81" s="16" t="s">
        <v>75</v>
      </c>
      <c r="F81" s="17" t="s">
        <v>1455</v>
      </c>
      <c r="G81" s="16" t="s">
        <v>1519</v>
      </c>
      <c r="H81" s="17" t="s">
        <v>1520</v>
      </c>
      <c r="I81" s="16" t="s">
        <v>53</v>
      </c>
      <c r="J81" s="17" t="s">
        <v>1455</v>
      </c>
      <c r="K81" s="16" t="s">
        <v>1521</v>
      </c>
    </row>
    <row r="82" customFormat="false" ht="15" hidden="false" customHeight="true" outlineLevel="0" collapsed="false">
      <c r="A82" s="17" t="s">
        <v>1522</v>
      </c>
      <c r="B82" s="17" t="s">
        <v>1517</v>
      </c>
      <c r="C82" s="16" t="s">
        <v>1523</v>
      </c>
      <c r="D82" s="16" t="s">
        <v>72</v>
      </c>
      <c r="E82" s="16" t="s">
        <v>75</v>
      </c>
      <c r="F82" s="17" t="s">
        <v>1455</v>
      </c>
      <c r="G82" s="16" t="s">
        <v>1524</v>
      </c>
      <c r="H82" s="17" t="s">
        <v>1525</v>
      </c>
      <c r="I82" s="16" t="s">
        <v>53</v>
      </c>
      <c r="J82" s="17" t="s">
        <v>1455</v>
      </c>
      <c r="K82" s="16" t="s">
        <v>1521</v>
      </c>
    </row>
    <row r="83" customFormat="false" ht="15" hidden="false" customHeight="true" outlineLevel="0" collapsed="false">
      <c r="A83" s="17" t="s">
        <v>953</v>
      </c>
      <c r="B83" s="17" t="s">
        <v>1526</v>
      </c>
      <c r="C83" s="17" t="s">
        <v>1527</v>
      </c>
      <c r="D83" s="16" t="s">
        <v>72</v>
      </c>
      <c r="E83" s="16" t="s">
        <v>75</v>
      </c>
      <c r="F83" s="17" t="s">
        <v>1509</v>
      </c>
      <c r="G83" s="16" t="s">
        <v>1528</v>
      </c>
      <c r="H83" s="17" t="s">
        <v>1529</v>
      </c>
      <c r="I83" s="16" t="s">
        <v>53</v>
      </c>
      <c r="J83" s="17" t="s">
        <v>1509</v>
      </c>
      <c r="K83" s="16" t="s">
        <v>1530</v>
      </c>
    </row>
    <row r="84" customFormat="false" ht="15" hidden="false" customHeight="true" outlineLevel="0" collapsed="false">
      <c r="A84" s="17" t="s">
        <v>845</v>
      </c>
      <c r="B84" s="17" t="s">
        <v>837</v>
      </c>
      <c r="C84" s="17" t="s">
        <v>1531</v>
      </c>
      <c r="D84" s="16" t="s">
        <v>72</v>
      </c>
      <c r="E84" s="16" t="s">
        <v>75</v>
      </c>
      <c r="F84" s="17" t="s">
        <v>1532</v>
      </c>
      <c r="G84" s="17" t="s">
        <v>1533</v>
      </c>
      <c r="H84" s="17" t="s">
        <v>1534</v>
      </c>
      <c r="I84" s="16" t="s">
        <v>53</v>
      </c>
      <c r="J84" s="17" t="s">
        <v>1535</v>
      </c>
      <c r="K84" s="16" t="s">
        <v>1536</v>
      </c>
    </row>
    <row r="85" customFormat="false" ht="15" hidden="false" customHeight="true" outlineLevel="0" collapsed="false">
      <c r="A85" s="17" t="s">
        <v>1537</v>
      </c>
      <c r="B85" s="17" t="s">
        <v>879</v>
      </c>
      <c r="C85" s="16" t="s">
        <v>1538</v>
      </c>
      <c r="D85" s="16" t="s">
        <v>70</v>
      </c>
      <c r="E85" s="16" t="s">
        <v>75</v>
      </c>
      <c r="F85" s="17" t="s">
        <v>1539</v>
      </c>
      <c r="G85" s="17" t="s">
        <v>1540</v>
      </c>
      <c r="H85" s="17" t="s">
        <v>1541</v>
      </c>
      <c r="I85" s="16" t="s">
        <v>53</v>
      </c>
      <c r="J85" s="17" t="s">
        <v>1542</v>
      </c>
      <c r="K85" s="16" t="s">
        <v>1543</v>
      </c>
    </row>
    <row r="86" customFormat="false" ht="15" hidden="false" customHeight="true" outlineLevel="0" collapsed="false">
      <c r="A86" s="17" t="s">
        <v>803</v>
      </c>
      <c r="B86" s="17" t="s">
        <v>797</v>
      </c>
      <c r="C86" s="17" t="s">
        <v>1544</v>
      </c>
      <c r="D86" s="16" t="s">
        <v>72</v>
      </c>
      <c r="E86" s="16" t="s">
        <v>75</v>
      </c>
      <c r="F86" s="17" t="s">
        <v>1539</v>
      </c>
      <c r="G86" s="17" t="s">
        <v>1545</v>
      </c>
      <c r="H86" s="17" t="s">
        <v>1546</v>
      </c>
      <c r="I86" s="16" t="s">
        <v>53</v>
      </c>
      <c r="J86" s="17" t="s">
        <v>1542</v>
      </c>
      <c r="K86" s="16" t="s">
        <v>1547</v>
      </c>
    </row>
    <row r="87" customFormat="false" ht="15" hidden="false" customHeight="true" outlineLevel="0" collapsed="false">
      <c r="A87" s="17" t="s">
        <v>1548</v>
      </c>
      <c r="B87" s="17" t="s">
        <v>931</v>
      </c>
      <c r="C87" s="16" t="s">
        <v>1549</v>
      </c>
      <c r="D87" s="16" t="s">
        <v>72</v>
      </c>
      <c r="E87" s="16" t="s">
        <v>75</v>
      </c>
      <c r="F87" s="17" t="s">
        <v>1539</v>
      </c>
      <c r="G87" s="16" t="s">
        <v>1550</v>
      </c>
      <c r="H87" s="17" t="s">
        <v>1551</v>
      </c>
      <c r="I87" s="16" t="s">
        <v>53</v>
      </c>
      <c r="J87" s="17" t="s">
        <v>1542</v>
      </c>
      <c r="K87" s="16" t="s">
        <v>1552</v>
      </c>
    </row>
    <row r="88" customFormat="false" ht="15" hidden="false" customHeight="true" outlineLevel="0" collapsed="false">
      <c r="A88" s="17" t="s">
        <v>913</v>
      </c>
      <c r="B88" s="17" t="s">
        <v>1553</v>
      </c>
      <c r="C88" s="16" t="s">
        <v>1554</v>
      </c>
      <c r="D88" s="16" t="s">
        <v>72</v>
      </c>
      <c r="E88" s="16" t="s">
        <v>81</v>
      </c>
      <c r="F88" s="17" t="s">
        <v>1555</v>
      </c>
      <c r="G88" s="16" t="s">
        <v>1556</v>
      </c>
      <c r="H88" s="17"/>
      <c r="I88" s="16" t="s">
        <v>83</v>
      </c>
      <c r="J88" s="17" t="s">
        <v>1555</v>
      </c>
      <c r="K88" s="16" t="s">
        <v>1557</v>
      </c>
    </row>
    <row r="89" customFormat="false" ht="15" hidden="false" customHeight="true" outlineLevel="0" collapsed="false">
      <c r="A89" s="17" t="s">
        <v>1558</v>
      </c>
      <c r="B89" s="17" t="s">
        <v>1102</v>
      </c>
      <c r="C89" s="16" t="s">
        <v>1559</v>
      </c>
      <c r="D89" s="16" t="s">
        <v>72</v>
      </c>
      <c r="E89" s="16" t="s">
        <v>75</v>
      </c>
      <c r="F89" s="17" t="s">
        <v>1560</v>
      </c>
      <c r="G89" s="16" t="s">
        <v>1561</v>
      </c>
      <c r="H89" s="17"/>
      <c r="I89" s="16" t="s">
        <v>1562</v>
      </c>
      <c r="J89" s="17"/>
      <c r="K89" s="16" t="s">
        <v>1563</v>
      </c>
    </row>
    <row r="90" customFormat="false" ht="15" hidden="false" customHeight="true" outlineLevel="0" collapsed="false">
      <c r="A90" s="17" t="s">
        <v>746</v>
      </c>
      <c r="B90" s="17" t="s">
        <v>737</v>
      </c>
      <c r="C90" s="16" t="s">
        <v>1564</v>
      </c>
      <c r="D90" s="16" t="s">
        <v>72</v>
      </c>
      <c r="E90" s="16" t="s">
        <v>75</v>
      </c>
      <c r="F90" s="17" t="s">
        <v>1560</v>
      </c>
      <c r="G90" s="16" t="s">
        <v>1565</v>
      </c>
      <c r="H90" s="17"/>
      <c r="I90" s="16" t="s">
        <v>1562</v>
      </c>
      <c r="J90" s="17"/>
      <c r="K90" s="16" t="s">
        <v>1566</v>
      </c>
    </row>
    <row r="91" customFormat="false" ht="15" hidden="false" customHeight="true" outlineLevel="0" collapsed="false">
      <c r="A91" s="17" t="s">
        <v>1567</v>
      </c>
      <c r="B91" s="17" t="s">
        <v>812</v>
      </c>
      <c r="C91" s="16" t="s">
        <v>1568</v>
      </c>
      <c r="D91" s="16" t="s">
        <v>72</v>
      </c>
      <c r="E91" s="16" t="s">
        <v>81</v>
      </c>
      <c r="F91" s="17" t="s">
        <v>1560</v>
      </c>
      <c r="G91" s="16" t="s">
        <v>1569</v>
      </c>
      <c r="H91" s="17"/>
      <c r="I91" s="16" t="s">
        <v>1570</v>
      </c>
      <c r="J91" s="17"/>
      <c r="K91" s="16" t="s">
        <v>1571</v>
      </c>
    </row>
    <row r="92" customFormat="false" ht="15" hidden="false" customHeight="true" outlineLevel="0" collapsed="false">
      <c r="A92" s="17" t="s">
        <v>1572</v>
      </c>
      <c r="B92" s="17" t="s">
        <v>187</v>
      </c>
      <c r="C92" s="16" t="s">
        <v>1573</v>
      </c>
      <c r="D92" s="16" t="s">
        <v>70</v>
      </c>
      <c r="E92" s="16" t="s">
        <v>75</v>
      </c>
      <c r="F92" s="17" t="s">
        <v>1560</v>
      </c>
      <c r="G92" s="16" t="s">
        <v>1574</v>
      </c>
      <c r="H92" s="17"/>
      <c r="I92" s="16" t="s">
        <v>1562</v>
      </c>
      <c r="J92" s="17"/>
      <c r="K92" s="16" t="s">
        <v>1575</v>
      </c>
    </row>
    <row r="93" customFormat="false" ht="15" hidden="false" customHeight="true" outlineLevel="0" collapsed="false">
      <c r="A93" s="17" t="s">
        <v>1576</v>
      </c>
      <c r="B93" s="17" t="s">
        <v>187</v>
      </c>
      <c r="C93" s="16" t="s">
        <v>1577</v>
      </c>
      <c r="D93" s="16" t="s">
        <v>72</v>
      </c>
      <c r="E93" s="16" t="s">
        <v>81</v>
      </c>
      <c r="F93" s="17" t="s">
        <v>1560</v>
      </c>
      <c r="G93" s="16" t="s">
        <v>1578</v>
      </c>
      <c r="H93" s="17"/>
      <c r="I93" s="16" t="s">
        <v>1570</v>
      </c>
      <c r="J93" s="17"/>
      <c r="K93" s="16" t="s">
        <v>1579</v>
      </c>
    </row>
  </sheetData>
  <dataValidations count="4">
    <dataValidation allowBlank="true" errorStyle="stop" operator="between" showDropDown="false" showErrorMessage="false" showInputMessage="false" sqref="D3:D200" type="list">
      <formula1>"高,中,低"</formula1>
      <formula2>0</formula2>
    </dataValidation>
    <dataValidation allowBlank="true" errorStyle="stop" operator="between" showDropDown="false" showErrorMessage="false" showInputMessage="false" sqref="E3:E200" type="list">
      <formula1>"程式缺陷,資料殘留,來源資料,規格未定,非缺陷"</formula1>
      <formula2>0</formula2>
    </dataValidation>
    <dataValidation allowBlank="true" errorStyle="stop" operator="between" showDropDown="false" showErrorMessage="false" showInputMessage="false" sqref="I3:I200" type="list">
      <formula1>"新開,修復中,待複驗,複驗未過,待裁定,結案,非缺陷"</formula1>
      <formula2>0</formula2>
    </dataValidation>
    <dataValidation allowBlank="true" errorStyle="stop" operator="between" showDropDown="false" showErrorMessage="false" showInputMessage="false" sqref="F3:F200 J3:J200" type="list">
      <formula1>"R1,R2,R3,R4,R5,R6,R7,R8,R9,R10,R11,R12,R13"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4" min="3" style="1" width="11"/>
    <col collapsed="false" customWidth="true" hidden="false" outlineLevel="0" max="5" min="5" style="1" width="16"/>
    <col collapsed="false" customWidth="true" hidden="false" outlineLevel="0" max="6" min="6" style="1" width="32"/>
    <col collapsed="false" customWidth="true" hidden="false" outlineLevel="0" max="7" min="7" style="1" width="34"/>
    <col collapsed="false" customWidth="true" hidden="false" outlineLevel="0" max="8" min="8" style="1" width="40"/>
    <col collapsed="false" customWidth="true" hidden="false" outlineLevel="0" max="9" min="9" style="1" width="22"/>
    <col collapsed="false" customWidth="true" hidden="false" outlineLevel="0" max="10" min="10" style="1" width="32"/>
    <col collapsed="false" customWidth="true" hidden="false" outlineLevel="0" max="11" min="11" style="1" width="18"/>
    <col collapsed="false" customWidth="true" hidden="false" outlineLevel="0" max="12" min="12" style="1" width="26"/>
    <col collapsed="false" customWidth="true" hidden="false" outlineLevel="0" max="13" min="13" style="1" width="32"/>
    <col collapsed="false" customWidth="true" hidden="false" outlineLevel="0" max="14" min="14" style="1" width="46"/>
    <col collapsed="false" customWidth="true" hidden="false" outlineLevel="0" max="15" min="15" style="1" width="38"/>
    <col collapsed="false" customWidth="true" hidden="false" outlineLevel="0" max="16" min="16" style="1" width="12"/>
    <col collapsed="false" customWidth="true" hidden="false" outlineLevel="0" max="17" min="17" style="1" width="26"/>
    <col collapsed="false" customWidth="true" hidden="false" outlineLevel="0" max="18" min="18" style="1" width="16"/>
  </cols>
  <sheetData>
    <row r="1" customFormat="false" ht="15" hidden="false" customHeight="true" outlineLevel="0" collapsed="false">
      <c r="A1" s="18" t="s">
        <v>1580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customFormat="false" ht="31.5" hidden="false" customHeight="true" outlineLevel="0" collapsed="false">
      <c r="A2" s="9" t="s">
        <v>1581</v>
      </c>
      <c r="B2" s="9" t="s">
        <v>1111</v>
      </c>
      <c r="C2" s="9" t="s">
        <v>1112</v>
      </c>
      <c r="D2" s="9" t="s">
        <v>1582</v>
      </c>
      <c r="E2" s="19" t="s">
        <v>1583</v>
      </c>
      <c r="F2" s="19" t="s">
        <v>1584</v>
      </c>
      <c r="G2" s="19" t="s">
        <v>1585</v>
      </c>
      <c r="H2" s="19" t="s">
        <v>1586</v>
      </c>
      <c r="I2" s="19" t="s">
        <v>1587</v>
      </c>
      <c r="J2" s="19" t="s">
        <v>1588</v>
      </c>
      <c r="K2" s="19" t="s">
        <v>1589</v>
      </c>
      <c r="L2" s="19" t="s">
        <v>1590</v>
      </c>
      <c r="M2" s="20" t="s">
        <v>1591</v>
      </c>
      <c r="N2" s="20" t="s">
        <v>1592</v>
      </c>
      <c r="O2" s="20" t="s">
        <v>1593</v>
      </c>
      <c r="P2" s="20" t="s">
        <v>1594</v>
      </c>
      <c r="Q2" s="20" t="s">
        <v>1595</v>
      </c>
      <c r="R2" s="20" t="s">
        <v>1596</v>
      </c>
    </row>
    <row r="3" customFormat="false" ht="86.25" hidden="false" customHeight="true" outlineLevel="0" collapsed="false">
      <c r="A3" s="11" t="s">
        <v>1122</v>
      </c>
      <c r="B3" s="11" t="s">
        <v>139</v>
      </c>
      <c r="C3" s="11" t="s">
        <v>380</v>
      </c>
      <c r="D3" s="11" t="s">
        <v>1597</v>
      </c>
      <c r="E3" s="10" t="s">
        <v>1598</v>
      </c>
      <c r="F3" s="11" t="s">
        <v>136</v>
      </c>
      <c r="G3" s="11" t="s">
        <v>136</v>
      </c>
      <c r="H3" s="11" t="s">
        <v>136</v>
      </c>
      <c r="I3" s="11" t="s">
        <v>136</v>
      </c>
      <c r="J3" s="11" t="s">
        <v>136</v>
      </c>
      <c r="K3" s="11" t="s">
        <v>136</v>
      </c>
      <c r="L3" s="11" t="s">
        <v>136</v>
      </c>
      <c r="M3" s="10" t="s">
        <v>1599</v>
      </c>
      <c r="N3" s="10" t="s">
        <v>1600</v>
      </c>
      <c r="O3" s="11" t="s">
        <v>1601</v>
      </c>
      <c r="P3" s="11" t="s">
        <v>39</v>
      </c>
      <c r="Q3" s="10" t="s">
        <v>1602</v>
      </c>
      <c r="R3" s="10" t="s">
        <v>1603</v>
      </c>
    </row>
    <row r="4" customFormat="false" ht="86.25" hidden="false" customHeight="true" outlineLevel="0" collapsed="false">
      <c r="A4" s="11" t="s">
        <v>1125</v>
      </c>
      <c r="B4" s="11" t="s">
        <v>139</v>
      </c>
      <c r="C4" s="11" t="s">
        <v>380</v>
      </c>
      <c r="D4" s="11" t="s">
        <v>1597</v>
      </c>
      <c r="E4" s="10" t="s">
        <v>1604</v>
      </c>
      <c r="F4" s="11" t="s">
        <v>1605</v>
      </c>
      <c r="G4" s="10" t="s">
        <v>1606</v>
      </c>
      <c r="H4" s="11" t="s">
        <v>1607</v>
      </c>
      <c r="I4" s="10" t="s">
        <v>1608</v>
      </c>
      <c r="J4" s="10" t="s">
        <v>1609</v>
      </c>
      <c r="K4" s="11" t="s">
        <v>1610</v>
      </c>
      <c r="L4" s="11" t="s">
        <v>1611</v>
      </c>
      <c r="M4" s="10" t="s">
        <v>1612</v>
      </c>
      <c r="N4" s="10" t="s">
        <v>1613</v>
      </c>
      <c r="O4" s="10" t="s">
        <v>1614</v>
      </c>
      <c r="P4" s="10" t="s">
        <v>1615</v>
      </c>
      <c r="Q4" s="10" t="s">
        <v>1616</v>
      </c>
      <c r="R4" s="10" t="s">
        <v>1603</v>
      </c>
    </row>
    <row r="5" customFormat="false" ht="15" hidden="false" customHeight="true" outlineLevel="0" collapsed="false">
      <c r="A5" s="17" t="s">
        <v>1122</v>
      </c>
      <c r="B5" s="17" t="s">
        <v>984</v>
      </c>
      <c r="C5" s="17" t="s">
        <v>978</v>
      </c>
      <c r="D5" s="17" t="s">
        <v>1617</v>
      </c>
      <c r="E5" s="21" t="s">
        <v>1598</v>
      </c>
      <c r="F5" s="22" t="s">
        <v>136</v>
      </c>
      <c r="G5" s="22" t="s">
        <v>136</v>
      </c>
      <c r="H5" s="22" t="s">
        <v>136</v>
      </c>
      <c r="I5" s="22" t="s">
        <v>136</v>
      </c>
      <c r="J5" s="22" t="s">
        <v>136</v>
      </c>
      <c r="K5" s="22" t="s">
        <v>136</v>
      </c>
      <c r="L5" s="22" t="s">
        <v>136</v>
      </c>
      <c r="M5" s="23" t="s">
        <v>1618</v>
      </c>
      <c r="N5" s="23" t="s">
        <v>1619</v>
      </c>
      <c r="O5" s="23" t="s">
        <v>1620</v>
      </c>
      <c r="P5" s="24" t="s">
        <v>39</v>
      </c>
      <c r="Q5" s="23" t="s">
        <v>1621</v>
      </c>
      <c r="R5" s="23" t="s">
        <v>1622</v>
      </c>
    </row>
    <row r="6" customFormat="false" ht="15" hidden="false" customHeight="true" outlineLevel="0" collapsed="false">
      <c r="A6" s="17" t="s">
        <v>1122</v>
      </c>
      <c r="B6" s="17" t="s">
        <v>1130</v>
      </c>
      <c r="C6" s="17" t="s">
        <v>1095</v>
      </c>
      <c r="D6" s="17" t="s">
        <v>1617</v>
      </c>
      <c r="E6" s="21" t="s">
        <v>1598</v>
      </c>
      <c r="F6" s="22" t="s">
        <v>136</v>
      </c>
      <c r="G6" s="22" t="s">
        <v>136</v>
      </c>
      <c r="H6" s="22" t="s">
        <v>136</v>
      </c>
      <c r="I6" s="22" t="s">
        <v>136</v>
      </c>
      <c r="J6" s="22" t="s">
        <v>136</v>
      </c>
      <c r="K6" s="22" t="s">
        <v>136</v>
      </c>
      <c r="L6" s="22" t="s">
        <v>136</v>
      </c>
      <c r="M6" s="23" t="s">
        <v>1623</v>
      </c>
      <c r="N6" s="23" t="s">
        <v>1624</v>
      </c>
      <c r="O6" s="23" t="s">
        <v>1625</v>
      </c>
      <c r="P6" s="24" t="s">
        <v>39</v>
      </c>
      <c r="Q6" s="23" t="s">
        <v>1626</v>
      </c>
      <c r="R6" s="23" t="s">
        <v>1622</v>
      </c>
    </row>
    <row r="7" customFormat="false" ht="15" hidden="false" customHeight="true" outlineLevel="0" collapsed="false">
      <c r="A7" s="17" t="s">
        <v>1122</v>
      </c>
      <c r="B7" s="17" t="s">
        <v>860</v>
      </c>
      <c r="C7" s="17" t="s">
        <v>854</v>
      </c>
      <c r="D7" s="17" t="s">
        <v>1617</v>
      </c>
      <c r="E7" s="21" t="s">
        <v>1598</v>
      </c>
      <c r="F7" s="22" t="s">
        <v>136</v>
      </c>
      <c r="G7" s="22" t="s">
        <v>136</v>
      </c>
      <c r="H7" s="22" t="s">
        <v>136</v>
      </c>
      <c r="I7" s="22" t="s">
        <v>136</v>
      </c>
      <c r="J7" s="22" t="s">
        <v>136</v>
      </c>
      <c r="K7" s="22" t="s">
        <v>136</v>
      </c>
      <c r="L7" s="22" t="s">
        <v>136</v>
      </c>
      <c r="M7" s="23" t="s">
        <v>1627</v>
      </c>
      <c r="N7" s="23" t="s">
        <v>1628</v>
      </c>
      <c r="O7" s="24" t="s">
        <v>1629</v>
      </c>
      <c r="P7" s="23" t="s">
        <v>1570</v>
      </c>
      <c r="Q7" s="23" t="s">
        <v>1630</v>
      </c>
      <c r="R7" s="23" t="s">
        <v>1622</v>
      </c>
    </row>
    <row r="8" customFormat="false" ht="15" hidden="false" customHeight="true" outlineLevel="0" collapsed="false">
      <c r="A8" s="17" t="s">
        <v>1122</v>
      </c>
      <c r="B8" s="17" t="s">
        <v>992</v>
      </c>
      <c r="C8" s="17" t="s">
        <v>986</v>
      </c>
      <c r="D8" s="17" t="s">
        <v>1617</v>
      </c>
      <c r="E8" s="21" t="s">
        <v>1598</v>
      </c>
      <c r="F8" s="22" t="s">
        <v>136</v>
      </c>
      <c r="G8" s="22" t="s">
        <v>136</v>
      </c>
      <c r="H8" s="22" t="s">
        <v>136</v>
      </c>
      <c r="I8" s="22" t="s">
        <v>136</v>
      </c>
      <c r="J8" s="22" t="s">
        <v>136</v>
      </c>
      <c r="K8" s="22" t="s">
        <v>136</v>
      </c>
      <c r="L8" s="22" t="s">
        <v>136</v>
      </c>
      <c r="M8" s="23" t="s">
        <v>1631</v>
      </c>
      <c r="N8" s="23" t="s">
        <v>1632</v>
      </c>
      <c r="O8" s="23" t="s">
        <v>1633</v>
      </c>
      <c r="P8" s="24" t="s">
        <v>39</v>
      </c>
      <c r="Q8" s="23" t="s">
        <v>1634</v>
      </c>
      <c r="R8" s="23" t="s">
        <v>1622</v>
      </c>
    </row>
    <row r="9" customFormat="false" ht="15" hidden="false" customHeight="true" outlineLevel="0" collapsed="false">
      <c r="A9" s="17" t="s">
        <v>1122</v>
      </c>
      <c r="B9" s="17" t="s">
        <v>528</v>
      </c>
      <c r="C9" s="17" t="s">
        <v>521</v>
      </c>
      <c r="D9" s="17" t="s">
        <v>1617</v>
      </c>
      <c r="E9" s="21" t="s">
        <v>1598</v>
      </c>
      <c r="F9" s="22" t="s">
        <v>136</v>
      </c>
      <c r="G9" s="22" t="s">
        <v>136</v>
      </c>
      <c r="H9" s="22" t="s">
        <v>136</v>
      </c>
      <c r="I9" s="22" t="s">
        <v>136</v>
      </c>
      <c r="J9" s="22" t="s">
        <v>136</v>
      </c>
      <c r="K9" s="22" t="s">
        <v>136</v>
      </c>
      <c r="L9" s="22" t="s">
        <v>136</v>
      </c>
      <c r="M9" s="23" t="s">
        <v>1635</v>
      </c>
      <c r="N9" s="23" t="s">
        <v>1636</v>
      </c>
      <c r="O9" s="23" t="s">
        <v>1637</v>
      </c>
      <c r="P9" s="24" t="s">
        <v>39</v>
      </c>
      <c r="Q9" s="23" t="s">
        <v>1638</v>
      </c>
      <c r="R9" s="23" t="s">
        <v>1622</v>
      </c>
    </row>
    <row r="10" customFormat="false" ht="15" hidden="false" customHeight="true" outlineLevel="0" collapsed="false">
      <c r="A10" s="17" t="s">
        <v>1122</v>
      </c>
      <c r="B10" s="17" t="s">
        <v>151</v>
      </c>
      <c r="C10" s="17" t="s">
        <v>142</v>
      </c>
      <c r="D10" s="17" t="s">
        <v>1617</v>
      </c>
      <c r="E10" s="21" t="s">
        <v>1598</v>
      </c>
      <c r="F10" s="22" t="s">
        <v>136</v>
      </c>
      <c r="G10" s="22" t="s">
        <v>136</v>
      </c>
      <c r="H10" s="22" t="s">
        <v>136</v>
      </c>
      <c r="I10" s="22" t="s">
        <v>136</v>
      </c>
      <c r="J10" s="22" t="s">
        <v>136</v>
      </c>
      <c r="K10" s="22" t="s">
        <v>136</v>
      </c>
      <c r="L10" s="22" t="s">
        <v>136</v>
      </c>
      <c r="M10" s="23" t="s">
        <v>1639</v>
      </c>
      <c r="N10" s="23" t="s">
        <v>1640</v>
      </c>
      <c r="O10" s="23" t="s">
        <v>1641</v>
      </c>
      <c r="P10" s="23" t="s">
        <v>1570</v>
      </c>
      <c r="Q10" s="23" t="s">
        <v>1642</v>
      </c>
      <c r="R10" s="23" t="s">
        <v>1622</v>
      </c>
    </row>
    <row r="11" customFormat="false" ht="15" hidden="false" customHeight="true" outlineLevel="0" collapsed="false">
      <c r="A11" s="17" t="s">
        <v>1122</v>
      </c>
      <c r="B11" s="17" t="s">
        <v>160</v>
      </c>
      <c r="C11" s="17" t="s">
        <v>153</v>
      </c>
      <c r="D11" s="17" t="s">
        <v>1617</v>
      </c>
      <c r="E11" s="21" t="s">
        <v>1598</v>
      </c>
      <c r="F11" s="22" t="s">
        <v>136</v>
      </c>
      <c r="G11" s="22" t="s">
        <v>136</v>
      </c>
      <c r="H11" s="22" t="s">
        <v>136</v>
      </c>
      <c r="I11" s="22" t="s">
        <v>136</v>
      </c>
      <c r="J11" s="22" t="s">
        <v>136</v>
      </c>
      <c r="K11" s="22" t="s">
        <v>136</v>
      </c>
      <c r="L11" s="22" t="s">
        <v>136</v>
      </c>
      <c r="M11" s="23" t="s">
        <v>1643</v>
      </c>
      <c r="N11" s="23" t="s">
        <v>1644</v>
      </c>
      <c r="O11" s="23" t="s">
        <v>1645</v>
      </c>
      <c r="P11" s="24" t="s">
        <v>39</v>
      </c>
      <c r="Q11" s="23" t="s">
        <v>1646</v>
      </c>
      <c r="R11" s="23" t="s">
        <v>1622</v>
      </c>
    </row>
    <row r="12" customFormat="false" ht="15" hidden="false" customHeight="true" outlineLevel="0" collapsed="false">
      <c r="A12" s="17" t="s">
        <v>1122</v>
      </c>
      <c r="B12" s="17" t="s">
        <v>185</v>
      </c>
      <c r="C12" s="17" t="s">
        <v>178</v>
      </c>
      <c r="D12" s="17" t="s">
        <v>1617</v>
      </c>
      <c r="E12" s="21" t="s">
        <v>1598</v>
      </c>
      <c r="F12" s="22" t="s">
        <v>136</v>
      </c>
      <c r="G12" s="22" t="s">
        <v>136</v>
      </c>
      <c r="H12" s="22" t="s">
        <v>136</v>
      </c>
      <c r="I12" s="22" t="s">
        <v>136</v>
      </c>
      <c r="J12" s="22" t="s">
        <v>136</v>
      </c>
      <c r="K12" s="22" t="s">
        <v>136</v>
      </c>
      <c r="L12" s="22" t="s">
        <v>136</v>
      </c>
      <c r="M12" s="23" t="s">
        <v>1647</v>
      </c>
      <c r="N12" s="23" t="s">
        <v>1648</v>
      </c>
      <c r="O12" s="23" t="s">
        <v>1649</v>
      </c>
      <c r="P12" s="24" t="s">
        <v>39</v>
      </c>
      <c r="Q12" s="23" t="s">
        <v>1650</v>
      </c>
      <c r="R12" s="23" t="s">
        <v>1622</v>
      </c>
    </row>
    <row r="13" customFormat="false" ht="15" hidden="false" customHeight="true" outlineLevel="0" collapsed="false">
      <c r="A13" s="17" t="s">
        <v>1122</v>
      </c>
      <c r="B13" s="17" t="s">
        <v>228</v>
      </c>
      <c r="C13" s="17" t="s">
        <v>221</v>
      </c>
      <c r="D13" s="17" t="s">
        <v>1617</v>
      </c>
      <c r="E13" s="21" t="s">
        <v>1598</v>
      </c>
      <c r="F13" s="22" t="s">
        <v>136</v>
      </c>
      <c r="G13" s="22" t="s">
        <v>136</v>
      </c>
      <c r="H13" s="22" t="s">
        <v>136</v>
      </c>
      <c r="I13" s="22" t="s">
        <v>136</v>
      </c>
      <c r="J13" s="22" t="s">
        <v>136</v>
      </c>
      <c r="K13" s="22" t="s">
        <v>136</v>
      </c>
      <c r="L13" s="22" t="s">
        <v>136</v>
      </c>
      <c r="M13" s="23" t="s">
        <v>1651</v>
      </c>
      <c r="N13" s="23" t="s">
        <v>1652</v>
      </c>
      <c r="O13" s="23" t="s">
        <v>1653</v>
      </c>
      <c r="P13" s="23" t="s">
        <v>1570</v>
      </c>
      <c r="Q13" s="23" t="s">
        <v>1654</v>
      </c>
      <c r="R13" s="23" t="s">
        <v>1622</v>
      </c>
    </row>
    <row r="14" customFormat="false" ht="15" hidden="false" customHeight="true" outlineLevel="0" collapsed="false">
      <c r="A14" s="17" t="s">
        <v>1122</v>
      </c>
      <c r="B14" s="17" t="s">
        <v>1163</v>
      </c>
      <c r="C14" s="17" t="s">
        <v>388</v>
      </c>
      <c r="D14" s="17" t="s">
        <v>1617</v>
      </c>
      <c r="E14" s="21" t="s">
        <v>1598</v>
      </c>
      <c r="F14" s="22" t="s">
        <v>136</v>
      </c>
      <c r="G14" s="22" t="s">
        <v>136</v>
      </c>
      <c r="H14" s="22" t="s">
        <v>136</v>
      </c>
      <c r="I14" s="22" t="s">
        <v>136</v>
      </c>
      <c r="J14" s="22" t="s">
        <v>136</v>
      </c>
      <c r="K14" s="22" t="s">
        <v>136</v>
      </c>
      <c r="L14" s="22" t="s">
        <v>136</v>
      </c>
      <c r="M14" s="23" t="s">
        <v>1655</v>
      </c>
      <c r="N14" s="23" t="s">
        <v>1656</v>
      </c>
      <c r="O14" s="24" t="s">
        <v>1657</v>
      </c>
      <c r="P14" s="23" t="s">
        <v>1570</v>
      </c>
      <c r="Q14" s="23" t="s">
        <v>1658</v>
      </c>
      <c r="R14" s="23" t="s">
        <v>1622</v>
      </c>
    </row>
    <row r="15" customFormat="false" ht="15" hidden="false" customHeight="true" outlineLevel="0" collapsed="false">
      <c r="A15" s="17" t="s">
        <v>1122</v>
      </c>
      <c r="B15" s="17" t="s">
        <v>269</v>
      </c>
      <c r="C15" s="17" t="s">
        <v>262</v>
      </c>
      <c r="D15" s="17" t="s">
        <v>1617</v>
      </c>
      <c r="E15" s="21" t="s">
        <v>1598</v>
      </c>
      <c r="F15" s="22" t="s">
        <v>136</v>
      </c>
      <c r="G15" s="22" t="s">
        <v>136</v>
      </c>
      <c r="H15" s="22" t="s">
        <v>136</v>
      </c>
      <c r="I15" s="22" t="s">
        <v>136</v>
      </c>
      <c r="J15" s="22" t="s">
        <v>136</v>
      </c>
      <c r="K15" s="22" t="s">
        <v>136</v>
      </c>
      <c r="L15" s="22" t="s">
        <v>136</v>
      </c>
      <c r="M15" s="23" t="s">
        <v>1659</v>
      </c>
      <c r="N15" s="23" t="s">
        <v>1660</v>
      </c>
      <c r="O15" s="24" t="s">
        <v>1661</v>
      </c>
      <c r="P15" s="24" t="s">
        <v>39</v>
      </c>
      <c r="Q15" s="23" t="s">
        <v>1662</v>
      </c>
      <c r="R15" s="23" t="s">
        <v>1622</v>
      </c>
    </row>
    <row r="16" customFormat="false" ht="15" hidden="false" customHeight="true" outlineLevel="0" collapsed="false">
      <c r="A16" s="17" t="s">
        <v>1122</v>
      </c>
      <c r="B16" s="17" t="s">
        <v>410</v>
      </c>
      <c r="C16" s="17" t="s">
        <v>404</v>
      </c>
      <c r="D16" s="17" t="s">
        <v>1617</v>
      </c>
      <c r="E16" s="21" t="s">
        <v>1598</v>
      </c>
      <c r="F16" s="22" t="s">
        <v>136</v>
      </c>
      <c r="G16" s="22" t="s">
        <v>136</v>
      </c>
      <c r="H16" s="22" t="s">
        <v>136</v>
      </c>
      <c r="I16" s="22" t="s">
        <v>136</v>
      </c>
      <c r="J16" s="22" t="s">
        <v>136</v>
      </c>
      <c r="K16" s="22" t="s">
        <v>136</v>
      </c>
      <c r="L16" s="22" t="s">
        <v>136</v>
      </c>
      <c r="M16" s="23" t="s">
        <v>1663</v>
      </c>
      <c r="N16" s="23" t="s">
        <v>1664</v>
      </c>
      <c r="O16" s="23" t="s">
        <v>1665</v>
      </c>
      <c r="P16" s="24" t="s">
        <v>39</v>
      </c>
      <c r="Q16" s="23" t="s">
        <v>1666</v>
      </c>
      <c r="R16" s="23" t="s">
        <v>1622</v>
      </c>
    </row>
    <row r="17" customFormat="false" ht="15" hidden="false" customHeight="true" outlineLevel="0" collapsed="false">
      <c r="A17" s="17" t="s">
        <v>1122</v>
      </c>
      <c r="B17" s="17" t="s">
        <v>347</v>
      </c>
      <c r="C17" s="17" t="s">
        <v>342</v>
      </c>
      <c r="D17" s="17" t="s">
        <v>1617</v>
      </c>
      <c r="E17" s="21" t="s">
        <v>1598</v>
      </c>
      <c r="F17" s="22" t="s">
        <v>136</v>
      </c>
      <c r="G17" s="22" t="s">
        <v>136</v>
      </c>
      <c r="H17" s="22" t="s">
        <v>136</v>
      </c>
      <c r="I17" s="22" t="s">
        <v>136</v>
      </c>
      <c r="J17" s="22" t="s">
        <v>136</v>
      </c>
      <c r="K17" s="22" t="s">
        <v>136</v>
      </c>
      <c r="L17" s="22" t="s">
        <v>136</v>
      </c>
      <c r="M17" s="23" t="s">
        <v>1667</v>
      </c>
      <c r="N17" s="23" t="s">
        <v>1668</v>
      </c>
      <c r="O17" s="24" t="s">
        <v>1669</v>
      </c>
      <c r="P17" s="23" t="s">
        <v>1570</v>
      </c>
      <c r="Q17" s="23" t="s">
        <v>1670</v>
      </c>
      <c r="R17" s="23" t="s">
        <v>1622</v>
      </c>
    </row>
    <row r="18" customFormat="false" ht="15" hidden="false" customHeight="true" outlineLevel="0" collapsed="false">
      <c r="A18" s="17" t="s">
        <v>1122</v>
      </c>
      <c r="B18" s="17" t="s">
        <v>1180</v>
      </c>
      <c r="C18" s="17" t="s">
        <v>396</v>
      </c>
      <c r="D18" s="17" t="s">
        <v>1617</v>
      </c>
      <c r="E18" s="21" t="s">
        <v>1598</v>
      </c>
      <c r="F18" s="22" t="s">
        <v>136</v>
      </c>
      <c r="G18" s="22" t="s">
        <v>136</v>
      </c>
      <c r="H18" s="22" t="s">
        <v>136</v>
      </c>
      <c r="I18" s="22" t="s">
        <v>136</v>
      </c>
      <c r="J18" s="22" t="s">
        <v>136</v>
      </c>
      <c r="K18" s="22" t="s">
        <v>136</v>
      </c>
      <c r="L18" s="22" t="s">
        <v>136</v>
      </c>
      <c r="M18" s="23" t="s">
        <v>1671</v>
      </c>
      <c r="N18" s="23" t="s">
        <v>1672</v>
      </c>
      <c r="O18" s="23" t="s">
        <v>1673</v>
      </c>
      <c r="P18" s="24" t="s">
        <v>39</v>
      </c>
      <c r="Q18" s="23" t="s">
        <v>1674</v>
      </c>
      <c r="R18" s="23" t="s">
        <v>1622</v>
      </c>
    </row>
    <row r="19" customFormat="false" ht="15" hidden="false" customHeight="true" outlineLevel="0" collapsed="false">
      <c r="A19" s="17" t="s">
        <v>1122</v>
      </c>
      <c r="B19" s="17" t="s">
        <v>1185</v>
      </c>
      <c r="C19" s="17" t="s">
        <v>413</v>
      </c>
      <c r="D19" s="17" t="s">
        <v>1617</v>
      </c>
      <c r="E19" s="21" t="s">
        <v>1598</v>
      </c>
      <c r="F19" s="22" t="s">
        <v>136</v>
      </c>
      <c r="G19" s="22" t="s">
        <v>136</v>
      </c>
      <c r="H19" s="22" t="s">
        <v>136</v>
      </c>
      <c r="I19" s="22" t="s">
        <v>136</v>
      </c>
      <c r="J19" s="22" t="s">
        <v>136</v>
      </c>
      <c r="K19" s="22" t="s">
        <v>136</v>
      </c>
      <c r="L19" s="22" t="s">
        <v>136</v>
      </c>
      <c r="M19" s="23" t="s">
        <v>1675</v>
      </c>
      <c r="N19" s="23" t="s">
        <v>1676</v>
      </c>
      <c r="O19" s="24" t="s">
        <v>1677</v>
      </c>
      <c r="P19" s="24" t="s">
        <v>39</v>
      </c>
      <c r="Q19" s="23" t="s">
        <v>1678</v>
      </c>
      <c r="R19" s="23" t="s">
        <v>1622</v>
      </c>
    </row>
    <row r="20" customFormat="false" ht="15" hidden="false" customHeight="true" outlineLevel="0" collapsed="false">
      <c r="A20" s="17" t="s">
        <v>1122</v>
      </c>
      <c r="B20" s="17" t="s">
        <v>1190</v>
      </c>
      <c r="C20" s="17" t="s">
        <v>423</v>
      </c>
      <c r="D20" s="17" t="s">
        <v>1617</v>
      </c>
      <c r="E20" s="21" t="s">
        <v>1598</v>
      </c>
      <c r="F20" s="22" t="s">
        <v>136</v>
      </c>
      <c r="G20" s="22" t="s">
        <v>136</v>
      </c>
      <c r="H20" s="22" t="s">
        <v>136</v>
      </c>
      <c r="I20" s="22" t="s">
        <v>136</v>
      </c>
      <c r="J20" s="22" t="s">
        <v>136</v>
      </c>
      <c r="K20" s="22" t="s">
        <v>136</v>
      </c>
      <c r="L20" s="22" t="s">
        <v>136</v>
      </c>
      <c r="M20" s="23" t="s">
        <v>1679</v>
      </c>
      <c r="N20" s="23" t="s">
        <v>1680</v>
      </c>
      <c r="O20" s="24" t="s">
        <v>1681</v>
      </c>
      <c r="P20" s="23" t="s">
        <v>1570</v>
      </c>
      <c r="Q20" s="23" t="s">
        <v>1682</v>
      </c>
      <c r="R20" s="23" t="s">
        <v>1622</v>
      </c>
    </row>
    <row r="21" customFormat="false" ht="15" hidden="false" customHeight="true" outlineLevel="0" collapsed="false">
      <c r="A21" s="17" t="s">
        <v>1122</v>
      </c>
      <c r="B21" s="17" t="s">
        <v>447</v>
      </c>
      <c r="C21" s="17" t="s">
        <v>440</v>
      </c>
      <c r="D21" s="17" t="s">
        <v>1617</v>
      </c>
      <c r="E21" s="21" t="s">
        <v>1598</v>
      </c>
      <c r="F21" s="22" t="s">
        <v>136</v>
      </c>
      <c r="G21" s="22" t="s">
        <v>136</v>
      </c>
      <c r="H21" s="22" t="s">
        <v>136</v>
      </c>
      <c r="I21" s="22" t="s">
        <v>136</v>
      </c>
      <c r="J21" s="22" t="s">
        <v>136</v>
      </c>
      <c r="K21" s="22" t="s">
        <v>136</v>
      </c>
      <c r="L21" s="22" t="s">
        <v>136</v>
      </c>
      <c r="M21" s="23" t="s">
        <v>1683</v>
      </c>
      <c r="N21" s="23" t="s">
        <v>1684</v>
      </c>
      <c r="O21" s="23" t="s">
        <v>1685</v>
      </c>
      <c r="P21" s="24" t="s">
        <v>39</v>
      </c>
      <c r="Q21" s="23" t="s">
        <v>1686</v>
      </c>
      <c r="R21" s="23" t="s">
        <v>1622</v>
      </c>
    </row>
    <row r="22" customFormat="false" ht="15" hidden="false" customHeight="true" outlineLevel="0" collapsed="false">
      <c r="A22" s="17" t="s">
        <v>1122</v>
      </c>
      <c r="B22" s="17" t="s">
        <v>1201</v>
      </c>
      <c r="C22" s="17" t="s">
        <v>449</v>
      </c>
      <c r="D22" s="17" t="s">
        <v>1617</v>
      </c>
      <c r="E22" s="21" t="s">
        <v>1598</v>
      </c>
      <c r="F22" s="22" t="s">
        <v>136</v>
      </c>
      <c r="G22" s="22" t="s">
        <v>136</v>
      </c>
      <c r="H22" s="22" t="s">
        <v>136</v>
      </c>
      <c r="I22" s="22" t="s">
        <v>136</v>
      </c>
      <c r="J22" s="22" t="s">
        <v>136</v>
      </c>
      <c r="K22" s="22" t="s">
        <v>136</v>
      </c>
      <c r="L22" s="22" t="s">
        <v>136</v>
      </c>
      <c r="M22" s="23" t="s">
        <v>1687</v>
      </c>
      <c r="N22" s="23" t="s">
        <v>1688</v>
      </c>
      <c r="O22" s="24" t="s">
        <v>1689</v>
      </c>
      <c r="P22" s="23" t="s">
        <v>1570</v>
      </c>
      <c r="Q22" s="23" t="s">
        <v>1690</v>
      </c>
      <c r="R22" s="23" t="s">
        <v>1622</v>
      </c>
    </row>
    <row r="23" customFormat="false" ht="15" hidden="false" customHeight="true" outlineLevel="0" collapsed="false">
      <c r="A23" s="17" t="s">
        <v>1122</v>
      </c>
      <c r="B23" s="17" t="s">
        <v>1205</v>
      </c>
      <c r="C23" s="17" t="s">
        <v>1691</v>
      </c>
      <c r="D23" s="17" t="s">
        <v>1617</v>
      </c>
      <c r="E23" s="21" t="s">
        <v>1598</v>
      </c>
      <c r="F23" s="22" t="s">
        <v>136</v>
      </c>
      <c r="G23" s="22" t="s">
        <v>136</v>
      </c>
      <c r="H23" s="22" t="s">
        <v>136</v>
      </c>
      <c r="I23" s="22" t="s">
        <v>136</v>
      </c>
      <c r="J23" s="22" t="s">
        <v>136</v>
      </c>
      <c r="K23" s="22" t="s">
        <v>136</v>
      </c>
      <c r="L23" s="22" t="s">
        <v>136</v>
      </c>
      <c r="M23" s="23" t="s">
        <v>1692</v>
      </c>
      <c r="N23" s="23" t="s">
        <v>1693</v>
      </c>
      <c r="O23" s="23" t="s">
        <v>1694</v>
      </c>
      <c r="P23" s="24" t="s">
        <v>39</v>
      </c>
      <c r="Q23" s="23" t="s">
        <v>1695</v>
      </c>
      <c r="R23" s="23" t="s">
        <v>1622</v>
      </c>
    </row>
    <row r="24" customFormat="false" ht="15" hidden="false" customHeight="true" outlineLevel="0" collapsed="false">
      <c r="A24" s="17" t="s">
        <v>1122</v>
      </c>
      <c r="B24" s="17" t="s">
        <v>1210</v>
      </c>
      <c r="C24" s="17" t="s">
        <v>600</v>
      </c>
      <c r="D24" s="17" t="s">
        <v>1617</v>
      </c>
      <c r="E24" s="21" t="s">
        <v>1598</v>
      </c>
      <c r="F24" s="22" t="s">
        <v>136</v>
      </c>
      <c r="G24" s="22" t="s">
        <v>136</v>
      </c>
      <c r="H24" s="22" t="s">
        <v>136</v>
      </c>
      <c r="I24" s="22" t="s">
        <v>136</v>
      </c>
      <c r="J24" s="22" t="s">
        <v>136</v>
      </c>
      <c r="K24" s="22" t="s">
        <v>136</v>
      </c>
      <c r="L24" s="22" t="s">
        <v>136</v>
      </c>
      <c r="M24" s="23" t="s">
        <v>1696</v>
      </c>
      <c r="N24" s="23" t="s">
        <v>1697</v>
      </c>
      <c r="O24" s="23" t="s">
        <v>1698</v>
      </c>
      <c r="P24" s="24" t="s">
        <v>39</v>
      </c>
      <c r="Q24" s="23" t="s">
        <v>1699</v>
      </c>
      <c r="R24" s="23" t="s">
        <v>1622</v>
      </c>
    </row>
    <row r="25" customFormat="false" ht="15" hidden="false" customHeight="true" outlineLevel="0" collapsed="false">
      <c r="A25" s="17" t="s">
        <v>1122</v>
      </c>
      <c r="B25" s="17" t="s">
        <v>1216</v>
      </c>
      <c r="C25" s="17" t="s">
        <v>600</v>
      </c>
      <c r="D25" s="17" t="s">
        <v>1617</v>
      </c>
      <c r="E25" s="21" t="s">
        <v>1598</v>
      </c>
      <c r="F25" s="22" t="s">
        <v>136</v>
      </c>
      <c r="G25" s="22" t="s">
        <v>136</v>
      </c>
      <c r="H25" s="22" t="s">
        <v>136</v>
      </c>
      <c r="I25" s="22" t="s">
        <v>136</v>
      </c>
      <c r="J25" s="22" t="s">
        <v>136</v>
      </c>
      <c r="K25" s="22" t="s">
        <v>136</v>
      </c>
      <c r="L25" s="22" t="s">
        <v>136</v>
      </c>
      <c r="M25" s="23" t="s">
        <v>1700</v>
      </c>
      <c r="N25" s="23" t="s">
        <v>1701</v>
      </c>
      <c r="O25" s="23" t="s">
        <v>1702</v>
      </c>
      <c r="P25" s="24" t="s">
        <v>39</v>
      </c>
      <c r="Q25" s="23" t="s">
        <v>1703</v>
      </c>
      <c r="R25" s="23" t="s">
        <v>1622</v>
      </c>
    </row>
    <row r="26" customFormat="false" ht="15" hidden="false" customHeight="true" outlineLevel="0" collapsed="false">
      <c r="A26" s="17" t="s">
        <v>1122</v>
      </c>
      <c r="B26" s="17" t="s">
        <v>1222</v>
      </c>
      <c r="C26" s="17" t="s">
        <v>609</v>
      </c>
      <c r="D26" s="17" t="s">
        <v>1617</v>
      </c>
      <c r="E26" s="21" t="s">
        <v>1598</v>
      </c>
      <c r="F26" s="22" t="s">
        <v>136</v>
      </c>
      <c r="G26" s="22" t="s">
        <v>136</v>
      </c>
      <c r="H26" s="22" t="s">
        <v>136</v>
      </c>
      <c r="I26" s="22" t="s">
        <v>136</v>
      </c>
      <c r="J26" s="22" t="s">
        <v>136</v>
      </c>
      <c r="K26" s="22" t="s">
        <v>136</v>
      </c>
      <c r="L26" s="22" t="s">
        <v>136</v>
      </c>
      <c r="M26" s="23" t="s">
        <v>1704</v>
      </c>
      <c r="N26" s="23" t="s">
        <v>1705</v>
      </c>
      <c r="O26" s="23" t="s">
        <v>1706</v>
      </c>
      <c r="P26" s="24" t="s">
        <v>39</v>
      </c>
      <c r="Q26" s="23" t="s">
        <v>1707</v>
      </c>
      <c r="R26" s="23" t="s">
        <v>1622</v>
      </c>
    </row>
    <row r="27" customFormat="false" ht="15" hidden="false" customHeight="true" outlineLevel="0" collapsed="false">
      <c r="A27" s="17" t="s">
        <v>1122</v>
      </c>
      <c r="B27" s="17" t="s">
        <v>1227</v>
      </c>
      <c r="C27" s="17" t="s">
        <v>609</v>
      </c>
      <c r="D27" s="17" t="s">
        <v>1617</v>
      </c>
      <c r="E27" s="21" t="s">
        <v>1598</v>
      </c>
      <c r="F27" s="22" t="s">
        <v>136</v>
      </c>
      <c r="G27" s="22" t="s">
        <v>136</v>
      </c>
      <c r="H27" s="22" t="s">
        <v>136</v>
      </c>
      <c r="I27" s="22" t="s">
        <v>136</v>
      </c>
      <c r="J27" s="22" t="s">
        <v>136</v>
      </c>
      <c r="K27" s="22" t="s">
        <v>136</v>
      </c>
      <c r="L27" s="22" t="s">
        <v>136</v>
      </c>
      <c r="M27" s="23" t="s">
        <v>1708</v>
      </c>
      <c r="N27" s="23" t="s">
        <v>1709</v>
      </c>
      <c r="O27" s="23" t="s">
        <v>1710</v>
      </c>
      <c r="P27" s="24" t="s">
        <v>39</v>
      </c>
      <c r="Q27" s="23" t="s">
        <v>1711</v>
      </c>
      <c r="R27" s="23" t="s">
        <v>1622</v>
      </c>
    </row>
    <row r="28" customFormat="false" ht="15" hidden="false" customHeight="true" outlineLevel="0" collapsed="false">
      <c r="A28" s="17" t="s">
        <v>1122</v>
      </c>
      <c r="B28" s="17" t="s">
        <v>1232</v>
      </c>
      <c r="C28" s="17" t="s">
        <v>1001</v>
      </c>
      <c r="D28" s="17" t="s">
        <v>1617</v>
      </c>
      <c r="E28" s="21" t="s">
        <v>1598</v>
      </c>
      <c r="F28" s="22" t="s">
        <v>136</v>
      </c>
      <c r="G28" s="22" t="s">
        <v>136</v>
      </c>
      <c r="H28" s="22" t="s">
        <v>136</v>
      </c>
      <c r="I28" s="22" t="s">
        <v>136</v>
      </c>
      <c r="J28" s="22" t="s">
        <v>136</v>
      </c>
      <c r="K28" s="22" t="s">
        <v>136</v>
      </c>
      <c r="L28" s="22" t="s">
        <v>136</v>
      </c>
      <c r="M28" s="23" t="s">
        <v>1712</v>
      </c>
      <c r="N28" s="23" t="s">
        <v>1713</v>
      </c>
      <c r="O28" s="23" t="s">
        <v>1714</v>
      </c>
      <c r="P28" s="24" t="s">
        <v>39</v>
      </c>
      <c r="Q28" s="23" t="s">
        <v>1715</v>
      </c>
      <c r="R28" s="23" t="s">
        <v>1622</v>
      </c>
    </row>
    <row r="29" customFormat="false" ht="15" hidden="false" customHeight="true" outlineLevel="0" collapsed="false">
      <c r="A29" s="17" t="s">
        <v>1122</v>
      </c>
      <c r="B29" s="17" t="s">
        <v>1237</v>
      </c>
      <c r="C29" s="17" t="s">
        <v>1001</v>
      </c>
      <c r="D29" s="17" t="s">
        <v>1617</v>
      </c>
      <c r="E29" s="21" t="s">
        <v>1598</v>
      </c>
      <c r="F29" s="22" t="s">
        <v>136</v>
      </c>
      <c r="G29" s="22" t="s">
        <v>136</v>
      </c>
      <c r="H29" s="22" t="s">
        <v>136</v>
      </c>
      <c r="I29" s="22" t="s">
        <v>136</v>
      </c>
      <c r="J29" s="22" t="s">
        <v>136</v>
      </c>
      <c r="K29" s="22" t="s">
        <v>136</v>
      </c>
      <c r="L29" s="22" t="s">
        <v>136</v>
      </c>
      <c r="M29" s="23" t="s">
        <v>1716</v>
      </c>
      <c r="N29" s="23" t="s">
        <v>1717</v>
      </c>
      <c r="O29" s="23" t="s">
        <v>1718</v>
      </c>
      <c r="P29" s="23" t="s">
        <v>1570</v>
      </c>
      <c r="Q29" s="23" t="s">
        <v>1719</v>
      </c>
      <c r="R29" s="23" t="s">
        <v>1622</v>
      </c>
    </row>
    <row r="30" customFormat="false" ht="15" hidden="false" customHeight="true" outlineLevel="0" collapsed="false">
      <c r="A30" s="17" t="s">
        <v>1122</v>
      </c>
      <c r="B30" s="17" t="s">
        <v>1062</v>
      </c>
      <c r="C30" s="17" t="s">
        <v>1056</v>
      </c>
      <c r="D30" s="17" t="s">
        <v>1617</v>
      </c>
      <c r="E30" s="21" t="s">
        <v>1598</v>
      </c>
      <c r="F30" s="22" t="s">
        <v>136</v>
      </c>
      <c r="G30" s="22" t="s">
        <v>136</v>
      </c>
      <c r="H30" s="22" t="s">
        <v>136</v>
      </c>
      <c r="I30" s="22" t="s">
        <v>136</v>
      </c>
      <c r="J30" s="22" t="s">
        <v>136</v>
      </c>
      <c r="K30" s="22" t="s">
        <v>136</v>
      </c>
      <c r="L30" s="22" t="s">
        <v>136</v>
      </c>
      <c r="M30" s="23" t="s">
        <v>1720</v>
      </c>
      <c r="N30" s="23" t="s">
        <v>1721</v>
      </c>
      <c r="O30" s="23" t="s">
        <v>1722</v>
      </c>
      <c r="P30" s="24" t="s">
        <v>39</v>
      </c>
      <c r="Q30" s="23" t="s">
        <v>1723</v>
      </c>
      <c r="R30" s="23" t="s">
        <v>1622</v>
      </c>
    </row>
    <row r="31" customFormat="false" ht="15" hidden="false" customHeight="true" outlineLevel="0" collapsed="false">
      <c r="A31" s="17" t="s">
        <v>1122</v>
      </c>
      <c r="B31" s="17" t="s">
        <v>1246</v>
      </c>
      <c r="C31" s="17" t="s">
        <v>1033</v>
      </c>
      <c r="D31" s="17" t="s">
        <v>1617</v>
      </c>
      <c r="E31" s="21" t="s">
        <v>1598</v>
      </c>
      <c r="F31" s="22" t="s">
        <v>136</v>
      </c>
      <c r="G31" s="22" t="s">
        <v>136</v>
      </c>
      <c r="H31" s="22" t="s">
        <v>136</v>
      </c>
      <c r="I31" s="22" t="s">
        <v>136</v>
      </c>
      <c r="J31" s="22" t="s">
        <v>136</v>
      </c>
      <c r="K31" s="22" t="s">
        <v>136</v>
      </c>
      <c r="L31" s="22" t="s">
        <v>136</v>
      </c>
      <c r="M31" s="23" t="s">
        <v>1724</v>
      </c>
      <c r="N31" s="23" t="s">
        <v>1725</v>
      </c>
      <c r="O31" s="23" t="s">
        <v>1726</v>
      </c>
      <c r="P31" s="24" t="s">
        <v>39</v>
      </c>
      <c r="Q31" s="23" t="s">
        <v>1727</v>
      </c>
      <c r="R31" s="23" t="s">
        <v>1622</v>
      </c>
    </row>
    <row r="32" customFormat="false" ht="15" hidden="false" customHeight="true" outlineLevel="0" collapsed="false">
      <c r="A32" s="17" t="s">
        <v>1122</v>
      </c>
      <c r="B32" s="17" t="s">
        <v>1251</v>
      </c>
      <c r="C32" s="17" t="s">
        <v>1033</v>
      </c>
      <c r="D32" s="17" t="s">
        <v>1617</v>
      </c>
      <c r="E32" s="21" t="s">
        <v>1598</v>
      </c>
      <c r="F32" s="22" t="s">
        <v>136</v>
      </c>
      <c r="G32" s="22" t="s">
        <v>136</v>
      </c>
      <c r="H32" s="22" t="s">
        <v>136</v>
      </c>
      <c r="I32" s="22" t="s">
        <v>136</v>
      </c>
      <c r="J32" s="22" t="s">
        <v>136</v>
      </c>
      <c r="K32" s="22" t="s">
        <v>136</v>
      </c>
      <c r="L32" s="22" t="s">
        <v>136</v>
      </c>
      <c r="M32" s="23" t="s">
        <v>1728</v>
      </c>
      <c r="N32" s="23" t="s">
        <v>1729</v>
      </c>
      <c r="O32" s="23" t="s">
        <v>1730</v>
      </c>
      <c r="P32" s="24" t="s">
        <v>39</v>
      </c>
      <c r="Q32" s="23" t="s">
        <v>1731</v>
      </c>
      <c r="R32" s="23" t="s">
        <v>1622</v>
      </c>
    </row>
    <row r="33" customFormat="false" ht="15" hidden="false" customHeight="true" outlineLevel="0" collapsed="false">
      <c r="A33" s="17" t="s">
        <v>1122</v>
      </c>
      <c r="B33" s="17" t="s">
        <v>1047</v>
      </c>
      <c r="C33" s="17" t="s">
        <v>1042</v>
      </c>
      <c r="D33" s="17" t="s">
        <v>1617</v>
      </c>
      <c r="E33" s="21" t="s">
        <v>1598</v>
      </c>
      <c r="F33" s="22" t="s">
        <v>136</v>
      </c>
      <c r="G33" s="22" t="s">
        <v>136</v>
      </c>
      <c r="H33" s="22" t="s">
        <v>136</v>
      </c>
      <c r="I33" s="22" t="s">
        <v>136</v>
      </c>
      <c r="J33" s="22" t="s">
        <v>136</v>
      </c>
      <c r="K33" s="22" t="s">
        <v>136</v>
      </c>
      <c r="L33" s="22" t="s">
        <v>136</v>
      </c>
      <c r="M33" s="23" t="s">
        <v>1732</v>
      </c>
      <c r="N33" s="23" t="s">
        <v>1733</v>
      </c>
      <c r="O33" s="23" t="s">
        <v>1734</v>
      </c>
      <c r="P33" s="24" t="s">
        <v>39</v>
      </c>
      <c r="Q33" s="23" t="s">
        <v>1735</v>
      </c>
      <c r="R33" s="23" t="s">
        <v>1622</v>
      </c>
    </row>
    <row r="34" customFormat="false" ht="15" hidden="false" customHeight="true" outlineLevel="0" collapsed="false">
      <c r="A34" s="17" t="s">
        <v>1122</v>
      </c>
      <c r="B34" s="17" t="s">
        <v>1258</v>
      </c>
      <c r="C34" s="17" t="s">
        <v>923</v>
      </c>
      <c r="D34" s="17" t="s">
        <v>1617</v>
      </c>
      <c r="E34" s="21" t="s">
        <v>1598</v>
      </c>
      <c r="F34" s="22" t="s">
        <v>136</v>
      </c>
      <c r="G34" s="22" t="s">
        <v>136</v>
      </c>
      <c r="H34" s="22" t="s">
        <v>136</v>
      </c>
      <c r="I34" s="22" t="s">
        <v>136</v>
      </c>
      <c r="J34" s="22" t="s">
        <v>136</v>
      </c>
      <c r="K34" s="22" t="s">
        <v>136</v>
      </c>
      <c r="L34" s="22" t="s">
        <v>136</v>
      </c>
      <c r="M34" s="23" t="s">
        <v>1736</v>
      </c>
      <c r="N34" s="23" t="s">
        <v>1737</v>
      </c>
      <c r="O34" s="24" t="s">
        <v>1738</v>
      </c>
      <c r="P34" s="24" t="s">
        <v>39</v>
      </c>
      <c r="Q34" s="23" t="s">
        <v>1739</v>
      </c>
      <c r="R34" s="23" t="s">
        <v>1622</v>
      </c>
    </row>
    <row r="35" customFormat="false" ht="15" hidden="false" customHeight="true" outlineLevel="0" collapsed="false">
      <c r="A35" s="17" t="s">
        <v>1122</v>
      </c>
      <c r="B35" s="17" t="s">
        <v>1263</v>
      </c>
      <c r="C35" s="17" t="s">
        <v>1264</v>
      </c>
      <c r="D35" s="17" t="s">
        <v>1617</v>
      </c>
      <c r="E35" s="21" t="s">
        <v>1598</v>
      </c>
      <c r="F35" s="22" t="s">
        <v>136</v>
      </c>
      <c r="G35" s="22" t="s">
        <v>136</v>
      </c>
      <c r="H35" s="22" t="s">
        <v>136</v>
      </c>
      <c r="I35" s="22" t="s">
        <v>136</v>
      </c>
      <c r="J35" s="22" t="s">
        <v>136</v>
      </c>
      <c r="K35" s="22" t="s">
        <v>136</v>
      </c>
      <c r="L35" s="22" t="s">
        <v>136</v>
      </c>
      <c r="M35" s="23" t="s">
        <v>1740</v>
      </c>
      <c r="N35" s="23" t="s">
        <v>1741</v>
      </c>
      <c r="O35" s="23" t="s">
        <v>1742</v>
      </c>
      <c r="P35" s="24" t="s">
        <v>39</v>
      </c>
      <c r="Q35" s="23" t="s">
        <v>1743</v>
      </c>
      <c r="R35" s="23" t="s">
        <v>1622</v>
      </c>
    </row>
    <row r="36" customFormat="false" ht="15" hidden="false" customHeight="true" outlineLevel="0" collapsed="false">
      <c r="A36" s="17" t="s">
        <v>1122</v>
      </c>
      <c r="B36" s="17" t="s">
        <v>1268</v>
      </c>
      <c r="C36" s="17" t="s">
        <v>923</v>
      </c>
      <c r="D36" s="17" t="s">
        <v>1617</v>
      </c>
      <c r="E36" s="21" t="s">
        <v>1598</v>
      </c>
      <c r="F36" s="22" t="s">
        <v>136</v>
      </c>
      <c r="G36" s="22" t="s">
        <v>136</v>
      </c>
      <c r="H36" s="22" t="s">
        <v>136</v>
      </c>
      <c r="I36" s="22" t="s">
        <v>136</v>
      </c>
      <c r="J36" s="22" t="s">
        <v>136</v>
      </c>
      <c r="K36" s="22" t="s">
        <v>136</v>
      </c>
      <c r="L36" s="22" t="s">
        <v>136</v>
      </c>
      <c r="M36" s="23" t="s">
        <v>1744</v>
      </c>
      <c r="N36" s="23" t="s">
        <v>1745</v>
      </c>
      <c r="O36" s="23" t="s">
        <v>1746</v>
      </c>
      <c r="P36" s="24" t="s">
        <v>39</v>
      </c>
      <c r="Q36" s="23" t="s">
        <v>1747</v>
      </c>
      <c r="R36" s="23" t="s">
        <v>1622</v>
      </c>
    </row>
    <row r="37" customFormat="false" ht="15" hidden="false" customHeight="true" outlineLevel="0" collapsed="false">
      <c r="A37" s="17" t="s">
        <v>1122</v>
      </c>
      <c r="B37" s="17" t="s">
        <v>1273</v>
      </c>
      <c r="C37" s="17" t="s">
        <v>915</v>
      </c>
      <c r="D37" s="17" t="s">
        <v>1617</v>
      </c>
      <c r="E37" s="21" t="s">
        <v>1598</v>
      </c>
      <c r="F37" s="22" t="s">
        <v>136</v>
      </c>
      <c r="G37" s="22" t="s">
        <v>136</v>
      </c>
      <c r="H37" s="22" t="s">
        <v>136</v>
      </c>
      <c r="I37" s="22" t="s">
        <v>136</v>
      </c>
      <c r="J37" s="22" t="s">
        <v>136</v>
      </c>
      <c r="K37" s="22" t="s">
        <v>136</v>
      </c>
      <c r="L37" s="22" t="s">
        <v>136</v>
      </c>
      <c r="M37" s="23" t="s">
        <v>1748</v>
      </c>
      <c r="N37" s="23" t="s">
        <v>1749</v>
      </c>
      <c r="O37" s="23" t="s">
        <v>1750</v>
      </c>
      <c r="P37" s="23" t="s">
        <v>1570</v>
      </c>
      <c r="Q37" s="23" t="s">
        <v>1751</v>
      </c>
      <c r="R37" s="23" t="s">
        <v>1622</v>
      </c>
    </row>
    <row r="38" customFormat="false" ht="15" hidden="false" customHeight="true" outlineLevel="0" collapsed="false">
      <c r="A38" s="17" t="s">
        <v>1122</v>
      </c>
      <c r="B38" s="17" t="s">
        <v>763</v>
      </c>
      <c r="C38" s="17" t="s">
        <v>755</v>
      </c>
      <c r="D38" s="17" t="s">
        <v>1617</v>
      </c>
      <c r="E38" s="21" t="s">
        <v>1598</v>
      </c>
      <c r="F38" s="22" t="s">
        <v>136</v>
      </c>
      <c r="G38" s="22" t="s">
        <v>136</v>
      </c>
      <c r="H38" s="22" t="s">
        <v>136</v>
      </c>
      <c r="I38" s="22" t="s">
        <v>136</v>
      </c>
      <c r="J38" s="22" t="s">
        <v>136</v>
      </c>
      <c r="K38" s="22" t="s">
        <v>136</v>
      </c>
      <c r="L38" s="22" t="s">
        <v>136</v>
      </c>
      <c r="M38" s="23" t="s">
        <v>1752</v>
      </c>
      <c r="N38" s="23" t="s">
        <v>1753</v>
      </c>
      <c r="O38" s="23" t="s">
        <v>1754</v>
      </c>
      <c r="P38" s="24" t="s">
        <v>39</v>
      </c>
      <c r="Q38" s="23" t="s">
        <v>1755</v>
      </c>
      <c r="R38" s="23" t="s">
        <v>1622</v>
      </c>
    </row>
    <row r="39" customFormat="false" ht="15" hidden="false" customHeight="true" outlineLevel="0" collapsed="false">
      <c r="A39" s="17" t="s">
        <v>1122</v>
      </c>
      <c r="B39" s="17" t="s">
        <v>772</v>
      </c>
      <c r="C39" s="17" t="s">
        <v>765</v>
      </c>
      <c r="D39" s="17" t="s">
        <v>1617</v>
      </c>
      <c r="E39" s="21" t="s">
        <v>1598</v>
      </c>
      <c r="F39" s="22" t="s">
        <v>136</v>
      </c>
      <c r="G39" s="22" t="s">
        <v>136</v>
      </c>
      <c r="H39" s="22" t="s">
        <v>136</v>
      </c>
      <c r="I39" s="22" t="s">
        <v>136</v>
      </c>
      <c r="J39" s="22" t="s">
        <v>136</v>
      </c>
      <c r="K39" s="22" t="s">
        <v>136</v>
      </c>
      <c r="L39" s="22" t="s">
        <v>136</v>
      </c>
      <c r="M39" s="23" t="s">
        <v>1756</v>
      </c>
      <c r="N39" s="23" t="s">
        <v>1757</v>
      </c>
      <c r="O39" s="23" t="s">
        <v>1758</v>
      </c>
      <c r="P39" s="24" t="s">
        <v>39</v>
      </c>
      <c r="Q39" s="23" t="s">
        <v>1759</v>
      </c>
      <c r="R39" s="23" t="s">
        <v>1622</v>
      </c>
    </row>
    <row r="40" customFormat="false" ht="15" hidden="false" customHeight="true" outlineLevel="0" collapsed="false">
      <c r="A40" s="17" t="s">
        <v>1122</v>
      </c>
      <c r="B40" s="17" t="s">
        <v>779</v>
      </c>
      <c r="C40" s="17" t="s">
        <v>774</v>
      </c>
      <c r="D40" s="17" t="s">
        <v>1617</v>
      </c>
      <c r="E40" s="21" t="s">
        <v>1598</v>
      </c>
      <c r="F40" s="22" t="s">
        <v>136</v>
      </c>
      <c r="G40" s="22" t="s">
        <v>136</v>
      </c>
      <c r="H40" s="22" t="s">
        <v>136</v>
      </c>
      <c r="I40" s="22" t="s">
        <v>136</v>
      </c>
      <c r="J40" s="22" t="s">
        <v>136</v>
      </c>
      <c r="K40" s="22" t="s">
        <v>136</v>
      </c>
      <c r="L40" s="22" t="s">
        <v>136</v>
      </c>
      <c r="M40" s="23" t="s">
        <v>1760</v>
      </c>
      <c r="N40" s="23" t="s">
        <v>1761</v>
      </c>
      <c r="O40" s="23" t="s">
        <v>1762</v>
      </c>
      <c r="P40" s="24" t="s">
        <v>39</v>
      </c>
      <c r="Q40" s="23" t="s">
        <v>1763</v>
      </c>
      <c r="R40" s="23" t="s">
        <v>1622</v>
      </c>
    </row>
    <row r="41" customFormat="false" ht="15" hidden="false" customHeight="true" outlineLevel="0" collapsed="false">
      <c r="A41" s="17" t="s">
        <v>1122</v>
      </c>
      <c r="B41" s="17" t="s">
        <v>1287</v>
      </c>
      <c r="C41" s="17" t="s">
        <v>879</v>
      </c>
      <c r="D41" s="17" t="s">
        <v>1617</v>
      </c>
      <c r="E41" s="21" t="s">
        <v>1598</v>
      </c>
      <c r="F41" s="22" t="s">
        <v>136</v>
      </c>
      <c r="G41" s="22" t="s">
        <v>136</v>
      </c>
      <c r="H41" s="22" t="s">
        <v>136</v>
      </c>
      <c r="I41" s="22" t="s">
        <v>136</v>
      </c>
      <c r="J41" s="22" t="s">
        <v>136</v>
      </c>
      <c r="K41" s="22" t="s">
        <v>136</v>
      </c>
      <c r="L41" s="22" t="s">
        <v>136</v>
      </c>
      <c r="M41" s="23" t="s">
        <v>1764</v>
      </c>
      <c r="N41" s="23" t="s">
        <v>1765</v>
      </c>
      <c r="O41" s="23" t="s">
        <v>1766</v>
      </c>
      <c r="P41" s="24" t="s">
        <v>39</v>
      </c>
      <c r="Q41" s="23" t="s">
        <v>1767</v>
      </c>
      <c r="R41" s="23" t="s">
        <v>1622</v>
      </c>
    </row>
    <row r="42" customFormat="false" ht="15" hidden="false" customHeight="true" outlineLevel="0" collapsed="false">
      <c r="A42" s="17" t="s">
        <v>1122</v>
      </c>
      <c r="B42" s="17" t="s">
        <v>647</v>
      </c>
      <c r="C42" s="17" t="s">
        <v>638</v>
      </c>
      <c r="D42" s="17" t="s">
        <v>1617</v>
      </c>
      <c r="E42" s="21" t="s">
        <v>1598</v>
      </c>
      <c r="F42" s="22" t="s">
        <v>136</v>
      </c>
      <c r="G42" s="22" t="s">
        <v>136</v>
      </c>
      <c r="H42" s="22" t="s">
        <v>136</v>
      </c>
      <c r="I42" s="22" t="s">
        <v>136</v>
      </c>
      <c r="J42" s="22" t="s">
        <v>136</v>
      </c>
      <c r="K42" s="22" t="s">
        <v>136</v>
      </c>
      <c r="L42" s="22" t="s">
        <v>136</v>
      </c>
      <c r="M42" s="23" t="s">
        <v>1768</v>
      </c>
      <c r="N42" s="23" t="s">
        <v>1769</v>
      </c>
      <c r="O42" s="24" t="s">
        <v>1770</v>
      </c>
      <c r="P42" s="24" t="s">
        <v>39</v>
      </c>
      <c r="Q42" s="23" t="s">
        <v>1771</v>
      </c>
      <c r="R42" s="23" t="s">
        <v>1622</v>
      </c>
    </row>
    <row r="43" customFormat="false" ht="219.75" hidden="false" customHeight="true" outlineLevel="0" collapsed="false">
      <c r="A43" s="17" t="s">
        <v>1125</v>
      </c>
      <c r="B43" s="17" t="s">
        <v>410</v>
      </c>
      <c r="C43" s="17" t="s">
        <v>404</v>
      </c>
      <c r="D43" s="17" t="s">
        <v>1617</v>
      </c>
      <c r="E43" s="21" t="s">
        <v>1772</v>
      </c>
      <c r="F43" s="22" t="s">
        <v>1773</v>
      </c>
      <c r="G43" s="21" t="s">
        <v>1774</v>
      </c>
      <c r="H43" s="21" t="s">
        <v>1775</v>
      </c>
      <c r="I43" s="21" t="s">
        <v>1776</v>
      </c>
      <c r="J43" s="21" t="s">
        <v>1777</v>
      </c>
      <c r="K43" s="22" t="s">
        <v>1778</v>
      </c>
      <c r="L43" s="21" t="s">
        <v>1779</v>
      </c>
      <c r="M43" s="23" t="s">
        <v>1780</v>
      </c>
      <c r="N43" s="23" t="s">
        <v>1781</v>
      </c>
      <c r="O43" s="23" t="s">
        <v>1782</v>
      </c>
      <c r="P43" s="23" t="s">
        <v>1615</v>
      </c>
      <c r="Q43" s="23" t="s">
        <v>1616</v>
      </c>
      <c r="R43" s="23" t="s">
        <v>1783</v>
      </c>
    </row>
    <row r="44" customFormat="false" ht="219.75" hidden="false" customHeight="true" outlineLevel="0" collapsed="false">
      <c r="A44" s="17" t="s">
        <v>1125</v>
      </c>
      <c r="B44" s="17" t="s">
        <v>1180</v>
      </c>
      <c r="C44" s="17" t="s">
        <v>396</v>
      </c>
      <c r="D44" s="17" t="s">
        <v>1617</v>
      </c>
      <c r="E44" s="21" t="s">
        <v>1784</v>
      </c>
      <c r="F44" s="22" t="s">
        <v>1785</v>
      </c>
      <c r="G44" s="21" t="s">
        <v>1786</v>
      </c>
      <c r="H44" s="21" t="s">
        <v>1787</v>
      </c>
      <c r="I44" s="21" t="s">
        <v>1788</v>
      </c>
      <c r="J44" s="21" t="s">
        <v>1789</v>
      </c>
      <c r="K44" s="22" t="s">
        <v>1778</v>
      </c>
      <c r="L44" s="21" t="s">
        <v>1779</v>
      </c>
      <c r="M44" s="23" t="s">
        <v>1790</v>
      </c>
      <c r="N44" s="23" t="s">
        <v>1791</v>
      </c>
      <c r="O44" s="23" t="s">
        <v>1792</v>
      </c>
      <c r="P44" s="23" t="s">
        <v>1615</v>
      </c>
      <c r="Q44" s="23" t="s">
        <v>1793</v>
      </c>
      <c r="R44" s="23" t="s">
        <v>1783</v>
      </c>
    </row>
    <row r="45" customFormat="false" ht="219.75" hidden="false" customHeight="true" outlineLevel="0" collapsed="false">
      <c r="A45" s="17" t="s">
        <v>1125</v>
      </c>
      <c r="B45" s="17" t="s">
        <v>1232</v>
      </c>
      <c r="C45" s="17" t="s">
        <v>1001</v>
      </c>
      <c r="D45" s="17" t="s">
        <v>1617</v>
      </c>
      <c r="E45" s="21" t="s">
        <v>1794</v>
      </c>
      <c r="F45" s="22" t="s">
        <v>1795</v>
      </c>
      <c r="G45" s="22" t="s">
        <v>1796</v>
      </c>
      <c r="H45" s="21" t="s">
        <v>1797</v>
      </c>
      <c r="I45" s="21" t="s">
        <v>1798</v>
      </c>
      <c r="J45" s="21" t="s">
        <v>1799</v>
      </c>
      <c r="K45" s="22" t="s">
        <v>1778</v>
      </c>
      <c r="L45" s="21" t="s">
        <v>1779</v>
      </c>
      <c r="M45" s="23" t="s">
        <v>1800</v>
      </c>
      <c r="N45" s="23" t="s">
        <v>1801</v>
      </c>
      <c r="O45" s="24" t="s">
        <v>1802</v>
      </c>
      <c r="P45" s="23" t="s">
        <v>1615</v>
      </c>
      <c r="Q45" s="23" t="s">
        <v>1803</v>
      </c>
      <c r="R45" s="23" t="s">
        <v>1783</v>
      </c>
    </row>
    <row r="46" customFormat="false" ht="219.75" hidden="false" customHeight="true" outlineLevel="0" collapsed="false">
      <c r="A46" s="17" t="s">
        <v>1125</v>
      </c>
      <c r="B46" s="17" t="s">
        <v>1227</v>
      </c>
      <c r="C46" s="17" t="s">
        <v>609</v>
      </c>
      <c r="D46" s="17" t="s">
        <v>1617</v>
      </c>
      <c r="E46" s="21" t="s">
        <v>1804</v>
      </c>
      <c r="F46" s="22" t="s">
        <v>1805</v>
      </c>
      <c r="G46" s="22" t="s">
        <v>1806</v>
      </c>
      <c r="H46" s="21" t="s">
        <v>1807</v>
      </c>
      <c r="I46" s="21" t="s">
        <v>1808</v>
      </c>
      <c r="J46" s="21" t="s">
        <v>1809</v>
      </c>
      <c r="K46" s="22" t="s">
        <v>1778</v>
      </c>
      <c r="L46" s="21" t="s">
        <v>1779</v>
      </c>
      <c r="M46" s="23" t="s">
        <v>1810</v>
      </c>
      <c r="N46" s="23" t="s">
        <v>1811</v>
      </c>
      <c r="O46" s="24" t="s">
        <v>1812</v>
      </c>
      <c r="P46" s="23" t="s">
        <v>51</v>
      </c>
      <c r="Q46" s="23" t="s">
        <v>1813</v>
      </c>
      <c r="R46" s="23" t="s">
        <v>1783</v>
      </c>
    </row>
    <row r="47" customFormat="false" ht="219.75" hidden="false" customHeight="true" outlineLevel="0" collapsed="false">
      <c r="A47" s="17" t="s">
        <v>1125</v>
      </c>
      <c r="B47" s="17" t="s">
        <v>528</v>
      </c>
      <c r="C47" s="17" t="s">
        <v>521</v>
      </c>
      <c r="D47" s="17" t="s">
        <v>1617</v>
      </c>
      <c r="E47" s="21" t="s">
        <v>1814</v>
      </c>
      <c r="F47" s="22" t="s">
        <v>1815</v>
      </c>
      <c r="G47" s="21" t="s">
        <v>1816</v>
      </c>
      <c r="H47" s="22" t="s">
        <v>1817</v>
      </c>
      <c r="I47" s="22" t="s">
        <v>1818</v>
      </c>
      <c r="J47" s="21" t="s">
        <v>1819</v>
      </c>
      <c r="K47" s="22" t="s">
        <v>1778</v>
      </c>
      <c r="L47" s="21" t="s">
        <v>1779</v>
      </c>
      <c r="M47" s="23" t="s">
        <v>1820</v>
      </c>
      <c r="N47" s="23" t="s">
        <v>1821</v>
      </c>
      <c r="O47" s="24" t="s">
        <v>1822</v>
      </c>
      <c r="P47" s="23" t="s">
        <v>1615</v>
      </c>
      <c r="Q47" s="23" t="s">
        <v>1616</v>
      </c>
      <c r="R47" s="23" t="s">
        <v>1783</v>
      </c>
    </row>
    <row r="48" customFormat="false" ht="219.75" hidden="false" customHeight="true" outlineLevel="0" collapsed="false">
      <c r="A48" s="17" t="s">
        <v>1125</v>
      </c>
      <c r="B48" s="17" t="s">
        <v>1210</v>
      </c>
      <c r="C48" s="17" t="s">
        <v>600</v>
      </c>
      <c r="D48" s="17" t="s">
        <v>1617</v>
      </c>
      <c r="E48" s="21" t="s">
        <v>1823</v>
      </c>
      <c r="F48" s="22" t="s">
        <v>1824</v>
      </c>
      <c r="G48" s="21" t="s">
        <v>1825</v>
      </c>
      <c r="H48" s="22" t="s">
        <v>1826</v>
      </c>
      <c r="I48" s="21" t="s">
        <v>1827</v>
      </c>
      <c r="J48" s="21" t="s">
        <v>1828</v>
      </c>
      <c r="K48" s="22" t="s">
        <v>1778</v>
      </c>
      <c r="L48" s="21" t="s">
        <v>1779</v>
      </c>
      <c r="M48" s="23" t="s">
        <v>1829</v>
      </c>
      <c r="N48" s="23" t="s">
        <v>1830</v>
      </c>
      <c r="O48" s="23" t="s">
        <v>1831</v>
      </c>
      <c r="P48" s="23" t="s">
        <v>1615</v>
      </c>
      <c r="Q48" s="23" t="s">
        <v>1832</v>
      </c>
      <c r="R48" s="23" t="s">
        <v>1783</v>
      </c>
    </row>
    <row r="49" customFormat="false" ht="219.75" hidden="false" customHeight="true" outlineLevel="0" collapsed="false">
      <c r="A49" s="17" t="s">
        <v>1125</v>
      </c>
      <c r="B49" s="17" t="s">
        <v>1216</v>
      </c>
      <c r="C49" s="17" t="s">
        <v>600</v>
      </c>
      <c r="D49" s="17" t="s">
        <v>1617</v>
      </c>
      <c r="E49" s="21" t="s">
        <v>1833</v>
      </c>
      <c r="F49" s="22" t="s">
        <v>1834</v>
      </c>
      <c r="G49" s="22" t="s">
        <v>1835</v>
      </c>
      <c r="H49" s="21" t="s">
        <v>1836</v>
      </c>
      <c r="I49" s="22" t="s">
        <v>1837</v>
      </c>
      <c r="J49" s="21" t="s">
        <v>1838</v>
      </c>
      <c r="K49" s="22" t="s">
        <v>1778</v>
      </c>
      <c r="L49" s="21" t="s">
        <v>1779</v>
      </c>
      <c r="M49" s="23" t="s">
        <v>1839</v>
      </c>
      <c r="N49" s="23" t="s">
        <v>1840</v>
      </c>
      <c r="O49" s="23" t="s">
        <v>1841</v>
      </c>
      <c r="P49" s="23" t="s">
        <v>1615</v>
      </c>
      <c r="Q49" s="23" t="s">
        <v>1842</v>
      </c>
      <c r="R49" s="23" t="s">
        <v>1783</v>
      </c>
    </row>
    <row r="50" customFormat="false" ht="219.75" hidden="false" customHeight="true" outlineLevel="0" collapsed="false">
      <c r="A50" s="17" t="s">
        <v>1125</v>
      </c>
      <c r="B50" s="17" t="s">
        <v>1222</v>
      </c>
      <c r="C50" s="17" t="s">
        <v>609</v>
      </c>
      <c r="D50" s="17" t="s">
        <v>1617</v>
      </c>
      <c r="E50" s="21" t="s">
        <v>1843</v>
      </c>
      <c r="F50" s="22" t="s">
        <v>1844</v>
      </c>
      <c r="G50" s="22" t="s">
        <v>1845</v>
      </c>
      <c r="H50" s="22" t="s">
        <v>1846</v>
      </c>
      <c r="I50" s="21" t="s">
        <v>1847</v>
      </c>
      <c r="J50" s="21" t="s">
        <v>1848</v>
      </c>
      <c r="K50" s="22" t="s">
        <v>1778</v>
      </c>
      <c r="L50" s="21" t="s">
        <v>1779</v>
      </c>
      <c r="M50" s="23" t="s">
        <v>1849</v>
      </c>
      <c r="N50" s="23" t="s">
        <v>1850</v>
      </c>
      <c r="O50" s="24" t="s">
        <v>1851</v>
      </c>
      <c r="P50" s="23" t="s">
        <v>1615</v>
      </c>
      <c r="Q50" s="23" t="s">
        <v>1616</v>
      </c>
      <c r="R50" s="23" t="s">
        <v>1783</v>
      </c>
    </row>
    <row r="51" customFormat="false" ht="219.75" hidden="false" customHeight="true" outlineLevel="0" collapsed="false">
      <c r="A51" s="17" t="s">
        <v>1125</v>
      </c>
      <c r="B51" s="17" t="s">
        <v>1246</v>
      </c>
      <c r="C51" s="17" t="s">
        <v>1033</v>
      </c>
      <c r="D51" s="17" t="s">
        <v>1617</v>
      </c>
      <c r="E51" s="21" t="s">
        <v>1852</v>
      </c>
      <c r="F51" s="22" t="s">
        <v>1853</v>
      </c>
      <c r="G51" s="22" t="s">
        <v>1854</v>
      </c>
      <c r="H51" s="22" t="s">
        <v>1855</v>
      </c>
      <c r="I51" s="21" t="s">
        <v>1856</v>
      </c>
      <c r="J51" s="21" t="s">
        <v>1857</v>
      </c>
      <c r="K51" s="22" t="s">
        <v>1778</v>
      </c>
      <c r="L51" s="21" t="s">
        <v>1779</v>
      </c>
      <c r="M51" s="23" t="s">
        <v>1858</v>
      </c>
      <c r="N51" s="23" t="s">
        <v>1859</v>
      </c>
      <c r="O51" s="23" t="s">
        <v>1860</v>
      </c>
      <c r="P51" s="23" t="s">
        <v>1615</v>
      </c>
      <c r="Q51" s="23" t="s">
        <v>1861</v>
      </c>
      <c r="R51" s="23" t="s">
        <v>1783</v>
      </c>
    </row>
    <row r="52" customFormat="false" ht="219.75" hidden="false" customHeight="true" outlineLevel="0" collapsed="false">
      <c r="A52" s="17" t="s">
        <v>1125</v>
      </c>
      <c r="B52" s="17" t="s">
        <v>1251</v>
      </c>
      <c r="C52" s="17" t="s">
        <v>1033</v>
      </c>
      <c r="D52" s="17" t="s">
        <v>1617</v>
      </c>
      <c r="E52" s="21" t="s">
        <v>1862</v>
      </c>
      <c r="F52" s="22" t="s">
        <v>1863</v>
      </c>
      <c r="G52" s="22" t="s">
        <v>1864</v>
      </c>
      <c r="H52" s="21" t="s">
        <v>1865</v>
      </c>
      <c r="I52" s="21" t="s">
        <v>1866</v>
      </c>
      <c r="J52" s="22" t="s">
        <v>1867</v>
      </c>
      <c r="K52" s="22" t="s">
        <v>1778</v>
      </c>
      <c r="L52" s="21" t="s">
        <v>1779</v>
      </c>
      <c r="M52" s="23" t="s">
        <v>1868</v>
      </c>
      <c r="N52" s="23" t="s">
        <v>1869</v>
      </c>
      <c r="O52" s="24" t="s">
        <v>1870</v>
      </c>
      <c r="P52" s="23" t="s">
        <v>1615</v>
      </c>
      <c r="Q52" s="23" t="s">
        <v>1616</v>
      </c>
      <c r="R52" s="23" t="s">
        <v>1783</v>
      </c>
    </row>
    <row r="53" customFormat="false" ht="219.75" hidden="false" customHeight="true" outlineLevel="0" collapsed="false">
      <c r="A53" s="17" t="s">
        <v>1125</v>
      </c>
      <c r="B53" s="17" t="s">
        <v>1047</v>
      </c>
      <c r="C53" s="17" t="s">
        <v>1042</v>
      </c>
      <c r="D53" s="17" t="s">
        <v>1617</v>
      </c>
      <c r="E53" s="21" t="s">
        <v>1862</v>
      </c>
      <c r="F53" s="22" t="s">
        <v>1871</v>
      </c>
      <c r="G53" s="22" t="s">
        <v>1872</v>
      </c>
      <c r="H53" s="22" t="s">
        <v>1873</v>
      </c>
      <c r="I53" s="21" t="s">
        <v>1874</v>
      </c>
      <c r="J53" s="22" t="s">
        <v>1875</v>
      </c>
      <c r="K53" s="22" t="s">
        <v>1778</v>
      </c>
      <c r="L53" s="21" t="s">
        <v>1779</v>
      </c>
      <c r="M53" s="23" t="s">
        <v>1876</v>
      </c>
      <c r="N53" s="23" t="s">
        <v>1877</v>
      </c>
      <c r="O53" s="23" t="s">
        <v>1878</v>
      </c>
      <c r="P53" s="23" t="s">
        <v>1615</v>
      </c>
      <c r="Q53" s="23" t="s">
        <v>1616</v>
      </c>
      <c r="R53" s="23" t="s">
        <v>1783</v>
      </c>
    </row>
    <row r="54" customFormat="false" ht="219.75" hidden="false" customHeight="true" outlineLevel="0" collapsed="false">
      <c r="A54" s="17" t="s">
        <v>1125</v>
      </c>
      <c r="B54" s="17" t="s">
        <v>984</v>
      </c>
      <c r="C54" s="17" t="s">
        <v>978</v>
      </c>
      <c r="D54" s="17" t="s">
        <v>1617</v>
      </c>
      <c r="E54" s="21" t="s">
        <v>1879</v>
      </c>
      <c r="F54" s="22" t="s">
        <v>1880</v>
      </c>
      <c r="G54" s="22" t="s">
        <v>1881</v>
      </c>
      <c r="H54" s="21" t="s">
        <v>1882</v>
      </c>
      <c r="I54" s="21" t="s">
        <v>1883</v>
      </c>
      <c r="J54" s="21" t="s">
        <v>1884</v>
      </c>
      <c r="K54" s="22" t="s">
        <v>1778</v>
      </c>
      <c r="L54" s="21" t="s">
        <v>1779</v>
      </c>
      <c r="M54" s="23" t="s">
        <v>1885</v>
      </c>
      <c r="N54" s="23" t="s">
        <v>1886</v>
      </c>
      <c r="O54" s="23" t="s">
        <v>1887</v>
      </c>
      <c r="P54" s="23" t="s">
        <v>1615</v>
      </c>
      <c r="Q54" s="23" t="s">
        <v>1616</v>
      </c>
      <c r="R54" s="23" t="s">
        <v>1783</v>
      </c>
    </row>
    <row r="55" customFormat="false" ht="219.75" hidden="false" customHeight="true" outlineLevel="0" collapsed="false">
      <c r="A55" s="17" t="s">
        <v>1125</v>
      </c>
      <c r="B55" s="17" t="s">
        <v>1062</v>
      </c>
      <c r="C55" s="17" t="s">
        <v>1056</v>
      </c>
      <c r="D55" s="17" t="s">
        <v>1617</v>
      </c>
      <c r="E55" s="21" t="s">
        <v>1888</v>
      </c>
      <c r="F55" s="22" t="s">
        <v>1889</v>
      </c>
      <c r="G55" s="22" t="s">
        <v>1890</v>
      </c>
      <c r="H55" s="22" t="s">
        <v>1891</v>
      </c>
      <c r="I55" s="21" t="s">
        <v>1892</v>
      </c>
      <c r="J55" s="21" t="s">
        <v>1893</v>
      </c>
      <c r="K55" s="22" t="s">
        <v>1778</v>
      </c>
      <c r="L55" s="21" t="s">
        <v>1779</v>
      </c>
      <c r="M55" s="23" t="s">
        <v>1894</v>
      </c>
      <c r="N55" s="23" t="s">
        <v>1895</v>
      </c>
      <c r="O55" s="23" t="s">
        <v>1896</v>
      </c>
      <c r="P55" s="23" t="s">
        <v>1615</v>
      </c>
      <c r="Q55" s="24" t="s">
        <v>1897</v>
      </c>
      <c r="R55" s="23" t="s">
        <v>1783</v>
      </c>
    </row>
    <row r="56" customFormat="false" ht="219.75" hidden="false" customHeight="true" outlineLevel="0" collapsed="false">
      <c r="A56" s="17" t="s">
        <v>1125</v>
      </c>
      <c r="B56" s="17" t="s">
        <v>992</v>
      </c>
      <c r="C56" s="17" t="s">
        <v>986</v>
      </c>
      <c r="D56" s="17" t="s">
        <v>1617</v>
      </c>
      <c r="E56" s="21" t="s">
        <v>1898</v>
      </c>
      <c r="F56" s="22" t="s">
        <v>1899</v>
      </c>
      <c r="G56" s="22" t="s">
        <v>1900</v>
      </c>
      <c r="H56" s="22" t="s">
        <v>1901</v>
      </c>
      <c r="I56" s="22" t="s">
        <v>1902</v>
      </c>
      <c r="J56" s="21" t="s">
        <v>1903</v>
      </c>
      <c r="K56" s="22" t="s">
        <v>1778</v>
      </c>
      <c r="L56" s="21" t="s">
        <v>1779</v>
      </c>
      <c r="M56" s="23" t="s">
        <v>1904</v>
      </c>
      <c r="N56" s="23" t="s">
        <v>1905</v>
      </c>
      <c r="O56" s="24" t="s">
        <v>1906</v>
      </c>
      <c r="P56" s="23" t="s">
        <v>1615</v>
      </c>
      <c r="Q56" s="23" t="s">
        <v>1907</v>
      </c>
      <c r="R56" s="23" t="s">
        <v>1783</v>
      </c>
    </row>
    <row r="57" customFormat="false" ht="219.75" hidden="false" customHeight="true" outlineLevel="0" collapsed="false">
      <c r="A57" s="17" t="s">
        <v>1125</v>
      </c>
      <c r="B57" s="17" t="s">
        <v>1205</v>
      </c>
      <c r="C57" s="17" t="s">
        <v>1691</v>
      </c>
      <c r="D57" s="17" t="s">
        <v>1617</v>
      </c>
      <c r="E57" s="21" t="s">
        <v>1908</v>
      </c>
      <c r="F57" s="22" t="s">
        <v>1909</v>
      </c>
      <c r="G57" s="21" t="s">
        <v>1910</v>
      </c>
      <c r="H57" s="21" t="s">
        <v>1911</v>
      </c>
      <c r="I57" s="22" t="s">
        <v>1912</v>
      </c>
      <c r="J57" s="21" t="s">
        <v>1913</v>
      </c>
      <c r="K57" s="22" t="s">
        <v>1778</v>
      </c>
      <c r="L57" s="21" t="s">
        <v>1779</v>
      </c>
      <c r="M57" s="23" t="s">
        <v>1914</v>
      </c>
      <c r="N57" s="23" t="s">
        <v>1915</v>
      </c>
      <c r="O57" s="23" t="s">
        <v>1916</v>
      </c>
      <c r="P57" s="23" t="s">
        <v>1615</v>
      </c>
      <c r="Q57" s="23" t="s">
        <v>1616</v>
      </c>
      <c r="R57" s="23" t="s">
        <v>1783</v>
      </c>
    </row>
    <row r="58" customFormat="false" ht="219.75" hidden="false" customHeight="true" outlineLevel="0" collapsed="false">
      <c r="A58" s="17" t="s">
        <v>1125</v>
      </c>
      <c r="B58" s="17" t="s">
        <v>772</v>
      </c>
      <c r="C58" s="17" t="s">
        <v>765</v>
      </c>
      <c r="D58" s="17" t="s">
        <v>1617</v>
      </c>
      <c r="E58" s="21" t="s">
        <v>1862</v>
      </c>
      <c r="F58" s="22" t="s">
        <v>1917</v>
      </c>
      <c r="G58" s="22" t="s">
        <v>1918</v>
      </c>
      <c r="H58" s="21" t="s">
        <v>1919</v>
      </c>
      <c r="I58" s="21" t="s">
        <v>1920</v>
      </c>
      <c r="J58" s="22" t="s">
        <v>1921</v>
      </c>
      <c r="K58" s="22" t="s">
        <v>1778</v>
      </c>
      <c r="L58" s="21" t="s">
        <v>1779</v>
      </c>
      <c r="M58" s="23" t="s">
        <v>1922</v>
      </c>
      <c r="N58" s="23" t="s">
        <v>1923</v>
      </c>
      <c r="O58" s="23" t="s">
        <v>1924</v>
      </c>
      <c r="P58" s="23" t="s">
        <v>1615</v>
      </c>
      <c r="Q58" s="23" t="s">
        <v>1616</v>
      </c>
      <c r="R58" s="23" t="s">
        <v>1783</v>
      </c>
    </row>
    <row r="59" customFormat="false" ht="219.75" hidden="false" customHeight="true" outlineLevel="0" collapsed="false">
      <c r="A59" s="17" t="s">
        <v>1125</v>
      </c>
      <c r="B59" s="17" t="s">
        <v>779</v>
      </c>
      <c r="C59" s="17" t="s">
        <v>774</v>
      </c>
      <c r="D59" s="17" t="s">
        <v>1617</v>
      </c>
      <c r="E59" s="21" t="s">
        <v>1862</v>
      </c>
      <c r="F59" s="22" t="s">
        <v>1925</v>
      </c>
      <c r="G59" s="21" t="s">
        <v>1926</v>
      </c>
      <c r="H59" s="22" t="s">
        <v>1927</v>
      </c>
      <c r="I59" s="21" t="s">
        <v>1928</v>
      </c>
      <c r="J59" s="21" t="s">
        <v>1929</v>
      </c>
      <c r="K59" s="22" t="s">
        <v>1778</v>
      </c>
      <c r="L59" s="21" t="s">
        <v>1779</v>
      </c>
      <c r="M59" s="23" t="s">
        <v>1930</v>
      </c>
      <c r="N59" s="23" t="s">
        <v>1931</v>
      </c>
      <c r="O59" s="23" t="s">
        <v>1932</v>
      </c>
      <c r="P59" s="23" t="s">
        <v>1615</v>
      </c>
      <c r="Q59" s="23" t="s">
        <v>1616</v>
      </c>
      <c r="R59" s="23" t="s">
        <v>1783</v>
      </c>
    </row>
    <row r="60" customFormat="false" ht="219.75" hidden="false" customHeight="true" outlineLevel="0" collapsed="false">
      <c r="A60" s="17" t="s">
        <v>1125</v>
      </c>
      <c r="B60" s="17" t="s">
        <v>160</v>
      </c>
      <c r="C60" s="17" t="s">
        <v>153</v>
      </c>
      <c r="D60" s="17" t="s">
        <v>1617</v>
      </c>
      <c r="E60" s="21" t="s">
        <v>1933</v>
      </c>
      <c r="F60" s="22" t="s">
        <v>1934</v>
      </c>
      <c r="G60" s="21" t="s">
        <v>1935</v>
      </c>
      <c r="H60" s="22" t="s">
        <v>1936</v>
      </c>
      <c r="I60" s="22" t="s">
        <v>1937</v>
      </c>
      <c r="J60" s="21" t="s">
        <v>1938</v>
      </c>
      <c r="K60" s="22" t="s">
        <v>1778</v>
      </c>
      <c r="L60" s="21" t="s">
        <v>1779</v>
      </c>
      <c r="M60" s="23" t="s">
        <v>1939</v>
      </c>
      <c r="N60" s="23" t="s">
        <v>1940</v>
      </c>
      <c r="O60" s="23" t="s">
        <v>1941</v>
      </c>
      <c r="P60" s="23" t="s">
        <v>1615</v>
      </c>
      <c r="Q60" s="23" t="s">
        <v>1616</v>
      </c>
      <c r="R60" s="23" t="s">
        <v>1783</v>
      </c>
    </row>
    <row r="61" customFormat="false" ht="219.75" hidden="false" customHeight="true" outlineLevel="0" collapsed="false">
      <c r="A61" s="17" t="s">
        <v>1125</v>
      </c>
      <c r="B61" s="17" t="s">
        <v>185</v>
      </c>
      <c r="C61" s="17" t="s">
        <v>1942</v>
      </c>
      <c r="D61" s="17" t="s">
        <v>1617</v>
      </c>
      <c r="E61" s="21" t="s">
        <v>1943</v>
      </c>
      <c r="F61" s="22" t="s">
        <v>1944</v>
      </c>
      <c r="G61" s="22" t="s">
        <v>1945</v>
      </c>
      <c r="H61" s="21" t="s">
        <v>1946</v>
      </c>
      <c r="I61" s="21" t="s">
        <v>1947</v>
      </c>
      <c r="J61" s="21" t="s">
        <v>1948</v>
      </c>
      <c r="K61" s="22" t="s">
        <v>1778</v>
      </c>
      <c r="L61" s="21" t="s">
        <v>1779</v>
      </c>
      <c r="M61" s="23" t="s">
        <v>1949</v>
      </c>
      <c r="N61" s="23" t="s">
        <v>1950</v>
      </c>
      <c r="O61" s="23" t="s">
        <v>1951</v>
      </c>
      <c r="P61" s="23" t="s">
        <v>1615</v>
      </c>
      <c r="Q61" s="23" t="s">
        <v>1616</v>
      </c>
      <c r="R61" s="23" t="s">
        <v>1783</v>
      </c>
    </row>
    <row r="62" customFormat="false" ht="219.75" hidden="false" customHeight="true" outlineLevel="0" collapsed="false">
      <c r="A62" s="17" t="s">
        <v>1125</v>
      </c>
      <c r="B62" s="17" t="s">
        <v>269</v>
      </c>
      <c r="C62" s="17" t="s">
        <v>262</v>
      </c>
      <c r="D62" s="17" t="s">
        <v>1617</v>
      </c>
      <c r="E62" s="21" t="s">
        <v>1952</v>
      </c>
      <c r="F62" s="22" t="s">
        <v>1953</v>
      </c>
      <c r="G62" s="21" t="s">
        <v>1954</v>
      </c>
      <c r="H62" s="21" t="s">
        <v>1955</v>
      </c>
      <c r="I62" s="21" t="s">
        <v>1956</v>
      </c>
      <c r="J62" s="21" t="s">
        <v>1957</v>
      </c>
      <c r="K62" s="22" t="s">
        <v>1778</v>
      </c>
      <c r="L62" s="21" t="s">
        <v>1779</v>
      </c>
      <c r="M62" s="23" t="s">
        <v>1958</v>
      </c>
      <c r="N62" s="23" t="s">
        <v>1959</v>
      </c>
      <c r="O62" s="23" t="s">
        <v>1960</v>
      </c>
      <c r="P62" s="23" t="s">
        <v>1615</v>
      </c>
      <c r="Q62" s="23" t="s">
        <v>1616</v>
      </c>
      <c r="R62" s="23" t="s">
        <v>1783</v>
      </c>
    </row>
    <row r="63" customFormat="false" ht="219.75" hidden="false" customHeight="true" outlineLevel="0" collapsed="false">
      <c r="A63" s="17" t="s">
        <v>1125</v>
      </c>
      <c r="B63" s="17" t="s">
        <v>1185</v>
      </c>
      <c r="C63" s="17" t="s">
        <v>413</v>
      </c>
      <c r="D63" s="17" t="s">
        <v>1617</v>
      </c>
      <c r="E63" s="21" t="s">
        <v>1862</v>
      </c>
      <c r="F63" s="22" t="s">
        <v>1961</v>
      </c>
      <c r="G63" s="22" t="s">
        <v>1962</v>
      </c>
      <c r="H63" s="22" t="s">
        <v>1963</v>
      </c>
      <c r="I63" s="21" t="s">
        <v>1964</v>
      </c>
      <c r="J63" s="21" t="s">
        <v>1965</v>
      </c>
      <c r="K63" s="22" t="s">
        <v>1778</v>
      </c>
      <c r="L63" s="21" t="s">
        <v>1779</v>
      </c>
      <c r="M63" s="23" t="s">
        <v>1966</v>
      </c>
      <c r="N63" s="23" t="s">
        <v>1967</v>
      </c>
      <c r="O63" s="24" t="s">
        <v>1968</v>
      </c>
      <c r="P63" s="23" t="s">
        <v>1615</v>
      </c>
      <c r="Q63" s="23" t="s">
        <v>1969</v>
      </c>
      <c r="R63" s="23" t="s">
        <v>1783</v>
      </c>
    </row>
    <row r="64" customFormat="false" ht="219.75" hidden="false" customHeight="true" outlineLevel="0" collapsed="false">
      <c r="A64" s="17" t="s">
        <v>1125</v>
      </c>
      <c r="B64" s="17" t="s">
        <v>447</v>
      </c>
      <c r="C64" s="17" t="s">
        <v>440</v>
      </c>
      <c r="D64" s="17" t="s">
        <v>1617</v>
      </c>
      <c r="E64" s="21" t="s">
        <v>1970</v>
      </c>
      <c r="F64" s="22" t="s">
        <v>1971</v>
      </c>
      <c r="G64" s="22" t="s">
        <v>1972</v>
      </c>
      <c r="H64" s="21" t="s">
        <v>1973</v>
      </c>
      <c r="I64" s="21" t="s">
        <v>1974</v>
      </c>
      <c r="J64" s="21" t="s">
        <v>1975</v>
      </c>
      <c r="K64" s="22" t="s">
        <v>1778</v>
      </c>
      <c r="L64" s="21" t="s">
        <v>1779</v>
      </c>
      <c r="M64" s="23" t="s">
        <v>1976</v>
      </c>
      <c r="N64" s="23" t="s">
        <v>1977</v>
      </c>
      <c r="O64" s="24" t="s">
        <v>1978</v>
      </c>
      <c r="P64" s="23" t="s">
        <v>1979</v>
      </c>
      <c r="Q64" s="23" t="s">
        <v>1980</v>
      </c>
      <c r="R64" s="23" t="s">
        <v>1783</v>
      </c>
    </row>
    <row r="65" customFormat="false" ht="219.75" hidden="false" customHeight="true" outlineLevel="0" collapsed="false">
      <c r="A65" s="17" t="s">
        <v>1125</v>
      </c>
      <c r="B65" s="17" t="s">
        <v>1130</v>
      </c>
      <c r="C65" s="17" t="s">
        <v>1095</v>
      </c>
      <c r="D65" s="17" t="s">
        <v>1617</v>
      </c>
      <c r="E65" s="21" t="s">
        <v>1981</v>
      </c>
      <c r="F65" s="22" t="s">
        <v>1982</v>
      </c>
      <c r="G65" s="21" t="s">
        <v>1983</v>
      </c>
      <c r="H65" s="21" t="s">
        <v>1984</v>
      </c>
      <c r="I65" s="21" t="s">
        <v>1985</v>
      </c>
      <c r="J65" s="21" t="s">
        <v>1986</v>
      </c>
      <c r="K65" s="22" t="s">
        <v>1778</v>
      </c>
      <c r="L65" s="21" t="s">
        <v>1779</v>
      </c>
      <c r="M65" s="23" t="s">
        <v>1987</v>
      </c>
      <c r="N65" s="23" t="s">
        <v>1988</v>
      </c>
      <c r="O65" s="24" t="s">
        <v>1989</v>
      </c>
      <c r="P65" s="23" t="s">
        <v>1615</v>
      </c>
      <c r="Q65" s="23" t="s">
        <v>1990</v>
      </c>
      <c r="R65" s="23" t="s">
        <v>1783</v>
      </c>
    </row>
    <row r="66" customFormat="false" ht="219.75" hidden="false" customHeight="true" outlineLevel="0" collapsed="false">
      <c r="A66" s="17" t="s">
        <v>1125</v>
      </c>
      <c r="B66" s="17" t="s">
        <v>1263</v>
      </c>
      <c r="C66" s="17" t="s">
        <v>1264</v>
      </c>
      <c r="D66" s="17" t="s">
        <v>1617</v>
      </c>
      <c r="E66" s="21" t="s">
        <v>1991</v>
      </c>
      <c r="F66" s="22" t="s">
        <v>1992</v>
      </c>
      <c r="G66" s="21" t="s">
        <v>1993</v>
      </c>
      <c r="H66" s="22" t="s">
        <v>1994</v>
      </c>
      <c r="I66" s="22" t="s">
        <v>1995</v>
      </c>
      <c r="J66" s="21" t="s">
        <v>1996</v>
      </c>
      <c r="K66" s="22" t="s">
        <v>1778</v>
      </c>
      <c r="L66" s="21" t="s">
        <v>1779</v>
      </c>
      <c r="M66" s="23" t="s">
        <v>1997</v>
      </c>
      <c r="N66" s="23" t="s">
        <v>1998</v>
      </c>
      <c r="O66" s="23" t="s">
        <v>1999</v>
      </c>
      <c r="P66" s="23" t="s">
        <v>1615</v>
      </c>
      <c r="Q66" s="23" t="s">
        <v>1616</v>
      </c>
      <c r="R66" s="23" t="s">
        <v>1783</v>
      </c>
    </row>
    <row r="67" customFormat="false" ht="219.75" hidden="false" customHeight="true" outlineLevel="0" collapsed="false">
      <c r="A67" s="17" t="s">
        <v>1125</v>
      </c>
      <c r="B67" s="17" t="s">
        <v>1268</v>
      </c>
      <c r="C67" s="17" t="s">
        <v>923</v>
      </c>
      <c r="D67" s="17" t="s">
        <v>1617</v>
      </c>
      <c r="E67" s="21" t="s">
        <v>2000</v>
      </c>
      <c r="F67" s="22" t="s">
        <v>2001</v>
      </c>
      <c r="G67" s="22" t="s">
        <v>2002</v>
      </c>
      <c r="H67" s="22" t="s">
        <v>2003</v>
      </c>
      <c r="I67" s="21" t="s">
        <v>2004</v>
      </c>
      <c r="J67" s="21" t="s">
        <v>2005</v>
      </c>
      <c r="K67" s="22" t="s">
        <v>1778</v>
      </c>
      <c r="L67" s="21" t="s">
        <v>1779</v>
      </c>
      <c r="M67" s="23" t="s">
        <v>2006</v>
      </c>
      <c r="N67" s="23" t="s">
        <v>2007</v>
      </c>
      <c r="O67" s="24" t="s">
        <v>2008</v>
      </c>
      <c r="P67" s="23" t="s">
        <v>1615</v>
      </c>
      <c r="Q67" s="23" t="s">
        <v>2009</v>
      </c>
      <c r="R67" s="23" t="s">
        <v>1783</v>
      </c>
    </row>
    <row r="68" customFormat="false" ht="219.75" hidden="false" customHeight="true" outlineLevel="0" collapsed="false">
      <c r="A68" s="17" t="s">
        <v>1125</v>
      </c>
      <c r="B68" s="17" t="s">
        <v>763</v>
      </c>
      <c r="C68" s="17" t="s">
        <v>755</v>
      </c>
      <c r="D68" s="17" t="s">
        <v>1617</v>
      </c>
      <c r="E68" s="21" t="s">
        <v>2010</v>
      </c>
      <c r="F68" s="22" t="s">
        <v>2011</v>
      </c>
      <c r="G68" s="21" t="s">
        <v>2012</v>
      </c>
      <c r="H68" s="21" t="s">
        <v>2013</v>
      </c>
      <c r="I68" s="21" t="s">
        <v>2014</v>
      </c>
      <c r="J68" s="21" t="s">
        <v>2015</v>
      </c>
      <c r="K68" s="22" t="s">
        <v>1778</v>
      </c>
      <c r="L68" s="21" t="s">
        <v>1779</v>
      </c>
      <c r="M68" s="23" t="s">
        <v>2016</v>
      </c>
      <c r="N68" s="23" t="s">
        <v>2017</v>
      </c>
      <c r="O68" s="23" t="s">
        <v>2018</v>
      </c>
      <c r="P68" s="23" t="s">
        <v>1615</v>
      </c>
      <c r="Q68" s="23" t="s">
        <v>1616</v>
      </c>
      <c r="R68" s="23" t="s">
        <v>1783</v>
      </c>
    </row>
    <row r="69" customFormat="false" ht="219.75" hidden="false" customHeight="true" outlineLevel="0" collapsed="false">
      <c r="A69" s="17" t="s">
        <v>1125</v>
      </c>
      <c r="B69" s="17" t="s">
        <v>647</v>
      </c>
      <c r="C69" s="17" t="s">
        <v>638</v>
      </c>
      <c r="D69" s="17" t="s">
        <v>1617</v>
      </c>
      <c r="E69" s="21" t="s">
        <v>2019</v>
      </c>
      <c r="F69" s="22" t="s">
        <v>2020</v>
      </c>
      <c r="G69" s="21" t="s">
        <v>2021</v>
      </c>
      <c r="H69" s="22" t="s">
        <v>2022</v>
      </c>
      <c r="I69" s="21" t="s">
        <v>2023</v>
      </c>
      <c r="J69" s="21" t="s">
        <v>2024</v>
      </c>
      <c r="K69" s="22" t="s">
        <v>1778</v>
      </c>
      <c r="L69" s="21" t="s">
        <v>1779</v>
      </c>
      <c r="M69" s="23" t="s">
        <v>2025</v>
      </c>
      <c r="N69" s="23" t="s">
        <v>2026</v>
      </c>
      <c r="O69" s="24" t="s">
        <v>2027</v>
      </c>
      <c r="P69" s="23" t="s">
        <v>1615</v>
      </c>
      <c r="Q69" s="23" t="s">
        <v>1616</v>
      </c>
      <c r="R69" s="23" t="s">
        <v>1783</v>
      </c>
    </row>
    <row r="70" customFormat="false" ht="219.75" hidden="false" customHeight="true" outlineLevel="0" collapsed="false">
      <c r="A70" s="17" t="s">
        <v>1125</v>
      </c>
      <c r="B70" s="17" t="s">
        <v>1258</v>
      </c>
      <c r="C70" s="17" t="s">
        <v>923</v>
      </c>
      <c r="D70" s="17" t="s">
        <v>1617</v>
      </c>
      <c r="E70" s="21" t="s">
        <v>2028</v>
      </c>
      <c r="F70" s="22" t="s">
        <v>2029</v>
      </c>
      <c r="G70" s="22" t="s">
        <v>2030</v>
      </c>
      <c r="H70" s="22" t="s">
        <v>2031</v>
      </c>
      <c r="I70" s="21" t="s">
        <v>2032</v>
      </c>
      <c r="J70" s="21" t="s">
        <v>2033</v>
      </c>
      <c r="K70" s="22" t="s">
        <v>1778</v>
      </c>
      <c r="L70" s="21" t="s">
        <v>1779</v>
      </c>
      <c r="M70" s="23" t="s">
        <v>2034</v>
      </c>
      <c r="N70" s="23" t="s">
        <v>2035</v>
      </c>
      <c r="O70" s="23" t="s">
        <v>2036</v>
      </c>
      <c r="P70" s="23" t="s">
        <v>1615</v>
      </c>
      <c r="Q70" s="23" t="s">
        <v>2037</v>
      </c>
      <c r="R70" s="23" t="s">
        <v>1783</v>
      </c>
    </row>
    <row r="71" customFormat="false" ht="219.75" hidden="false" customHeight="true" outlineLevel="0" collapsed="false">
      <c r="A71" s="17" t="s">
        <v>1125</v>
      </c>
      <c r="B71" s="17" t="s">
        <v>1287</v>
      </c>
      <c r="C71" s="17" t="s">
        <v>879</v>
      </c>
      <c r="D71" s="17" t="s">
        <v>1617</v>
      </c>
      <c r="E71" s="21" t="s">
        <v>2038</v>
      </c>
      <c r="F71" s="22" t="s">
        <v>2039</v>
      </c>
      <c r="G71" s="22" t="s">
        <v>2040</v>
      </c>
      <c r="H71" s="21" t="s">
        <v>2041</v>
      </c>
      <c r="I71" s="21" t="s">
        <v>2042</v>
      </c>
      <c r="J71" s="21" t="s">
        <v>2043</v>
      </c>
      <c r="K71" s="22" t="s">
        <v>1778</v>
      </c>
      <c r="L71" s="21" t="s">
        <v>1779</v>
      </c>
      <c r="M71" s="23" t="s">
        <v>2044</v>
      </c>
      <c r="N71" s="23" t="s">
        <v>2045</v>
      </c>
      <c r="O71" s="23" t="s">
        <v>2046</v>
      </c>
      <c r="P71" s="23" t="s">
        <v>1615</v>
      </c>
      <c r="Q71" s="24" t="s">
        <v>2047</v>
      </c>
      <c r="R71" s="23" t="s">
        <v>1783</v>
      </c>
    </row>
    <row r="72" customFormat="false" ht="15" hidden="false" customHeight="true" outlineLevel="0" collapsed="false">
      <c r="A72" s="17" t="s">
        <v>1125</v>
      </c>
      <c r="B72" s="17" t="s">
        <v>860</v>
      </c>
      <c r="C72" s="17" t="s">
        <v>854</v>
      </c>
      <c r="D72" s="17" t="s">
        <v>2048</v>
      </c>
      <c r="E72" s="21" t="s">
        <v>2049</v>
      </c>
      <c r="F72" s="22" t="s">
        <v>136</v>
      </c>
      <c r="G72" s="22" t="s">
        <v>136</v>
      </c>
      <c r="H72" s="22" t="s">
        <v>136</v>
      </c>
      <c r="I72" s="22" t="s">
        <v>136</v>
      </c>
      <c r="J72" s="22" t="s">
        <v>136</v>
      </c>
      <c r="K72" s="22" t="s">
        <v>136</v>
      </c>
      <c r="L72" s="22" t="s">
        <v>136</v>
      </c>
      <c r="M72" s="23" t="s">
        <v>2050</v>
      </c>
      <c r="N72" s="23" t="s">
        <v>2051</v>
      </c>
      <c r="O72" s="23" t="s">
        <v>2052</v>
      </c>
      <c r="P72" s="24" t="s">
        <v>39</v>
      </c>
      <c r="Q72" s="23" t="s">
        <v>2053</v>
      </c>
      <c r="R72" s="23" t="s">
        <v>1783</v>
      </c>
    </row>
    <row r="73" customFormat="false" ht="15" hidden="false" customHeight="true" outlineLevel="0" collapsed="false">
      <c r="A73" s="17" t="s">
        <v>1125</v>
      </c>
      <c r="B73" s="17" t="s">
        <v>151</v>
      </c>
      <c r="C73" s="17" t="s">
        <v>142</v>
      </c>
      <c r="D73" s="17" t="s">
        <v>2048</v>
      </c>
      <c r="E73" s="21" t="s">
        <v>2049</v>
      </c>
      <c r="F73" s="22" t="s">
        <v>136</v>
      </c>
      <c r="G73" s="22" t="s">
        <v>136</v>
      </c>
      <c r="H73" s="22" t="s">
        <v>136</v>
      </c>
      <c r="I73" s="22" t="s">
        <v>136</v>
      </c>
      <c r="J73" s="22" t="s">
        <v>136</v>
      </c>
      <c r="K73" s="22" t="s">
        <v>136</v>
      </c>
      <c r="L73" s="22" t="s">
        <v>136</v>
      </c>
      <c r="M73" s="23" t="s">
        <v>2050</v>
      </c>
      <c r="N73" s="23" t="s">
        <v>2054</v>
      </c>
      <c r="O73" s="23" t="s">
        <v>2055</v>
      </c>
      <c r="P73" s="23" t="s">
        <v>1615</v>
      </c>
      <c r="Q73" s="23" t="s">
        <v>2056</v>
      </c>
      <c r="R73" s="23" t="s">
        <v>1783</v>
      </c>
    </row>
    <row r="74" customFormat="false" ht="15" hidden="false" customHeight="true" outlineLevel="0" collapsed="false">
      <c r="A74" s="17" t="s">
        <v>1125</v>
      </c>
      <c r="B74" s="17" t="s">
        <v>228</v>
      </c>
      <c r="C74" s="17" t="s">
        <v>221</v>
      </c>
      <c r="D74" s="17" t="s">
        <v>2048</v>
      </c>
      <c r="E74" s="21" t="s">
        <v>2049</v>
      </c>
      <c r="F74" s="22" t="s">
        <v>136</v>
      </c>
      <c r="G74" s="22" t="s">
        <v>136</v>
      </c>
      <c r="H74" s="22" t="s">
        <v>136</v>
      </c>
      <c r="I74" s="22" t="s">
        <v>136</v>
      </c>
      <c r="J74" s="22" t="s">
        <v>136</v>
      </c>
      <c r="K74" s="22" t="s">
        <v>136</v>
      </c>
      <c r="L74" s="22" t="s">
        <v>136</v>
      </c>
      <c r="M74" s="23" t="s">
        <v>2050</v>
      </c>
      <c r="N74" s="23" t="s">
        <v>2057</v>
      </c>
      <c r="O74" s="23" t="s">
        <v>2058</v>
      </c>
      <c r="P74" s="24" t="s">
        <v>39</v>
      </c>
      <c r="Q74" s="23" t="s">
        <v>2053</v>
      </c>
      <c r="R74" s="23" t="s">
        <v>1783</v>
      </c>
    </row>
    <row r="75" customFormat="false" ht="15" hidden="false" customHeight="true" outlineLevel="0" collapsed="false">
      <c r="A75" s="17" t="s">
        <v>1125</v>
      </c>
      <c r="B75" s="17" t="s">
        <v>1163</v>
      </c>
      <c r="C75" s="17" t="s">
        <v>388</v>
      </c>
      <c r="D75" s="17" t="s">
        <v>2048</v>
      </c>
      <c r="E75" s="21" t="s">
        <v>2049</v>
      </c>
      <c r="F75" s="22" t="s">
        <v>136</v>
      </c>
      <c r="G75" s="22" t="s">
        <v>136</v>
      </c>
      <c r="H75" s="22" t="s">
        <v>136</v>
      </c>
      <c r="I75" s="22" t="s">
        <v>136</v>
      </c>
      <c r="J75" s="22" t="s">
        <v>136</v>
      </c>
      <c r="K75" s="22" t="s">
        <v>136</v>
      </c>
      <c r="L75" s="22" t="s">
        <v>136</v>
      </c>
      <c r="M75" s="23" t="s">
        <v>2050</v>
      </c>
      <c r="N75" s="23" t="s">
        <v>2059</v>
      </c>
      <c r="O75" s="23" t="s">
        <v>2060</v>
      </c>
      <c r="P75" s="24" t="s">
        <v>39</v>
      </c>
      <c r="Q75" s="23" t="s">
        <v>2053</v>
      </c>
      <c r="R75" s="23" t="s">
        <v>1783</v>
      </c>
    </row>
    <row r="76" customFormat="false" ht="15" hidden="false" customHeight="true" outlineLevel="0" collapsed="false">
      <c r="A76" s="17" t="s">
        <v>1125</v>
      </c>
      <c r="B76" s="17" t="s">
        <v>347</v>
      </c>
      <c r="C76" s="17" t="s">
        <v>342</v>
      </c>
      <c r="D76" s="17" t="s">
        <v>2048</v>
      </c>
      <c r="E76" s="21" t="s">
        <v>2049</v>
      </c>
      <c r="F76" s="22" t="s">
        <v>136</v>
      </c>
      <c r="G76" s="22" t="s">
        <v>136</v>
      </c>
      <c r="H76" s="22" t="s">
        <v>136</v>
      </c>
      <c r="I76" s="22" t="s">
        <v>136</v>
      </c>
      <c r="J76" s="22" t="s">
        <v>136</v>
      </c>
      <c r="K76" s="22" t="s">
        <v>136</v>
      </c>
      <c r="L76" s="22" t="s">
        <v>136</v>
      </c>
      <c r="M76" s="23" t="s">
        <v>2050</v>
      </c>
      <c r="N76" s="23" t="s">
        <v>2061</v>
      </c>
      <c r="O76" s="23" t="s">
        <v>2062</v>
      </c>
      <c r="P76" s="24" t="s">
        <v>39</v>
      </c>
      <c r="Q76" s="23" t="s">
        <v>2053</v>
      </c>
      <c r="R76" s="23" t="s">
        <v>1783</v>
      </c>
    </row>
    <row r="77" customFormat="false" ht="15" hidden="false" customHeight="true" outlineLevel="0" collapsed="false">
      <c r="A77" s="17" t="s">
        <v>1125</v>
      </c>
      <c r="B77" s="17" t="s">
        <v>1190</v>
      </c>
      <c r="C77" s="17" t="s">
        <v>423</v>
      </c>
      <c r="D77" s="17" t="s">
        <v>2048</v>
      </c>
      <c r="E77" s="21" t="s">
        <v>2049</v>
      </c>
      <c r="F77" s="22" t="s">
        <v>136</v>
      </c>
      <c r="G77" s="22" t="s">
        <v>136</v>
      </c>
      <c r="H77" s="22" t="s">
        <v>136</v>
      </c>
      <c r="I77" s="22" t="s">
        <v>136</v>
      </c>
      <c r="J77" s="22" t="s">
        <v>136</v>
      </c>
      <c r="K77" s="22" t="s">
        <v>136</v>
      </c>
      <c r="L77" s="22" t="s">
        <v>136</v>
      </c>
      <c r="M77" s="23" t="s">
        <v>2050</v>
      </c>
      <c r="N77" s="23" t="s">
        <v>2063</v>
      </c>
      <c r="O77" s="23" t="s">
        <v>2064</v>
      </c>
      <c r="P77" s="24" t="s">
        <v>39</v>
      </c>
      <c r="Q77" s="23" t="s">
        <v>2053</v>
      </c>
      <c r="R77" s="23" t="s">
        <v>1783</v>
      </c>
    </row>
    <row r="78" customFormat="false" ht="15" hidden="false" customHeight="true" outlineLevel="0" collapsed="false">
      <c r="A78" s="17" t="s">
        <v>1125</v>
      </c>
      <c r="B78" s="17" t="s">
        <v>1201</v>
      </c>
      <c r="C78" s="17" t="s">
        <v>449</v>
      </c>
      <c r="D78" s="17" t="s">
        <v>2048</v>
      </c>
      <c r="E78" s="21" t="s">
        <v>2049</v>
      </c>
      <c r="F78" s="22" t="s">
        <v>136</v>
      </c>
      <c r="G78" s="22" t="s">
        <v>136</v>
      </c>
      <c r="H78" s="22" t="s">
        <v>136</v>
      </c>
      <c r="I78" s="22" t="s">
        <v>136</v>
      </c>
      <c r="J78" s="22" t="s">
        <v>136</v>
      </c>
      <c r="K78" s="22" t="s">
        <v>136</v>
      </c>
      <c r="L78" s="22" t="s">
        <v>136</v>
      </c>
      <c r="M78" s="23" t="s">
        <v>2050</v>
      </c>
      <c r="N78" s="23" t="s">
        <v>2065</v>
      </c>
      <c r="O78" s="23" t="s">
        <v>2066</v>
      </c>
      <c r="P78" s="23" t="s">
        <v>1615</v>
      </c>
      <c r="Q78" s="23" t="s">
        <v>2056</v>
      </c>
      <c r="R78" s="23" t="s">
        <v>1783</v>
      </c>
    </row>
    <row r="79" customFormat="false" ht="15" hidden="false" customHeight="true" outlineLevel="0" collapsed="false">
      <c r="A79" s="17" t="s">
        <v>1125</v>
      </c>
      <c r="B79" s="17" t="s">
        <v>1237</v>
      </c>
      <c r="C79" s="17" t="s">
        <v>1001</v>
      </c>
      <c r="D79" s="17" t="s">
        <v>2048</v>
      </c>
      <c r="E79" s="21" t="s">
        <v>2049</v>
      </c>
      <c r="F79" s="22" t="s">
        <v>136</v>
      </c>
      <c r="G79" s="22" t="s">
        <v>136</v>
      </c>
      <c r="H79" s="22" t="s">
        <v>136</v>
      </c>
      <c r="I79" s="22" t="s">
        <v>136</v>
      </c>
      <c r="J79" s="22" t="s">
        <v>136</v>
      </c>
      <c r="K79" s="22" t="s">
        <v>136</v>
      </c>
      <c r="L79" s="22" t="s">
        <v>136</v>
      </c>
      <c r="M79" s="23" t="s">
        <v>2050</v>
      </c>
      <c r="N79" s="23" t="s">
        <v>2067</v>
      </c>
      <c r="O79" s="23" t="s">
        <v>2068</v>
      </c>
      <c r="P79" s="24" t="s">
        <v>39</v>
      </c>
      <c r="Q79" s="23" t="s">
        <v>2053</v>
      </c>
      <c r="R79" s="23" t="s">
        <v>1783</v>
      </c>
    </row>
    <row r="80" customFormat="false" ht="15" hidden="false" customHeight="true" outlineLevel="0" collapsed="false">
      <c r="A80" s="17" t="s">
        <v>1125</v>
      </c>
      <c r="B80" s="17" t="s">
        <v>1273</v>
      </c>
      <c r="C80" s="17" t="s">
        <v>915</v>
      </c>
      <c r="D80" s="17" t="s">
        <v>2048</v>
      </c>
      <c r="E80" s="21" t="s">
        <v>2049</v>
      </c>
      <c r="F80" s="22" t="s">
        <v>136</v>
      </c>
      <c r="G80" s="22" t="s">
        <v>136</v>
      </c>
      <c r="H80" s="22" t="s">
        <v>136</v>
      </c>
      <c r="I80" s="22" t="s">
        <v>136</v>
      </c>
      <c r="J80" s="22" t="s">
        <v>136</v>
      </c>
      <c r="K80" s="22" t="s">
        <v>136</v>
      </c>
      <c r="L80" s="22" t="s">
        <v>136</v>
      </c>
      <c r="M80" s="23" t="s">
        <v>2050</v>
      </c>
      <c r="N80" s="23" t="s">
        <v>2069</v>
      </c>
      <c r="O80" s="23" t="s">
        <v>2070</v>
      </c>
      <c r="P80" s="24" t="s">
        <v>39</v>
      </c>
      <c r="Q80" s="23" t="s">
        <v>2053</v>
      </c>
      <c r="R80" s="23" t="s">
        <v>1783</v>
      </c>
    </row>
    <row r="81" customFormat="false" ht="15" hidden="false" customHeight="true" outlineLevel="0" collapsed="false">
      <c r="A81" s="17" t="s">
        <v>1125</v>
      </c>
      <c r="B81" s="17" t="s">
        <v>1296</v>
      </c>
      <c r="C81" s="17" t="s">
        <v>1033</v>
      </c>
      <c r="D81" s="17" t="s">
        <v>2048</v>
      </c>
      <c r="E81" s="21" t="s">
        <v>2071</v>
      </c>
      <c r="F81" s="22" t="s">
        <v>136</v>
      </c>
      <c r="G81" s="22" t="s">
        <v>136</v>
      </c>
      <c r="H81" s="22" t="s">
        <v>136</v>
      </c>
      <c r="I81" s="22" t="s">
        <v>136</v>
      </c>
      <c r="J81" s="22" t="s">
        <v>136</v>
      </c>
      <c r="K81" s="22" t="s">
        <v>136</v>
      </c>
      <c r="L81" s="22" t="s">
        <v>136</v>
      </c>
      <c r="M81" s="23" t="s">
        <v>2072</v>
      </c>
      <c r="N81" s="23" t="s">
        <v>2073</v>
      </c>
      <c r="O81" s="23" t="s">
        <v>2074</v>
      </c>
      <c r="P81" s="24" t="s">
        <v>39</v>
      </c>
      <c r="Q81" s="23" t="s">
        <v>2075</v>
      </c>
      <c r="R81" s="23" t="s">
        <v>1783</v>
      </c>
    </row>
    <row r="82" customFormat="false" ht="15" hidden="false" customHeight="true" outlineLevel="0" collapsed="false">
      <c r="A82" s="17" t="s">
        <v>1125</v>
      </c>
      <c r="B82" s="17" t="s">
        <v>1302</v>
      </c>
      <c r="C82" s="17" t="s">
        <v>600</v>
      </c>
      <c r="D82" s="17" t="s">
        <v>2048</v>
      </c>
      <c r="E82" s="21" t="s">
        <v>2071</v>
      </c>
      <c r="F82" s="22" t="s">
        <v>136</v>
      </c>
      <c r="G82" s="22" t="s">
        <v>136</v>
      </c>
      <c r="H82" s="22" t="s">
        <v>136</v>
      </c>
      <c r="I82" s="22" t="s">
        <v>136</v>
      </c>
      <c r="J82" s="22" t="s">
        <v>136</v>
      </c>
      <c r="K82" s="22" t="s">
        <v>136</v>
      </c>
      <c r="L82" s="22" t="s">
        <v>136</v>
      </c>
      <c r="M82" s="23" t="s">
        <v>2076</v>
      </c>
      <c r="N82" s="24" t="s">
        <v>2077</v>
      </c>
      <c r="O82" s="24" t="s">
        <v>136</v>
      </c>
      <c r="P82" s="24" t="s">
        <v>39</v>
      </c>
      <c r="Q82" s="23" t="s">
        <v>2078</v>
      </c>
      <c r="R82" s="23" t="s">
        <v>1783</v>
      </c>
    </row>
    <row r="83" customFormat="false" ht="15" hidden="false" customHeight="true" outlineLevel="0" collapsed="false">
      <c r="A83" s="17" t="s">
        <v>1125</v>
      </c>
      <c r="B83" s="17" t="s">
        <v>1309</v>
      </c>
      <c r="C83" s="17" t="s">
        <v>879</v>
      </c>
      <c r="D83" s="17" t="s">
        <v>2048</v>
      </c>
      <c r="E83" s="21" t="s">
        <v>2071</v>
      </c>
      <c r="F83" s="22" t="s">
        <v>136</v>
      </c>
      <c r="G83" s="22" t="s">
        <v>136</v>
      </c>
      <c r="H83" s="22" t="s">
        <v>136</v>
      </c>
      <c r="I83" s="22" t="s">
        <v>136</v>
      </c>
      <c r="J83" s="22" t="s">
        <v>136</v>
      </c>
      <c r="K83" s="22" t="s">
        <v>136</v>
      </c>
      <c r="L83" s="22" t="s">
        <v>136</v>
      </c>
      <c r="M83" s="24" t="s">
        <v>2079</v>
      </c>
      <c r="N83" s="23" t="s">
        <v>2080</v>
      </c>
      <c r="O83" s="24" t="s">
        <v>2081</v>
      </c>
      <c r="P83" s="24" t="s">
        <v>39</v>
      </c>
      <c r="Q83" s="23" t="s">
        <v>2082</v>
      </c>
      <c r="R83" s="23" t="s">
        <v>1783</v>
      </c>
    </row>
    <row r="84" customFormat="false" ht="15" hidden="false" customHeight="true" outlineLevel="0" collapsed="false">
      <c r="A84" s="17" t="s">
        <v>1125</v>
      </c>
      <c r="B84" s="17" t="s">
        <v>1315</v>
      </c>
      <c r="C84" s="17" t="s">
        <v>396</v>
      </c>
      <c r="D84" s="17" t="s">
        <v>2048</v>
      </c>
      <c r="E84" s="21" t="s">
        <v>2071</v>
      </c>
      <c r="F84" s="22" t="s">
        <v>136</v>
      </c>
      <c r="G84" s="22" t="s">
        <v>136</v>
      </c>
      <c r="H84" s="22" t="s">
        <v>136</v>
      </c>
      <c r="I84" s="22" t="s">
        <v>136</v>
      </c>
      <c r="J84" s="22" t="s">
        <v>136</v>
      </c>
      <c r="K84" s="22" t="s">
        <v>136</v>
      </c>
      <c r="L84" s="22" t="s">
        <v>136</v>
      </c>
      <c r="M84" s="23" t="s">
        <v>2083</v>
      </c>
      <c r="N84" s="23" t="s">
        <v>2084</v>
      </c>
      <c r="O84" s="23" t="s">
        <v>2085</v>
      </c>
      <c r="P84" s="24" t="s">
        <v>39</v>
      </c>
      <c r="Q84" s="23" t="s">
        <v>2086</v>
      </c>
      <c r="R84" s="23" t="s">
        <v>1783</v>
      </c>
    </row>
    <row r="85" customFormat="false" ht="15" hidden="false" customHeight="true" outlineLevel="0" collapsed="false">
      <c r="A85" s="17" t="s">
        <v>1125</v>
      </c>
      <c r="B85" s="17" t="s">
        <v>1321</v>
      </c>
      <c r="C85" s="17" t="s">
        <v>931</v>
      </c>
      <c r="D85" s="17" t="s">
        <v>2048</v>
      </c>
      <c r="E85" s="21" t="s">
        <v>2071</v>
      </c>
      <c r="F85" s="22" t="s">
        <v>136</v>
      </c>
      <c r="G85" s="22" t="s">
        <v>136</v>
      </c>
      <c r="H85" s="22" t="s">
        <v>136</v>
      </c>
      <c r="I85" s="22" t="s">
        <v>136</v>
      </c>
      <c r="J85" s="22" t="s">
        <v>136</v>
      </c>
      <c r="K85" s="22" t="s">
        <v>136</v>
      </c>
      <c r="L85" s="22" t="s">
        <v>136</v>
      </c>
      <c r="M85" s="23" t="s">
        <v>2087</v>
      </c>
      <c r="N85" s="23" t="s">
        <v>2088</v>
      </c>
      <c r="O85" s="23" t="s">
        <v>2089</v>
      </c>
      <c r="P85" s="24" t="s">
        <v>39</v>
      </c>
      <c r="Q85" s="23" t="s">
        <v>2090</v>
      </c>
      <c r="R85" s="23" t="s">
        <v>1783</v>
      </c>
    </row>
    <row r="86" customFormat="false" ht="15" hidden="false" customHeight="true" outlineLevel="0" collapsed="false">
      <c r="A86" s="17" t="s">
        <v>1125</v>
      </c>
      <c r="B86" s="17" t="s">
        <v>1327</v>
      </c>
      <c r="C86" s="17" t="s">
        <v>879</v>
      </c>
      <c r="D86" s="17" t="s">
        <v>2048</v>
      </c>
      <c r="E86" s="21" t="s">
        <v>2071</v>
      </c>
      <c r="F86" s="22" t="s">
        <v>136</v>
      </c>
      <c r="G86" s="22" t="s">
        <v>136</v>
      </c>
      <c r="H86" s="22" t="s">
        <v>136</v>
      </c>
      <c r="I86" s="22" t="s">
        <v>136</v>
      </c>
      <c r="J86" s="22" t="s">
        <v>136</v>
      </c>
      <c r="K86" s="22" t="s">
        <v>136</v>
      </c>
      <c r="L86" s="22" t="s">
        <v>136</v>
      </c>
      <c r="M86" s="23" t="s">
        <v>2091</v>
      </c>
      <c r="N86" s="23" t="s">
        <v>2092</v>
      </c>
      <c r="O86" s="24" t="s">
        <v>2093</v>
      </c>
      <c r="P86" s="24" t="s">
        <v>39</v>
      </c>
      <c r="Q86" s="23" t="s">
        <v>2094</v>
      </c>
      <c r="R86" s="23" t="s">
        <v>1783</v>
      </c>
    </row>
    <row r="87" customFormat="false" ht="15" hidden="false" customHeight="true" outlineLevel="0" collapsed="false">
      <c r="A87" s="17" t="s">
        <v>1125</v>
      </c>
      <c r="B87" s="17" t="s">
        <v>1093</v>
      </c>
      <c r="C87" s="17" t="s">
        <v>1088</v>
      </c>
      <c r="D87" s="17" t="s">
        <v>2048</v>
      </c>
      <c r="E87" s="21" t="s">
        <v>2071</v>
      </c>
      <c r="F87" s="22" t="s">
        <v>136</v>
      </c>
      <c r="G87" s="22" t="s">
        <v>136</v>
      </c>
      <c r="H87" s="22" t="s">
        <v>136</v>
      </c>
      <c r="I87" s="22" t="s">
        <v>136</v>
      </c>
      <c r="J87" s="22" t="s">
        <v>136</v>
      </c>
      <c r="K87" s="22" t="s">
        <v>136</v>
      </c>
      <c r="L87" s="22" t="s">
        <v>136</v>
      </c>
      <c r="M87" s="23" t="s">
        <v>2095</v>
      </c>
      <c r="N87" s="23" t="s">
        <v>2096</v>
      </c>
      <c r="O87" s="23" t="s">
        <v>2097</v>
      </c>
      <c r="P87" s="24" t="s">
        <v>39</v>
      </c>
      <c r="Q87" s="23" t="s">
        <v>2098</v>
      </c>
      <c r="R87" s="23" t="s">
        <v>1783</v>
      </c>
    </row>
    <row r="88" customFormat="false" ht="15" hidden="false" customHeight="true" outlineLevel="0" collapsed="false">
      <c r="A88" s="17" t="s">
        <v>1125</v>
      </c>
      <c r="B88" s="17" t="s">
        <v>1338</v>
      </c>
      <c r="C88" s="17" t="s">
        <v>879</v>
      </c>
      <c r="D88" s="17" t="s">
        <v>2048</v>
      </c>
      <c r="E88" s="21" t="s">
        <v>2071</v>
      </c>
      <c r="F88" s="22" t="s">
        <v>136</v>
      </c>
      <c r="G88" s="22" t="s">
        <v>136</v>
      </c>
      <c r="H88" s="22" t="s">
        <v>136</v>
      </c>
      <c r="I88" s="22" t="s">
        <v>136</v>
      </c>
      <c r="J88" s="22" t="s">
        <v>136</v>
      </c>
      <c r="K88" s="22" t="s">
        <v>136</v>
      </c>
      <c r="L88" s="22" t="s">
        <v>136</v>
      </c>
      <c r="M88" s="23" t="s">
        <v>2099</v>
      </c>
      <c r="N88" s="23" t="s">
        <v>2100</v>
      </c>
      <c r="O88" s="23" t="s">
        <v>2101</v>
      </c>
      <c r="P88" s="23" t="s">
        <v>1570</v>
      </c>
      <c r="Q88" s="23" t="s">
        <v>2102</v>
      </c>
      <c r="R88" s="23" t="s">
        <v>1783</v>
      </c>
    </row>
    <row r="89" customFormat="false" ht="15" hidden="false" customHeight="true" outlineLevel="0" collapsed="false">
      <c r="A89" s="17" t="s">
        <v>1125</v>
      </c>
      <c r="B89" s="17" t="s">
        <v>1344</v>
      </c>
      <c r="C89" s="17" t="s">
        <v>413</v>
      </c>
      <c r="D89" s="17" t="s">
        <v>2048</v>
      </c>
      <c r="E89" s="21" t="s">
        <v>2071</v>
      </c>
      <c r="F89" s="22" t="s">
        <v>136</v>
      </c>
      <c r="G89" s="22" t="s">
        <v>136</v>
      </c>
      <c r="H89" s="22" t="s">
        <v>136</v>
      </c>
      <c r="I89" s="22" t="s">
        <v>136</v>
      </c>
      <c r="J89" s="22" t="s">
        <v>136</v>
      </c>
      <c r="K89" s="22" t="s">
        <v>136</v>
      </c>
      <c r="L89" s="22" t="s">
        <v>136</v>
      </c>
      <c r="M89" s="23" t="s">
        <v>2103</v>
      </c>
      <c r="N89" s="23" t="s">
        <v>2104</v>
      </c>
      <c r="O89" s="24" t="s">
        <v>2105</v>
      </c>
      <c r="P89" s="23" t="s">
        <v>1570</v>
      </c>
      <c r="Q89" s="23" t="s">
        <v>2106</v>
      </c>
      <c r="R89" s="23" t="s">
        <v>1783</v>
      </c>
    </row>
    <row r="90" customFormat="false" ht="15" hidden="false" customHeight="true" outlineLevel="0" collapsed="false">
      <c r="A90" s="17" t="s">
        <v>1125</v>
      </c>
      <c r="B90" s="17" t="s">
        <v>1350</v>
      </c>
      <c r="C90" s="17" t="s">
        <v>396</v>
      </c>
      <c r="D90" s="17" t="s">
        <v>2048</v>
      </c>
      <c r="E90" s="21" t="s">
        <v>2071</v>
      </c>
      <c r="F90" s="22" t="s">
        <v>136</v>
      </c>
      <c r="G90" s="22" t="s">
        <v>136</v>
      </c>
      <c r="H90" s="22" t="s">
        <v>136</v>
      </c>
      <c r="I90" s="22" t="s">
        <v>136</v>
      </c>
      <c r="J90" s="22" t="s">
        <v>136</v>
      </c>
      <c r="K90" s="22" t="s">
        <v>136</v>
      </c>
      <c r="L90" s="22" t="s">
        <v>136</v>
      </c>
      <c r="M90" s="23" t="s">
        <v>2107</v>
      </c>
      <c r="N90" s="23" t="s">
        <v>2108</v>
      </c>
      <c r="O90" s="23" t="s">
        <v>2109</v>
      </c>
      <c r="P90" s="23" t="s">
        <v>1570</v>
      </c>
      <c r="Q90" s="23" t="s">
        <v>2110</v>
      </c>
      <c r="R90" s="23" t="s">
        <v>1783</v>
      </c>
    </row>
    <row r="91" customFormat="false" ht="219.75" hidden="false" customHeight="true" outlineLevel="0" collapsed="false">
      <c r="A91" s="17" t="s">
        <v>1138</v>
      </c>
      <c r="B91" s="17" t="s">
        <v>1227</v>
      </c>
      <c r="C91" s="17" t="s">
        <v>609</v>
      </c>
      <c r="D91" s="17" t="s">
        <v>2048</v>
      </c>
      <c r="E91" s="21" t="s">
        <v>2111</v>
      </c>
      <c r="F91" s="22" t="s">
        <v>2112</v>
      </c>
      <c r="G91" s="22" t="s">
        <v>2113</v>
      </c>
      <c r="H91" s="22" t="s">
        <v>2114</v>
      </c>
      <c r="I91" s="21" t="s">
        <v>2115</v>
      </c>
      <c r="J91" s="21" t="s">
        <v>2116</v>
      </c>
      <c r="K91" s="22" t="s">
        <v>2117</v>
      </c>
      <c r="L91" s="21" t="s">
        <v>2118</v>
      </c>
      <c r="M91" s="23" t="s">
        <v>2119</v>
      </c>
      <c r="N91" s="23" t="s">
        <v>2120</v>
      </c>
      <c r="O91" s="23" t="s">
        <v>2121</v>
      </c>
      <c r="P91" s="23" t="s">
        <v>1615</v>
      </c>
      <c r="Q91" s="23" t="s">
        <v>1616</v>
      </c>
      <c r="R91" s="23" t="s">
        <v>1783</v>
      </c>
    </row>
    <row r="92" customFormat="false" ht="219.75" hidden="false" customHeight="true" outlineLevel="0" collapsed="false">
      <c r="A92" s="17" t="s">
        <v>1138</v>
      </c>
      <c r="B92" s="17" t="s">
        <v>447</v>
      </c>
      <c r="C92" s="17" t="s">
        <v>440</v>
      </c>
      <c r="D92" s="17" t="s">
        <v>2048</v>
      </c>
      <c r="E92" s="21" t="s">
        <v>2122</v>
      </c>
      <c r="F92" s="22" t="s">
        <v>2123</v>
      </c>
      <c r="G92" s="22" t="s">
        <v>2124</v>
      </c>
      <c r="H92" s="21" t="s">
        <v>2125</v>
      </c>
      <c r="I92" s="21" t="s">
        <v>2126</v>
      </c>
      <c r="J92" s="21" t="s">
        <v>2127</v>
      </c>
      <c r="K92" s="22" t="s">
        <v>2117</v>
      </c>
      <c r="L92" s="21" t="s">
        <v>2118</v>
      </c>
      <c r="M92" s="23" t="s">
        <v>2128</v>
      </c>
      <c r="N92" s="23" t="s">
        <v>2129</v>
      </c>
      <c r="O92" s="23" t="s">
        <v>2130</v>
      </c>
      <c r="P92" s="23" t="s">
        <v>1615</v>
      </c>
      <c r="Q92" s="23" t="s">
        <v>1616</v>
      </c>
      <c r="R92" s="23" t="s">
        <v>1783</v>
      </c>
    </row>
    <row r="93" customFormat="false" ht="219.75" hidden="false" customHeight="true" outlineLevel="0" collapsed="false">
      <c r="A93" s="17" t="s">
        <v>1138</v>
      </c>
      <c r="B93" s="17" t="s">
        <v>1237</v>
      </c>
      <c r="C93" s="17" t="s">
        <v>1001</v>
      </c>
      <c r="D93" s="17" t="s">
        <v>2048</v>
      </c>
      <c r="E93" s="21" t="s">
        <v>2131</v>
      </c>
      <c r="F93" s="22" t="s">
        <v>2132</v>
      </c>
      <c r="G93" s="22" t="s">
        <v>2133</v>
      </c>
      <c r="H93" s="21" t="s">
        <v>2134</v>
      </c>
      <c r="I93" s="21" t="s">
        <v>2135</v>
      </c>
      <c r="J93" s="21" t="s">
        <v>2136</v>
      </c>
      <c r="K93" s="22" t="s">
        <v>2117</v>
      </c>
      <c r="L93" s="21" t="s">
        <v>2118</v>
      </c>
      <c r="M93" s="23" t="s">
        <v>2137</v>
      </c>
      <c r="N93" s="23" t="s">
        <v>2138</v>
      </c>
      <c r="O93" s="24" t="s">
        <v>2139</v>
      </c>
      <c r="P93" s="23" t="s">
        <v>1615</v>
      </c>
      <c r="Q93" s="24" t="s">
        <v>2140</v>
      </c>
      <c r="R93" s="23" t="s">
        <v>1783</v>
      </c>
    </row>
    <row r="94" customFormat="false" ht="219.75" hidden="false" customHeight="true" outlineLevel="0" collapsed="false">
      <c r="A94" s="17" t="s">
        <v>1138</v>
      </c>
      <c r="B94" s="17" t="s">
        <v>1273</v>
      </c>
      <c r="C94" s="17" t="s">
        <v>915</v>
      </c>
      <c r="D94" s="17" t="s">
        <v>2048</v>
      </c>
      <c r="E94" s="21" t="s">
        <v>2141</v>
      </c>
      <c r="F94" s="22" t="s">
        <v>2142</v>
      </c>
      <c r="G94" s="21" t="s">
        <v>2143</v>
      </c>
      <c r="H94" s="21" t="s">
        <v>2144</v>
      </c>
      <c r="I94" s="21" t="s">
        <v>2145</v>
      </c>
      <c r="J94" s="21" t="s">
        <v>2146</v>
      </c>
      <c r="K94" s="22" t="s">
        <v>2117</v>
      </c>
      <c r="L94" s="21" t="s">
        <v>2118</v>
      </c>
      <c r="M94" s="23" t="s">
        <v>2147</v>
      </c>
      <c r="N94" s="23" t="s">
        <v>2148</v>
      </c>
      <c r="O94" s="23" t="s">
        <v>2149</v>
      </c>
      <c r="P94" s="23" t="s">
        <v>1615</v>
      </c>
      <c r="Q94" s="23" t="s">
        <v>2150</v>
      </c>
      <c r="R94" s="23" t="s">
        <v>1783</v>
      </c>
    </row>
    <row r="95" customFormat="false" ht="219.75" hidden="false" customHeight="true" outlineLevel="0" collapsed="false">
      <c r="A95" s="17" t="s">
        <v>1138</v>
      </c>
      <c r="B95" s="17" t="s">
        <v>1315</v>
      </c>
      <c r="C95" s="17" t="s">
        <v>396</v>
      </c>
      <c r="D95" s="17" t="s">
        <v>2048</v>
      </c>
      <c r="E95" s="21" t="s">
        <v>2151</v>
      </c>
      <c r="F95" s="22" t="s">
        <v>2152</v>
      </c>
      <c r="G95" s="22" t="s">
        <v>2153</v>
      </c>
      <c r="H95" s="22" t="s">
        <v>2154</v>
      </c>
      <c r="I95" s="21" t="s">
        <v>2155</v>
      </c>
      <c r="J95" s="21" t="s">
        <v>2156</v>
      </c>
      <c r="K95" s="22" t="s">
        <v>2117</v>
      </c>
      <c r="L95" s="21" t="s">
        <v>2118</v>
      </c>
      <c r="M95" s="23" t="s">
        <v>2157</v>
      </c>
      <c r="N95" s="23" t="s">
        <v>2158</v>
      </c>
      <c r="O95" s="23" t="s">
        <v>2159</v>
      </c>
      <c r="P95" s="23" t="s">
        <v>1615</v>
      </c>
      <c r="Q95" s="23" t="s">
        <v>2160</v>
      </c>
      <c r="R95" s="23" t="s">
        <v>1783</v>
      </c>
    </row>
    <row r="96" customFormat="false" ht="219.75" hidden="false" customHeight="true" outlineLevel="0" collapsed="false">
      <c r="A96" s="17" t="s">
        <v>1138</v>
      </c>
      <c r="B96" s="17" t="s">
        <v>860</v>
      </c>
      <c r="C96" s="17" t="s">
        <v>854</v>
      </c>
      <c r="D96" s="17" t="s">
        <v>2048</v>
      </c>
      <c r="E96" s="21" t="s">
        <v>2161</v>
      </c>
      <c r="F96" s="22" t="s">
        <v>2162</v>
      </c>
      <c r="G96" s="21" t="s">
        <v>2163</v>
      </c>
      <c r="H96" s="21" t="s">
        <v>2164</v>
      </c>
      <c r="I96" s="21" t="s">
        <v>2165</v>
      </c>
      <c r="J96" s="21" t="s">
        <v>2166</v>
      </c>
      <c r="K96" s="22" t="s">
        <v>2117</v>
      </c>
      <c r="L96" s="21" t="s">
        <v>2118</v>
      </c>
      <c r="M96" s="23" t="s">
        <v>2167</v>
      </c>
      <c r="N96" s="23" t="s">
        <v>2168</v>
      </c>
      <c r="O96" s="23" t="s">
        <v>2169</v>
      </c>
      <c r="P96" s="23" t="s">
        <v>1615</v>
      </c>
      <c r="Q96" s="23" t="s">
        <v>1616</v>
      </c>
      <c r="R96" s="23" t="s">
        <v>1783</v>
      </c>
    </row>
    <row r="97" customFormat="false" ht="219.75" hidden="false" customHeight="true" outlineLevel="0" collapsed="false">
      <c r="A97" s="17" t="s">
        <v>1138</v>
      </c>
      <c r="B97" s="17" t="s">
        <v>228</v>
      </c>
      <c r="C97" s="17" t="s">
        <v>221</v>
      </c>
      <c r="D97" s="17" t="s">
        <v>2048</v>
      </c>
      <c r="E97" s="21" t="s">
        <v>2170</v>
      </c>
      <c r="F97" s="22" t="s">
        <v>2171</v>
      </c>
      <c r="G97" s="21" t="s">
        <v>2172</v>
      </c>
      <c r="H97" s="21" t="s">
        <v>2173</v>
      </c>
      <c r="I97" s="21" t="s">
        <v>2174</v>
      </c>
      <c r="J97" s="21" t="s">
        <v>2175</v>
      </c>
      <c r="K97" s="22" t="s">
        <v>2117</v>
      </c>
      <c r="L97" s="21" t="s">
        <v>2118</v>
      </c>
      <c r="M97" s="23" t="s">
        <v>2176</v>
      </c>
      <c r="N97" s="23" t="s">
        <v>2177</v>
      </c>
      <c r="O97" s="23" t="s">
        <v>2178</v>
      </c>
      <c r="P97" s="23" t="s">
        <v>1615</v>
      </c>
      <c r="Q97" s="24" t="s">
        <v>2179</v>
      </c>
      <c r="R97" s="23" t="s">
        <v>1783</v>
      </c>
    </row>
    <row r="98" customFormat="false" ht="219.75" hidden="false" customHeight="true" outlineLevel="0" collapsed="false">
      <c r="A98" s="17" t="s">
        <v>1138</v>
      </c>
      <c r="B98" s="17" t="s">
        <v>1163</v>
      </c>
      <c r="C98" s="17" t="s">
        <v>388</v>
      </c>
      <c r="D98" s="17" t="s">
        <v>2048</v>
      </c>
      <c r="E98" s="21" t="s">
        <v>2180</v>
      </c>
      <c r="F98" s="22" t="s">
        <v>2181</v>
      </c>
      <c r="G98" s="22" t="s">
        <v>2182</v>
      </c>
      <c r="H98" s="22" t="s">
        <v>2183</v>
      </c>
      <c r="I98" s="21" t="s">
        <v>2184</v>
      </c>
      <c r="J98" s="21" t="s">
        <v>2185</v>
      </c>
      <c r="K98" s="22" t="s">
        <v>2117</v>
      </c>
      <c r="L98" s="21" t="s">
        <v>2118</v>
      </c>
      <c r="M98" s="23" t="s">
        <v>2186</v>
      </c>
      <c r="N98" s="23" t="s">
        <v>2187</v>
      </c>
      <c r="O98" s="23" t="s">
        <v>2188</v>
      </c>
      <c r="P98" s="23" t="s">
        <v>1615</v>
      </c>
      <c r="Q98" s="24" t="s">
        <v>2189</v>
      </c>
      <c r="R98" s="23" t="s">
        <v>1783</v>
      </c>
    </row>
    <row r="99" customFormat="false" ht="219.75" hidden="false" customHeight="true" outlineLevel="0" collapsed="false">
      <c r="A99" s="17" t="s">
        <v>1138</v>
      </c>
      <c r="B99" s="17" t="s">
        <v>347</v>
      </c>
      <c r="C99" s="17" t="s">
        <v>342</v>
      </c>
      <c r="D99" s="17" t="s">
        <v>2048</v>
      </c>
      <c r="E99" s="21" t="s">
        <v>2190</v>
      </c>
      <c r="F99" s="22" t="s">
        <v>2191</v>
      </c>
      <c r="G99" s="21" t="s">
        <v>2192</v>
      </c>
      <c r="H99" s="21" t="s">
        <v>2193</v>
      </c>
      <c r="I99" s="21" t="s">
        <v>2194</v>
      </c>
      <c r="J99" s="21" t="s">
        <v>2195</v>
      </c>
      <c r="K99" s="22" t="s">
        <v>2117</v>
      </c>
      <c r="L99" s="21" t="s">
        <v>2118</v>
      </c>
      <c r="M99" s="23" t="s">
        <v>2196</v>
      </c>
      <c r="N99" s="23" t="s">
        <v>2197</v>
      </c>
      <c r="O99" s="23" t="s">
        <v>2198</v>
      </c>
      <c r="P99" s="23" t="s">
        <v>1615</v>
      </c>
      <c r="Q99" s="23" t="s">
        <v>1616</v>
      </c>
      <c r="R99" s="23" t="s">
        <v>1783</v>
      </c>
    </row>
    <row r="100" customFormat="false" ht="219.75" hidden="false" customHeight="true" outlineLevel="0" collapsed="false">
      <c r="A100" s="17" t="s">
        <v>1138</v>
      </c>
      <c r="B100" s="17" t="s">
        <v>1190</v>
      </c>
      <c r="C100" s="17" t="s">
        <v>423</v>
      </c>
      <c r="D100" s="17" t="s">
        <v>2048</v>
      </c>
      <c r="E100" s="21" t="s">
        <v>2199</v>
      </c>
      <c r="F100" s="22" t="s">
        <v>2200</v>
      </c>
      <c r="G100" s="21" t="s">
        <v>2201</v>
      </c>
      <c r="H100" s="21" t="s">
        <v>2202</v>
      </c>
      <c r="I100" s="21" t="s">
        <v>2203</v>
      </c>
      <c r="J100" s="21" t="s">
        <v>2204</v>
      </c>
      <c r="K100" s="22" t="s">
        <v>2117</v>
      </c>
      <c r="L100" s="21" t="s">
        <v>2118</v>
      </c>
      <c r="M100" s="23" t="s">
        <v>2205</v>
      </c>
      <c r="N100" s="23" t="s">
        <v>2206</v>
      </c>
      <c r="O100" s="23" t="s">
        <v>2207</v>
      </c>
      <c r="P100" s="23" t="s">
        <v>1615</v>
      </c>
      <c r="Q100" s="23" t="s">
        <v>2208</v>
      </c>
      <c r="R100" s="23" t="s">
        <v>1783</v>
      </c>
    </row>
    <row r="101" customFormat="false" ht="219.75" hidden="false" customHeight="true" outlineLevel="0" collapsed="false">
      <c r="A101" s="17" t="s">
        <v>1138</v>
      </c>
      <c r="B101" s="17" t="s">
        <v>1296</v>
      </c>
      <c r="C101" s="17" t="s">
        <v>1033</v>
      </c>
      <c r="D101" s="17" t="s">
        <v>2048</v>
      </c>
      <c r="E101" s="21" t="s">
        <v>1862</v>
      </c>
      <c r="F101" s="22" t="s">
        <v>2209</v>
      </c>
      <c r="G101" s="21" t="s">
        <v>2210</v>
      </c>
      <c r="H101" s="21" t="s">
        <v>2211</v>
      </c>
      <c r="I101" s="21" t="s">
        <v>2212</v>
      </c>
      <c r="J101" s="21" t="s">
        <v>2213</v>
      </c>
      <c r="K101" s="22" t="s">
        <v>2117</v>
      </c>
      <c r="L101" s="21" t="s">
        <v>2118</v>
      </c>
      <c r="M101" s="23" t="s">
        <v>2214</v>
      </c>
      <c r="N101" s="23" t="s">
        <v>2215</v>
      </c>
      <c r="O101" s="23" t="s">
        <v>2216</v>
      </c>
      <c r="P101" s="23" t="s">
        <v>1615</v>
      </c>
      <c r="Q101" s="23" t="s">
        <v>1616</v>
      </c>
      <c r="R101" s="23" t="s">
        <v>1783</v>
      </c>
    </row>
    <row r="102" customFormat="false" ht="219.75" hidden="false" customHeight="true" outlineLevel="0" collapsed="false">
      <c r="A102" s="17" t="s">
        <v>1138</v>
      </c>
      <c r="B102" s="17" t="s">
        <v>1302</v>
      </c>
      <c r="C102" s="17" t="s">
        <v>600</v>
      </c>
      <c r="D102" s="17" t="s">
        <v>2048</v>
      </c>
      <c r="E102" s="21" t="s">
        <v>2217</v>
      </c>
      <c r="F102" s="22" t="s">
        <v>2218</v>
      </c>
      <c r="G102" s="21" t="s">
        <v>2219</v>
      </c>
      <c r="H102" s="21" t="s">
        <v>2220</v>
      </c>
      <c r="I102" s="21" t="s">
        <v>2221</v>
      </c>
      <c r="J102" s="21" t="s">
        <v>2222</v>
      </c>
      <c r="K102" s="22" t="s">
        <v>2117</v>
      </c>
      <c r="L102" s="21" t="s">
        <v>2118</v>
      </c>
      <c r="M102" s="23" t="s">
        <v>2223</v>
      </c>
      <c r="N102" s="23" t="s">
        <v>2224</v>
      </c>
      <c r="O102" s="23" t="s">
        <v>2225</v>
      </c>
      <c r="P102" s="23" t="s">
        <v>1979</v>
      </c>
      <c r="Q102" s="23" t="s">
        <v>2226</v>
      </c>
      <c r="R102" s="23" t="s">
        <v>1783</v>
      </c>
    </row>
    <row r="103" customFormat="false" ht="219.75" hidden="false" customHeight="true" outlineLevel="0" collapsed="false">
      <c r="A103" s="17" t="s">
        <v>1138</v>
      </c>
      <c r="B103" s="17" t="s">
        <v>1309</v>
      </c>
      <c r="C103" s="17" t="s">
        <v>879</v>
      </c>
      <c r="D103" s="17" t="s">
        <v>2048</v>
      </c>
      <c r="E103" s="21" t="s">
        <v>2227</v>
      </c>
      <c r="F103" s="22" t="s">
        <v>2228</v>
      </c>
      <c r="G103" s="21" t="s">
        <v>2229</v>
      </c>
      <c r="H103" s="21" t="s">
        <v>2230</v>
      </c>
      <c r="I103" s="21" t="s">
        <v>2231</v>
      </c>
      <c r="J103" s="21" t="s">
        <v>2232</v>
      </c>
      <c r="K103" s="22" t="s">
        <v>2117</v>
      </c>
      <c r="L103" s="21" t="s">
        <v>2118</v>
      </c>
      <c r="M103" s="23" t="s">
        <v>2233</v>
      </c>
      <c r="N103" s="23" t="s">
        <v>2234</v>
      </c>
      <c r="O103" s="23" t="s">
        <v>2235</v>
      </c>
      <c r="P103" s="23" t="s">
        <v>1615</v>
      </c>
      <c r="Q103" s="24" t="s">
        <v>2236</v>
      </c>
      <c r="R103" s="23" t="s">
        <v>1783</v>
      </c>
    </row>
    <row r="104" customFormat="false" ht="219.75" hidden="false" customHeight="true" outlineLevel="0" collapsed="false">
      <c r="A104" s="17" t="s">
        <v>1138</v>
      </c>
      <c r="B104" s="17" t="s">
        <v>1321</v>
      </c>
      <c r="C104" s="17" t="s">
        <v>931</v>
      </c>
      <c r="D104" s="17" t="s">
        <v>2048</v>
      </c>
      <c r="E104" s="21" t="s">
        <v>2237</v>
      </c>
      <c r="F104" s="22" t="s">
        <v>2238</v>
      </c>
      <c r="G104" s="22" t="s">
        <v>2239</v>
      </c>
      <c r="H104" s="22" t="s">
        <v>2240</v>
      </c>
      <c r="I104" s="21" t="s">
        <v>2241</v>
      </c>
      <c r="J104" s="21" t="s">
        <v>2242</v>
      </c>
      <c r="K104" s="22" t="s">
        <v>2117</v>
      </c>
      <c r="L104" s="21" t="s">
        <v>2118</v>
      </c>
      <c r="M104" s="23" t="s">
        <v>2243</v>
      </c>
      <c r="N104" s="23" t="s">
        <v>2244</v>
      </c>
      <c r="O104" s="23" t="s">
        <v>2245</v>
      </c>
      <c r="P104" s="23" t="s">
        <v>1615</v>
      </c>
      <c r="Q104" s="23" t="s">
        <v>2246</v>
      </c>
      <c r="R104" s="23" t="s">
        <v>1783</v>
      </c>
    </row>
    <row r="105" customFormat="false" ht="219.75" hidden="false" customHeight="true" outlineLevel="0" collapsed="false">
      <c r="A105" s="17" t="s">
        <v>1138</v>
      </c>
      <c r="B105" s="17" t="s">
        <v>1327</v>
      </c>
      <c r="C105" s="17" t="s">
        <v>2247</v>
      </c>
      <c r="D105" s="17" t="s">
        <v>2048</v>
      </c>
      <c r="E105" s="21" t="s">
        <v>2248</v>
      </c>
      <c r="F105" s="22" t="s">
        <v>2249</v>
      </c>
      <c r="G105" s="21" t="s">
        <v>2250</v>
      </c>
      <c r="H105" s="22" t="s">
        <v>2251</v>
      </c>
      <c r="I105" s="21" t="s">
        <v>2252</v>
      </c>
      <c r="J105" s="21" t="s">
        <v>2253</v>
      </c>
      <c r="K105" s="22" t="s">
        <v>2117</v>
      </c>
      <c r="L105" s="21" t="s">
        <v>2118</v>
      </c>
      <c r="M105" s="23" t="s">
        <v>2254</v>
      </c>
      <c r="N105" s="23" t="s">
        <v>2255</v>
      </c>
      <c r="O105" s="23" t="s">
        <v>2256</v>
      </c>
      <c r="P105" s="23" t="s">
        <v>1615</v>
      </c>
      <c r="Q105" s="23" t="s">
        <v>1616</v>
      </c>
      <c r="R105" s="23" t="s">
        <v>1783</v>
      </c>
    </row>
    <row r="106" customFormat="false" ht="219.75" hidden="false" customHeight="true" outlineLevel="0" collapsed="false">
      <c r="A106" s="17" t="s">
        <v>1138</v>
      </c>
      <c r="B106" s="17" t="s">
        <v>1093</v>
      </c>
      <c r="C106" s="17" t="s">
        <v>2257</v>
      </c>
      <c r="D106" s="17" t="s">
        <v>2048</v>
      </c>
      <c r="E106" s="21" t="s">
        <v>2258</v>
      </c>
      <c r="F106" s="22" t="s">
        <v>2259</v>
      </c>
      <c r="G106" s="22" t="s">
        <v>2260</v>
      </c>
      <c r="H106" s="22" t="s">
        <v>2261</v>
      </c>
      <c r="I106" s="22" t="s">
        <v>2262</v>
      </c>
      <c r="J106" s="21" t="s">
        <v>2263</v>
      </c>
      <c r="K106" s="22" t="s">
        <v>2117</v>
      </c>
      <c r="L106" s="21" t="s">
        <v>2118</v>
      </c>
      <c r="M106" s="23" t="s">
        <v>2264</v>
      </c>
      <c r="N106" s="23" t="s">
        <v>2265</v>
      </c>
      <c r="O106" s="23" t="s">
        <v>2266</v>
      </c>
      <c r="P106" s="23" t="s">
        <v>1615</v>
      </c>
      <c r="Q106" s="23" t="s">
        <v>1616</v>
      </c>
      <c r="R106" s="23" t="s">
        <v>1783</v>
      </c>
    </row>
    <row r="107" customFormat="false" ht="219.75" hidden="false" customHeight="true" outlineLevel="0" collapsed="false">
      <c r="A107" s="17" t="s">
        <v>1138</v>
      </c>
      <c r="B107" s="17" t="s">
        <v>1338</v>
      </c>
      <c r="C107" s="17" t="s">
        <v>879</v>
      </c>
      <c r="D107" s="17" t="s">
        <v>2048</v>
      </c>
      <c r="E107" s="21" t="s">
        <v>2267</v>
      </c>
      <c r="F107" s="21" t="s">
        <v>2268</v>
      </c>
      <c r="G107" s="21" t="s">
        <v>2269</v>
      </c>
      <c r="H107" s="21" t="s">
        <v>2270</v>
      </c>
      <c r="I107" s="21" t="s">
        <v>2271</v>
      </c>
      <c r="J107" s="21" t="s">
        <v>2272</v>
      </c>
      <c r="K107" s="22" t="s">
        <v>2117</v>
      </c>
      <c r="L107" s="21" t="s">
        <v>2118</v>
      </c>
      <c r="M107" s="23" t="s">
        <v>2273</v>
      </c>
      <c r="N107" s="23" t="s">
        <v>2274</v>
      </c>
      <c r="O107" s="24" t="s">
        <v>2275</v>
      </c>
      <c r="P107" s="23" t="s">
        <v>1615</v>
      </c>
      <c r="Q107" s="23" t="s">
        <v>2276</v>
      </c>
      <c r="R107" s="23" t="s">
        <v>1783</v>
      </c>
    </row>
    <row r="108" customFormat="false" ht="219.75" hidden="false" customHeight="true" outlineLevel="0" collapsed="false">
      <c r="A108" s="17" t="s">
        <v>1138</v>
      </c>
      <c r="B108" s="17" t="s">
        <v>1344</v>
      </c>
      <c r="C108" s="17" t="s">
        <v>413</v>
      </c>
      <c r="D108" s="17" t="s">
        <v>2048</v>
      </c>
      <c r="E108" s="21" t="s">
        <v>2277</v>
      </c>
      <c r="F108" s="22" t="s">
        <v>2278</v>
      </c>
      <c r="G108" s="22" t="s">
        <v>2279</v>
      </c>
      <c r="H108" s="22" t="s">
        <v>2280</v>
      </c>
      <c r="I108" s="21" t="s">
        <v>2281</v>
      </c>
      <c r="J108" s="21" t="s">
        <v>2282</v>
      </c>
      <c r="K108" s="22" t="s">
        <v>2117</v>
      </c>
      <c r="L108" s="21" t="s">
        <v>2118</v>
      </c>
      <c r="M108" s="23" t="s">
        <v>2283</v>
      </c>
      <c r="N108" s="23" t="s">
        <v>2284</v>
      </c>
      <c r="O108" s="23" t="s">
        <v>2285</v>
      </c>
      <c r="P108" s="23" t="s">
        <v>1615</v>
      </c>
      <c r="Q108" s="24" t="s">
        <v>2286</v>
      </c>
      <c r="R108" s="23" t="s">
        <v>1783</v>
      </c>
    </row>
    <row r="109" customFormat="false" ht="219.75" hidden="false" customHeight="true" outlineLevel="0" collapsed="false">
      <c r="A109" s="17" t="s">
        <v>1138</v>
      </c>
      <c r="B109" s="17" t="s">
        <v>1350</v>
      </c>
      <c r="C109" s="17" t="s">
        <v>396</v>
      </c>
      <c r="D109" s="17" t="s">
        <v>2048</v>
      </c>
      <c r="E109" s="21" t="s">
        <v>2287</v>
      </c>
      <c r="F109" s="22" t="s">
        <v>2288</v>
      </c>
      <c r="G109" s="22" t="s">
        <v>2289</v>
      </c>
      <c r="H109" s="21" t="s">
        <v>2290</v>
      </c>
      <c r="I109" s="21" t="s">
        <v>2291</v>
      </c>
      <c r="J109" s="21" t="s">
        <v>2292</v>
      </c>
      <c r="K109" s="22" t="s">
        <v>2117</v>
      </c>
      <c r="L109" s="21" t="s">
        <v>2118</v>
      </c>
      <c r="M109" s="23" t="s">
        <v>2293</v>
      </c>
      <c r="N109" s="23" t="s">
        <v>2294</v>
      </c>
      <c r="O109" s="23" t="s">
        <v>2295</v>
      </c>
      <c r="P109" s="23" t="s">
        <v>1615</v>
      </c>
      <c r="Q109" s="23" t="s">
        <v>1616</v>
      </c>
      <c r="R109" s="23" t="s">
        <v>1783</v>
      </c>
    </row>
    <row r="110" customFormat="false" ht="15" hidden="false" customHeight="true" outlineLevel="0" collapsed="false">
      <c r="A110" s="17" t="s">
        <v>1138</v>
      </c>
      <c r="B110" s="17" t="s">
        <v>1356</v>
      </c>
      <c r="C110" s="17" t="s">
        <v>1018</v>
      </c>
      <c r="D110" s="17" t="s">
        <v>2048</v>
      </c>
      <c r="E110" s="21" t="s">
        <v>2071</v>
      </c>
      <c r="F110" s="22" t="s">
        <v>136</v>
      </c>
      <c r="G110" s="22" t="s">
        <v>136</v>
      </c>
      <c r="H110" s="22" t="s">
        <v>136</v>
      </c>
      <c r="I110" s="22" t="s">
        <v>136</v>
      </c>
      <c r="J110" s="22" t="s">
        <v>136</v>
      </c>
      <c r="K110" s="22" t="s">
        <v>136</v>
      </c>
      <c r="L110" s="22" t="s">
        <v>136</v>
      </c>
      <c r="M110" s="23" t="s">
        <v>2296</v>
      </c>
      <c r="N110" s="23" t="s">
        <v>2297</v>
      </c>
      <c r="O110" s="23" t="s">
        <v>2298</v>
      </c>
      <c r="P110" s="24" t="s">
        <v>39</v>
      </c>
      <c r="Q110" s="23" t="s">
        <v>2299</v>
      </c>
      <c r="R110" s="23" t="s">
        <v>1783</v>
      </c>
    </row>
    <row r="111" customFormat="false" ht="15" hidden="false" customHeight="true" outlineLevel="0" collapsed="false">
      <c r="A111" s="17" t="s">
        <v>1138</v>
      </c>
      <c r="B111" s="17" t="s">
        <v>1362</v>
      </c>
      <c r="C111" s="17" t="s">
        <v>1095</v>
      </c>
      <c r="D111" s="17" t="s">
        <v>2048</v>
      </c>
      <c r="E111" s="21" t="s">
        <v>2071</v>
      </c>
      <c r="F111" s="22" t="s">
        <v>136</v>
      </c>
      <c r="G111" s="22" t="s">
        <v>136</v>
      </c>
      <c r="H111" s="22" t="s">
        <v>136</v>
      </c>
      <c r="I111" s="22" t="s">
        <v>136</v>
      </c>
      <c r="J111" s="22" t="s">
        <v>136</v>
      </c>
      <c r="K111" s="22" t="s">
        <v>136</v>
      </c>
      <c r="L111" s="22" t="s">
        <v>136</v>
      </c>
      <c r="M111" s="24" t="s">
        <v>2300</v>
      </c>
      <c r="N111" s="23" t="s">
        <v>2301</v>
      </c>
      <c r="O111" s="24" t="s">
        <v>2302</v>
      </c>
      <c r="P111" s="24" t="s">
        <v>39</v>
      </c>
      <c r="Q111" s="23" t="s">
        <v>2303</v>
      </c>
      <c r="R111" s="23" t="s">
        <v>1783</v>
      </c>
    </row>
    <row r="112" customFormat="false" ht="15" hidden="false" customHeight="true" outlineLevel="0" collapsed="false">
      <c r="A112" s="17" t="s">
        <v>1138</v>
      </c>
      <c r="B112" s="17" t="s">
        <v>1368</v>
      </c>
      <c r="C112" s="17" t="s">
        <v>923</v>
      </c>
      <c r="D112" s="17" t="s">
        <v>2048</v>
      </c>
      <c r="E112" s="21" t="s">
        <v>2071</v>
      </c>
      <c r="F112" s="22" t="s">
        <v>136</v>
      </c>
      <c r="G112" s="22" t="s">
        <v>136</v>
      </c>
      <c r="H112" s="22" t="s">
        <v>136</v>
      </c>
      <c r="I112" s="22" t="s">
        <v>136</v>
      </c>
      <c r="J112" s="22" t="s">
        <v>136</v>
      </c>
      <c r="K112" s="22" t="s">
        <v>136</v>
      </c>
      <c r="L112" s="22" t="s">
        <v>136</v>
      </c>
      <c r="M112" s="23" t="s">
        <v>2304</v>
      </c>
      <c r="N112" s="23" t="s">
        <v>2305</v>
      </c>
      <c r="O112" s="24" t="s">
        <v>2306</v>
      </c>
      <c r="P112" s="24" t="s">
        <v>39</v>
      </c>
      <c r="Q112" s="23" t="s">
        <v>2307</v>
      </c>
      <c r="R112" s="23" t="s">
        <v>1783</v>
      </c>
    </row>
    <row r="113" customFormat="false" ht="15" hidden="false" customHeight="true" outlineLevel="0" collapsed="false">
      <c r="A113" s="17" t="s">
        <v>1138</v>
      </c>
      <c r="B113" s="17" t="s">
        <v>1374</v>
      </c>
      <c r="C113" s="17" t="s">
        <v>600</v>
      </c>
      <c r="D113" s="17" t="s">
        <v>2048</v>
      </c>
      <c r="E113" s="21" t="s">
        <v>2071</v>
      </c>
      <c r="F113" s="22" t="s">
        <v>136</v>
      </c>
      <c r="G113" s="22" t="s">
        <v>136</v>
      </c>
      <c r="H113" s="22" t="s">
        <v>136</v>
      </c>
      <c r="I113" s="22" t="s">
        <v>136</v>
      </c>
      <c r="J113" s="22" t="s">
        <v>136</v>
      </c>
      <c r="K113" s="22" t="s">
        <v>136</v>
      </c>
      <c r="L113" s="22" t="s">
        <v>136</v>
      </c>
      <c r="M113" s="24" t="s">
        <v>2308</v>
      </c>
      <c r="N113" s="23" t="s">
        <v>2309</v>
      </c>
      <c r="O113" s="24" t="s">
        <v>2310</v>
      </c>
      <c r="P113" s="24" t="s">
        <v>39</v>
      </c>
      <c r="Q113" s="23" t="s">
        <v>2311</v>
      </c>
      <c r="R113" s="23" t="s">
        <v>1783</v>
      </c>
    </row>
    <row r="114" customFormat="false" ht="15" hidden="false" customHeight="true" outlineLevel="0" collapsed="false">
      <c r="A114" s="17" t="s">
        <v>1138</v>
      </c>
      <c r="B114" s="17" t="s">
        <v>1380</v>
      </c>
      <c r="C114" s="17" t="s">
        <v>923</v>
      </c>
      <c r="D114" s="17" t="s">
        <v>2048</v>
      </c>
      <c r="E114" s="21" t="s">
        <v>2071</v>
      </c>
      <c r="F114" s="22" t="s">
        <v>136</v>
      </c>
      <c r="G114" s="22" t="s">
        <v>136</v>
      </c>
      <c r="H114" s="22" t="s">
        <v>136</v>
      </c>
      <c r="I114" s="22" t="s">
        <v>136</v>
      </c>
      <c r="J114" s="22" t="s">
        <v>136</v>
      </c>
      <c r="K114" s="22" t="s">
        <v>136</v>
      </c>
      <c r="L114" s="22" t="s">
        <v>136</v>
      </c>
      <c r="M114" s="23" t="s">
        <v>2312</v>
      </c>
      <c r="N114" s="23" t="s">
        <v>2313</v>
      </c>
      <c r="O114" s="23" t="s">
        <v>2314</v>
      </c>
      <c r="P114" s="24" t="s">
        <v>39</v>
      </c>
      <c r="Q114" s="23" t="s">
        <v>2315</v>
      </c>
      <c r="R114" s="23" t="s">
        <v>1783</v>
      </c>
    </row>
    <row r="115" customFormat="false" ht="15" hidden="false" customHeight="true" outlineLevel="0" collapsed="false">
      <c r="A115" s="17" t="s">
        <v>1138</v>
      </c>
      <c r="B115" s="17" t="s">
        <v>1385</v>
      </c>
      <c r="C115" s="17" t="s">
        <v>879</v>
      </c>
      <c r="D115" s="17" t="s">
        <v>2048</v>
      </c>
      <c r="E115" s="21" t="s">
        <v>2071</v>
      </c>
      <c r="F115" s="22" t="s">
        <v>136</v>
      </c>
      <c r="G115" s="22" t="s">
        <v>136</v>
      </c>
      <c r="H115" s="22" t="s">
        <v>136</v>
      </c>
      <c r="I115" s="22" t="s">
        <v>136</v>
      </c>
      <c r="J115" s="22" t="s">
        <v>136</v>
      </c>
      <c r="K115" s="22" t="s">
        <v>136</v>
      </c>
      <c r="L115" s="22" t="s">
        <v>136</v>
      </c>
      <c r="M115" s="24" t="s">
        <v>2316</v>
      </c>
      <c r="N115" s="23" t="s">
        <v>2317</v>
      </c>
      <c r="O115" s="24" t="s">
        <v>2318</v>
      </c>
      <c r="P115" s="23" t="s">
        <v>1570</v>
      </c>
      <c r="Q115" s="23" t="s">
        <v>2319</v>
      </c>
      <c r="R115" s="23" t="s">
        <v>1783</v>
      </c>
    </row>
    <row r="116" customFormat="false" ht="15" hidden="false" customHeight="true" outlineLevel="0" collapsed="false">
      <c r="A116" s="17" t="s">
        <v>1138</v>
      </c>
      <c r="B116" s="17" t="s">
        <v>1390</v>
      </c>
      <c r="C116" s="17" t="s">
        <v>388</v>
      </c>
      <c r="D116" s="17" t="s">
        <v>2048</v>
      </c>
      <c r="E116" s="21" t="s">
        <v>2071</v>
      </c>
      <c r="F116" s="22" t="s">
        <v>136</v>
      </c>
      <c r="G116" s="22" t="s">
        <v>136</v>
      </c>
      <c r="H116" s="22" t="s">
        <v>136</v>
      </c>
      <c r="I116" s="22" t="s">
        <v>136</v>
      </c>
      <c r="J116" s="22" t="s">
        <v>136</v>
      </c>
      <c r="K116" s="22" t="s">
        <v>136</v>
      </c>
      <c r="L116" s="22" t="s">
        <v>136</v>
      </c>
      <c r="M116" s="24" t="s">
        <v>2320</v>
      </c>
      <c r="N116" s="23" t="s">
        <v>2321</v>
      </c>
      <c r="O116" s="24" t="s">
        <v>2322</v>
      </c>
      <c r="P116" s="23" t="s">
        <v>1570</v>
      </c>
      <c r="Q116" s="23" t="s">
        <v>2323</v>
      </c>
      <c r="R116" s="23" t="s">
        <v>1783</v>
      </c>
    </row>
    <row r="117" customFormat="false" ht="15" hidden="false" customHeight="true" outlineLevel="0" collapsed="false">
      <c r="A117" s="17" t="s">
        <v>1138</v>
      </c>
      <c r="B117" s="17" t="s">
        <v>1396</v>
      </c>
      <c r="C117" s="17" t="s">
        <v>396</v>
      </c>
      <c r="D117" s="17" t="s">
        <v>2048</v>
      </c>
      <c r="E117" s="21" t="s">
        <v>2071</v>
      </c>
      <c r="F117" s="22" t="s">
        <v>136</v>
      </c>
      <c r="G117" s="22" t="s">
        <v>136</v>
      </c>
      <c r="H117" s="22" t="s">
        <v>136</v>
      </c>
      <c r="I117" s="22" t="s">
        <v>136</v>
      </c>
      <c r="J117" s="22" t="s">
        <v>136</v>
      </c>
      <c r="K117" s="22" t="s">
        <v>136</v>
      </c>
      <c r="L117" s="22" t="s">
        <v>136</v>
      </c>
      <c r="M117" s="23" t="s">
        <v>2324</v>
      </c>
      <c r="N117" s="23" t="s">
        <v>2325</v>
      </c>
      <c r="O117" s="24" t="s">
        <v>136</v>
      </c>
      <c r="P117" s="23" t="s">
        <v>1570</v>
      </c>
      <c r="Q117" s="23" t="s">
        <v>2326</v>
      </c>
      <c r="R117" s="23" t="s">
        <v>1783</v>
      </c>
    </row>
    <row r="118" customFormat="false" ht="15" hidden="false" customHeight="true" outlineLevel="0" collapsed="false">
      <c r="A118" s="17" t="s">
        <v>1138</v>
      </c>
      <c r="B118" s="17" t="s">
        <v>1402</v>
      </c>
      <c r="C118" s="17" t="s">
        <v>915</v>
      </c>
      <c r="D118" s="17" t="s">
        <v>2048</v>
      </c>
      <c r="E118" s="21" t="s">
        <v>2071</v>
      </c>
      <c r="F118" s="22" t="s">
        <v>136</v>
      </c>
      <c r="G118" s="22" t="s">
        <v>136</v>
      </c>
      <c r="H118" s="22" t="s">
        <v>136</v>
      </c>
      <c r="I118" s="22" t="s">
        <v>136</v>
      </c>
      <c r="J118" s="22" t="s">
        <v>136</v>
      </c>
      <c r="K118" s="22" t="s">
        <v>136</v>
      </c>
      <c r="L118" s="22" t="s">
        <v>136</v>
      </c>
      <c r="M118" s="23" t="s">
        <v>2327</v>
      </c>
      <c r="N118" s="23" t="s">
        <v>2325</v>
      </c>
      <c r="O118" s="24" t="s">
        <v>136</v>
      </c>
      <c r="P118" s="23" t="s">
        <v>1570</v>
      </c>
      <c r="Q118" s="23" t="s">
        <v>2328</v>
      </c>
      <c r="R118" s="23" t="s">
        <v>1783</v>
      </c>
    </row>
    <row r="119" customFormat="false" ht="15" hidden="false" customHeight="true" outlineLevel="0" collapsed="false">
      <c r="A119" s="17" t="s">
        <v>1138</v>
      </c>
      <c r="B119" s="17" t="s">
        <v>1408</v>
      </c>
      <c r="C119" s="17" t="s">
        <v>923</v>
      </c>
      <c r="D119" s="17" t="s">
        <v>2048</v>
      </c>
      <c r="E119" s="21" t="s">
        <v>2071</v>
      </c>
      <c r="F119" s="22" t="s">
        <v>136</v>
      </c>
      <c r="G119" s="22" t="s">
        <v>136</v>
      </c>
      <c r="H119" s="22" t="s">
        <v>136</v>
      </c>
      <c r="I119" s="22" t="s">
        <v>136</v>
      </c>
      <c r="J119" s="22" t="s">
        <v>136</v>
      </c>
      <c r="K119" s="22" t="s">
        <v>136</v>
      </c>
      <c r="L119" s="22" t="s">
        <v>136</v>
      </c>
      <c r="M119" s="23" t="s">
        <v>2329</v>
      </c>
      <c r="N119" s="23" t="s">
        <v>2330</v>
      </c>
      <c r="O119" s="24" t="s">
        <v>2331</v>
      </c>
      <c r="P119" s="24" t="s">
        <v>39</v>
      </c>
      <c r="Q119" s="23" t="s">
        <v>2332</v>
      </c>
      <c r="R119" s="23" t="s">
        <v>1783</v>
      </c>
    </row>
    <row r="120" customFormat="false" ht="15" hidden="false" customHeight="true" outlineLevel="0" collapsed="false">
      <c r="A120" s="17" t="s">
        <v>1138</v>
      </c>
      <c r="B120" s="17" t="s">
        <v>1413</v>
      </c>
      <c r="C120" s="17" t="s">
        <v>923</v>
      </c>
      <c r="D120" s="17" t="s">
        <v>2048</v>
      </c>
      <c r="E120" s="21" t="s">
        <v>2071</v>
      </c>
      <c r="F120" s="22" t="s">
        <v>136</v>
      </c>
      <c r="G120" s="22" t="s">
        <v>136</v>
      </c>
      <c r="H120" s="22" t="s">
        <v>136</v>
      </c>
      <c r="I120" s="22" t="s">
        <v>136</v>
      </c>
      <c r="J120" s="22" t="s">
        <v>136</v>
      </c>
      <c r="K120" s="22" t="s">
        <v>136</v>
      </c>
      <c r="L120" s="22" t="s">
        <v>136</v>
      </c>
      <c r="M120" s="23" t="s">
        <v>2333</v>
      </c>
      <c r="N120" s="23" t="s">
        <v>2325</v>
      </c>
      <c r="O120" s="24" t="s">
        <v>136</v>
      </c>
      <c r="P120" s="23" t="s">
        <v>1570</v>
      </c>
      <c r="Q120" s="23" t="s">
        <v>2334</v>
      </c>
      <c r="R120" s="23" t="s">
        <v>1783</v>
      </c>
    </row>
    <row r="121" customFormat="false" ht="15" hidden="false" customHeight="true" outlineLevel="0" collapsed="false">
      <c r="A121" s="17" t="s">
        <v>1138</v>
      </c>
      <c r="B121" s="17" t="s">
        <v>1418</v>
      </c>
      <c r="C121" s="17" t="s">
        <v>600</v>
      </c>
      <c r="D121" s="17" t="s">
        <v>2048</v>
      </c>
      <c r="E121" s="21" t="s">
        <v>2071</v>
      </c>
      <c r="F121" s="22" t="s">
        <v>136</v>
      </c>
      <c r="G121" s="22" t="s">
        <v>136</v>
      </c>
      <c r="H121" s="22" t="s">
        <v>136</v>
      </c>
      <c r="I121" s="22" t="s">
        <v>136</v>
      </c>
      <c r="J121" s="22" t="s">
        <v>136</v>
      </c>
      <c r="K121" s="22" t="s">
        <v>136</v>
      </c>
      <c r="L121" s="22" t="s">
        <v>136</v>
      </c>
      <c r="M121" s="23" t="s">
        <v>2327</v>
      </c>
      <c r="N121" s="23" t="s">
        <v>2325</v>
      </c>
      <c r="O121" s="24" t="s">
        <v>136</v>
      </c>
      <c r="P121" s="23" t="s">
        <v>1570</v>
      </c>
      <c r="Q121" s="23" t="s">
        <v>2335</v>
      </c>
      <c r="R121" s="23" t="s">
        <v>1783</v>
      </c>
    </row>
    <row r="122" customFormat="false" ht="15" hidden="false" customHeight="true" outlineLevel="0" collapsed="false">
      <c r="A122" s="17" t="s">
        <v>1138</v>
      </c>
      <c r="B122" s="17" t="s">
        <v>1423</v>
      </c>
      <c r="C122" s="17" t="s">
        <v>423</v>
      </c>
      <c r="D122" s="17" t="s">
        <v>2048</v>
      </c>
      <c r="E122" s="21" t="s">
        <v>2071</v>
      </c>
      <c r="F122" s="22" t="s">
        <v>136</v>
      </c>
      <c r="G122" s="22" t="s">
        <v>136</v>
      </c>
      <c r="H122" s="22" t="s">
        <v>136</v>
      </c>
      <c r="I122" s="22" t="s">
        <v>136</v>
      </c>
      <c r="J122" s="22" t="s">
        <v>136</v>
      </c>
      <c r="K122" s="22" t="s">
        <v>136</v>
      </c>
      <c r="L122" s="22" t="s">
        <v>136</v>
      </c>
      <c r="M122" s="23" t="s">
        <v>2333</v>
      </c>
      <c r="N122" s="23" t="s">
        <v>2336</v>
      </c>
      <c r="O122" s="24" t="s">
        <v>136</v>
      </c>
      <c r="P122" s="23" t="s">
        <v>1570</v>
      </c>
      <c r="Q122" s="23" t="s">
        <v>2337</v>
      </c>
      <c r="R122" s="23" t="s">
        <v>1783</v>
      </c>
    </row>
    <row r="123" customFormat="false" ht="219.75" hidden="false" customHeight="true" outlineLevel="0" collapsed="false">
      <c r="A123" s="17" t="s">
        <v>1307</v>
      </c>
      <c r="B123" s="17" t="s">
        <v>1302</v>
      </c>
      <c r="C123" s="17" t="s">
        <v>600</v>
      </c>
      <c r="D123" s="17" t="s">
        <v>2338</v>
      </c>
      <c r="E123" s="21" t="s">
        <v>2339</v>
      </c>
      <c r="F123" s="22" t="s">
        <v>2340</v>
      </c>
      <c r="G123" s="22" t="s">
        <v>2341</v>
      </c>
      <c r="H123" s="22" t="s">
        <v>2342</v>
      </c>
      <c r="I123" s="22" t="s">
        <v>2343</v>
      </c>
      <c r="J123" s="21" t="s">
        <v>2344</v>
      </c>
      <c r="K123" s="22" t="s">
        <v>2345</v>
      </c>
      <c r="L123" s="21" t="s">
        <v>2346</v>
      </c>
      <c r="M123" s="23" t="s">
        <v>2347</v>
      </c>
      <c r="N123" s="23" t="s">
        <v>2348</v>
      </c>
      <c r="O123" s="23" t="s">
        <v>2349</v>
      </c>
      <c r="P123" s="23" t="s">
        <v>1615</v>
      </c>
      <c r="Q123" s="24" t="s">
        <v>2350</v>
      </c>
      <c r="R123" s="23" t="s">
        <v>2351</v>
      </c>
    </row>
    <row r="124" customFormat="false" ht="219.75" hidden="false" customHeight="true" outlineLevel="0" collapsed="false">
      <c r="A124" s="17" t="s">
        <v>1307</v>
      </c>
      <c r="B124" s="17" t="s">
        <v>1356</v>
      </c>
      <c r="C124" s="17" t="s">
        <v>1018</v>
      </c>
      <c r="D124" s="17" t="s">
        <v>2338</v>
      </c>
      <c r="E124" s="21" t="s">
        <v>2352</v>
      </c>
      <c r="F124" s="22" t="s">
        <v>2353</v>
      </c>
      <c r="G124" s="21" t="s">
        <v>2354</v>
      </c>
      <c r="H124" s="22" t="s">
        <v>2355</v>
      </c>
      <c r="I124" s="21" t="s">
        <v>2356</v>
      </c>
      <c r="J124" s="21" t="s">
        <v>2357</v>
      </c>
      <c r="K124" s="22" t="s">
        <v>2345</v>
      </c>
      <c r="L124" s="21" t="s">
        <v>2346</v>
      </c>
      <c r="M124" s="23" t="s">
        <v>2358</v>
      </c>
      <c r="N124" s="23" t="s">
        <v>2359</v>
      </c>
      <c r="O124" s="23" t="s">
        <v>2360</v>
      </c>
      <c r="P124" s="23" t="s">
        <v>1615</v>
      </c>
      <c r="Q124" s="23" t="s">
        <v>2361</v>
      </c>
      <c r="R124" s="23" t="s">
        <v>2351</v>
      </c>
    </row>
    <row r="125" customFormat="false" ht="219.75" hidden="false" customHeight="true" outlineLevel="0" collapsed="false">
      <c r="A125" s="17" t="s">
        <v>1307</v>
      </c>
      <c r="B125" s="17" t="s">
        <v>1402</v>
      </c>
      <c r="C125" s="17" t="s">
        <v>915</v>
      </c>
      <c r="D125" s="17" t="s">
        <v>2338</v>
      </c>
      <c r="E125" s="21" t="s">
        <v>2362</v>
      </c>
      <c r="F125" s="22" t="s">
        <v>2363</v>
      </c>
      <c r="G125" s="21" t="s">
        <v>2364</v>
      </c>
      <c r="H125" s="21" t="s">
        <v>2365</v>
      </c>
      <c r="I125" s="21" t="s">
        <v>2366</v>
      </c>
      <c r="J125" s="21" t="s">
        <v>2367</v>
      </c>
      <c r="K125" s="22" t="s">
        <v>2345</v>
      </c>
      <c r="L125" s="21" t="s">
        <v>2346</v>
      </c>
      <c r="M125" s="23" t="s">
        <v>2368</v>
      </c>
      <c r="N125" s="23" t="s">
        <v>2369</v>
      </c>
      <c r="O125" s="23" t="s">
        <v>2370</v>
      </c>
      <c r="P125" s="23" t="s">
        <v>1615</v>
      </c>
      <c r="Q125" s="23" t="s">
        <v>2371</v>
      </c>
      <c r="R125" s="23" t="s">
        <v>2351</v>
      </c>
    </row>
    <row r="126" customFormat="false" ht="219.75" hidden="false" customHeight="true" outlineLevel="0" collapsed="false">
      <c r="A126" s="17" t="s">
        <v>1307</v>
      </c>
      <c r="B126" s="17" t="s">
        <v>1362</v>
      </c>
      <c r="C126" s="17" t="s">
        <v>2372</v>
      </c>
      <c r="D126" s="17" t="s">
        <v>2338</v>
      </c>
      <c r="E126" s="21" t="s">
        <v>2373</v>
      </c>
      <c r="F126" s="22" t="s">
        <v>2374</v>
      </c>
      <c r="G126" s="22" t="s">
        <v>2375</v>
      </c>
      <c r="H126" s="21" t="s">
        <v>2376</v>
      </c>
      <c r="I126" s="22" t="s">
        <v>2377</v>
      </c>
      <c r="J126" s="21" t="s">
        <v>2378</v>
      </c>
      <c r="K126" s="22" t="s">
        <v>2345</v>
      </c>
      <c r="L126" s="21" t="s">
        <v>2346</v>
      </c>
      <c r="M126" s="23" t="s">
        <v>2379</v>
      </c>
      <c r="N126" s="23" t="s">
        <v>2380</v>
      </c>
      <c r="O126" s="24" t="s">
        <v>2381</v>
      </c>
      <c r="P126" s="23" t="s">
        <v>1615</v>
      </c>
      <c r="Q126" s="23" t="s">
        <v>1616</v>
      </c>
      <c r="R126" s="23" t="s">
        <v>2351</v>
      </c>
    </row>
    <row r="127" customFormat="false" ht="219.75" hidden="false" customHeight="true" outlineLevel="0" collapsed="false">
      <c r="A127" s="17" t="s">
        <v>1307</v>
      </c>
      <c r="B127" s="17" t="s">
        <v>1368</v>
      </c>
      <c r="C127" s="17" t="s">
        <v>923</v>
      </c>
      <c r="D127" s="17" t="s">
        <v>2338</v>
      </c>
      <c r="E127" s="21" t="s">
        <v>2382</v>
      </c>
      <c r="F127" s="22" t="s">
        <v>2383</v>
      </c>
      <c r="G127" s="21" t="s">
        <v>2384</v>
      </c>
      <c r="H127" s="22" t="s">
        <v>2385</v>
      </c>
      <c r="I127" s="22" t="s">
        <v>2386</v>
      </c>
      <c r="J127" s="21" t="s">
        <v>2387</v>
      </c>
      <c r="K127" s="22" t="s">
        <v>2345</v>
      </c>
      <c r="L127" s="21" t="s">
        <v>2346</v>
      </c>
      <c r="M127" s="23" t="s">
        <v>2388</v>
      </c>
      <c r="N127" s="23" t="s">
        <v>2389</v>
      </c>
      <c r="O127" s="24" t="s">
        <v>2390</v>
      </c>
      <c r="P127" s="23" t="s">
        <v>1615</v>
      </c>
      <c r="Q127" s="23" t="s">
        <v>2391</v>
      </c>
      <c r="R127" s="23" t="s">
        <v>2351</v>
      </c>
    </row>
    <row r="128" customFormat="false" ht="219.75" hidden="false" customHeight="true" outlineLevel="0" collapsed="false">
      <c r="A128" s="17" t="s">
        <v>1307</v>
      </c>
      <c r="B128" s="17" t="s">
        <v>1374</v>
      </c>
      <c r="C128" s="17" t="s">
        <v>600</v>
      </c>
      <c r="D128" s="17" t="s">
        <v>2338</v>
      </c>
      <c r="E128" s="21" t="s">
        <v>2392</v>
      </c>
      <c r="F128" s="22" t="s">
        <v>2393</v>
      </c>
      <c r="G128" s="21" t="s">
        <v>2394</v>
      </c>
      <c r="H128" s="21" t="s">
        <v>2395</v>
      </c>
      <c r="I128" s="21" t="s">
        <v>2396</v>
      </c>
      <c r="J128" s="21" t="s">
        <v>2397</v>
      </c>
      <c r="K128" s="22" t="s">
        <v>2345</v>
      </c>
      <c r="L128" s="21" t="s">
        <v>2346</v>
      </c>
      <c r="M128" s="23" t="s">
        <v>2398</v>
      </c>
      <c r="N128" s="23" t="s">
        <v>2399</v>
      </c>
      <c r="O128" s="23" t="s">
        <v>2400</v>
      </c>
      <c r="P128" s="23" t="s">
        <v>1615</v>
      </c>
      <c r="Q128" s="23" t="s">
        <v>1616</v>
      </c>
      <c r="R128" s="23" t="s">
        <v>2351</v>
      </c>
    </row>
    <row r="129" customFormat="false" ht="219.75" hidden="false" customHeight="true" outlineLevel="0" collapsed="false">
      <c r="A129" s="17" t="s">
        <v>1307</v>
      </c>
      <c r="B129" s="17" t="s">
        <v>1380</v>
      </c>
      <c r="C129" s="17" t="s">
        <v>923</v>
      </c>
      <c r="D129" s="17" t="s">
        <v>2338</v>
      </c>
      <c r="E129" s="21" t="s">
        <v>2401</v>
      </c>
      <c r="F129" s="22" t="s">
        <v>2402</v>
      </c>
      <c r="G129" s="21" t="s">
        <v>2403</v>
      </c>
      <c r="H129" s="21" t="s">
        <v>2404</v>
      </c>
      <c r="I129" s="22" t="s">
        <v>2405</v>
      </c>
      <c r="J129" s="21" t="s">
        <v>2406</v>
      </c>
      <c r="K129" s="22" t="s">
        <v>2345</v>
      </c>
      <c r="L129" s="21" t="s">
        <v>2346</v>
      </c>
      <c r="M129" s="23" t="s">
        <v>2407</v>
      </c>
      <c r="N129" s="23" t="s">
        <v>2408</v>
      </c>
      <c r="O129" s="24" t="s">
        <v>2409</v>
      </c>
      <c r="P129" s="23" t="s">
        <v>1615</v>
      </c>
      <c r="Q129" s="23" t="s">
        <v>2410</v>
      </c>
      <c r="R129" s="23" t="s">
        <v>2351</v>
      </c>
    </row>
    <row r="130" customFormat="false" ht="219.75" hidden="false" customHeight="true" outlineLevel="0" collapsed="false">
      <c r="A130" s="17" t="s">
        <v>1307</v>
      </c>
      <c r="B130" s="17" t="s">
        <v>1385</v>
      </c>
      <c r="C130" s="17" t="s">
        <v>879</v>
      </c>
      <c r="D130" s="17" t="s">
        <v>2338</v>
      </c>
      <c r="E130" s="21" t="s">
        <v>2411</v>
      </c>
      <c r="F130" s="22" t="s">
        <v>2412</v>
      </c>
      <c r="G130" s="21" t="s">
        <v>2413</v>
      </c>
      <c r="H130" s="21" t="s">
        <v>2414</v>
      </c>
      <c r="I130" s="22" t="s">
        <v>2415</v>
      </c>
      <c r="J130" s="21" t="s">
        <v>2416</v>
      </c>
      <c r="K130" s="22" t="s">
        <v>2345</v>
      </c>
      <c r="L130" s="21" t="s">
        <v>2346</v>
      </c>
      <c r="M130" s="23" t="s">
        <v>2417</v>
      </c>
      <c r="N130" s="23" t="s">
        <v>2418</v>
      </c>
      <c r="O130" s="24" t="s">
        <v>2419</v>
      </c>
      <c r="P130" s="23" t="s">
        <v>1615</v>
      </c>
      <c r="Q130" s="23" t="s">
        <v>1616</v>
      </c>
      <c r="R130" s="23" t="s">
        <v>2351</v>
      </c>
    </row>
    <row r="131" customFormat="false" ht="219.75" hidden="false" customHeight="true" outlineLevel="0" collapsed="false">
      <c r="A131" s="17" t="s">
        <v>1307</v>
      </c>
      <c r="B131" s="17" t="s">
        <v>1390</v>
      </c>
      <c r="C131" s="17" t="s">
        <v>388</v>
      </c>
      <c r="D131" s="17" t="s">
        <v>2338</v>
      </c>
      <c r="E131" s="21" t="s">
        <v>2420</v>
      </c>
      <c r="F131" s="22" t="s">
        <v>2421</v>
      </c>
      <c r="G131" s="22" t="s">
        <v>2422</v>
      </c>
      <c r="H131" s="21" t="s">
        <v>2423</v>
      </c>
      <c r="I131" s="21" t="s">
        <v>2424</v>
      </c>
      <c r="J131" s="21" t="s">
        <v>2425</v>
      </c>
      <c r="K131" s="22" t="s">
        <v>2345</v>
      </c>
      <c r="L131" s="21" t="s">
        <v>2346</v>
      </c>
      <c r="M131" s="23" t="s">
        <v>2426</v>
      </c>
      <c r="N131" s="23" t="s">
        <v>2427</v>
      </c>
      <c r="O131" s="24" t="s">
        <v>2428</v>
      </c>
      <c r="P131" s="23" t="s">
        <v>1615</v>
      </c>
      <c r="Q131" s="23" t="s">
        <v>1616</v>
      </c>
      <c r="R131" s="23" t="s">
        <v>2351</v>
      </c>
    </row>
    <row r="132" customFormat="false" ht="219.75" hidden="false" customHeight="true" outlineLevel="0" collapsed="false">
      <c r="A132" s="17" t="s">
        <v>1307</v>
      </c>
      <c r="B132" s="17" t="s">
        <v>1396</v>
      </c>
      <c r="C132" s="17" t="s">
        <v>396</v>
      </c>
      <c r="D132" s="17" t="s">
        <v>2338</v>
      </c>
      <c r="E132" s="21" t="s">
        <v>2429</v>
      </c>
      <c r="F132" s="22" t="s">
        <v>2430</v>
      </c>
      <c r="G132" s="21" t="s">
        <v>2431</v>
      </c>
      <c r="H132" s="22" t="s">
        <v>2432</v>
      </c>
      <c r="I132" s="21" t="s">
        <v>2433</v>
      </c>
      <c r="J132" s="21" t="s">
        <v>2434</v>
      </c>
      <c r="K132" s="22" t="s">
        <v>2345</v>
      </c>
      <c r="L132" s="21" t="s">
        <v>2346</v>
      </c>
      <c r="M132" s="23" t="s">
        <v>2435</v>
      </c>
      <c r="N132" s="23" t="s">
        <v>2436</v>
      </c>
      <c r="O132" s="23" t="s">
        <v>2437</v>
      </c>
      <c r="P132" s="23" t="s">
        <v>1979</v>
      </c>
      <c r="Q132" s="23" t="s">
        <v>2438</v>
      </c>
      <c r="R132" s="23" t="s">
        <v>2351</v>
      </c>
    </row>
    <row r="133" customFormat="false" ht="219.75" hidden="false" customHeight="true" outlineLevel="0" collapsed="false">
      <c r="A133" s="17" t="s">
        <v>1307</v>
      </c>
      <c r="B133" s="17" t="s">
        <v>1408</v>
      </c>
      <c r="C133" s="17" t="s">
        <v>923</v>
      </c>
      <c r="D133" s="17" t="s">
        <v>2338</v>
      </c>
      <c r="E133" s="21" t="s">
        <v>2439</v>
      </c>
      <c r="F133" s="22" t="s">
        <v>2440</v>
      </c>
      <c r="G133" s="21" t="s">
        <v>2441</v>
      </c>
      <c r="H133" s="21" t="s">
        <v>2442</v>
      </c>
      <c r="I133" s="22" t="s">
        <v>2443</v>
      </c>
      <c r="J133" s="21" t="s">
        <v>2444</v>
      </c>
      <c r="K133" s="22" t="s">
        <v>2345</v>
      </c>
      <c r="L133" s="21" t="s">
        <v>2346</v>
      </c>
      <c r="M133" s="23" t="s">
        <v>2445</v>
      </c>
      <c r="N133" s="23" t="s">
        <v>2446</v>
      </c>
      <c r="O133" s="24" t="s">
        <v>2447</v>
      </c>
      <c r="P133" s="23" t="s">
        <v>1615</v>
      </c>
      <c r="Q133" s="23" t="s">
        <v>2448</v>
      </c>
      <c r="R133" s="23" t="s">
        <v>2351</v>
      </c>
    </row>
    <row r="134" customFormat="false" ht="219.75" hidden="false" customHeight="true" outlineLevel="0" collapsed="false">
      <c r="A134" s="17" t="s">
        <v>1307</v>
      </c>
      <c r="B134" s="17" t="s">
        <v>1413</v>
      </c>
      <c r="C134" s="17" t="s">
        <v>923</v>
      </c>
      <c r="D134" s="17" t="s">
        <v>2338</v>
      </c>
      <c r="E134" s="21" t="s">
        <v>2449</v>
      </c>
      <c r="F134" s="22" t="s">
        <v>2450</v>
      </c>
      <c r="G134" s="22" t="s">
        <v>2451</v>
      </c>
      <c r="H134" s="21" t="s">
        <v>2452</v>
      </c>
      <c r="I134" s="21" t="s">
        <v>2453</v>
      </c>
      <c r="J134" s="21" t="s">
        <v>2454</v>
      </c>
      <c r="K134" s="22" t="s">
        <v>2345</v>
      </c>
      <c r="L134" s="21" t="s">
        <v>2346</v>
      </c>
      <c r="M134" s="23" t="s">
        <v>2455</v>
      </c>
      <c r="N134" s="23" t="s">
        <v>2456</v>
      </c>
      <c r="O134" s="24" t="s">
        <v>2457</v>
      </c>
      <c r="P134" s="23" t="s">
        <v>1615</v>
      </c>
      <c r="Q134" s="23" t="s">
        <v>2458</v>
      </c>
      <c r="R134" s="23" t="s">
        <v>2351</v>
      </c>
    </row>
    <row r="135" customFormat="false" ht="219.75" hidden="false" customHeight="true" outlineLevel="0" collapsed="false">
      <c r="A135" s="17" t="s">
        <v>1307</v>
      </c>
      <c r="B135" s="17" t="s">
        <v>1418</v>
      </c>
      <c r="C135" s="17" t="s">
        <v>600</v>
      </c>
      <c r="D135" s="17" t="s">
        <v>2338</v>
      </c>
      <c r="E135" s="21" t="s">
        <v>2459</v>
      </c>
      <c r="F135" s="22" t="s">
        <v>2460</v>
      </c>
      <c r="G135" s="21" t="s">
        <v>2461</v>
      </c>
      <c r="H135" s="21" t="s">
        <v>2462</v>
      </c>
      <c r="I135" s="22" t="s">
        <v>2463</v>
      </c>
      <c r="J135" s="21" t="s">
        <v>2464</v>
      </c>
      <c r="K135" s="22" t="s">
        <v>2345</v>
      </c>
      <c r="L135" s="21" t="s">
        <v>2346</v>
      </c>
      <c r="M135" s="23" t="s">
        <v>2465</v>
      </c>
      <c r="N135" s="23" t="s">
        <v>2466</v>
      </c>
      <c r="O135" s="23" t="s">
        <v>2467</v>
      </c>
      <c r="P135" s="23" t="s">
        <v>1615</v>
      </c>
      <c r="Q135" s="24" t="s">
        <v>2468</v>
      </c>
      <c r="R135" s="23" t="s">
        <v>2351</v>
      </c>
    </row>
    <row r="136" customFormat="false" ht="219.75" hidden="false" customHeight="true" outlineLevel="0" collapsed="false">
      <c r="A136" s="17" t="s">
        <v>1307</v>
      </c>
      <c r="B136" s="17" t="s">
        <v>1423</v>
      </c>
      <c r="C136" s="17" t="s">
        <v>423</v>
      </c>
      <c r="D136" s="17" t="s">
        <v>2338</v>
      </c>
      <c r="E136" s="21" t="s">
        <v>2469</v>
      </c>
      <c r="F136" s="22" t="s">
        <v>2470</v>
      </c>
      <c r="G136" s="21" t="s">
        <v>2471</v>
      </c>
      <c r="H136" s="22" t="s">
        <v>2472</v>
      </c>
      <c r="I136" s="21" t="s">
        <v>2473</v>
      </c>
      <c r="J136" s="21" t="s">
        <v>2474</v>
      </c>
      <c r="K136" s="22" t="s">
        <v>2345</v>
      </c>
      <c r="L136" s="21" t="s">
        <v>2346</v>
      </c>
      <c r="M136" s="23" t="s">
        <v>2475</v>
      </c>
      <c r="N136" s="23" t="s">
        <v>2476</v>
      </c>
      <c r="O136" s="23" t="s">
        <v>2477</v>
      </c>
      <c r="P136" s="23" t="s">
        <v>1615</v>
      </c>
      <c r="Q136" s="24" t="s">
        <v>2478</v>
      </c>
      <c r="R136" s="23" t="s">
        <v>2351</v>
      </c>
    </row>
    <row r="137" customFormat="false" ht="219.75" hidden="false" customHeight="true" outlineLevel="0" collapsed="false">
      <c r="A137" s="17" t="s">
        <v>1307</v>
      </c>
      <c r="B137" s="17" t="s">
        <v>1429</v>
      </c>
      <c r="C137" s="17" t="s">
        <v>923</v>
      </c>
      <c r="D137" s="17" t="s">
        <v>2338</v>
      </c>
      <c r="E137" s="21" t="s">
        <v>2071</v>
      </c>
      <c r="F137" s="22" t="s">
        <v>136</v>
      </c>
      <c r="G137" s="22" t="s">
        <v>136</v>
      </c>
      <c r="H137" s="22" t="s">
        <v>136</v>
      </c>
      <c r="I137" s="22" t="s">
        <v>136</v>
      </c>
      <c r="J137" s="22" t="s">
        <v>136</v>
      </c>
      <c r="K137" s="22" t="s">
        <v>136</v>
      </c>
      <c r="L137" s="22" t="s">
        <v>136</v>
      </c>
      <c r="M137" s="23" t="s">
        <v>2479</v>
      </c>
      <c r="N137" s="23" t="s">
        <v>2480</v>
      </c>
      <c r="O137" s="24" t="s">
        <v>2481</v>
      </c>
      <c r="P137" s="24" t="s">
        <v>39</v>
      </c>
      <c r="Q137" s="23" t="s">
        <v>2482</v>
      </c>
      <c r="R137" s="23" t="s">
        <v>2351</v>
      </c>
    </row>
    <row r="138" customFormat="false" ht="219.75" hidden="false" customHeight="true" outlineLevel="0" collapsed="false">
      <c r="A138" s="17" t="s">
        <v>1307</v>
      </c>
      <c r="B138" s="17" t="s">
        <v>1434</v>
      </c>
      <c r="C138" s="17" t="s">
        <v>600</v>
      </c>
      <c r="D138" s="17" t="s">
        <v>2338</v>
      </c>
      <c r="E138" s="21" t="s">
        <v>2071</v>
      </c>
      <c r="F138" s="22" t="s">
        <v>136</v>
      </c>
      <c r="G138" s="22" t="s">
        <v>136</v>
      </c>
      <c r="H138" s="22" t="s">
        <v>136</v>
      </c>
      <c r="I138" s="22" t="s">
        <v>136</v>
      </c>
      <c r="J138" s="22" t="s">
        <v>136</v>
      </c>
      <c r="K138" s="22" t="s">
        <v>136</v>
      </c>
      <c r="L138" s="22" t="s">
        <v>136</v>
      </c>
      <c r="M138" s="23" t="s">
        <v>2483</v>
      </c>
      <c r="N138" s="23" t="s">
        <v>2484</v>
      </c>
      <c r="O138" s="24" t="s">
        <v>136</v>
      </c>
      <c r="P138" s="23" t="s">
        <v>1570</v>
      </c>
      <c r="Q138" s="23" t="s">
        <v>2485</v>
      </c>
      <c r="R138" s="23" t="s">
        <v>2351</v>
      </c>
    </row>
    <row r="139" customFormat="false" ht="219.75" hidden="false" customHeight="true" outlineLevel="0" collapsed="false">
      <c r="A139" s="17" t="s">
        <v>1307</v>
      </c>
      <c r="B139" s="17" t="s">
        <v>1439</v>
      </c>
      <c r="C139" s="17" t="s">
        <v>923</v>
      </c>
      <c r="D139" s="17" t="s">
        <v>2338</v>
      </c>
      <c r="E139" s="21" t="s">
        <v>2071</v>
      </c>
      <c r="F139" s="22" t="s">
        <v>136</v>
      </c>
      <c r="G139" s="22" t="s">
        <v>136</v>
      </c>
      <c r="H139" s="22" t="s">
        <v>136</v>
      </c>
      <c r="I139" s="22" t="s">
        <v>136</v>
      </c>
      <c r="J139" s="22" t="s">
        <v>136</v>
      </c>
      <c r="K139" s="22" t="s">
        <v>136</v>
      </c>
      <c r="L139" s="22" t="s">
        <v>136</v>
      </c>
      <c r="M139" s="23" t="s">
        <v>2333</v>
      </c>
      <c r="N139" s="23" t="s">
        <v>2325</v>
      </c>
      <c r="O139" s="24" t="s">
        <v>136</v>
      </c>
      <c r="P139" s="23" t="s">
        <v>1570</v>
      </c>
      <c r="Q139" s="23" t="s">
        <v>2486</v>
      </c>
      <c r="R139" s="23" t="s">
        <v>2351</v>
      </c>
    </row>
    <row r="140" customFormat="false" ht="219.75" hidden="false" customHeight="true" outlineLevel="0" collapsed="false">
      <c r="A140" s="17" t="s">
        <v>1307</v>
      </c>
      <c r="B140" s="17" t="s">
        <v>1444</v>
      </c>
      <c r="C140" s="17" t="s">
        <v>1102</v>
      </c>
      <c r="D140" s="17" t="s">
        <v>2338</v>
      </c>
      <c r="E140" s="21" t="s">
        <v>2071</v>
      </c>
      <c r="F140" s="22" t="s">
        <v>136</v>
      </c>
      <c r="G140" s="22" t="s">
        <v>136</v>
      </c>
      <c r="H140" s="22" t="s">
        <v>136</v>
      </c>
      <c r="I140" s="22" t="s">
        <v>136</v>
      </c>
      <c r="J140" s="22" t="s">
        <v>136</v>
      </c>
      <c r="K140" s="22" t="s">
        <v>136</v>
      </c>
      <c r="L140" s="22" t="s">
        <v>136</v>
      </c>
      <c r="M140" s="24" t="s">
        <v>2487</v>
      </c>
      <c r="N140" s="23" t="s">
        <v>2488</v>
      </c>
      <c r="O140" s="23" t="s">
        <v>2489</v>
      </c>
      <c r="P140" s="24" t="s">
        <v>39</v>
      </c>
      <c r="Q140" s="23" t="s">
        <v>2490</v>
      </c>
      <c r="R140" s="23" t="s">
        <v>2351</v>
      </c>
    </row>
    <row r="141" customFormat="false" ht="219.75" hidden="false" customHeight="true" outlineLevel="0" collapsed="false">
      <c r="A141" s="25" t="s">
        <v>1400</v>
      </c>
      <c r="B141" s="1" t="s">
        <v>1396</v>
      </c>
      <c r="C141" s="1" t="s">
        <v>396</v>
      </c>
      <c r="D141" s="1" t="s">
        <v>2338</v>
      </c>
      <c r="E141" s="26" t="s">
        <v>2491</v>
      </c>
      <c r="F141" s="1" t="s">
        <v>2492</v>
      </c>
      <c r="G141" s="1" t="s">
        <v>2493</v>
      </c>
      <c r="H141" s="1" t="s">
        <v>2494</v>
      </c>
      <c r="I141" s="26" t="s">
        <v>2495</v>
      </c>
      <c r="J141" s="26" t="s">
        <v>2496</v>
      </c>
      <c r="K141" s="1" t="s">
        <v>2497</v>
      </c>
      <c r="L141" s="26" t="s">
        <v>2498</v>
      </c>
      <c r="M141" s="26" t="s">
        <v>2499</v>
      </c>
      <c r="N141" s="27" t="s">
        <v>2500</v>
      </c>
      <c r="O141" s="26" t="s">
        <v>2501</v>
      </c>
      <c r="P141" s="26" t="s">
        <v>1615</v>
      </c>
      <c r="Q141" s="26" t="s">
        <v>2502</v>
      </c>
      <c r="R141" s="26" t="s">
        <v>2351</v>
      </c>
    </row>
    <row r="142" customFormat="false" ht="219.75" hidden="false" customHeight="true" outlineLevel="0" collapsed="false">
      <c r="A142" s="17" t="s">
        <v>1400</v>
      </c>
      <c r="B142" s="17" t="s">
        <v>1444</v>
      </c>
      <c r="C142" s="17" t="s">
        <v>1102</v>
      </c>
      <c r="D142" s="17" t="s">
        <v>2338</v>
      </c>
      <c r="E142" s="21" t="s">
        <v>2503</v>
      </c>
      <c r="F142" s="22" t="s">
        <v>2504</v>
      </c>
      <c r="G142" s="21" t="s">
        <v>2505</v>
      </c>
      <c r="H142" s="22" t="s">
        <v>2506</v>
      </c>
      <c r="I142" s="22" t="s">
        <v>2507</v>
      </c>
      <c r="J142" s="21" t="s">
        <v>2508</v>
      </c>
      <c r="K142" s="22" t="s">
        <v>2509</v>
      </c>
      <c r="L142" s="21" t="s">
        <v>2498</v>
      </c>
      <c r="M142" s="24" t="s">
        <v>2510</v>
      </c>
      <c r="N142" s="23" t="s">
        <v>2511</v>
      </c>
      <c r="O142" s="24" t="s">
        <v>2512</v>
      </c>
      <c r="P142" s="23" t="s">
        <v>1615</v>
      </c>
      <c r="Q142" s="23" t="s">
        <v>2513</v>
      </c>
      <c r="R142" s="23" t="s">
        <v>2351</v>
      </c>
    </row>
    <row r="143" customFormat="false" ht="219.75" hidden="false" customHeight="true" outlineLevel="0" collapsed="false">
      <c r="A143" s="17" t="s">
        <v>1400</v>
      </c>
      <c r="B143" s="17" t="s">
        <v>1429</v>
      </c>
      <c r="C143" s="17" t="s">
        <v>923</v>
      </c>
      <c r="D143" s="17" t="s">
        <v>2338</v>
      </c>
      <c r="E143" s="21" t="s">
        <v>2514</v>
      </c>
      <c r="F143" s="22" t="s">
        <v>2515</v>
      </c>
      <c r="G143" s="22" t="s">
        <v>2516</v>
      </c>
      <c r="H143" s="22" t="s">
        <v>2517</v>
      </c>
      <c r="I143" s="21" t="s">
        <v>2518</v>
      </c>
      <c r="J143" s="21" t="s">
        <v>2519</v>
      </c>
      <c r="K143" s="22" t="s">
        <v>2509</v>
      </c>
      <c r="L143" s="21" t="s">
        <v>2498</v>
      </c>
      <c r="M143" s="23" t="s">
        <v>2520</v>
      </c>
      <c r="N143" s="23" t="s">
        <v>2521</v>
      </c>
      <c r="O143" s="23" t="s">
        <v>2522</v>
      </c>
      <c r="P143" s="23" t="s">
        <v>1615</v>
      </c>
      <c r="Q143" s="23" t="s">
        <v>2523</v>
      </c>
      <c r="R143" s="23" t="s">
        <v>2351</v>
      </c>
    </row>
    <row r="144" customFormat="false" ht="219.75" hidden="false" customHeight="true" outlineLevel="0" collapsed="false">
      <c r="A144" s="17" t="s">
        <v>1400</v>
      </c>
      <c r="B144" s="17" t="s">
        <v>1439</v>
      </c>
      <c r="C144" s="17" t="s">
        <v>923</v>
      </c>
      <c r="D144" s="17" t="s">
        <v>2338</v>
      </c>
      <c r="E144" s="21" t="s">
        <v>2524</v>
      </c>
      <c r="F144" s="22" t="s">
        <v>2525</v>
      </c>
      <c r="G144" s="21" t="s">
        <v>2526</v>
      </c>
      <c r="H144" s="22" t="s">
        <v>2527</v>
      </c>
      <c r="I144" s="22" t="s">
        <v>2528</v>
      </c>
      <c r="J144" s="21" t="s">
        <v>2529</v>
      </c>
      <c r="K144" s="22" t="s">
        <v>2509</v>
      </c>
      <c r="L144" s="21" t="s">
        <v>2498</v>
      </c>
      <c r="M144" s="23" t="s">
        <v>2530</v>
      </c>
      <c r="N144" s="23" t="s">
        <v>2531</v>
      </c>
      <c r="O144" s="23" t="s">
        <v>2532</v>
      </c>
      <c r="P144" s="23" t="s">
        <v>1615</v>
      </c>
      <c r="Q144" s="24" t="s">
        <v>2533</v>
      </c>
      <c r="R144" s="23" t="s">
        <v>2351</v>
      </c>
    </row>
    <row r="145" customFormat="false" ht="219.75" hidden="false" customHeight="true" outlineLevel="0" collapsed="false">
      <c r="A145" s="17" t="s">
        <v>1400</v>
      </c>
      <c r="B145" s="17" t="s">
        <v>1434</v>
      </c>
      <c r="C145" s="17" t="s">
        <v>600</v>
      </c>
      <c r="D145" s="17" t="s">
        <v>2338</v>
      </c>
      <c r="E145" s="21" t="s">
        <v>2534</v>
      </c>
      <c r="F145" s="22" t="s">
        <v>2535</v>
      </c>
      <c r="G145" s="22" t="s">
        <v>2536</v>
      </c>
      <c r="H145" s="21" t="s">
        <v>2537</v>
      </c>
      <c r="I145" s="21" t="s">
        <v>2538</v>
      </c>
      <c r="J145" s="21" t="s">
        <v>2539</v>
      </c>
      <c r="K145" s="22" t="s">
        <v>2509</v>
      </c>
      <c r="L145" s="21" t="s">
        <v>2540</v>
      </c>
      <c r="M145" s="23" t="s">
        <v>2541</v>
      </c>
      <c r="N145" s="23" t="s">
        <v>2542</v>
      </c>
      <c r="O145" s="24" t="s">
        <v>2543</v>
      </c>
      <c r="P145" s="23" t="s">
        <v>1615</v>
      </c>
      <c r="Q145" s="23" t="s">
        <v>1616</v>
      </c>
      <c r="R145" s="23" t="s">
        <v>2351</v>
      </c>
    </row>
    <row r="146" customFormat="false" ht="219.75" hidden="false" customHeight="true" outlineLevel="0" collapsed="false">
      <c r="A146" s="17" t="s">
        <v>1400</v>
      </c>
      <c r="B146" s="17" t="s">
        <v>1450</v>
      </c>
      <c r="C146" s="17" t="s">
        <v>879</v>
      </c>
      <c r="D146" s="17" t="s">
        <v>2338</v>
      </c>
      <c r="E146" s="21" t="s">
        <v>1598</v>
      </c>
      <c r="F146" s="22" t="s">
        <v>136</v>
      </c>
      <c r="G146" s="22" t="s">
        <v>136</v>
      </c>
      <c r="H146" s="22" t="s">
        <v>136</v>
      </c>
      <c r="I146" s="22" t="s">
        <v>136</v>
      </c>
      <c r="J146" s="22" t="s">
        <v>136</v>
      </c>
      <c r="K146" s="22" t="s">
        <v>136</v>
      </c>
      <c r="L146" s="22" t="s">
        <v>136</v>
      </c>
      <c r="M146" s="24" t="s">
        <v>2544</v>
      </c>
      <c r="N146" s="23" t="s">
        <v>2545</v>
      </c>
      <c r="O146" s="24" t="s">
        <v>2546</v>
      </c>
      <c r="P146" s="24" t="s">
        <v>39</v>
      </c>
      <c r="Q146" s="23" t="s">
        <v>2547</v>
      </c>
      <c r="R146" s="23" t="s">
        <v>2351</v>
      </c>
    </row>
    <row r="147" customFormat="false" ht="219.75" hidden="false" customHeight="true" outlineLevel="0" collapsed="false">
      <c r="A147" s="17" t="s">
        <v>1400</v>
      </c>
      <c r="B147" s="17" t="s">
        <v>1457</v>
      </c>
      <c r="C147" s="17" t="s">
        <v>673</v>
      </c>
      <c r="D147" s="17" t="s">
        <v>2338</v>
      </c>
      <c r="E147" s="21" t="s">
        <v>1598</v>
      </c>
      <c r="F147" s="22" t="s">
        <v>136</v>
      </c>
      <c r="G147" s="22" t="s">
        <v>136</v>
      </c>
      <c r="H147" s="22" t="s">
        <v>136</v>
      </c>
      <c r="I147" s="22" t="s">
        <v>136</v>
      </c>
      <c r="J147" s="22" t="s">
        <v>136</v>
      </c>
      <c r="K147" s="22" t="s">
        <v>136</v>
      </c>
      <c r="L147" s="22" t="s">
        <v>136</v>
      </c>
      <c r="M147" s="23" t="s">
        <v>2548</v>
      </c>
      <c r="N147" s="23" t="s">
        <v>2549</v>
      </c>
      <c r="O147" s="24" t="s">
        <v>2550</v>
      </c>
      <c r="P147" s="24" t="s">
        <v>39</v>
      </c>
      <c r="Q147" s="23" t="s">
        <v>2551</v>
      </c>
      <c r="R147" s="23" t="s">
        <v>2351</v>
      </c>
    </row>
    <row r="148" customFormat="false" ht="219.75" hidden="false" customHeight="true" outlineLevel="0" collapsed="false">
      <c r="A148" s="17" t="s">
        <v>1400</v>
      </c>
      <c r="B148" s="17" t="s">
        <v>726</v>
      </c>
      <c r="C148" s="17" t="s">
        <v>720</v>
      </c>
      <c r="D148" s="17" t="s">
        <v>2338</v>
      </c>
      <c r="E148" s="21" t="s">
        <v>1598</v>
      </c>
      <c r="F148" s="22" t="s">
        <v>136</v>
      </c>
      <c r="G148" s="22" t="s">
        <v>136</v>
      </c>
      <c r="H148" s="22" t="s">
        <v>136</v>
      </c>
      <c r="I148" s="22" t="s">
        <v>136</v>
      </c>
      <c r="J148" s="22" t="s">
        <v>136</v>
      </c>
      <c r="K148" s="22" t="s">
        <v>136</v>
      </c>
      <c r="L148" s="22" t="s">
        <v>136</v>
      </c>
      <c r="M148" s="23" t="s">
        <v>2552</v>
      </c>
      <c r="N148" s="23" t="s">
        <v>2553</v>
      </c>
      <c r="O148" s="23" t="s">
        <v>2554</v>
      </c>
      <c r="P148" s="24" t="s">
        <v>39</v>
      </c>
      <c r="Q148" s="23" t="s">
        <v>2555</v>
      </c>
      <c r="R148" s="23" t="s">
        <v>2351</v>
      </c>
    </row>
    <row r="149" customFormat="false" ht="219.75" hidden="false" customHeight="true" outlineLevel="0" collapsed="false">
      <c r="A149" s="17" t="s">
        <v>1400</v>
      </c>
      <c r="B149" s="17" t="s">
        <v>1466</v>
      </c>
      <c r="C149" s="17" t="s">
        <v>870</v>
      </c>
      <c r="D149" s="17" t="s">
        <v>2338</v>
      </c>
      <c r="E149" s="21" t="s">
        <v>1598</v>
      </c>
      <c r="F149" s="22" t="s">
        <v>136</v>
      </c>
      <c r="G149" s="22" t="s">
        <v>136</v>
      </c>
      <c r="H149" s="22" t="s">
        <v>136</v>
      </c>
      <c r="I149" s="22" t="s">
        <v>136</v>
      </c>
      <c r="J149" s="22" t="s">
        <v>136</v>
      </c>
      <c r="K149" s="22" t="s">
        <v>136</v>
      </c>
      <c r="L149" s="22" t="s">
        <v>136</v>
      </c>
      <c r="M149" s="23" t="s">
        <v>2556</v>
      </c>
      <c r="N149" s="23" t="s">
        <v>2557</v>
      </c>
      <c r="O149" s="24" t="s">
        <v>2558</v>
      </c>
      <c r="P149" s="24" t="s">
        <v>39</v>
      </c>
      <c r="Q149" s="23" t="s">
        <v>2559</v>
      </c>
      <c r="R149" s="23" t="s">
        <v>2351</v>
      </c>
    </row>
    <row r="150" customFormat="false" ht="219.75" hidden="false" customHeight="true" outlineLevel="0" collapsed="false">
      <c r="A150" s="17" t="s">
        <v>1400</v>
      </c>
      <c r="B150" s="17" t="s">
        <v>1471</v>
      </c>
      <c r="C150" s="17" t="s">
        <v>870</v>
      </c>
      <c r="D150" s="17" t="s">
        <v>2338</v>
      </c>
      <c r="E150" s="21" t="s">
        <v>1598</v>
      </c>
      <c r="F150" s="22" t="s">
        <v>136</v>
      </c>
      <c r="G150" s="22" t="s">
        <v>136</v>
      </c>
      <c r="H150" s="22" t="s">
        <v>136</v>
      </c>
      <c r="I150" s="22" t="s">
        <v>136</v>
      </c>
      <c r="J150" s="22" t="s">
        <v>136</v>
      </c>
      <c r="K150" s="22" t="s">
        <v>136</v>
      </c>
      <c r="L150" s="22" t="s">
        <v>136</v>
      </c>
      <c r="M150" s="23" t="s">
        <v>2560</v>
      </c>
      <c r="N150" s="23" t="s">
        <v>2561</v>
      </c>
      <c r="O150" s="23" t="s">
        <v>2562</v>
      </c>
      <c r="P150" s="24" t="s">
        <v>39</v>
      </c>
      <c r="Q150" s="23" t="s">
        <v>2563</v>
      </c>
      <c r="R150" s="23" t="s">
        <v>2351</v>
      </c>
    </row>
    <row r="151" customFormat="false" ht="219.75" hidden="false" customHeight="true" outlineLevel="0" collapsed="false">
      <c r="A151" s="17" t="s">
        <v>1400</v>
      </c>
      <c r="B151" s="17" t="s">
        <v>1476</v>
      </c>
      <c r="C151" s="17" t="s">
        <v>870</v>
      </c>
      <c r="D151" s="17" t="s">
        <v>2338</v>
      </c>
      <c r="E151" s="21" t="s">
        <v>1598</v>
      </c>
      <c r="F151" s="22" t="s">
        <v>136</v>
      </c>
      <c r="G151" s="22" t="s">
        <v>136</v>
      </c>
      <c r="H151" s="22" t="s">
        <v>136</v>
      </c>
      <c r="I151" s="22" t="s">
        <v>136</v>
      </c>
      <c r="J151" s="22" t="s">
        <v>136</v>
      </c>
      <c r="K151" s="22" t="s">
        <v>136</v>
      </c>
      <c r="L151" s="22" t="s">
        <v>136</v>
      </c>
      <c r="M151" s="23" t="s">
        <v>2564</v>
      </c>
      <c r="N151" s="23" t="s">
        <v>2565</v>
      </c>
      <c r="O151" s="23" t="s">
        <v>2566</v>
      </c>
      <c r="P151" s="24" t="s">
        <v>39</v>
      </c>
      <c r="Q151" s="23" t="s">
        <v>2567</v>
      </c>
      <c r="R151" s="23" t="s">
        <v>2351</v>
      </c>
    </row>
    <row r="152" customFormat="false" ht="219.75" hidden="false" customHeight="true" outlineLevel="0" collapsed="false">
      <c r="A152" s="17" t="s">
        <v>1400</v>
      </c>
      <c r="B152" s="17" t="s">
        <v>512</v>
      </c>
      <c r="C152" s="17" t="s">
        <v>504</v>
      </c>
      <c r="D152" s="17" t="s">
        <v>2338</v>
      </c>
      <c r="E152" s="21" t="s">
        <v>1598</v>
      </c>
      <c r="F152" s="22" t="s">
        <v>136</v>
      </c>
      <c r="G152" s="22" t="s">
        <v>136</v>
      </c>
      <c r="H152" s="22" t="s">
        <v>136</v>
      </c>
      <c r="I152" s="22" t="s">
        <v>136</v>
      </c>
      <c r="J152" s="22" t="s">
        <v>136</v>
      </c>
      <c r="K152" s="22" t="s">
        <v>136</v>
      </c>
      <c r="L152" s="22" t="s">
        <v>136</v>
      </c>
      <c r="M152" s="23" t="s">
        <v>2568</v>
      </c>
      <c r="N152" s="23" t="s">
        <v>2569</v>
      </c>
      <c r="O152" s="23" t="s">
        <v>2570</v>
      </c>
      <c r="P152" s="24" t="s">
        <v>39</v>
      </c>
      <c r="Q152" s="23" t="s">
        <v>2571</v>
      </c>
      <c r="R152" s="23" t="s">
        <v>2351</v>
      </c>
    </row>
    <row r="153" customFormat="false" ht="219.75" hidden="false" customHeight="true" outlineLevel="0" collapsed="false">
      <c r="A153" s="17" t="s">
        <v>1400</v>
      </c>
      <c r="B153" s="17" t="s">
        <v>1485</v>
      </c>
      <c r="C153" s="17" t="s">
        <v>673</v>
      </c>
      <c r="D153" s="17" t="s">
        <v>2338</v>
      </c>
      <c r="E153" s="21" t="s">
        <v>1598</v>
      </c>
      <c r="F153" s="22" t="s">
        <v>136</v>
      </c>
      <c r="G153" s="22" t="s">
        <v>136</v>
      </c>
      <c r="H153" s="22" t="s">
        <v>136</v>
      </c>
      <c r="I153" s="22" t="s">
        <v>136</v>
      </c>
      <c r="J153" s="22" t="s">
        <v>136</v>
      </c>
      <c r="K153" s="22" t="s">
        <v>136</v>
      </c>
      <c r="L153" s="22" t="s">
        <v>136</v>
      </c>
      <c r="M153" s="23" t="s">
        <v>2572</v>
      </c>
      <c r="N153" s="23" t="s">
        <v>2573</v>
      </c>
      <c r="O153" s="24" t="s">
        <v>2574</v>
      </c>
      <c r="P153" s="24" t="s">
        <v>39</v>
      </c>
      <c r="Q153" s="23" t="s">
        <v>2575</v>
      </c>
      <c r="R153" s="23" t="s">
        <v>2351</v>
      </c>
    </row>
    <row r="154" customFormat="false" ht="219.75" hidden="false" customHeight="true" outlineLevel="0" collapsed="false">
      <c r="A154" s="17" t="s">
        <v>1400</v>
      </c>
      <c r="B154" s="17" t="s">
        <v>1490</v>
      </c>
      <c r="C154" s="17" t="s">
        <v>923</v>
      </c>
      <c r="D154" s="17" t="s">
        <v>2576</v>
      </c>
      <c r="E154" s="21" t="s">
        <v>2577</v>
      </c>
      <c r="F154" s="22" t="s">
        <v>136</v>
      </c>
      <c r="G154" s="22" t="s">
        <v>136</v>
      </c>
      <c r="H154" s="22" t="s">
        <v>136</v>
      </c>
      <c r="I154" s="22" t="s">
        <v>136</v>
      </c>
      <c r="J154" s="22" t="s">
        <v>136</v>
      </c>
      <c r="K154" s="22" t="s">
        <v>136</v>
      </c>
      <c r="L154" s="22" t="s">
        <v>136</v>
      </c>
      <c r="M154" s="23" t="s">
        <v>2333</v>
      </c>
      <c r="N154" s="23" t="s">
        <v>2578</v>
      </c>
      <c r="O154" s="24" t="s">
        <v>136</v>
      </c>
      <c r="P154" s="23" t="s">
        <v>1570</v>
      </c>
      <c r="Q154" s="23" t="s">
        <v>2579</v>
      </c>
      <c r="R154" s="23" t="s">
        <v>2580</v>
      </c>
    </row>
    <row r="155" customFormat="false" ht="219.75" hidden="false" customHeight="true" outlineLevel="0" collapsed="false">
      <c r="A155" s="17" t="s">
        <v>1400</v>
      </c>
      <c r="B155" s="17" t="s">
        <v>1495</v>
      </c>
      <c r="C155" s="17" t="s">
        <v>923</v>
      </c>
      <c r="D155" s="17" t="s">
        <v>2576</v>
      </c>
      <c r="E155" s="21" t="s">
        <v>2577</v>
      </c>
      <c r="F155" s="22" t="s">
        <v>136</v>
      </c>
      <c r="G155" s="22" t="s">
        <v>136</v>
      </c>
      <c r="H155" s="22" t="s">
        <v>136</v>
      </c>
      <c r="I155" s="22" t="s">
        <v>136</v>
      </c>
      <c r="J155" s="22" t="s">
        <v>136</v>
      </c>
      <c r="K155" s="22" t="s">
        <v>136</v>
      </c>
      <c r="L155" s="22" t="s">
        <v>136</v>
      </c>
      <c r="M155" s="23" t="s">
        <v>2581</v>
      </c>
      <c r="N155" s="23" t="s">
        <v>2582</v>
      </c>
      <c r="O155" s="24" t="s">
        <v>136</v>
      </c>
      <c r="P155" s="23" t="s">
        <v>1570</v>
      </c>
      <c r="Q155" s="23" t="s">
        <v>2583</v>
      </c>
      <c r="R155" s="23" t="s">
        <v>2580</v>
      </c>
    </row>
    <row r="156" customFormat="false" ht="219.75" hidden="false" customHeight="true" outlineLevel="0" collapsed="false">
      <c r="A156" s="17" t="s">
        <v>1400</v>
      </c>
      <c r="B156" s="17" t="s">
        <v>1500</v>
      </c>
      <c r="C156" s="17" t="s">
        <v>923</v>
      </c>
      <c r="D156" s="17" t="s">
        <v>2576</v>
      </c>
      <c r="E156" s="21" t="s">
        <v>2577</v>
      </c>
      <c r="F156" s="22" t="s">
        <v>136</v>
      </c>
      <c r="G156" s="22" t="s">
        <v>136</v>
      </c>
      <c r="H156" s="22" t="s">
        <v>136</v>
      </c>
      <c r="I156" s="22" t="s">
        <v>136</v>
      </c>
      <c r="J156" s="22" t="s">
        <v>136</v>
      </c>
      <c r="K156" s="22" t="s">
        <v>136</v>
      </c>
      <c r="L156" s="22" t="s">
        <v>136</v>
      </c>
      <c r="M156" s="23" t="s">
        <v>2333</v>
      </c>
      <c r="N156" s="23" t="s">
        <v>2578</v>
      </c>
      <c r="O156" s="24" t="s">
        <v>136</v>
      </c>
      <c r="P156" s="23" t="s">
        <v>1570</v>
      </c>
      <c r="Q156" s="23" t="s">
        <v>2584</v>
      </c>
      <c r="R156" s="23" t="s">
        <v>2580</v>
      </c>
    </row>
    <row r="157" customFormat="false" ht="219.75" hidden="false" customHeight="true" outlineLevel="0" collapsed="false">
      <c r="A157" s="17" t="s">
        <v>1400</v>
      </c>
      <c r="B157" s="17" t="s">
        <v>1071</v>
      </c>
      <c r="C157" s="17" t="s">
        <v>1065</v>
      </c>
      <c r="D157" s="17" t="s">
        <v>2576</v>
      </c>
      <c r="E157" s="21" t="s">
        <v>2577</v>
      </c>
      <c r="F157" s="22" t="s">
        <v>136</v>
      </c>
      <c r="G157" s="22" t="s">
        <v>136</v>
      </c>
      <c r="H157" s="22" t="s">
        <v>136</v>
      </c>
      <c r="I157" s="22" t="s">
        <v>136</v>
      </c>
      <c r="J157" s="22" t="s">
        <v>136</v>
      </c>
      <c r="K157" s="22" t="s">
        <v>136</v>
      </c>
      <c r="L157" s="22" t="s">
        <v>136</v>
      </c>
      <c r="M157" s="23" t="s">
        <v>2333</v>
      </c>
      <c r="N157" s="23" t="s">
        <v>2582</v>
      </c>
      <c r="O157" s="24" t="s">
        <v>136</v>
      </c>
      <c r="P157" s="23" t="s">
        <v>1570</v>
      </c>
      <c r="Q157" s="23" t="s">
        <v>2585</v>
      </c>
      <c r="R157" s="23" t="s">
        <v>2580</v>
      </c>
    </row>
    <row r="158" customFormat="false" ht="219.75" hidden="false" customHeight="true" outlineLevel="0" collapsed="false">
      <c r="A158" s="17" t="s">
        <v>1400</v>
      </c>
      <c r="B158" s="17" t="s">
        <v>904</v>
      </c>
      <c r="C158" s="17" t="s">
        <v>896</v>
      </c>
      <c r="D158" s="17" t="s">
        <v>2576</v>
      </c>
      <c r="E158" s="21" t="s">
        <v>2577</v>
      </c>
      <c r="F158" s="22" t="s">
        <v>136</v>
      </c>
      <c r="G158" s="22" t="s">
        <v>136</v>
      </c>
      <c r="H158" s="22" t="s">
        <v>136</v>
      </c>
      <c r="I158" s="22" t="s">
        <v>136</v>
      </c>
      <c r="J158" s="22" t="s">
        <v>136</v>
      </c>
      <c r="K158" s="22" t="s">
        <v>136</v>
      </c>
      <c r="L158" s="22" t="s">
        <v>136</v>
      </c>
      <c r="M158" s="23" t="s">
        <v>2333</v>
      </c>
      <c r="N158" s="23" t="s">
        <v>2578</v>
      </c>
      <c r="O158" s="24" t="s">
        <v>136</v>
      </c>
      <c r="P158" s="23" t="s">
        <v>1570</v>
      </c>
      <c r="Q158" s="23" t="s">
        <v>2586</v>
      </c>
      <c r="R158" s="23" t="s">
        <v>2580</v>
      </c>
    </row>
    <row r="159" customFormat="false" ht="219.75" hidden="false" customHeight="true" outlineLevel="0" collapsed="false">
      <c r="A159" s="25" t="s">
        <v>1455</v>
      </c>
      <c r="B159" s="1" t="s">
        <v>1450</v>
      </c>
      <c r="C159" s="1" t="s">
        <v>2587</v>
      </c>
      <c r="D159" s="1" t="s">
        <v>2576</v>
      </c>
      <c r="E159" s="26" t="s">
        <v>2588</v>
      </c>
      <c r="F159" s="1" t="s">
        <v>2589</v>
      </c>
      <c r="G159" s="26" t="s">
        <v>2590</v>
      </c>
      <c r="H159" s="26" t="s">
        <v>2591</v>
      </c>
      <c r="I159" s="1" t="s">
        <v>2592</v>
      </c>
      <c r="J159" s="26" t="s">
        <v>2593</v>
      </c>
      <c r="K159" s="1" t="s">
        <v>2594</v>
      </c>
      <c r="L159" s="1" t="s">
        <v>2595</v>
      </c>
      <c r="M159" s="26" t="s">
        <v>2596</v>
      </c>
      <c r="N159" s="27" t="s">
        <v>2597</v>
      </c>
      <c r="O159" s="1" t="s">
        <v>2598</v>
      </c>
      <c r="P159" s="26" t="s">
        <v>1615</v>
      </c>
      <c r="Q159" s="26" t="s">
        <v>2599</v>
      </c>
      <c r="R159" s="26" t="s">
        <v>2580</v>
      </c>
    </row>
    <row r="160" customFormat="false" ht="219.75" hidden="false" customHeight="true" outlineLevel="0" collapsed="false">
      <c r="A160" s="17" t="s">
        <v>1455</v>
      </c>
      <c r="B160" s="17" t="s">
        <v>1457</v>
      </c>
      <c r="C160" s="17" t="s">
        <v>673</v>
      </c>
      <c r="D160" s="17" t="s">
        <v>2576</v>
      </c>
      <c r="E160" s="21" t="s">
        <v>2600</v>
      </c>
      <c r="F160" s="22" t="s">
        <v>2601</v>
      </c>
      <c r="G160" s="22" t="s">
        <v>2602</v>
      </c>
      <c r="H160" s="21" t="s">
        <v>2603</v>
      </c>
      <c r="I160" s="21" t="s">
        <v>2604</v>
      </c>
      <c r="J160" s="21" t="s">
        <v>2605</v>
      </c>
      <c r="K160" s="22" t="s">
        <v>2606</v>
      </c>
      <c r="L160" s="22" t="s">
        <v>2607</v>
      </c>
      <c r="M160" s="23" t="s">
        <v>2608</v>
      </c>
      <c r="N160" s="23" t="s">
        <v>2609</v>
      </c>
      <c r="O160" s="24" t="s">
        <v>2610</v>
      </c>
      <c r="P160" s="23" t="s">
        <v>1615</v>
      </c>
      <c r="Q160" s="23" t="s">
        <v>1616</v>
      </c>
      <c r="R160" s="23" t="s">
        <v>2580</v>
      </c>
    </row>
    <row r="161" customFormat="false" ht="219.75" hidden="false" customHeight="true" outlineLevel="0" collapsed="false">
      <c r="A161" s="17" t="s">
        <v>1455</v>
      </c>
      <c r="B161" s="17" t="s">
        <v>1466</v>
      </c>
      <c r="C161" s="17" t="s">
        <v>870</v>
      </c>
      <c r="D161" s="17" t="s">
        <v>2576</v>
      </c>
      <c r="E161" s="21" t="s">
        <v>2611</v>
      </c>
      <c r="F161" s="22" t="s">
        <v>2612</v>
      </c>
      <c r="G161" s="21" t="s">
        <v>2613</v>
      </c>
      <c r="H161" s="22" t="s">
        <v>2614</v>
      </c>
      <c r="I161" s="22" t="s">
        <v>2615</v>
      </c>
      <c r="J161" s="21" t="s">
        <v>2616</v>
      </c>
      <c r="K161" s="22" t="s">
        <v>2606</v>
      </c>
      <c r="L161" s="22" t="s">
        <v>2607</v>
      </c>
      <c r="M161" s="23" t="s">
        <v>2617</v>
      </c>
      <c r="N161" s="23" t="s">
        <v>2618</v>
      </c>
      <c r="O161" s="23" t="s">
        <v>2619</v>
      </c>
      <c r="P161" s="23" t="s">
        <v>1615</v>
      </c>
      <c r="Q161" s="23" t="s">
        <v>1616</v>
      </c>
      <c r="R161" s="23" t="s">
        <v>2580</v>
      </c>
    </row>
    <row r="162" customFormat="false" ht="219.75" hidden="false" customHeight="true" outlineLevel="0" collapsed="false">
      <c r="A162" s="17" t="s">
        <v>1455</v>
      </c>
      <c r="B162" s="17" t="s">
        <v>1471</v>
      </c>
      <c r="C162" s="17" t="s">
        <v>870</v>
      </c>
      <c r="D162" s="17" t="s">
        <v>2576</v>
      </c>
      <c r="E162" s="21" t="s">
        <v>2620</v>
      </c>
      <c r="F162" s="22" t="s">
        <v>2621</v>
      </c>
      <c r="G162" s="22" t="s">
        <v>2622</v>
      </c>
      <c r="H162" s="21" t="s">
        <v>2623</v>
      </c>
      <c r="I162" s="21" t="s">
        <v>2624</v>
      </c>
      <c r="J162" s="21" t="s">
        <v>2625</v>
      </c>
      <c r="K162" s="22" t="s">
        <v>2606</v>
      </c>
      <c r="L162" s="22" t="s">
        <v>2607</v>
      </c>
      <c r="M162" s="23" t="s">
        <v>2626</v>
      </c>
      <c r="N162" s="23" t="s">
        <v>2627</v>
      </c>
      <c r="O162" s="23" t="s">
        <v>2628</v>
      </c>
      <c r="P162" s="23" t="s">
        <v>1615</v>
      </c>
      <c r="Q162" s="23" t="s">
        <v>1616</v>
      </c>
      <c r="R162" s="23" t="s">
        <v>2580</v>
      </c>
    </row>
    <row r="163" customFormat="false" ht="219.75" hidden="false" customHeight="true" outlineLevel="0" collapsed="false">
      <c r="A163" s="17" t="s">
        <v>1455</v>
      </c>
      <c r="B163" s="17" t="s">
        <v>1476</v>
      </c>
      <c r="C163" s="17" t="s">
        <v>870</v>
      </c>
      <c r="D163" s="17" t="s">
        <v>2576</v>
      </c>
      <c r="E163" s="21" t="s">
        <v>2629</v>
      </c>
      <c r="F163" s="22" t="s">
        <v>2630</v>
      </c>
      <c r="G163" s="21" t="s">
        <v>2631</v>
      </c>
      <c r="H163" s="21" t="s">
        <v>2632</v>
      </c>
      <c r="I163" s="21" t="s">
        <v>2633</v>
      </c>
      <c r="J163" s="21" t="s">
        <v>2634</v>
      </c>
      <c r="K163" s="22" t="s">
        <v>2606</v>
      </c>
      <c r="L163" s="22" t="s">
        <v>2607</v>
      </c>
      <c r="M163" s="23" t="s">
        <v>2635</v>
      </c>
      <c r="N163" s="23" t="s">
        <v>2636</v>
      </c>
      <c r="O163" s="23" t="s">
        <v>2637</v>
      </c>
      <c r="P163" s="23" t="s">
        <v>1615</v>
      </c>
      <c r="Q163" s="23" t="s">
        <v>1616</v>
      </c>
      <c r="R163" s="23" t="s">
        <v>2580</v>
      </c>
    </row>
    <row r="164" customFormat="false" ht="219.75" hidden="false" customHeight="true" outlineLevel="0" collapsed="false">
      <c r="A164" s="17" t="s">
        <v>1455</v>
      </c>
      <c r="B164" s="17" t="s">
        <v>1516</v>
      </c>
      <c r="C164" s="17" t="s">
        <v>1517</v>
      </c>
      <c r="D164" s="17" t="s">
        <v>2576</v>
      </c>
      <c r="E164" s="21" t="s">
        <v>2638</v>
      </c>
      <c r="F164" s="22" t="s">
        <v>2639</v>
      </c>
      <c r="G164" s="22" t="s">
        <v>2640</v>
      </c>
      <c r="H164" s="21" t="s">
        <v>2641</v>
      </c>
      <c r="I164" s="21" t="s">
        <v>2642</v>
      </c>
      <c r="J164" s="21" t="s">
        <v>2643</v>
      </c>
      <c r="K164" s="22" t="s">
        <v>2606</v>
      </c>
      <c r="L164" s="22" t="s">
        <v>2607</v>
      </c>
      <c r="M164" s="23" t="s">
        <v>2644</v>
      </c>
      <c r="N164" s="23" t="s">
        <v>2645</v>
      </c>
      <c r="O164" s="23" t="s">
        <v>2646</v>
      </c>
      <c r="P164" s="23" t="s">
        <v>1615</v>
      </c>
      <c r="Q164" s="23" t="s">
        <v>1616</v>
      </c>
      <c r="R164" s="23" t="s">
        <v>2580</v>
      </c>
    </row>
    <row r="165" customFormat="false" ht="219.75" hidden="false" customHeight="true" outlineLevel="0" collapsed="false">
      <c r="A165" s="17" t="s">
        <v>1455</v>
      </c>
      <c r="B165" s="17" t="s">
        <v>1522</v>
      </c>
      <c r="C165" s="17" t="s">
        <v>1517</v>
      </c>
      <c r="D165" s="17" t="s">
        <v>2576</v>
      </c>
      <c r="E165" s="21" t="s">
        <v>2647</v>
      </c>
      <c r="F165" s="22" t="s">
        <v>2648</v>
      </c>
      <c r="G165" s="21" t="s">
        <v>2649</v>
      </c>
      <c r="H165" s="22" t="s">
        <v>2650</v>
      </c>
      <c r="I165" s="21" t="s">
        <v>2651</v>
      </c>
      <c r="J165" s="21" t="s">
        <v>2652</v>
      </c>
      <c r="K165" s="22" t="s">
        <v>2606</v>
      </c>
      <c r="L165" s="22" t="s">
        <v>2607</v>
      </c>
      <c r="M165" s="23" t="s">
        <v>2653</v>
      </c>
      <c r="N165" s="23" t="s">
        <v>2654</v>
      </c>
      <c r="O165" s="24" t="s">
        <v>2655</v>
      </c>
      <c r="P165" s="23" t="s">
        <v>1615</v>
      </c>
      <c r="Q165" s="23" t="s">
        <v>1616</v>
      </c>
      <c r="R165" s="23" t="s">
        <v>2580</v>
      </c>
    </row>
    <row r="166" customFormat="false" ht="219.75" hidden="false" customHeight="true" outlineLevel="0" collapsed="false">
      <c r="A166" s="17" t="s">
        <v>1455</v>
      </c>
      <c r="B166" s="17" t="s">
        <v>726</v>
      </c>
      <c r="C166" s="17" t="s">
        <v>720</v>
      </c>
      <c r="D166" s="17" t="s">
        <v>2576</v>
      </c>
      <c r="E166" s="21" t="s">
        <v>2656</v>
      </c>
      <c r="F166" s="22" t="s">
        <v>2657</v>
      </c>
      <c r="G166" s="22" t="s">
        <v>2658</v>
      </c>
      <c r="H166" s="22" t="s">
        <v>2659</v>
      </c>
      <c r="I166" s="21" t="s">
        <v>2660</v>
      </c>
      <c r="J166" s="21" t="s">
        <v>2661</v>
      </c>
      <c r="K166" s="22" t="s">
        <v>2606</v>
      </c>
      <c r="L166" s="22" t="s">
        <v>2607</v>
      </c>
      <c r="M166" s="23" t="s">
        <v>2662</v>
      </c>
      <c r="N166" s="23" t="s">
        <v>2663</v>
      </c>
      <c r="O166" s="23" t="s">
        <v>2664</v>
      </c>
      <c r="P166" s="23" t="s">
        <v>1615</v>
      </c>
      <c r="Q166" s="23" t="s">
        <v>1616</v>
      </c>
      <c r="R166" s="23" t="s">
        <v>2580</v>
      </c>
    </row>
    <row r="167" customFormat="false" ht="219.75" hidden="false" customHeight="true" outlineLevel="0" collapsed="false">
      <c r="A167" s="17" t="s">
        <v>1455</v>
      </c>
      <c r="B167" s="17" t="s">
        <v>1485</v>
      </c>
      <c r="C167" s="17" t="s">
        <v>2665</v>
      </c>
      <c r="D167" s="17" t="s">
        <v>2576</v>
      </c>
      <c r="E167" s="21" t="s">
        <v>2666</v>
      </c>
      <c r="F167" s="22" t="s">
        <v>2667</v>
      </c>
      <c r="G167" s="21" t="s">
        <v>2668</v>
      </c>
      <c r="H167" s="21" t="s">
        <v>2669</v>
      </c>
      <c r="I167" s="22" t="s">
        <v>2670</v>
      </c>
      <c r="J167" s="21" t="s">
        <v>2671</v>
      </c>
      <c r="K167" s="22" t="s">
        <v>2606</v>
      </c>
      <c r="L167" s="22" t="s">
        <v>2607</v>
      </c>
      <c r="M167" s="23" t="s">
        <v>2672</v>
      </c>
      <c r="N167" s="23" t="s">
        <v>2673</v>
      </c>
      <c r="O167" s="24" t="s">
        <v>2674</v>
      </c>
      <c r="P167" s="23" t="s">
        <v>1615</v>
      </c>
      <c r="Q167" s="23" t="s">
        <v>2675</v>
      </c>
      <c r="R167" s="23" t="s">
        <v>2580</v>
      </c>
    </row>
    <row r="168" customFormat="false" ht="219.75" hidden="false" customHeight="true" outlineLevel="0" collapsed="false">
      <c r="A168" s="17" t="s">
        <v>1455</v>
      </c>
      <c r="B168" s="17" t="s">
        <v>512</v>
      </c>
      <c r="C168" s="17" t="s">
        <v>504</v>
      </c>
      <c r="D168" s="17" t="s">
        <v>2576</v>
      </c>
      <c r="E168" s="21" t="s">
        <v>2676</v>
      </c>
      <c r="F168" s="22" t="s">
        <v>2677</v>
      </c>
      <c r="G168" s="21" t="s">
        <v>2678</v>
      </c>
      <c r="H168" s="22" t="s">
        <v>2679</v>
      </c>
      <c r="I168" s="21" t="s">
        <v>2680</v>
      </c>
      <c r="J168" s="22" t="s">
        <v>2681</v>
      </c>
      <c r="K168" s="22" t="s">
        <v>2606</v>
      </c>
      <c r="L168" s="22" t="s">
        <v>2607</v>
      </c>
      <c r="M168" s="23" t="s">
        <v>2682</v>
      </c>
      <c r="N168" s="23" t="s">
        <v>2683</v>
      </c>
      <c r="O168" s="24" t="s">
        <v>2684</v>
      </c>
      <c r="P168" s="23" t="s">
        <v>1615</v>
      </c>
      <c r="Q168" s="23" t="s">
        <v>1616</v>
      </c>
      <c r="R168" s="23" t="s">
        <v>2580</v>
      </c>
    </row>
    <row r="169" customFormat="false" ht="219.75" hidden="false" customHeight="true" outlineLevel="0" collapsed="false">
      <c r="A169" s="17" t="s">
        <v>1455</v>
      </c>
      <c r="B169" s="17" t="s">
        <v>1495</v>
      </c>
      <c r="C169" s="17" t="s">
        <v>1369</v>
      </c>
      <c r="D169" s="17" t="s">
        <v>2576</v>
      </c>
      <c r="E169" s="21" t="s">
        <v>2685</v>
      </c>
      <c r="F169" s="22" t="s">
        <v>2686</v>
      </c>
      <c r="G169" s="22" t="s">
        <v>2687</v>
      </c>
      <c r="H169" s="21" t="s">
        <v>2688</v>
      </c>
      <c r="I169" s="21" t="s">
        <v>2689</v>
      </c>
      <c r="J169" s="21" t="s">
        <v>2690</v>
      </c>
      <c r="K169" s="22" t="s">
        <v>2606</v>
      </c>
      <c r="L169" s="22" t="s">
        <v>2607</v>
      </c>
      <c r="M169" s="24" t="s">
        <v>2691</v>
      </c>
      <c r="N169" s="23" t="s">
        <v>2692</v>
      </c>
      <c r="O169" s="23" t="s">
        <v>2693</v>
      </c>
      <c r="P169" s="23" t="s">
        <v>1615</v>
      </c>
      <c r="Q169" s="23" t="s">
        <v>1616</v>
      </c>
      <c r="R169" s="23" t="s">
        <v>2580</v>
      </c>
    </row>
    <row r="170" customFormat="false" ht="219.75" hidden="false" customHeight="true" outlineLevel="0" collapsed="false">
      <c r="A170" s="17" t="s">
        <v>1455</v>
      </c>
      <c r="B170" s="17" t="s">
        <v>1490</v>
      </c>
      <c r="C170" s="17" t="s">
        <v>1369</v>
      </c>
      <c r="D170" s="17" t="s">
        <v>2576</v>
      </c>
      <c r="E170" s="21" t="s">
        <v>2694</v>
      </c>
      <c r="F170" s="22" t="s">
        <v>2695</v>
      </c>
      <c r="G170" s="22" t="s">
        <v>2696</v>
      </c>
      <c r="H170" s="21" t="s">
        <v>2697</v>
      </c>
      <c r="I170" s="22" t="s">
        <v>2698</v>
      </c>
      <c r="J170" s="21" t="s">
        <v>2699</v>
      </c>
      <c r="K170" s="22" t="s">
        <v>2606</v>
      </c>
      <c r="L170" s="22" t="s">
        <v>2607</v>
      </c>
      <c r="M170" s="23" t="s">
        <v>2700</v>
      </c>
      <c r="N170" s="23" t="s">
        <v>2701</v>
      </c>
      <c r="O170" s="24" t="s">
        <v>2702</v>
      </c>
      <c r="P170" s="23" t="s">
        <v>1615</v>
      </c>
      <c r="Q170" s="23" t="s">
        <v>1616</v>
      </c>
      <c r="R170" s="23" t="s">
        <v>2580</v>
      </c>
    </row>
    <row r="171" customFormat="false" ht="219.75" hidden="false" customHeight="true" outlineLevel="0" collapsed="false">
      <c r="A171" s="17" t="s">
        <v>1455</v>
      </c>
      <c r="B171" s="17" t="s">
        <v>904</v>
      </c>
      <c r="C171" s="17" t="s">
        <v>1511</v>
      </c>
      <c r="D171" s="17" t="s">
        <v>2576</v>
      </c>
      <c r="E171" s="21" t="s">
        <v>2703</v>
      </c>
      <c r="F171" s="22" t="s">
        <v>2704</v>
      </c>
      <c r="G171" s="21" t="s">
        <v>2705</v>
      </c>
      <c r="H171" s="22" t="s">
        <v>2706</v>
      </c>
      <c r="I171" s="21" t="s">
        <v>2707</v>
      </c>
      <c r="J171" s="21" t="s">
        <v>2708</v>
      </c>
      <c r="K171" s="22" t="s">
        <v>2606</v>
      </c>
      <c r="L171" s="22" t="s">
        <v>2607</v>
      </c>
      <c r="M171" s="24" t="s">
        <v>2709</v>
      </c>
      <c r="N171" s="23" t="s">
        <v>2710</v>
      </c>
      <c r="O171" s="24" t="s">
        <v>2711</v>
      </c>
      <c r="P171" s="23" t="s">
        <v>1615</v>
      </c>
      <c r="Q171" s="23" t="s">
        <v>1616</v>
      </c>
      <c r="R171" s="23" t="s">
        <v>2580</v>
      </c>
    </row>
    <row r="172" customFormat="false" ht="219.75" hidden="false" customHeight="true" outlineLevel="0" collapsed="false">
      <c r="A172" s="17" t="s">
        <v>1455</v>
      </c>
      <c r="B172" s="17" t="s">
        <v>1071</v>
      </c>
      <c r="C172" s="17" t="s">
        <v>1505</v>
      </c>
      <c r="D172" s="17" t="s">
        <v>2576</v>
      </c>
      <c r="E172" s="21" t="s">
        <v>2712</v>
      </c>
      <c r="F172" s="22" t="s">
        <v>2713</v>
      </c>
      <c r="G172" s="22" t="s">
        <v>2714</v>
      </c>
      <c r="H172" s="22" t="s">
        <v>2715</v>
      </c>
      <c r="I172" s="21" t="s">
        <v>2716</v>
      </c>
      <c r="J172" s="21" t="s">
        <v>2717</v>
      </c>
      <c r="K172" s="22" t="s">
        <v>2606</v>
      </c>
      <c r="L172" s="22" t="s">
        <v>2607</v>
      </c>
      <c r="M172" s="24" t="s">
        <v>2718</v>
      </c>
      <c r="N172" s="23" t="s">
        <v>2719</v>
      </c>
      <c r="O172" s="23" t="s">
        <v>2720</v>
      </c>
      <c r="P172" s="23" t="s">
        <v>51</v>
      </c>
      <c r="Q172" s="23" t="s">
        <v>2721</v>
      </c>
      <c r="R172" s="23" t="s">
        <v>2580</v>
      </c>
    </row>
    <row r="173" customFormat="false" ht="219.75" hidden="false" customHeight="true" outlineLevel="0" collapsed="false">
      <c r="A173" s="17" t="s">
        <v>1455</v>
      </c>
      <c r="B173" s="17" t="s">
        <v>1500</v>
      </c>
      <c r="C173" s="17" t="s">
        <v>1369</v>
      </c>
      <c r="D173" s="17" t="s">
        <v>2576</v>
      </c>
      <c r="E173" s="21" t="s">
        <v>2722</v>
      </c>
      <c r="F173" s="22" t="s">
        <v>2723</v>
      </c>
      <c r="G173" s="22" t="s">
        <v>2724</v>
      </c>
      <c r="H173" s="21" t="s">
        <v>2725</v>
      </c>
      <c r="I173" s="22" t="s">
        <v>2726</v>
      </c>
      <c r="J173" s="21" t="s">
        <v>2727</v>
      </c>
      <c r="K173" s="22" t="s">
        <v>2606</v>
      </c>
      <c r="L173" s="22" t="s">
        <v>2607</v>
      </c>
      <c r="M173" s="24" t="s">
        <v>2728</v>
      </c>
      <c r="N173" s="23" t="s">
        <v>2729</v>
      </c>
      <c r="O173" s="24" t="s">
        <v>2730</v>
      </c>
      <c r="P173" s="23" t="s">
        <v>1615</v>
      </c>
      <c r="Q173" s="23" t="s">
        <v>2731</v>
      </c>
      <c r="R173" s="23" t="s">
        <v>2580</v>
      </c>
    </row>
    <row r="174" customFormat="false" ht="219.75" hidden="false" customHeight="true" outlineLevel="0" collapsed="false">
      <c r="A174" s="17" t="s">
        <v>1509</v>
      </c>
      <c r="B174" s="17" t="s">
        <v>1071</v>
      </c>
      <c r="C174" s="17" t="s">
        <v>1505</v>
      </c>
      <c r="D174" s="17" t="s">
        <v>2576</v>
      </c>
      <c r="E174" s="21" t="s">
        <v>2732</v>
      </c>
      <c r="F174" s="22" t="s">
        <v>2733</v>
      </c>
      <c r="G174" s="22" t="s">
        <v>2734</v>
      </c>
      <c r="H174" s="21" t="s">
        <v>2735</v>
      </c>
      <c r="I174" s="22" t="s">
        <v>2736</v>
      </c>
      <c r="J174" s="21" t="s">
        <v>2737</v>
      </c>
      <c r="K174" s="22" t="s">
        <v>2738</v>
      </c>
      <c r="L174" s="22" t="s">
        <v>2739</v>
      </c>
      <c r="M174" s="24" t="s">
        <v>2740</v>
      </c>
      <c r="N174" s="23" t="s">
        <v>2741</v>
      </c>
      <c r="O174" s="23" t="s">
        <v>2742</v>
      </c>
      <c r="P174" s="23" t="s">
        <v>1615</v>
      </c>
      <c r="Q174" s="23" t="s">
        <v>2743</v>
      </c>
      <c r="R174" s="23" t="s">
        <v>2744</v>
      </c>
    </row>
    <row r="175" customFormat="false" ht="219.75" hidden="false" customHeight="true" outlineLevel="0" collapsed="false">
      <c r="A175" s="17" t="s">
        <v>1509</v>
      </c>
      <c r="B175" s="17" t="s">
        <v>953</v>
      </c>
      <c r="C175" s="17" t="s">
        <v>1526</v>
      </c>
      <c r="D175" s="17" t="s">
        <v>2576</v>
      </c>
      <c r="E175" s="21" t="s">
        <v>2745</v>
      </c>
      <c r="F175" s="22" t="s">
        <v>2746</v>
      </c>
      <c r="G175" s="21" t="s">
        <v>2747</v>
      </c>
      <c r="H175" s="22" t="s">
        <v>2748</v>
      </c>
      <c r="I175" s="21" t="s">
        <v>2749</v>
      </c>
      <c r="J175" s="21" t="s">
        <v>2750</v>
      </c>
      <c r="K175" s="22" t="s">
        <v>2738</v>
      </c>
      <c r="L175" s="22" t="s">
        <v>2751</v>
      </c>
      <c r="M175" s="24" t="s">
        <v>2752</v>
      </c>
      <c r="N175" s="23" t="s">
        <v>2753</v>
      </c>
      <c r="O175" s="23" t="s">
        <v>2754</v>
      </c>
      <c r="P175" s="23" t="s">
        <v>1615</v>
      </c>
      <c r="Q175" s="23" t="s">
        <v>2755</v>
      </c>
      <c r="R175" s="23" t="s">
        <v>2744</v>
      </c>
    </row>
    <row r="176" customFormat="false" ht="219.75" hidden="false" customHeight="true" outlineLevel="0" collapsed="false">
      <c r="A176" s="17" t="s">
        <v>1532</v>
      </c>
      <c r="B176" s="17" t="s">
        <v>845</v>
      </c>
      <c r="C176" s="17" t="s">
        <v>837</v>
      </c>
      <c r="D176" s="17" t="s">
        <v>2756</v>
      </c>
      <c r="E176" s="21" t="s">
        <v>1598</v>
      </c>
      <c r="F176" s="22" t="s">
        <v>136</v>
      </c>
      <c r="G176" s="22" t="s">
        <v>136</v>
      </c>
      <c r="H176" s="22" t="s">
        <v>136</v>
      </c>
      <c r="I176" s="22" t="s">
        <v>136</v>
      </c>
      <c r="J176" s="22" t="s">
        <v>136</v>
      </c>
      <c r="K176" s="22" t="s">
        <v>136</v>
      </c>
      <c r="L176" s="22" t="s">
        <v>136</v>
      </c>
      <c r="M176" s="24" t="s">
        <v>2757</v>
      </c>
      <c r="N176" s="23" t="s">
        <v>2758</v>
      </c>
      <c r="O176" s="24" t="s">
        <v>2759</v>
      </c>
      <c r="P176" s="24" t="s">
        <v>39</v>
      </c>
      <c r="Q176" s="23" t="s">
        <v>2760</v>
      </c>
      <c r="R176" s="23" t="s">
        <v>2744</v>
      </c>
    </row>
    <row r="177" customFormat="false" ht="219.75" hidden="false" customHeight="true" outlineLevel="0" collapsed="false">
      <c r="A177" s="17" t="s">
        <v>1535</v>
      </c>
      <c r="B177" s="17" t="s">
        <v>845</v>
      </c>
      <c r="C177" s="17" t="s">
        <v>837</v>
      </c>
      <c r="D177" s="17" t="s">
        <v>2756</v>
      </c>
      <c r="E177" s="21" t="s">
        <v>2761</v>
      </c>
      <c r="F177" s="22" t="s">
        <v>2762</v>
      </c>
      <c r="G177" s="22" t="s">
        <v>2763</v>
      </c>
      <c r="H177" s="21" t="s">
        <v>2764</v>
      </c>
      <c r="I177" s="21" t="s">
        <v>2765</v>
      </c>
      <c r="J177" s="22" t="s">
        <v>2766</v>
      </c>
      <c r="K177" s="22" t="s">
        <v>2767</v>
      </c>
      <c r="L177" s="22" t="s">
        <v>2768</v>
      </c>
      <c r="M177" s="24" t="s">
        <v>2769</v>
      </c>
      <c r="N177" s="23" t="s">
        <v>2770</v>
      </c>
      <c r="O177" s="24" t="s">
        <v>2771</v>
      </c>
      <c r="P177" s="23" t="s">
        <v>1615</v>
      </c>
      <c r="Q177" s="23" t="s">
        <v>2772</v>
      </c>
      <c r="R177" s="23" t="s">
        <v>2744</v>
      </c>
    </row>
    <row r="178" customFormat="false" ht="219.75" hidden="false" customHeight="true" outlineLevel="0" collapsed="false">
      <c r="A178" s="17" t="s">
        <v>1539</v>
      </c>
      <c r="B178" s="17" t="s">
        <v>1537</v>
      </c>
      <c r="C178" s="17" t="s">
        <v>879</v>
      </c>
      <c r="D178" s="17" t="s">
        <v>2773</v>
      </c>
      <c r="E178" s="21" t="s">
        <v>1598</v>
      </c>
      <c r="F178" s="22" t="s">
        <v>136</v>
      </c>
      <c r="G178" s="22" t="s">
        <v>136</v>
      </c>
      <c r="H178" s="22" t="s">
        <v>136</v>
      </c>
      <c r="I178" s="22" t="s">
        <v>136</v>
      </c>
      <c r="J178" s="22" t="s">
        <v>136</v>
      </c>
      <c r="K178" s="22" t="s">
        <v>136</v>
      </c>
      <c r="L178" s="22" t="s">
        <v>136</v>
      </c>
      <c r="M178" s="24" t="s">
        <v>2774</v>
      </c>
      <c r="N178" s="23" t="s">
        <v>2775</v>
      </c>
      <c r="O178" s="24" t="s">
        <v>2776</v>
      </c>
      <c r="P178" s="24" t="s">
        <v>39</v>
      </c>
      <c r="Q178" s="23" t="s">
        <v>2777</v>
      </c>
      <c r="R178" s="23" t="s">
        <v>2778</v>
      </c>
    </row>
    <row r="179" customFormat="false" ht="219.75" hidden="false" customHeight="true" outlineLevel="0" collapsed="false">
      <c r="A179" s="17" t="s">
        <v>1539</v>
      </c>
      <c r="B179" s="17" t="s">
        <v>803</v>
      </c>
      <c r="C179" s="17" t="s">
        <v>797</v>
      </c>
      <c r="D179" s="17" t="s">
        <v>2773</v>
      </c>
      <c r="E179" s="21" t="s">
        <v>1598</v>
      </c>
      <c r="F179" s="22" t="s">
        <v>136</v>
      </c>
      <c r="G179" s="22" t="s">
        <v>136</v>
      </c>
      <c r="H179" s="22" t="s">
        <v>136</v>
      </c>
      <c r="I179" s="22" t="s">
        <v>136</v>
      </c>
      <c r="J179" s="22" t="s">
        <v>136</v>
      </c>
      <c r="K179" s="22" t="s">
        <v>136</v>
      </c>
      <c r="L179" s="22" t="s">
        <v>136</v>
      </c>
      <c r="M179" s="24" t="s">
        <v>2779</v>
      </c>
      <c r="N179" s="23" t="s">
        <v>2780</v>
      </c>
      <c r="O179" s="23" t="s">
        <v>2781</v>
      </c>
      <c r="P179" s="24" t="s">
        <v>39</v>
      </c>
      <c r="Q179" s="23" t="s">
        <v>2782</v>
      </c>
      <c r="R179" s="23" t="s">
        <v>2778</v>
      </c>
    </row>
    <row r="180" customFormat="false" ht="219.75" hidden="false" customHeight="true" outlineLevel="0" collapsed="false">
      <c r="A180" s="17" t="s">
        <v>1539</v>
      </c>
      <c r="B180" s="17" t="s">
        <v>1548</v>
      </c>
      <c r="C180" s="17" t="s">
        <v>931</v>
      </c>
      <c r="D180" s="17" t="s">
        <v>2773</v>
      </c>
      <c r="E180" s="21" t="s">
        <v>1598</v>
      </c>
      <c r="F180" s="22" t="s">
        <v>136</v>
      </c>
      <c r="G180" s="22" t="s">
        <v>136</v>
      </c>
      <c r="H180" s="22" t="s">
        <v>136</v>
      </c>
      <c r="I180" s="22" t="s">
        <v>136</v>
      </c>
      <c r="J180" s="22" t="s">
        <v>136</v>
      </c>
      <c r="K180" s="22" t="s">
        <v>136</v>
      </c>
      <c r="L180" s="22" t="s">
        <v>136</v>
      </c>
      <c r="M180" s="23" t="s">
        <v>2783</v>
      </c>
      <c r="N180" s="23" t="s">
        <v>2784</v>
      </c>
      <c r="O180" s="24" t="s">
        <v>2785</v>
      </c>
      <c r="P180" s="23" t="s">
        <v>1570</v>
      </c>
      <c r="Q180" s="23" t="s">
        <v>2786</v>
      </c>
      <c r="R180" s="23" t="s">
        <v>2778</v>
      </c>
    </row>
    <row r="181" customFormat="false" ht="240" hidden="false" customHeight="true" outlineLevel="0" collapsed="false">
      <c r="A181" s="17" t="s">
        <v>1542</v>
      </c>
      <c r="B181" s="17" t="s">
        <v>1537</v>
      </c>
      <c r="C181" s="17" t="s">
        <v>879</v>
      </c>
      <c r="D181" s="17" t="s">
        <v>2787</v>
      </c>
      <c r="E181" s="21" t="s">
        <v>2788</v>
      </c>
      <c r="F181" s="22" t="s">
        <v>1541</v>
      </c>
      <c r="G181" s="21" t="s">
        <v>2789</v>
      </c>
      <c r="H181" s="21" t="s">
        <v>2790</v>
      </c>
      <c r="I181" s="21" t="s">
        <v>2791</v>
      </c>
      <c r="J181" s="21" t="s">
        <v>2792</v>
      </c>
      <c r="K181" s="22" t="s">
        <v>2793</v>
      </c>
      <c r="L181" s="22" t="s">
        <v>2794</v>
      </c>
      <c r="M181" s="24" t="s">
        <v>2795</v>
      </c>
      <c r="N181" s="23" t="s">
        <v>2796</v>
      </c>
      <c r="O181" s="24" t="s">
        <v>2797</v>
      </c>
      <c r="P181" s="23" t="s">
        <v>1615</v>
      </c>
      <c r="Q181" s="23" t="s">
        <v>2798</v>
      </c>
      <c r="R181" s="23" t="s">
        <v>2799</v>
      </c>
    </row>
    <row r="182" customFormat="false" ht="240" hidden="false" customHeight="true" outlineLevel="0" collapsed="false">
      <c r="A182" s="17" t="s">
        <v>1542</v>
      </c>
      <c r="B182" s="17" t="s">
        <v>803</v>
      </c>
      <c r="C182" s="17" t="s">
        <v>797</v>
      </c>
      <c r="D182" s="17" t="s">
        <v>2787</v>
      </c>
      <c r="E182" s="21" t="s">
        <v>2800</v>
      </c>
      <c r="F182" s="22" t="s">
        <v>1546</v>
      </c>
      <c r="G182" s="21" t="s">
        <v>2801</v>
      </c>
      <c r="H182" s="22" t="s">
        <v>2802</v>
      </c>
      <c r="I182" s="22" t="s">
        <v>2803</v>
      </c>
      <c r="J182" s="21" t="s">
        <v>2804</v>
      </c>
      <c r="K182" s="22" t="s">
        <v>2793</v>
      </c>
      <c r="L182" s="22" t="s">
        <v>2805</v>
      </c>
      <c r="M182" s="24" t="s">
        <v>2806</v>
      </c>
      <c r="N182" s="23" t="s">
        <v>2807</v>
      </c>
      <c r="O182" s="23" t="s">
        <v>2808</v>
      </c>
      <c r="P182" s="23" t="s">
        <v>1615</v>
      </c>
      <c r="Q182" s="23" t="s">
        <v>2809</v>
      </c>
      <c r="R182" s="23" t="s">
        <v>2799</v>
      </c>
    </row>
    <row r="183" customFormat="false" ht="240" hidden="false" customHeight="true" outlineLevel="0" collapsed="false">
      <c r="A183" s="17" t="s">
        <v>1542</v>
      </c>
      <c r="B183" s="17" t="s">
        <v>1548</v>
      </c>
      <c r="C183" s="17" t="s">
        <v>931</v>
      </c>
      <c r="D183" s="17" t="s">
        <v>2787</v>
      </c>
      <c r="E183" s="21" t="s">
        <v>2810</v>
      </c>
      <c r="F183" s="22" t="s">
        <v>1551</v>
      </c>
      <c r="G183" s="22" t="s">
        <v>2811</v>
      </c>
      <c r="H183" s="22" t="s">
        <v>2812</v>
      </c>
      <c r="I183" s="21" t="s">
        <v>2813</v>
      </c>
      <c r="J183" s="21" t="s">
        <v>2814</v>
      </c>
      <c r="K183" s="22" t="s">
        <v>2793</v>
      </c>
      <c r="L183" s="22" t="s">
        <v>2815</v>
      </c>
      <c r="M183" s="23" t="s">
        <v>2816</v>
      </c>
      <c r="N183" s="23" t="s">
        <v>2817</v>
      </c>
      <c r="O183" s="24" t="s">
        <v>2818</v>
      </c>
      <c r="P183" s="23" t="s">
        <v>1615</v>
      </c>
      <c r="Q183" s="23" t="s">
        <v>2819</v>
      </c>
      <c r="R183" s="23" t="s">
        <v>2799</v>
      </c>
    </row>
    <row r="184" customFormat="false" ht="240" hidden="false" customHeight="true" outlineLevel="0" collapsed="false">
      <c r="A184" s="17" t="s">
        <v>1555</v>
      </c>
      <c r="B184" s="17" t="s">
        <v>913</v>
      </c>
      <c r="C184" s="17" t="s">
        <v>2820</v>
      </c>
      <c r="D184" s="17" t="s">
        <v>2821</v>
      </c>
      <c r="E184" s="21" t="s">
        <v>1598</v>
      </c>
      <c r="F184" s="22" t="s">
        <v>136</v>
      </c>
      <c r="G184" s="22" t="s">
        <v>136</v>
      </c>
      <c r="H184" s="22" t="s">
        <v>136</v>
      </c>
      <c r="I184" s="21" t="s">
        <v>136</v>
      </c>
      <c r="J184" s="21" t="s">
        <v>136</v>
      </c>
      <c r="K184" s="22" t="s">
        <v>136</v>
      </c>
      <c r="L184" s="22" t="s">
        <v>136</v>
      </c>
      <c r="M184" s="23" t="s">
        <v>2822</v>
      </c>
      <c r="N184" s="23" t="s">
        <v>2823</v>
      </c>
      <c r="O184" s="24" t="s">
        <v>2824</v>
      </c>
      <c r="P184" s="23" t="s">
        <v>1570</v>
      </c>
      <c r="Q184" s="23" t="s">
        <v>2825</v>
      </c>
      <c r="R184" s="23" t="s">
        <v>2799</v>
      </c>
    </row>
    <row r="185" customFormat="false" ht="240" hidden="false" customHeight="true" outlineLevel="0" collapsed="false">
      <c r="A185" s="17" t="s">
        <v>1555</v>
      </c>
      <c r="B185" s="17" t="s">
        <v>913</v>
      </c>
      <c r="C185" s="17" t="s">
        <v>2820</v>
      </c>
      <c r="D185" s="17" t="s">
        <v>2821</v>
      </c>
      <c r="E185" s="21" t="s">
        <v>2826</v>
      </c>
      <c r="F185" s="22" t="s">
        <v>136</v>
      </c>
      <c r="G185" s="22" t="s">
        <v>136</v>
      </c>
      <c r="H185" s="22" t="s">
        <v>136</v>
      </c>
      <c r="I185" s="21" t="s">
        <v>136</v>
      </c>
      <c r="J185" s="21" t="s">
        <v>136</v>
      </c>
      <c r="K185" s="22" t="s">
        <v>136</v>
      </c>
      <c r="L185" s="22" t="s">
        <v>136</v>
      </c>
      <c r="M185" s="23" t="s">
        <v>2827</v>
      </c>
      <c r="N185" s="23" t="s">
        <v>2828</v>
      </c>
      <c r="O185" s="24" t="s">
        <v>2829</v>
      </c>
      <c r="P185" s="23" t="s">
        <v>1615</v>
      </c>
      <c r="Q185" s="23" t="s">
        <v>2830</v>
      </c>
      <c r="R185" s="23" t="s">
        <v>2799</v>
      </c>
    </row>
    <row r="186" customFormat="false" ht="240" hidden="false" customHeight="true" outlineLevel="0" collapsed="false">
      <c r="A186" s="17" t="s">
        <v>1560</v>
      </c>
      <c r="B186" s="17" t="s">
        <v>1558</v>
      </c>
      <c r="C186" s="17" t="s">
        <v>1102</v>
      </c>
      <c r="D186" s="17" t="s">
        <v>2831</v>
      </c>
      <c r="E186" s="21" t="s">
        <v>1598</v>
      </c>
      <c r="F186" s="22" t="s">
        <v>136</v>
      </c>
      <c r="G186" s="22" t="s">
        <v>136</v>
      </c>
      <c r="H186" s="22" t="s">
        <v>136</v>
      </c>
      <c r="I186" s="21" t="s">
        <v>136</v>
      </c>
      <c r="J186" s="21" t="s">
        <v>136</v>
      </c>
      <c r="K186" s="22" t="s">
        <v>136</v>
      </c>
      <c r="L186" s="22" t="s">
        <v>136</v>
      </c>
      <c r="M186" s="23" t="s">
        <v>2832</v>
      </c>
      <c r="N186" s="23" t="s">
        <v>2833</v>
      </c>
      <c r="O186" s="24" t="s">
        <v>2834</v>
      </c>
      <c r="P186" s="23" t="s">
        <v>39</v>
      </c>
      <c r="Q186" s="23" t="s">
        <v>2835</v>
      </c>
      <c r="R186" s="23" t="s">
        <v>2836</v>
      </c>
    </row>
    <row r="187" customFormat="false" ht="240" hidden="false" customHeight="true" outlineLevel="0" collapsed="false">
      <c r="A187" s="17" t="s">
        <v>1560</v>
      </c>
      <c r="B187" s="17" t="s">
        <v>746</v>
      </c>
      <c r="C187" s="17" t="s">
        <v>737</v>
      </c>
      <c r="D187" s="17" t="s">
        <v>2831</v>
      </c>
      <c r="E187" s="21" t="s">
        <v>1598</v>
      </c>
      <c r="F187" s="22" t="s">
        <v>136</v>
      </c>
      <c r="G187" s="22" t="s">
        <v>136</v>
      </c>
      <c r="H187" s="22" t="s">
        <v>136</v>
      </c>
      <c r="I187" s="21" t="s">
        <v>136</v>
      </c>
      <c r="J187" s="21" t="s">
        <v>136</v>
      </c>
      <c r="K187" s="22" t="s">
        <v>136</v>
      </c>
      <c r="L187" s="22" t="s">
        <v>136</v>
      </c>
      <c r="M187" s="23" t="s">
        <v>2837</v>
      </c>
      <c r="N187" s="23" t="s">
        <v>2838</v>
      </c>
      <c r="O187" s="28" t="s">
        <v>2839</v>
      </c>
      <c r="P187" s="23" t="s">
        <v>39</v>
      </c>
      <c r="Q187" s="23" t="s">
        <v>2840</v>
      </c>
      <c r="R187" s="23" t="s">
        <v>2836</v>
      </c>
    </row>
    <row r="188" customFormat="false" ht="240" hidden="false" customHeight="true" outlineLevel="0" collapsed="false">
      <c r="A188" s="17" t="s">
        <v>1560</v>
      </c>
      <c r="B188" s="17" t="s">
        <v>1567</v>
      </c>
      <c r="C188" s="17" t="s">
        <v>812</v>
      </c>
      <c r="D188" s="17" t="s">
        <v>2831</v>
      </c>
      <c r="E188" s="21" t="s">
        <v>1598</v>
      </c>
      <c r="F188" s="22" t="s">
        <v>136</v>
      </c>
      <c r="G188" s="22" t="s">
        <v>136</v>
      </c>
      <c r="H188" s="22" t="s">
        <v>136</v>
      </c>
      <c r="I188" s="21" t="s">
        <v>136</v>
      </c>
      <c r="J188" s="21" t="s">
        <v>136</v>
      </c>
      <c r="K188" s="22" t="s">
        <v>136</v>
      </c>
      <c r="L188" s="22" t="s">
        <v>136</v>
      </c>
      <c r="M188" s="23" t="s">
        <v>2841</v>
      </c>
      <c r="N188" s="23" t="s">
        <v>2842</v>
      </c>
      <c r="O188" s="24" t="s">
        <v>2843</v>
      </c>
      <c r="P188" s="23" t="s">
        <v>1570</v>
      </c>
      <c r="Q188" s="23" t="s">
        <v>2844</v>
      </c>
      <c r="R188" s="23" t="s">
        <v>2836</v>
      </c>
    </row>
    <row r="189" customFormat="false" ht="240" hidden="false" customHeight="true" outlineLevel="0" collapsed="false">
      <c r="A189" s="17" t="s">
        <v>1560</v>
      </c>
      <c r="B189" s="17" t="s">
        <v>1572</v>
      </c>
      <c r="C189" s="17" t="s">
        <v>187</v>
      </c>
      <c r="D189" s="17" t="s">
        <v>2831</v>
      </c>
      <c r="E189" s="21" t="s">
        <v>1598</v>
      </c>
      <c r="F189" s="22" t="s">
        <v>136</v>
      </c>
      <c r="G189" s="22" t="s">
        <v>136</v>
      </c>
      <c r="H189" s="22" t="s">
        <v>136</v>
      </c>
      <c r="I189" s="21" t="s">
        <v>136</v>
      </c>
      <c r="J189" s="21" t="s">
        <v>136</v>
      </c>
      <c r="K189" s="22" t="s">
        <v>136</v>
      </c>
      <c r="L189" s="22" t="s">
        <v>136</v>
      </c>
      <c r="M189" s="23" t="s">
        <v>2845</v>
      </c>
      <c r="N189" s="23" t="s">
        <v>2846</v>
      </c>
      <c r="O189" s="28" t="s">
        <v>2847</v>
      </c>
      <c r="P189" s="23" t="s">
        <v>39</v>
      </c>
      <c r="Q189" s="23" t="s">
        <v>2848</v>
      </c>
      <c r="R189" s="23" t="s">
        <v>2836</v>
      </c>
    </row>
    <row r="190" customFormat="false" ht="240" hidden="false" customHeight="true" outlineLevel="0" collapsed="false">
      <c r="A190" s="17" t="s">
        <v>1560</v>
      </c>
      <c r="B190" s="17" t="s">
        <v>1576</v>
      </c>
      <c r="C190" s="17" t="s">
        <v>187</v>
      </c>
      <c r="D190" s="17" t="s">
        <v>2831</v>
      </c>
      <c r="E190" s="21" t="s">
        <v>1598</v>
      </c>
      <c r="F190" s="22" t="s">
        <v>136</v>
      </c>
      <c r="G190" s="22" t="s">
        <v>136</v>
      </c>
      <c r="H190" s="22" t="s">
        <v>136</v>
      </c>
      <c r="I190" s="21" t="s">
        <v>136</v>
      </c>
      <c r="J190" s="21" t="s">
        <v>136</v>
      </c>
      <c r="K190" s="22" t="s">
        <v>136</v>
      </c>
      <c r="L190" s="22" t="s">
        <v>136</v>
      </c>
      <c r="M190" s="23" t="s">
        <v>2849</v>
      </c>
      <c r="N190" s="23" t="s">
        <v>2850</v>
      </c>
      <c r="O190" s="24" t="s">
        <v>2851</v>
      </c>
      <c r="P190" s="23" t="s">
        <v>1570</v>
      </c>
      <c r="Q190" s="23" t="s">
        <v>2852</v>
      </c>
      <c r="R190" s="23" t="s">
        <v>2836</v>
      </c>
    </row>
    <row r="191" customFormat="false" ht="15" hidden="false" customHeight="false" outlineLevel="0" collapsed="false">
      <c r="A191" s="25"/>
    </row>
    <row r="192" customFormat="false" ht="15" hidden="false" customHeight="false" outlineLevel="0" collapsed="false">
      <c r="A192" s="25"/>
    </row>
    <row r="193" customFormat="false" ht="15" hidden="false" customHeight="false" outlineLevel="0" collapsed="false">
      <c r="A193" s="25"/>
    </row>
    <row r="194" customFormat="false" ht="15" hidden="false" customHeight="false" outlineLevel="0" collapsed="false">
      <c r="A194" s="25"/>
    </row>
    <row r="195" customFormat="false" ht="15" hidden="false" customHeight="false" outlineLevel="0" collapsed="false">
      <c r="A195" s="25"/>
    </row>
    <row r="196" customFormat="false" ht="15" hidden="false" customHeight="false" outlineLevel="0" collapsed="false">
      <c r="A196" s="25"/>
    </row>
    <row r="197" customFormat="false" ht="15" hidden="false" customHeight="false" outlineLevel="0" collapsed="false">
      <c r="A197" s="25"/>
    </row>
    <row r="198" customFormat="false" ht="15" hidden="false" customHeight="false" outlineLevel="0" collapsed="false">
      <c r="A198" s="25"/>
    </row>
    <row r="199" customFormat="false" ht="15" hidden="false" customHeight="false" outlineLevel="0" collapsed="false">
      <c r="A199" s="25"/>
    </row>
    <row r="200" customFormat="false" ht="15" hidden="false" customHeight="false" outlineLevel="0" collapsed="false">
      <c r="A200" s="25"/>
    </row>
    <row r="201" customFormat="false" ht="15" hidden="false" customHeight="false" outlineLevel="0" collapsed="false">
      <c r="A201" s="25"/>
    </row>
    <row r="202" customFormat="false" ht="15" hidden="false" customHeight="false" outlineLevel="0" collapsed="false">
      <c r="A202" s="25"/>
    </row>
    <row r="203" customFormat="false" ht="15" hidden="false" customHeight="false" outlineLevel="0" collapsed="false">
      <c r="A203" s="25"/>
    </row>
    <row r="204" customFormat="false" ht="15" hidden="false" customHeight="false" outlineLevel="0" collapsed="false">
      <c r="A204" s="25"/>
    </row>
    <row r="205" customFormat="false" ht="15" hidden="false" customHeight="false" outlineLevel="0" collapsed="false">
      <c r="A205" s="25"/>
    </row>
    <row r="206" customFormat="false" ht="15" hidden="false" customHeight="false" outlineLevel="0" collapsed="false">
      <c r="A206" s="25"/>
    </row>
    <row r="207" customFormat="false" ht="15" hidden="false" customHeight="false" outlineLevel="0" collapsed="false">
      <c r="A207" s="25"/>
    </row>
    <row r="208" customFormat="false" ht="15" hidden="false" customHeight="false" outlineLevel="0" collapsed="false">
      <c r="A208" s="25"/>
    </row>
    <row r="209" customFormat="false" ht="15" hidden="false" customHeight="false" outlineLevel="0" collapsed="false">
      <c r="A209" s="25"/>
    </row>
    <row r="210" customFormat="false" ht="15" hidden="false" customHeight="false" outlineLevel="0" collapsed="false">
      <c r="A210" s="25"/>
    </row>
    <row r="211" customFormat="false" ht="15" hidden="false" customHeight="false" outlineLevel="0" collapsed="false">
      <c r="A211" s="25"/>
    </row>
    <row r="212" customFormat="false" ht="15" hidden="false" customHeight="false" outlineLevel="0" collapsed="false">
      <c r="A212" s="25"/>
    </row>
    <row r="213" customFormat="false" ht="15" hidden="false" customHeight="false" outlineLevel="0" collapsed="false">
      <c r="A213" s="25"/>
    </row>
    <row r="214" customFormat="false" ht="15" hidden="false" customHeight="false" outlineLevel="0" collapsed="false">
      <c r="A214" s="25"/>
    </row>
    <row r="215" customFormat="false" ht="15" hidden="false" customHeight="false" outlineLevel="0" collapsed="false">
      <c r="A215" s="25"/>
    </row>
    <row r="216" customFormat="false" ht="15" hidden="false" customHeight="false" outlineLevel="0" collapsed="false">
      <c r="A216" s="25"/>
    </row>
    <row r="217" customFormat="false" ht="15" hidden="false" customHeight="false" outlineLevel="0" collapsed="false">
      <c r="A217" s="25"/>
    </row>
    <row r="218" customFormat="false" ht="15" hidden="false" customHeight="false" outlineLevel="0" collapsed="false">
      <c r="A218" s="25"/>
    </row>
    <row r="219" customFormat="false" ht="15" hidden="false" customHeight="false" outlineLevel="0" collapsed="false">
      <c r="A219" s="25"/>
    </row>
    <row r="220" customFormat="false" ht="15" hidden="false" customHeight="false" outlineLevel="0" collapsed="false">
      <c r="A220" s="25"/>
    </row>
    <row r="221" customFormat="false" ht="15" hidden="false" customHeight="false" outlineLevel="0" collapsed="false">
      <c r="A221" s="25"/>
    </row>
    <row r="222" customFormat="false" ht="15" hidden="false" customHeight="false" outlineLevel="0" collapsed="false">
      <c r="A222" s="25"/>
    </row>
    <row r="223" customFormat="false" ht="15" hidden="false" customHeight="false" outlineLevel="0" collapsed="false">
      <c r="A223" s="25"/>
    </row>
    <row r="224" customFormat="false" ht="15" hidden="false" customHeight="false" outlineLevel="0" collapsed="false">
      <c r="A224" s="25"/>
    </row>
    <row r="225" customFormat="false" ht="15" hidden="false" customHeight="false" outlineLevel="0" collapsed="false">
      <c r="A225" s="25"/>
    </row>
    <row r="226" customFormat="false" ht="15" hidden="false" customHeight="false" outlineLevel="0" collapsed="false">
      <c r="A226" s="25"/>
    </row>
    <row r="227" customFormat="false" ht="15" hidden="false" customHeight="false" outlineLevel="0" collapsed="false">
      <c r="A227" s="25"/>
    </row>
    <row r="228" customFormat="false" ht="15" hidden="false" customHeight="false" outlineLevel="0" collapsed="false">
      <c r="A228" s="25"/>
    </row>
    <row r="229" customFormat="false" ht="15" hidden="false" customHeight="false" outlineLevel="0" collapsed="false">
      <c r="A229" s="25"/>
    </row>
    <row r="230" customFormat="false" ht="15" hidden="false" customHeight="false" outlineLevel="0" collapsed="false">
      <c r="A230" s="25"/>
    </row>
    <row r="231" customFormat="false" ht="15" hidden="false" customHeight="false" outlineLevel="0" collapsed="false">
      <c r="A231" s="25"/>
    </row>
    <row r="232" customFormat="false" ht="15" hidden="false" customHeight="false" outlineLevel="0" collapsed="false">
      <c r="A232" s="25"/>
    </row>
    <row r="233" customFormat="false" ht="15" hidden="false" customHeight="false" outlineLevel="0" collapsed="false">
      <c r="A233" s="25"/>
    </row>
    <row r="234" customFormat="false" ht="15" hidden="false" customHeight="false" outlineLevel="0" collapsed="false">
      <c r="A234" s="25"/>
    </row>
    <row r="235" customFormat="false" ht="15" hidden="false" customHeight="false" outlineLevel="0" collapsed="false">
      <c r="A235" s="25"/>
    </row>
    <row r="236" customFormat="false" ht="15" hidden="false" customHeight="false" outlineLevel="0" collapsed="false">
      <c r="A236" s="25"/>
    </row>
    <row r="237" customFormat="false" ht="15" hidden="false" customHeight="false" outlineLevel="0" collapsed="false">
      <c r="A237" s="25"/>
    </row>
    <row r="238" customFormat="false" ht="15" hidden="false" customHeight="false" outlineLevel="0" collapsed="false">
      <c r="A238" s="25"/>
    </row>
    <row r="239" customFormat="false" ht="15" hidden="false" customHeight="false" outlineLevel="0" collapsed="false">
      <c r="A239" s="25"/>
    </row>
    <row r="240" customFormat="false" ht="15" hidden="false" customHeight="false" outlineLevel="0" collapsed="false">
      <c r="A240" s="25"/>
    </row>
    <row r="241" customFormat="false" ht="15" hidden="false" customHeight="false" outlineLevel="0" collapsed="false">
      <c r="A241" s="25"/>
    </row>
    <row r="242" customFormat="false" ht="15" hidden="false" customHeight="false" outlineLevel="0" collapsed="false">
      <c r="A242" s="25"/>
    </row>
    <row r="243" customFormat="false" ht="15" hidden="false" customHeight="false" outlineLevel="0" collapsed="false">
      <c r="A243" s="25"/>
    </row>
    <row r="244" customFormat="false" ht="15" hidden="false" customHeight="false" outlineLevel="0" collapsed="false">
      <c r="A244" s="25"/>
    </row>
    <row r="245" customFormat="false" ht="15" hidden="false" customHeight="false" outlineLevel="0" collapsed="false">
      <c r="A245" s="25"/>
    </row>
    <row r="246" customFormat="false" ht="15" hidden="false" customHeight="false" outlineLevel="0" collapsed="false">
      <c r="A246" s="25"/>
    </row>
    <row r="247" customFormat="false" ht="15" hidden="false" customHeight="false" outlineLevel="0" collapsed="false">
      <c r="A247" s="25"/>
    </row>
    <row r="248" customFormat="false" ht="15" hidden="false" customHeight="false" outlineLevel="0" collapsed="false">
      <c r="A248" s="25"/>
    </row>
    <row r="249" customFormat="false" ht="15" hidden="false" customHeight="false" outlineLevel="0" collapsed="false">
      <c r="A249" s="25"/>
    </row>
    <row r="250" customFormat="false" ht="15" hidden="false" customHeight="false" outlineLevel="0" collapsed="false">
      <c r="A250" s="25"/>
    </row>
    <row r="251" customFormat="false" ht="15" hidden="false" customHeight="false" outlineLevel="0" collapsed="false">
      <c r="A251" s="25"/>
    </row>
    <row r="252" customFormat="false" ht="15" hidden="false" customHeight="false" outlineLevel="0" collapsed="false">
      <c r="A252" s="25"/>
    </row>
    <row r="253" customFormat="false" ht="15" hidden="false" customHeight="false" outlineLevel="0" collapsed="false">
      <c r="A253" s="25"/>
    </row>
    <row r="254" customFormat="false" ht="15" hidden="false" customHeight="false" outlineLevel="0" collapsed="false">
      <c r="A254" s="25"/>
    </row>
    <row r="255" customFormat="false" ht="15" hidden="false" customHeight="false" outlineLevel="0" collapsed="false">
      <c r="A255" s="25"/>
    </row>
    <row r="256" customFormat="false" ht="15" hidden="false" customHeight="false" outlineLevel="0" collapsed="false">
      <c r="A256" s="25"/>
    </row>
    <row r="257" customFormat="false" ht="15" hidden="false" customHeight="false" outlineLevel="0" collapsed="false">
      <c r="A257" s="25"/>
    </row>
    <row r="258" customFormat="false" ht="15" hidden="false" customHeight="false" outlineLevel="0" collapsed="false">
      <c r="A258" s="25"/>
    </row>
    <row r="259" customFormat="false" ht="15" hidden="false" customHeight="false" outlineLevel="0" collapsed="false">
      <c r="A259" s="25"/>
    </row>
    <row r="260" customFormat="false" ht="15" hidden="false" customHeight="false" outlineLevel="0" collapsed="false">
      <c r="A260" s="25"/>
    </row>
    <row r="261" customFormat="false" ht="15" hidden="false" customHeight="false" outlineLevel="0" collapsed="false">
      <c r="A261" s="25"/>
    </row>
    <row r="262" customFormat="false" ht="15" hidden="false" customHeight="false" outlineLevel="0" collapsed="false">
      <c r="A262" s="25"/>
    </row>
    <row r="263" customFormat="false" ht="15" hidden="false" customHeight="false" outlineLevel="0" collapsed="false">
      <c r="A263" s="25"/>
    </row>
    <row r="264" customFormat="false" ht="15" hidden="false" customHeight="false" outlineLevel="0" collapsed="false">
      <c r="A264" s="25"/>
    </row>
    <row r="265" customFormat="false" ht="15" hidden="false" customHeight="false" outlineLevel="0" collapsed="false">
      <c r="A265" s="25"/>
    </row>
    <row r="266" customFormat="false" ht="15" hidden="false" customHeight="false" outlineLevel="0" collapsed="false">
      <c r="A266" s="25"/>
    </row>
    <row r="267" customFormat="false" ht="15" hidden="false" customHeight="false" outlineLevel="0" collapsed="false">
      <c r="A267" s="25"/>
    </row>
    <row r="268" customFormat="false" ht="15" hidden="false" customHeight="false" outlineLevel="0" collapsed="false">
      <c r="A268" s="25"/>
    </row>
    <row r="269" customFormat="false" ht="15" hidden="false" customHeight="false" outlineLevel="0" collapsed="false">
      <c r="A269" s="25"/>
    </row>
    <row r="270" customFormat="false" ht="15" hidden="false" customHeight="false" outlineLevel="0" collapsed="false">
      <c r="A270" s="25"/>
    </row>
    <row r="271" customFormat="false" ht="15" hidden="false" customHeight="false" outlineLevel="0" collapsed="false">
      <c r="A271" s="25"/>
    </row>
    <row r="272" customFormat="false" ht="15" hidden="false" customHeight="false" outlineLevel="0" collapsed="false">
      <c r="A272" s="25"/>
    </row>
    <row r="273" customFormat="false" ht="15" hidden="false" customHeight="false" outlineLevel="0" collapsed="false">
      <c r="A273" s="25"/>
    </row>
    <row r="274" customFormat="false" ht="15" hidden="false" customHeight="false" outlineLevel="0" collapsed="false">
      <c r="A274" s="25"/>
    </row>
    <row r="275" customFormat="false" ht="15" hidden="false" customHeight="false" outlineLevel="0" collapsed="false">
      <c r="A275" s="25"/>
    </row>
    <row r="276" customFormat="false" ht="15" hidden="false" customHeight="false" outlineLevel="0" collapsed="false">
      <c r="A276" s="25"/>
    </row>
    <row r="277" customFormat="false" ht="15" hidden="false" customHeight="false" outlineLevel="0" collapsed="false">
      <c r="A277" s="25"/>
    </row>
    <row r="278" customFormat="false" ht="15" hidden="false" customHeight="false" outlineLevel="0" collapsed="false">
      <c r="A278" s="25"/>
    </row>
    <row r="279" customFormat="false" ht="15" hidden="false" customHeight="false" outlineLevel="0" collapsed="false">
      <c r="A279" s="25"/>
    </row>
    <row r="280" customFormat="false" ht="15" hidden="false" customHeight="false" outlineLevel="0" collapsed="false">
      <c r="A280" s="25"/>
    </row>
    <row r="281" customFormat="false" ht="15" hidden="false" customHeight="false" outlineLevel="0" collapsed="false">
      <c r="A281" s="25"/>
    </row>
    <row r="282" customFormat="false" ht="15" hidden="false" customHeight="false" outlineLevel="0" collapsed="false">
      <c r="A282" s="25"/>
    </row>
    <row r="283" customFormat="false" ht="15" hidden="false" customHeight="false" outlineLevel="0" collapsed="false">
      <c r="A283" s="25"/>
    </row>
    <row r="284" customFormat="false" ht="15" hidden="false" customHeight="false" outlineLevel="0" collapsed="false">
      <c r="A284" s="25"/>
    </row>
    <row r="285" customFormat="false" ht="15" hidden="false" customHeight="false" outlineLevel="0" collapsed="false">
      <c r="A285" s="25"/>
    </row>
    <row r="286" customFormat="false" ht="15" hidden="false" customHeight="false" outlineLevel="0" collapsed="false">
      <c r="A286" s="25"/>
    </row>
    <row r="287" customFormat="false" ht="15" hidden="false" customHeight="false" outlineLevel="0" collapsed="false">
      <c r="A287" s="25"/>
    </row>
    <row r="288" customFormat="false" ht="15" hidden="false" customHeight="false" outlineLevel="0" collapsed="false">
      <c r="A288" s="25"/>
    </row>
    <row r="289" customFormat="false" ht="15" hidden="false" customHeight="false" outlineLevel="0" collapsed="false">
      <c r="A289" s="25"/>
    </row>
    <row r="290" customFormat="false" ht="15" hidden="false" customHeight="false" outlineLevel="0" collapsed="false">
      <c r="A290" s="25"/>
    </row>
    <row r="291" customFormat="false" ht="15" hidden="false" customHeight="false" outlineLevel="0" collapsed="false">
      <c r="A291" s="25"/>
    </row>
    <row r="292" customFormat="false" ht="15" hidden="false" customHeight="false" outlineLevel="0" collapsed="false">
      <c r="A292" s="25"/>
    </row>
    <row r="293" customFormat="false" ht="15" hidden="false" customHeight="false" outlineLevel="0" collapsed="false">
      <c r="A293" s="25"/>
    </row>
    <row r="294" customFormat="false" ht="15" hidden="false" customHeight="false" outlineLevel="0" collapsed="false">
      <c r="A294" s="25"/>
    </row>
    <row r="295" customFormat="false" ht="15" hidden="false" customHeight="false" outlineLevel="0" collapsed="false">
      <c r="A295" s="25"/>
    </row>
    <row r="296" customFormat="false" ht="15" hidden="false" customHeight="false" outlineLevel="0" collapsed="false">
      <c r="A296" s="25"/>
    </row>
    <row r="297" customFormat="false" ht="15" hidden="false" customHeight="false" outlineLevel="0" collapsed="false">
      <c r="A297" s="25"/>
    </row>
    <row r="298" customFormat="false" ht="15" hidden="false" customHeight="false" outlineLevel="0" collapsed="false">
      <c r="A298" s="25"/>
    </row>
    <row r="299" customFormat="false" ht="15" hidden="false" customHeight="false" outlineLevel="0" collapsed="false">
      <c r="A299" s="25"/>
    </row>
    <row r="300" customFormat="false" ht="15" hidden="false" customHeight="false" outlineLevel="0" collapsed="false">
      <c r="A300" s="25"/>
    </row>
    <row r="301" customFormat="false" ht="15" hidden="false" customHeight="false" outlineLevel="0" collapsed="false">
      <c r="A301" s="25"/>
    </row>
    <row r="302" customFormat="false" ht="15" hidden="false" customHeight="false" outlineLevel="0" collapsed="false">
      <c r="A302" s="25"/>
    </row>
    <row r="303" customFormat="false" ht="15" hidden="false" customHeight="false" outlineLevel="0" collapsed="false">
      <c r="A303" s="25"/>
    </row>
    <row r="304" customFormat="false" ht="15" hidden="false" customHeight="false" outlineLevel="0" collapsed="false">
      <c r="A304" s="25"/>
    </row>
    <row r="305" customFormat="false" ht="15" hidden="false" customHeight="false" outlineLevel="0" collapsed="false">
      <c r="A305" s="25"/>
    </row>
    <row r="306" customFormat="false" ht="15" hidden="false" customHeight="false" outlineLevel="0" collapsed="false">
      <c r="A306" s="25"/>
    </row>
    <row r="307" customFormat="false" ht="15" hidden="false" customHeight="false" outlineLevel="0" collapsed="false">
      <c r="A307" s="25"/>
    </row>
    <row r="308" customFormat="false" ht="15" hidden="false" customHeight="false" outlineLevel="0" collapsed="false">
      <c r="A308" s="25"/>
    </row>
    <row r="309" customFormat="false" ht="15" hidden="false" customHeight="false" outlineLevel="0" collapsed="false">
      <c r="A309" s="25"/>
    </row>
    <row r="310" customFormat="false" ht="15" hidden="false" customHeight="false" outlineLevel="0" collapsed="false">
      <c r="A310" s="25"/>
    </row>
    <row r="311" customFormat="false" ht="15" hidden="false" customHeight="false" outlineLevel="0" collapsed="false">
      <c r="A311" s="25"/>
    </row>
    <row r="312" customFormat="false" ht="15" hidden="false" customHeight="false" outlineLevel="0" collapsed="false">
      <c r="A312" s="25"/>
    </row>
    <row r="313" customFormat="false" ht="15" hidden="false" customHeight="false" outlineLevel="0" collapsed="false">
      <c r="A313" s="25"/>
    </row>
    <row r="314" customFormat="false" ht="15" hidden="false" customHeight="false" outlineLevel="0" collapsed="false">
      <c r="A314" s="25"/>
    </row>
    <row r="315" customFormat="false" ht="15" hidden="false" customHeight="false" outlineLevel="0" collapsed="false">
      <c r="A315" s="25"/>
    </row>
    <row r="316" customFormat="false" ht="15" hidden="false" customHeight="false" outlineLevel="0" collapsed="false">
      <c r="A316" s="25"/>
    </row>
    <row r="317" customFormat="false" ht="15" hidden="false" customHeight="false" outlineLevel="0" collapsed="false">
      <c r="A317" s="25"/>
    </row>
    <row r="318" customFormat="false" ht="15" hidden="false" customHeight="false" outlineLevel="0" collapsed="false">
      <c r="A318" s="25"/>
    </row>
    <row r="319" customFormat="false" ht="15" hidden="false" customHeight="false" outlineLevel="0" collapsed="false">
      <c r="A319" s="25"/>
    </row>
    <row r="320" customFormat="false" ht="15" hidden="false" customHeight="false" outlineLevel="0" collapsed="false">
      <c r="A320" s="25"/>
    </row>
    <row r="321" customFormat="false" ht="15" hidden="false" customHeight="false" outlineLevel="0" collapsed="false">
      <c r="A321" s="25"/>
    </row>
    <row r="322" customFormat="false" ht="15" hidden="false" customHeight="false" outlineLevel="0" collapsed="false">
      <c r="A322" s="25"/>
    </row>
    <row r="323" customFormat="false" ht="15" hidden="false" customHeight="false" outlineLevel="0" collapsed="false">
      <c r="A323" s="25"/>
    </row>
    <row r="324" customFormat="false" ht="15" hidden="false" customHeight="false" outlineLevel="0" collapsed="false">
      <c r="A324" s="25"/>
    </row>
    <row r="325" customFormat="false" ht="15" hidden="false" customHeight="false" outlineLevel="0" collapsed="false">
      <c r="A325" s="25"/>
    </row>
    <row r="326" customFormat="false" ht="15" hidden="false" customHeight="false" outlineLevel="0" collapsed="false">
      <c r="A326" s="25"/>
    </row>
    <row r="327" customFormat="false" ht="15" hidden="false" customHeight="false" outlineLevel="0" collapsed="false">
      <c r="A327" s="25"/>
    </row>
    <row r="328" customFormat="false" ht="15" hidden="false" customHeight="false" outlineLevel="0" collapsed="false">
      <c r="A328" s="25"/>
    </row>
    <row r="329" customFormat="false" ht="15" hidden="false" customHeight="false" outlineLevel="0" collapsed="false">
      <c r="A329" s="25"/>
    </row>
    <row r="330" customFormat="false" ht="15" hidden="false" customHeight="false" outlineLevel="0" collapsed="false">
      <c r="A330" s="25"/>
    </row>
    <row r="331" customFormat="false" ht="15" hidden="false" customHeight="false" outlineLevel="0" collapsed="false">
      <c r="A331" s="25"/>
    </row>
    <row r="332" customFormat="false" ht="15" hidden="false" customHeight="false" outlineLevel="0" collapsed="false">
      <c r="A332" s="25"/>
    </row>
    <row r="333" customFormat="false" ht="15" hidden="false" customHeight="false" outlineLevel="0" collapsed="false">
      <c r="A333" s="25"/>
    </row>
    <row r="334" customFormat="false" ht="15" hidden="false" customHeight="false" outlineLevel="0" collapsed="false">
      <c r="A334" s="25"/>
    </row>
    <row r="335" customFormat="false" ht="15" hidden="false" customHeight="false" outlineLevel="0" collapsed="false">
      <c r="A335" s="25"/>
    </row>
    <row r="336" customFormat="false" ht="15" hidden="false" customHeight="false" outlineLevel="0" collapsed="false">
      <c r="A336" s="25"/>
    </row>
    <row r="337" customFormat="false" ht="15" hidden="false" customHeight="false" outlineLevel="0" collapsed="false">
      <c r="A337" s="25"/>
    </row>
    <row r="338" customFormat="false" ht="15" hidden="false" customHeight="false" outlineLevel="0" collapsed="false">
      <c r="A338" s="25"/>
    </row>
    <row r="339" customFormat="false" ht="15" hidden="false" customHeight="false" outlineLevel="0" collapsed="false">
      <c r="A339" s="25"/>
    </row>
    <row r="340" customFormat="false" ht="15" hidden="false" customHeight="false" outlineLevel="0" collapsed="false">
      <c r="A340" s="25"/>
    </row>
    <row r="341" customFormat="false" ht="15" hidden="false" customHeight="false" outlineLevel="0" collapsed="false">
      <c r="A341" s="25"/>
    </row>
    <row r="342" customFormat="false" ht="15" hidden="false" customHeight="false" outlineLevel="0" collapsed="false">
      <c r="A342" s="25"/>
    </row>
    <row r="343" customFormat="false" ht="15" hidden="false" customHeight="false" outlineLevel="0" collapsed="false">
      <c r="A343" s="25"/>
    </row>
    <row r="344" customFormat="false" ht="15" hidden="false" customHeight="false" outlineLevel="0" collapsed="false">
      <c r="A344" s="25"/>
    </row>
    <row r="345" customFormat="false" ht="15" hidden="false" customHeight="false" outlineLevel="0" collapsed="false">
      <c r="A345" s="25"/>
    </row>
    <row r="346" customFormat="false" ht="15" hidden="false" customHeight="false" outlineLevel="0" collapsed="false">
      <c r="A346" s="25"/>
    </row>
    <row r="347" customFormat="false" ht="15" hidden="false" customHeight="false" outlineLevel="0" collapsed="false">
      <c r="A347" s="25"/>
    </row>
    <row r="348" customFormat="false" ht="15" hidden="false" customHeight="false" outlineLevel="0" collapsed="false">
      <c r="A348" s="25"/>
    </row>
    <row r="349" customFormat="false" ht="15" hidden="false" customHeight="false" outlineLevel="0" collapsed="false">
      <c r="A349" s="25"/>
    </row>
    <row r="350" customFormat="false" ht="15" hidden="false" customHeight="false" outlineLevel="0" collapsed="false">
      <c r="A350" s="25"/>
    </row>
    <row r="351" customFormat="false" ht="15" hidden="false" customHeight="false" outlineLevel="0" collapsed="false">
      <c r="A351" s="25"/>
    </row>
    <row r="352" customFormat="false" ht="15" hidden="false" customHeight="false" outlineLevel="0" collapsed="false">
      <c r="A352" s="25"/>
    </row>
    <row r="353" customFormat="false" ht="15" hidden="false" customHeight="false" outlineLevel="0" collapsed="false">
      <c r="A353" s="25"/>
    </row>
    <row r="354" customFormat="false" ht="15" hidden="false" customHeight="false" outlineLevel="0" collapsed="false">
      <c r="A354" s="25"/>
    </row>
    <row r="355" customFormat="false" ht="15" hidden="false" customHeight="false" outlineLevel="0" collapsed="false">
      <c r="A355" s="25"/>
    </row>
    <row r="356" customFormat="false" ht="15" hidden="false" customHeight="false" outlineLevel="0" collapsed="false">
      <c r="A356" s="25"/>
    </row>
    <row r="357" customFormat="false" ht="15" hidden="false" customHeight="false" outlineLevel="0" collapsed="false">
      <c r="A357" s="25"/>
    </row>
    <row r="358" customFormat="false" ht="15" hidden="false" customHeight="false" outlineLevel="0" collapsed="false">
      <c r="A358" s="25"/>
    </row>
    <row r="359" customFormat="false" ht="15" hidden="false" customHeight="false" outlineLevel="0" collapsed="false">
      <c r="A359" s="25"/>
    </row>
    <row r="360" customFormat="false" ht="15" hidden="false" customHeight="false" outlineLevel="0" collapsed="false">
      <c r="A360" s="25"/>
    </row>
    <row r="361" customFormat="false" ht="15" hidden="false" customHeight="false" outlineLevel="0" collapsed="false">
      <c r="A361" s="25"/>
    </row>
    <row r="362" customFormat="false" ht="15" hidden="false" customHeight="false" outlineLevel="0" collapsed="false">
      <c r="A362" s="25"/>
    </row>
    <row r="363" customFormat="false" ht="15" hidden="false" customHeight="false" outlineLevel="0" collapsed="false">
      <c r="A363" s="25"/>
    </row>
    <row r="364" customFormat="false" ht="15" hidden="false" customHeight="false" outlineLevel="0" collapsed="false">
      <c r="A364" s="25"/>
    </row>
    <row r="365" customFormat="false" ht="15" hidden="false" customHeight="false" outlineLevel="0" collapsed="false">
      <c r="A365" s="25"/>
    </row>
    <row r="366" customFormat="false" ht="15" hidden="false" customHeight="false" outlineLevel="0" collapsed="false">
      <c r="A366" s="25"/>
    </row>
    <row r="367" customFormat="false" ht="15" hidden="false" customHeight="false" outlineLevel="0" collapsed="false">
      <c r="A367" s="25"/>
    </row>
    <row r="368" customFormat="false" ht="15" hidden="false" customHeight="false" outlineLevel="0" collapsed="false">
      <c r="A368" s="25"/>
    </row>
    <row r="369" customFormat="false" ht="15" hidden="false" customHeight="false" outlineLevel="0" collapsed="false">
      <c r="A369" s="25"/>
    </row>
    <row r="370" customFormat="false" ht="15" hidden="false" customHeight="false" outlineLevel="0" collapsed="false">
      <c r="A370" s="25"/>
    </row>
    <row r="371" customFormat="false" ht="15" hidden="false" customHeight="false" outlineLevel="0" collapsed="false">
      <c r="A371" s="25"/>
    </row>
    <row r="372" customFormat="false" ht="15" hidden="false" customHeight="false" outlineLevel="0" collapsed="false">
      <c r="A372" s="25"/>
    </row>
    <row r="373" customFormat="false" ht="15" hidden="false" customHeight="false" outlineLevel="0" collapsed="false">
      <c r="A373" s="25"/>
    </row>
    <row r="374" customFormat="false" ht="15" hidden="false" customHeight="false" outlineLevel="0" collapsed="false">
      <c r="A374" s="25"/>
    </row>
    <row r="375" customFormat="false" ht="15" hidden="false" customHeight="false" outlineLevel="0" collapsed="false">
      <c r="A375" s="25"/>
    </row>
    <row r="376" customFormat="false" ht="15" hidden="false" customHeight="false" outlineLevel="0" collapsed="false">
      <c r="A376" s="25"/>
    </row>
    <row r="377" customFormat="false" ht="15" hidden="false" customHeight="false" outlineLevel="0" collapsed="false">
      <c r="A377" s="25"/>
    </row>
    <row r="378" customFormat="false" ht="15" hidden="false" customHeight="false" outlineLevel="0" collapsed="false">
      <c r="A378" s="25"/>
    </row>
    <row r="379" customFormat="false" ht="15" hidden="false" customHeight="false" outlineLevel="0" collapsed="false">
      <c r="A379" s="25"/>
    </row>
    <row r="380" customFormat="false" ht="15" hidden="false" customHeight="false" outlineLevel="0" collapsed="false">
      <c r="A380" s="25"/>
    </row>
    <row r="381" customFormat="false" ht="15" hidden="false" customHeight="false" outlineLevel="0" collapsed="false">
      <c r="A381" s="25"/>
    </row>
    <row r="382" customFormat="false" ht="15" hidden="false" customHeight="false" outlineLevel="0" collapsed="false">
      <c r="A382" s="25"/>
    </row>
    <row r="383" customFormat="false" ht="15" hidden="false" customHeight="false" outlineLevel="0" collapsed="false">
      <c r="A383" s="25"/>
    </row>
    <row r="384" customFormat="false" ht="15" hidden="false" customHeight="false" outlineLevel="0" collapsed="false">
      <c r="A384" s="25"/>
    </row>
    <row r="385" customFormat="false" ht="15" hidden="false" customHeight="false" outlineLevel="0" collapsed="false">
      <c r="A385" s="25"/>
    </row>
    <row r="386" customFormat="false" ht="15" hidden="false" customHeight="false" outlineLevel="0" collapsed="false">
      <c r="A386" s="25"/>
    </row>
    <row r="387" customFormat="false" ht="15" hidden="false" customHeight="false" outlineLevel="0" collapsed="false">
      <c r="A387" s="25"/>
    </row>
    <row r="388" customFormat="false" ht="15" hidden="false" customHeight="false" outlineLevel="0" collapsed="false">
      <c r="A388" s="25"/>
    </row>
    <row r="389" customFormat="false" ht="15" hidden="false" customHeight="false" outlineLevel="0" collapsed="false">
      <c r="A389" s="25"/>
    </row>
    <row r="390" customFormat="false" ht="15" hidden="false" customHeight="false" outlineLevel="0" collapsed="false">
      <c r="A390" s="25"/>
    </row>
    <row r="391" customFormat="false" ht="15" hidden="false" customHeight="false" outlineLevel="0" collapsed="false">
      <c r="A391" s="25"/>
    </row>
    <row r="392" customFormat="false" ht="15" hidden="false" customHeight="false" outlineLevel="0" collapsed="false">
      <c r="A392" s="25"/>
    </row>
    <row r="393" customFormat="false" ht="15" hidden="false" customHeight="false" outlineLevel="0" collapsed="false">
      <c r="A393" s="25"/>
    </row>
    <row r="394" customFormat="false" ht="15" hidden="false" customHeight="false" outlineLevel="0" collapsed="false">
      <c r="A394" s="25"/>
    </row>
    <row r="395" customFormat="false" ht="15" hidden="false" customHeight="false" outlineLevel="0" collapsed="false">
      <c r="A395" s="25"/>
    </row>
    <row r="396" customFormat="false" ht="15" hidden="false" customHeight="false" outlineLevel="0" collapsed="false">
      <c r="A396" s="25"/>
    </row>
    <row r="397" customFormat="false" ht="15" hidden="false" customHeight="false" outlineLevel="0" collapsed="false">
      <c r="A397" s="25"/>
    </row>
    <row r="398" customFormat="false" ht="15" hidden="false" customHeight="false" outlineLevel="0" collapsed="false">
      <c r="A398" s="25"/>
    </row>
    <row r="399" customFormat="false" ht="15" hidden="false" customHeight="false" outlineLevel="0" collapsed="false">
      <c r="A399" s="25"/>
    </row>
    <row r="400" customFormat="false" ht="15" hidden="false" customHeight="false" outlineLevel="0" collapsed="false">
      <c r="A400" s="25"/>
    </row>
  </sheetData>
  <mergeCells count="1">
    <mergeCell ref="A1:R1"/>
  </mergeCells>
  <dataValidations count="2">
    <dataValidation allowBlank="true" errorStyle="stop" operator="between" showDropDown="false" showErrorMessage="false" showInputMessage="false" sqref="A5:A400" type="list">
      <formula1>"R1,R2,R3,R4,R5,R6,R7,R8,R9,R10,R11,R12,R13"</formula1>
      <formula2>0</formula2>
    </dataValidation>
    <dataValidation allowBlank="true" errorStyle="stop" operator="between" showDropDown="false" showErrorMessage="false" showInputMessage="false" sqref="P5:P400" type="list">
      <formula1>"複驗通過 → 結案,複驗未過,部分通過,待裁定,FAIL"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4" min="4" style="1" width="46"/>
    <col collapsed="false" customWidth="true" hidden="false" outlineLevel="0" max="5" min="5" style="1" width="40"/>
    <col collapsed="false" customWidth="true" hidden="false" outlineLevel="0" max="6" min="6" style="1" width="24"/>
  </cols>
  <sheetData>
    <row r="1" customFormat="false" ht="15" hidden="false" customHeight="true" outlineLevel="0" collapsed="false">
      <c r="A1" s="18" t="s">
        <v>2853</v>
      </c>
      <c r="B1" s="18"/>
      <c r="C1" s="18"/>
      <c r="D1" s="18"/>
      <c r="E1" s="18"/>
      <c r="F1" s="18"/>
    </row>
    <row r="2" customFormat="false" ht="31.5" hidden="false" customHeight="true" outlineLevel="0" collapsed="false">
      <c r="A2" s="9" t="s">
        <v>1582</v>
      </c>
      <c r="B2" s="9" t="s">
        <v>2854</v>
      </c>
      <c r="C2" s="9" t="s">
        <v>2855</v>
      </c>
      <c r="D2" s="9" t="s">
        <v>2856</v>
      </c>
      <c r="E2" s="9" t="s">
        <v>2857</v>
      </c>
      <c r="F2" s="9" t="s">
        <v>134</v>
      </c>
    </row>
    <row r="3" customFormat="false" ht="15" hidden="false" customHeight="true" outlineLevel="0" collapsed="false">
      <c r="A3" s="11" t="s">
        <v>2338</v>
      </c>
      <c r="B3" s="10" t="s">
        <v>2858</v>
      </c>
      <c r="C3" s="11" t="s">
        <v>2859</v>
      </c>
      <c r="D3" s="10" t="s">
        <v>2860</v>
      </c>
      <c r="E3" s="10" t="s">
        <v>2861</v>
      </c>
      <c r="F3" s="10" t="s">
        <v>2862</v>
      </c>
    </row>
    <row r="4" customFormat="false" ht="15" hidden="false" customHeight="true" outlineLevel="0" collapsed="false">
      <c r="A4" s="17" t="s">
        <v>1617</v>
      </c>
      <c r="B4" s="16" t="s">
        <v>2863</v>
      </c>
      <c r="C4" s="17" t="s">
        <v>2864</v>
      </c>
      <c r="D4" s="17" t="s">
        <v>2865</v>
      </c>
      <c r="E4" s="16" t="s">
        <v>2866</v>
      </c>
      <c r="F4" s="17" t="s">
        <v>2867</v>
      </c>
    </row>
    <row r="5" customFormat="false" ht="159.75" hidden="false" customHeight="true" outlineLevel="0" collapsed="false">
      <c r="A5" s="17" t="s">
        <v>1617</v>
      </c>
      <c r="B5" s="16" t="s">
        <v>2858</v>
      </c>
      <c r="C5" s="17" t="s">
        <v>2868</v>
      </c>
      <c r="D5" s="17" t="s">
        <v>2869</v>
      </c>
      <c r="E5" s="16" t="s">
        <v>2870</v>
      </c>
      <c r="F5" s="17" t="s">
        <v>2871</v>
      </c>
    </row>
    <row r="6" customFormat="false" ht="15" hidden="false" customHeight="true" outlineLevel="0" collapsed="false">
      <c r="A6" s="17" t="s">
        <v>2048</v>
      </c>
      <c r="B6" s="16" t="s">
        <v>2863</v>
      </c>
      <c r="C6" s="17" t="s">
        <v>2868</v>
      </c>
      <c r="D6" s="17" t="s">
        <v>2872</v>
      </c>
      <c r="E6" s="16" t="s">
        <v>2873</v>
      </c>
      <c r="F6" s="16" t="s">
        <v>2874</v>
      </c>
    </row>
    <row r="7" customFormat="false" ht="219.75" hidden="false" customHeight="true" outlineLevel="0" collapsed="false">
      <c r="A7" s="17" t="s">
        <v>2048</v>
      </c>
      <c r="B7" s="16" t="s">
        <v>2858</v>
      </c>
      <c r="C7" s="17" t="s">
        <v>2875</v>
      </c>
      <c r="D7" s="17" t="s">
        <v>2876</v>
      </c>
      <c r="E7" s="16" t="s">
        <v>2877</v>
      </c>
      <c r="F7" s="17" t="s">
        <v>2878</v>
      </c>
    </row>
    <row r="8" customFormat="false" ht="15" hidden="false" customHeight="true" outlineLevel="0" collapsed="false">
      <c r="A8" s="17" t="s">
        <v>2048</v>
      </c>
      <c r="B8" s="16" t="s">
        <v>2863</v>
      </c>
      <c r="C8" s="17" t="s">
        <v>2875</v>
      </c>
      <c r="D8" s="17" t="s">
        <v>2879</v>
      </c>
      <c r="E8" s="16" t="s">
        <v>2880</v>
      </c>
      <c r="F8" s="17" t="s">
        <v>2881</v>
      </c>
    </row>
    <row r="9" customFormat="false" ht="219.75" hidden="false" customHeight="true" outlineLevel="0" collapsed="false">
      <c r="A9" s="17" t="s">
        <v>2338</v>
      </c>
      <c r="B9" s="16" t="s">
        <v>2858</v>
      </c>
      <c r="C9" s="17" t="s">
        <v>2882</v>
      </c>
      <c r="D9" s="17" t="s">
        <v>2883</v>
      </c>
      <c r="E9" s="16" t="s">
        <v>2884</v>
      </c>
      <c r="F9" s="17" t="s">
        <v>2885</v>
      </c>
    </row>
    <row r="10" customFormat="false" ht="15" hidden="false" customHeight="true" outlineLevel="0" collapsed="false">
      <c r="A10" s="17" t="s">
        <v>2338</v>
      </c>
      <c r="B10" s="16" t="s">
        <v>2863</v>
      </c>
      <c r="C10" s="17" t="s">
        <v>2882</v>
      </c>
      <c r="D10" s="17" t="s">
        <v>2886</v>
      </c>
      <c r="E10" s="16" t="s">
        <v>2887</v>
      </c>
      <c r="F10" s="17" t="s">
        <v>2888</v>
      </c>
    </row>
    <row r="11" customFormat="false" ht="219.75" hidden="false" customHeight="true" outlineLevel="0" collapsed="false">
      <c r="A11" s="17" t="s">
        <v>2338</v>
      </c>
      <c r="B11" s="16" t="s">
        <v>2858</v>
      </c>
      <c r="C11" s="17" t="s">
        <v>2889</v>
      </c>
      <c r="D11" s="17" t="s">
        <v>2890</v>
      </c>
      <c r="E11" s="16" t="s">
        <v>2891</v>
      </c>
      <c r="F11" s="17" t="s">
        <v>2892</v>
      </c>
    </row>
    <row r="12" customFormat="false" ht="15" hidden="false" customHeight="true" outlineLevel="0" collapsed="false">
      <c r="A12" s="17" t="s">
        <v>2576</v>
      </c>
      <c r="B12" s="16" t="s">
        <v>2863</v>
      </c>
      <c r="C12" s="17" t="s">
        <v>2889</v>
      </c>
      <c r="D12" s="17" t="s">
        <v>2893</v>
      </c>
      <c r="E12" s="16" t="s">
        <v>2894</v>
      </c>
      <c r="F12" s="17" t="s">
        <v>2895</v>
      </c>
    </row>
    <row r="13" customFormat="false" ht="219.75" hidden="false" customHeight="true" outlineLevel="0" collapsed="false">
      <c r="A13" s="17" t="s">
        <v>2576</v>
      </c>
      <c r="B13" s="16" t="s">
        <v>2858</v>
      </c>
      <c r="C13" s="17" t="s">
        <v>2896</v>
      </c>
      <c r="D13" s="17" t="s">
        <v>2897</v>
      </c>
      <c r="E13" s="16" t="s">
        <v>2898</v>
      </c>
      <c r="F13" s="17" t="s">
        <v>2899</v>
      </c>
    </row>
    <row r="14" customFormat="false" ht="219.75" hidden="false" customHeight="true" outlineLevel="0" collapsed="false">
      <c r="A14" s="17" t="s">
        <v>2576</v>
      </c>
      <c r="B14" s="16" t="s">
        <v>2863</v>
      </c>
      <c r="C14" s="17" t="s">
        <v>2896</v>
      </c>
      <c r="D14" s="17" t="s">
        <v>2900</v>
      </c>
      <c r="E14" s="16" t="s">
        <v>2901</v>
      </c>
      <c r="F14" s="16" t="s">
        <v>2902</v>
      </c>
    </row>
    <row r="15" customFormat="false" ht="219.75" hidden="false" customHeight="true" outlineLevel="0" collapsed="false">
      <c r="A15" s="17" t="s">
        <v>2756</v>
      </c>
      <c r="B15" s="16" t="s">
        <v>2858</v>
      </c>
      <c r="C15" s="17" t="s">
        <v>2903</v>
      </c>
      <c r="D15" s="17" t="s">
        <v>2904</v>
      </c>
      <c r="E15" s="16" t="s">
        <v>2905</v>
      </c>
      <c r="F15" s="17" t="s">
        <v>2906</v>
      </c>
    </row>
    <row r="16" customFormat="false" ht="219.75" hidden="false" customHeight="true" outlineLevel="0" collapsed="false">
      <c r="A16" s="17" t="s">
        <v>2756</v>
      </c>
      <c r="B16" s="16" t="s">
        <v>2907</v>
      </c>
      <c r="C16" s="17" t="s">
        <v>2903</v>
      </c>
      <c r="D16" s="17" t="s">
        <v>2908</v>
      </c>
      <c r="E16" s="16" t="s">
        <v>2909</v>
      </c>
      <c r="F16" s="16" t="s">
        <v>2910</v>
      </c>
    </row>
    <row r="17" customFormat="false" ht="219.75" hidden="false" customHeight="true" outlineLevel="0" collapsed="false">
      <c r="A17" s="17" t="s">
        <v>2756</v>
      </c>
      <c r="B17" s="16" t="s">
        <v>2911</v>
      </c>
      <c r="C17" s="17" t="s">
        <v>2903</v>
      </c>
      <c r="D17" s="17" t="s">
        <v>2912</v>
      </c>
      <c r="E17" s="17" t="s">
        <v>2913</v>
      </c>
      <c r="F17" s="16" t="s">
        <v>2914</v>
      </c>
    </row>
    <row r="18" customFormat="false" ht="219.75" hidden="false" customHeight="true" outlineLevel="0" collapsed="false">
      <c r="A18" s="17" t="s">
        <v>2756</v>
      </c>
      <c r="B18" s="16" t="s">
        <v>2858</v>
      </c>
      <c r="C18" s="17" t="s">
        <v>2915</v>
      </c>
      <c r="D18" s="17" t="s">
        <v>2916</v>
      </c>
      <c r="E18" s="16" t="s">
        <v>2917</v>
      </c>
      <c r="F18" s="17" t="s">
        <v>2918</v>
      </c>
    </row>
    <row r="19" customFormat="false" ht="219.75" hidden="false" customHeight="true" outlineLevel="0" collapsed="false">
      <c r="A19" s="17" t="s">
        <v>2756</v>
      </c>
      <c r="B19" s="16" t="s">
        <v>2863</v>
      </c>
      <c r="C19" s="17" t="s">
        <v>2915</v>
      </c>
      <c r="D19" s="17" t="s">
        <v>2919</v>
      </c>
      <c r="E19" s="16" t="s">
        <v>2920</v>
      </c>
      <c r="F19" s="16" t="s">
        <v>2921</v>
      </c>
    </row>
    <row r="20" customFormat="false" ht="219.75" hidden="false" customHeight="true" outlineLevel="0" collapsed="false">
      <c r="A20" s="17" t="s">
        <v>2756</v>
      </c>
      <c r="B20" s="16" t="s">
        <v>2922</v>
      </c>
      <c r="C20" s="17" t="s">
        <v>2915</v>
      </c>
      <c r="D20" s="16" t="s">
        <v>2923</v>
      </c>
      <c r="E20" s="17" t="s">
        <v>2924</v>
      </c>
      <c r="F20" s="16" t="s">
        <v>2925</v>
      </c>
    </row>
    <row r="21" customFormat="false" ht="219.75" hidden="false" customHeight="true" outlineLevel="0" collapsed="false">
      <c r="A21" s="17" t="s">
        <v>2773</v>
      </c>
      <c r="B21" s="16" t="s">
        <v>2926</v>
      </c>
      <c r="C21" s="17" t="s">
        <v>2915</v>
      </c>
      <c r="D21" s="16" t="s">
        <v>2927</v>
      </c>
      <c r="E21" s="16" t="s">
        <v>2928</v>
      </c>
      <c r="F21" s="16" t="s">
        <v>2929</v>
      </c>
    </row>
    <row r="22" customFormat="false" ht="219.75" hidden="false" customHeight="true" outlineLevel="0" collapsed="false">
      <c r="A22" s="17" t="s">
        <v>2773</v>
      </c>
      <c r="B22" s="16" t="s">
        <v>2911</v>
      </c>
      <c r="C22" s="17" t="s">
        <v>2915</v>
      </c>
      <c r="D22" s="17" t="s">
        <v>2930</v>
      </c>
      <c r="E22" s="17" t="s">
        <v>2931</v>
      </c>
      <c r="F22" s="16" t="s">
        <v>2932</v>
      </c>
    </row>
    <row r="23" customFormat="false" ht="219.75" hidden="false" customHeight="true" outlineLevel="0" collapsed="false">
      <c r="A23" s="17" t="s">
        <v>2787</v>
      </c>
      <c r="B23" s="16" t="s">
        <v>2863</v>
      </c>
      <c r="C23" s="17" t="s">
        <v>2915</v>
      </c>
      <c r="D23" s="17" t="s">
        <v>2933</v>
      </c>
      <c r="E23" s="16" t="s">
        <v>2934</v>
      </c>
      <c r="F23" s="17" t="s">
        <v>2935</v>
      </c>
    </row>
    <row r="24" customFormat="false" ht="240" hidden="false" customHeight="true" outlineLevel="0" collapsed="false">
      <c r="A24" s="17" t="s">
        <v>2787</v>
      </c>
      <c r="B24" s="16" t="s">
        <v>2858</v>
      </c>
      <c r="C24" s="17" t="s">
        <v>2936</v>
      </c>
      <c r="D24" s="17" t="s">
        <v>2937</v>
      </c>
      <c r="E24" s="16" t="s">
        <v>2938</v>
      </c>
      <c r="F24" s="17" t="s">
        <v>2939</v>
      </c>
    </row>
    <row r="25" customFormat="false" ht="240" hidden="false" customHeight="true" outlineLevel="0" collapsed="false">
      <c r="A25" s="17" t="s">
        <v>2821</v>
      </c>
      <c r="B25" s="16" t="s">
        <v>2907</v>
      </c>
      <c r="C25" s="17" t="s">
        <v>2936</v>
      </c>
      <c r="D25" s="17" t="s">
        <v>2940</v>
      </c>
      <c r="E25" s="16" t="s">
        <v>2941</v>
      </c>
      <c r="F25" s="16" t="s">
        <v>2942</v>
      </c>
    </row>
    <row r="26" customFormat="false" ht="240" hidden="false" customHeight="true" outlineLevel="0" collapsed="false">
      <c r="A26" s="17" t="s">
        <v>2821</v>
      </c>
      <c r="B26" s="16" t="s">
        <v>2922</v>
      </c>
      <c r="C26" s="17" t="s">
        <v>2936</v>
      </c>
      <c r="D26" s="16" t="s">
        <v>2943</v>
      </c>
      <c r="E26" s="16" t="s">
        <v>2944</v>
      </c>
      <c r="F26" s="16" t="s">
        <v>2945</v>
      </c>
    </row>
    <row r="27" customFormat="false" ht="259.5" hidden="false" customHeight="true" outlineLevel="0" collapsed="false">
      <c r="A27" s="17" t="s">
        <v>2821</v>
      </c>
      <c r="B27" s="16" t="s">
        <v>2858</v>
      </c>
      <c r="C27" s="17" t="s">
        <v>2946</v>
      </c>
      <c r="D27" s="17" t="s">
        <v>2947</v>
      </c>
      <c r="E27" s="16" t="s">
        <v>2948</v>
      </c>
      <c r="F27" s="16" t="s">
        <v>2949</v>
      </c>
    </row>
    <row r="28" customFormat="false" ht="259.5" hidden="false" customHeight="true" outlineLevel="0" collapsed="false">
      <c r="A28" s="17" t="s">
        <v>2821</v>
      </c>
      <c r="B28" s="16" t="s">
        <v>2911</v>
      </c>
      <c r="C28" s="17" t="s">
        <v>2946</v>
      </c>
      <c r="D28" s="17" t="s">
        <v>2950</v>
      </c>
      <c r="E28" s="16" t="s">
        <v>2951</v>
      </c>
      <c r="F28" s="16" t="s">
        <v>2952</v>
      </c>
    </row>
    <row r="29" customFormat="false" ht="259.5" hidden="false" customHeight="true" outlineLevel="0" collapsed="false">
      <c r="A29" s="17" t="s">
        <v>2821</v>
      </c>
      <c r="B29" s="16" t="s">
        <v>2907</v>
      </c>
      <c r="C29" s="17" t="s">
        <v>2946</v>
      </c>
      <c r="D29" s="17" t="s">
        <v>2953</v>
      </c>
      <c r="E29" s="16" t="s">
        <v>2954</v>
      </c>
      <c r="F29" s="16" t="s">
        <v>2955</v>
      </c>
    </row>
    <row r="30" customFormat="false" ht="259.5" hidden="false" customHeight="true" outlineLevel="0" collapsed="false">
      <c r="A30" s="17" t="s">
        <v>2821</v>
      </c>
      <c r="B30" s="16" t="s">
        <v>2922</v>
      </c>
      <c r="C30" s="17" t="s">
        <v>2946</v>
      </c>
      <c r="D30" s="16" t="s">
        <v>2956</v>
      </c>
      <c r="E30" s="16" t="s">
        <v>2957</v>
      </c>
      <c r="F30" s="16" t="s">
        <v>2958</v>
      </c>
    </row>
    <row r="31" customFormat="false" ht="259.5" hidden="false" customHeight="true" outlineLevel="0" collapsed="false">
      <c r="A31" s="17" t="s">
        <v>2821</v>
      </c>
      <c r="B31" s="16" t="s">
        <v>2858</v>
      </c>
      <c r="C31" s="17" t="s">
        <v>2946</v>
      </c>
      <c r="D31" s="17" t="s">
        <v>2959</v>
      </c>
      <c r="E31" s="16" t="s">
        <v>2960</v>
      </c>
      <c r="F31" s="16" t="s">
        <v>2961</v>
      </c>
    </row>
    <row r="32" customFormat="false" ht="219.75" hidden="false" customHeight="true" outlineLevel="0" collapsed="false">
      <c r="A32" s="17" t="s">
        <v>2831</v>
      </c>
      <c r="B32" s="16" t="s">
        <v>2858</v>
      </c>
      <c r="C32" s="17" t="s">
        <v>2962</v>
      </c>
      <c r="D32" s="16" t="s">
        <v>2963</v>
      </c>
      <c r="E32" s="16" t="s">
        <v>2964</v>
      </c>
      <c r="F32" s="16" t="s">
        <v>2965</v>
      </c>
    </row>
    <row r="33" customFormat="false" ht="219.75" hidden="false" customHeight="true" outlineLevel="0" collapsed="false">
      <c r="A33" s="17" t="s">
        <v>2831</v>
      </c>
      <c r="B33" s="16" t="s">
        <v>2926</v>
      </c>
      <c r="C33" s="17" t="s">
        <v>2962</v>
      </c>
      <c r="D33" s="16" t="s">
        <v>2966</v>
      </c>
      <c r="E33" s="17" t="s">
        <v>2967</v>
      </c>
      <c r="F33" s="16" t="s">
        <v>2968</v>
      </c>
    </row>
    <row r="34" customFormat="false" ht="259.5" hidden="false" customHeight="true" outlineLevel="0" collapsed="false">
      <c r="A34" s="17" t="s">
        <v>2831</v>
      </c>
      <c r="B34" s="16" t="s">
        <v>2858</v>
      </c>
      <c r="C34" s="17" t="s">
        <v>2969</v>
      </c>
      <c r="D34" s="16" t="s">
        <v>2970</v>
      </c>
      <c r="E34" s="29" t="s">
        <v>2971</v>
      </c>
      <c r="F34" s="16" t="s">
        <v>2972</v>
      </c>
    </row>
    <row r="35" customFormat="false" ht="259.5" hidden="false" customHeight="true" outlineLevel="0" collapsed="false">
      <c r="A35" s="17" t="s">
        <v>2831</v>
      </c>
      <c r="B35" s="16" t="s">
        <v>2907</v>
      </c>
      <c r="C35" s="17" t="s">
        <v>2973</v>
      </c>
      <c r="D35" s="16" t="s">
        <v>2974</v>
      </c>
      <c r="E35" s="29" t="s">
        <v>2975</v>
      </c>
      <c r="F35" s="16" t="s">
        <v>2976</v>
      </c>
    </row>
    <row r="36" customFormat="false" ht="15" hidden="false" customHeight="true" outlineLevel="0" collapsed="false">
      <c r="A36" s="17"/>
      <c r="B36" s="16"/>
      <c r="C36" s="17"/>
      <c r="D36" s="17"/>
      <c r="E36" s="17"/>
      <c r="F36" s="17"/>
    </row>
    <row r="37" customFormat="false" ht="15" hidden="false" customHeight="true" outlineLevel="0" collapsed="false">
      <c r="A37" s="17"/>
      <c r="B37" s="16"/>
      <c r="C37" s="17"/>
      <c r="D37" s="17"/>
      <c r="E37" s="17"/>
      <c r="F37" s="17"/>
    </row>
    <row r="38" customFormat="false" ht="15" hidden="false" customHeight="true" outlineLevel="0" collapsed="false">
      <c r="A38" s="17"/>
      <c r="B38" s="16"/>
      <c r="C38" s="17"/>
      <c r="D38" s="17"/>
      <c r="E38" s="17"/>
      <c r="F38" s="17"/>
    </row>
    <row r="39" customFormat="false" ht="15" hidden="false" customHeight="true" outlineLevel="0" collapsed="false">
      <c r="A39" s="17"/>
      <c r="B39" s="16"/>
      <c r="C39" s="17"/>
      <c r="D39" s="17"/>
      <c r="E39" s="17"/>
      <c r="F39" s="17"/>
    </row>
    <row r="40" customFormat="false" ht="15" hidden="false" customHeight="true" outlineLevel="0" collapsed="false">
      <c r="A40" s="17"/>
      <c r="B40" s="16"/>
      <c r="C40" s="17"/>
      <c r="D40" s="17"/>
      <c r="E40" s="17"/>
      <c r="F40" s="17"/>
    </row>
    <row r="41" customFormat="false" ht="15" hidden="false" customHeight="true" outlineLevel="0" collapsed="false">
      <c r="A41" s="17"/>
      <c r="B41" s="16"/>
      <c r="C41" s="17"/>
      <c r="D41" s="17"/>
      <c r="E41" s="17"/>
      <c r="F41" s="17"/>
    </row>
    <row r="42" customFormat="false" ht="15" hidden="false" customHeight="true" outlineLevel="0" collapsed="false">
      <c r="A42" s="17"/>
      <c r="B42" s="16"/>
      <c r="C42" s="17"/>
      <c r="D42" s="17"/>
      <c r="E42" s="17"/>
      <c r="F42" s="17"/>
    </row>
    <row r="43" customFormat="false" ht="15" hidden="false" customHeight="true" outlineLevel="0" collapsed="false">
      <c r="A43" s="17"/>
      <c r="B43" s="16"/>
      <c r="C43" s="17"/>
      <c r="D43" s="17"/>
      <c r="E43" s="17"/>
      <c r="F43" s="17"/>
    </row>
    <row r="44" customFormat="false" ht="15" hidden="false" customHeight="true" outlineLevel="0" collapsed="false">
      <c r="A44" s="17"/>
      <c r="B44" s="16"/>
      <c r="C44" s="17"/>
      <c r="D44" s="17"/>
      <c r="E44" s="17"/>
      <c r="F44" s="17"/>
    </row>
    <row r="45" customFormat="false" ht="15" hidden="false" customHeight="true" outlineLevel="0" collapsed="false">
      <c r="A45" s="17"/>
      <c r="B45" s="16"/>
      <c r="C45" s="17"/>
      <c r="D45" s="17"/>
      <c r="E45" s="17"/>
      <c r="F45" s="17"/>
    </row>
    <row r="46" customFormat="false" ht="15" hidden="false" customHeight="true" outlineLevel="0" collapsed="false">
      <c r="A46" s="17"/>
      <c r="B46" s="16"/>
      <c r="C46" s="17"/>
      <c r="D46" s="17"/>
      <c r="E46" s="17"/>
      <c r="F46" s="17"/>
    </row>
    <row r="47" customFormat="false" ht="15" hidden="false" customHeight="true" outlineLevel="0" collapsed="false">
      <c r="A47" s="17"/>
      <c r="B47" s="16"/>
      <c r="C47" s="17"/>
      <c r="D47" s="17"/>
      <c r="E47" s="17"/>
      <c r="F47" s="17"/>
    </row>
    <row r="48" customFormat="false" ht="15" hidden="false" customHeight="true" outlineLevel="0" collapsed="false">
      <c r="A48" s="17"/>
      <c r="B48" s="16"/>
      <c r="C48" s="17"/>
      <c r="D48" s="17"/>
      <c r="E48" s="17"/>
      <c r="F48" s="17"/>
    </row>
    <row r="49" customFormat="false" ht="15" hidden="false" customHeight="true" outlineLevel="0" collapsed="false">
      <c r="A49" s="17"/>
      <c r="B49" s="16"/>
      <c r="C49" s="17"/>
      <c r="D49" s="17"/>
      <c r="E49" s="17"/>
      <c r="F49" s="17"/>
    </row>
    <row r="50" customFormat="false" ht="15" hidden="false" customHeight="true" outlineLevel="0" collapsed="false">
      <c r="A50" s="17"/>
      <c r="B50" s="16"/>
      <c r="C50" s="17"/>
      <c r="D50" s="17"/>
      <c r="E50" s="17"/>
      <c r="F50" s="17"/>
    </row>
    <row r="51" customFormat="false" ht="15" hidden="false" customHeight="true" outlineLevel="0" collapsed="false">
      <c r="A51" s="17"/>
      <c r="B51" s="16"/>
      <c r="C51" s="17"/>
      <c r="D51" s="17"/>
      <c r="E51" s="17"/>
      <c r="F51" s="17"/>
    </row>
    <row r="52" customFormat="false" ht="15" hidden="false" customHeight="true" outlineLevel="0" collapsed="false">
      <c r="A52" s="17"/>
      <c r="B52" s="16"/>
      <c r="C52" s="17"/>
      <c r="D52" s="17"/>
      <c r="E52" s="17"/>
      <c r="F52" s="17"/>
    </row>
    <row r="53" customFormat="false" ht="15" hidden="false" customHeight="true" outlineLevel="0" collapsed="false">
      <c r="A53" s="17"/>
      <c r="B53" s="16"/>
      <c r="C53" s="17"/>
      <c r="D53" s="17"/>
      <c r="E53" s="17"/>
      <c r="F53" s="17"/>
    </row>
    <row r="54" customFormat="false" ht="15" hidden="false" customHeight="true" outlineLevel="0" collapsed="false">
      <c r="A54" s="17"/>
      <c r="B54" s="16"/>
      <c r="C54" s="17"/>
      <c r="D54" s="17"/>
      <c r="E54" s="17"/>
      <c r="F54" s="17"/>
    </row>
    <row r="55" customFormat="false" ht="15" hidden="false" customHeight="true" outlineLevel="0" collapsed="false">
      <c r="A55" s="17"/>
      <c r="B55" s="16"/>
      <c r="C55" s="17"/>
      <c r="D55" s="17"/>
      <c r="E55" s="17"/>
      <c r="F55" s="17"/>
    </row>
    <row r="56" customFormat="false" ht="15" hidden="false" customHeight="true" outlineLevel="0" collapsed="false">
      <c r="A56" s="17"/>
      <c r="B56" s="16"/>
      <c r="C56" s="17"/>
      <c r="D56" s="17"/>
      <c r="E56" s="17"/>
      <c r="F56" s="17"/>
    </row>
    <row r="57" customFormat="false" ht="15" hidden="false" customHeight="true" outlineLevel="0" collapsed="false">
      <c r="A57" s="17"/>
      <c r="B57" s="16"/>
      <c r="C57" s="17"/>
      <c r="D57" s="17"/>
      <c r="E57" s="17"/>
      <c r="F57" s="17"/>
    </row>
    <row r="58" customFormat="false" ht="15" hidden="false" customHeight="true" outlineLevel="0" collapsed="false">
      <c r="A58" s="17"/>
      <c r="B58" s="16"/>
      <c r="C58" s="17"/>
      <c r="D58" s="17"/>
      <c r="E58" s="17"/>
      <c r="F58" s="17"/>
    </row>
    <row r="59" customFormat="false" ht="15" hidden="false" customHeight="true" outlineLevel="0" collapsed="false">
      <c r="A59" s="17"/>
      <c r="B59" s="16"/>
      <c r="C59" s="17"/>
      <c r="D59" s="17"/>
      <c r="E59" s="17"/>
      <c r="F59" s="17"/>
    </row>
    <row r="60" customFormat="false" ht="15" hidden="false" customHeight="true" outlineLevel="0" collapsed="false">
      <c r="A60" s="17"/>
      <c r="B60" s="16"/>
      <c r="C60" s="17"/>
      <c r="D60" s="17"/>
      <c r="E60" s="17"/>
      <c r="F60" s="17"/>
    </row>
    <row r="61" customFormat="false" ht="15" hidden="false" customHeight="true" outlineLevel="0" collapsed="false">
      <c r="A61" s="17"/>
      <c r="B61" s="16"/>
      <c r="C61" s="17"/>
      <c r="D61" s="17"/>
      <c r="E61" s="17"/>
      <c r="F61" s="17"/>
    </row>
    <row r="62" customFormat="false" ht="15" hidden="false" customHeight="true" outlineLevel="0" collapsed="false">
      <c r="A62" s="17"/>
      <c r="B62" s="16"/>
      <c r="C62" s="17"/>
      <c r="D62" s="17"/>
      <c r="E62" s="17"/>
      <c r="F62" s="17"/>
    </row>
    <row r="63" customFormat="false" ht="15" hidden="false" customHeight="true" outlineLevel="0" collapsed="false">
      <c r="A63" s="17"/>
      <c r="B63" s="16"/>
      <c r="C63" s="17"/>
      <c r="D63" s="17"/>
      <c r="E63" s="17"/>
      <c r="F63" s="17"/>
    </row>
  </sheetData>
  <mergeCells count="1">
    <mergeCell ref="A1:F1"/>
  </mergeCells>
  <dataValidations count="1">
    <dataValidation allowBlank="true" errorStyle="stop" operator="between" showDropDown="false" showErrorMessage="false" showInputMessage="false" sqref="B4:B63" type="list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6" min="5" style="1" width="8"/>
    <col collapsed="false" customWidth="true" hidden="false" outlineLevel="0" max="7" min="7" style="1" width="10"/>
    <col collapsed="false" customWidth="true" hidden="false" outlineLevel="0" max="8" min="8" style="1" width="8"/>
    <col collapsed="false" customWidth="true" hidden="false" outlineLevel="0" max="9" min="9" style="1" width="10"/>
    <col collapsed="false" customWidth="true" hidden="false" outlineLevel="0" max="11" min="10" style="1" width="13"/>
    <col collapsed="false" customWidth="true" hidden="false" outlineLevel="0" max="12" min="12" style="1" width="12"/>
    <col collapsed="false" customWidth="true" hidden="false" outlineLevel="0" max="13" min="13" style="1" width="14"/>
    <col collapsed="false" customWidth="true" hidden="false" outlineLevel="0" max="14" min="14" style="1" width="40"/>
  </cols>
  <sheetData>
    <row r="1" customFormat="false" ht="15" hidden="false" customHeight="true" outlineLevel="0" collapsed="false">
      <c r="A1" s="30" t="s">
        <v>2977</v>
      </c>
    </row>
    <row r="3" customFormat="false" ht="31.5" hidden="false" customHeight="true" outlineLevel="0" collapsed="false">
      <c r="A3" s="9" t="s">
        <v>1581</v>
      </c>
      <c r="B3" s="9" t="s">
        <v>1582</v>
      </c>
      <c r="C3" s="9" t="s">
        <v>2855</v>
      </c>
      <c r="D3" s="9" t="s">
        <v>2978</v>
      </c>
      <c r="E3" s="8" t="s">
        <v>37</v>
      </c>
      <c r="F3" s="8" t="s">
        <v>39</v>
      </c>
      <c r="G3" s="8" t="s">
        <v>41</v>
      </c>
      <c r="H3" s="8" t="s">
        <v>43</v>
      </c>
      <c r="I3" s="8" t="s">
        <v>45</v>
      </c>
      <c r="J3" s="9" t="s">
        <v>2979</v>
      </c>
      <c r="K3" s="9" t="s">
        <v>2980</v>
      </c>
      <c r="L3" s="9" t="s">
        <v>2981</v>
      </c>
      <c r="M3" s="9" t="s">
        <v>2982</v>
      </c>
      <c r="N3" s="9" t="s">
        <v>2983</v>
      </c>
    </row>
    <row r="4" customFormat="false" ht="15" hidden="false" customHeight="true" outlineLevel="0" collapsed="false">
      <c r="A4" s="13" t="s">
        <v>1122</v>
      </c>
      <c r="B4" s="31" t="s">
        <v>1617</v>
      </c>
      <c r="C4" s="31" t="s">
        <v>2864</v>
      </c>
      <c r="D4" s="31" t="n">
        <v>120</v>
      </c>
      <c r="E4" s="31" t="n">
        <v>86</v>
      </c>
      <c r="F4" s="31" t="n">
        <v>19</v>
      </c>
      <c r="G4" s="31" t="n">
        <v>8</v>
      </c>
      <c r="H4" s="31" t="n">
        <v>1</v>
      </c>
      <c r="I4" s="31" t="n">
        <v>6</v>
      </c>
      <c r="J4" s="32" t="n">
        <f aca="false">COUNTIF(缺陷登記!$F$3:$F$200,$A4)</f>
        <v>38</v>
      </c>
      <c r="K4" s="32" t="n">
        <f aca="false">COUNTIF(缺陷登記!$J$3:$J$200,$A4)</f>
        <v>0</v>
      </c>
      <c r="L4" s="32" t="n">
        <f aca="false">SUM($J$4:$J4)-SUM($K$4:$K4)</f>
        <v>38</v>
      </c>
      <c r="M4" s="33" t="s">
        <v>2984</v>
      </c>
      <c r="N4" s="33" t="s">
        <v>2985</v>
      </c>
    </row>
    <row r="5" customFormat="false" ht="15" hidden="false" customHeight="true" outlineLevel="0" collapsed="false">
      <c r="A5" s="13" t="s">
        <v>1125</v>
      </c>
      <c r="B5" s="31" t="s">
        <v>2048</v>
      </c>
      <c r="C5" s="31" t="s">
        <v>2868</v>
      </c>
      <c r="D5" s="31" t="n">
        <v>31</v>
      </c>
      <c r="E5" s="31" t="n">
        <v>29</v>
      </c>
      <c r="F5" s="31" t="n">
        <v>2</v>
      </c>
      <c r="G5" s="31" t="n">
        <v>0</v>
      </c>
      <c r="H5" s="31" t="n">
        <v>0</v>
      </c>
      <c r="I5" s="31" t="n">
        <v>0</v>
      </c>
      <c r="J5" s="32" t="n">
        <f aca="false">COUNTIF(缺陷登記!$F$3:$F$200,$A5)</f>
        <v>10</v>
      </c>
      <c r="K5" s="32" t="n">
        <f aca="false">COUNTIF(缺陷登記!$J$3:$J$200,$A5)</f>
        <v>29</v>
      </c>
      <c r="L5" s="32" t="n">
        <f aca="false">SUM($J$4:$J5)-SUM($K$4:$K5)</f>
        <v>19</v>
      </c>
      <c r="M5" s="33" t="s">
        <v>2986</v>
      </c>
      <c r="N5" s="31" t="s">
        <v>2987</v>
      </c>
    </row>
    <row r="6" customFormat="false" ht="15" hidden="false" customHeight="true" outlineLevel="0" collapsed="false">
      <c r="A6" s="13" t="s">
        <v>1138</v>
      </c>
      <c r="B6" s="31" t="s">
        <v>2048</v>
      </c>
      <c r="C6" s="31" t="s">
        <v>2875</v>
      </c>
      <c r="D6" s="31" t="n">
        <v>21</v>
      </c>
      <c r="E6" s="31" t="n">
        <v>20</v>
      </c>
      <c r="F6" s="31" t="n">
        <v>1</v>
      </c>
      <c r="G6" s="31" t="n">
        <v>0</v>
      </c>
      <c r="H6" s="31" t="n">
        <v>0</v>
      </c>
      <c r="I6" s="31" t="n">
        <v>0</v>
      </c>
      <c r="J6" s="32" t="n">
        <f aca="false">COUNTIF(缺陷登記!$F$3:$F$200,$A6)</f>
        <v>13</v>
      </c>
      <c r="K6" s="32" t="n">
        <f aca="false">COUNTIF(缺陷登記!$J$3:$J$200,$A6)</f>
        <v>18</v>
      </c>
      <c r="L6" s="32" t="n">
        <f aca="false">SUM($J$4:$J6)-SUM($K$4:$K6)</f>
        <v>14</v>
      </c>
      <c r="M6" s="33" t="s">
        <v>2988</v>
      </c>
      <c r="N6" s="31" t="s">
        <v>2989</v>
      </c>
    </row>
    <row r="7" customFormat="false" ht="15" hidden="false" customHeight="true" outlineLevel="0" collapsed="false">
      <c r="A7" s="13" t="s">
        <v>1307</v>
      </c>
      <c r="B7" s="31" t="s">
        <v>2338</v>
      </c>
      <c r="C7" s="31" t="s">
        <v>2882</v>
      </c>
      <c r="D7" s="31" t="n">
        <v>16</v>
      </c>
      <c r="E7" s="31" t="n">
        <v>15</v>
      </c>
      <c r="F7" s="31" t="n">
        <v>1</v>
      </c>
      <c r="G7" s="31" t="n">
        <v>0</v>
      </c>
      <c r="H7" s="31" t="n">
        <v>0</v>
      </c>
      <c r="I7" s="31" t="n">
        <v>0</v>
      </c>
      <c r="J7" s="32" t="n">
        <f aca="false">COUNTIF(缺陷登記!$F$3:$F$200,$A7)</f>
        <v>4</v>
      </c>
      <c r="K7" s="32" t="n">
        <f aca="false">COUNTIF(缺陷登記!$J$3:$J$200,$A7)</f>
        <v>13</v>
      </c>
      <c r="L7" s="32" t="n">
        <f aca="false">SUM($J$4:$J7)-SUM($K$4:$K7)</f>
        <v>5</v>
      </c>
      <c r="M7" s="33" t="s">
        <v>2990</v>
      </c>
      <c r="N7" s="31" t="s">
        <v>2991</v>
      </c>
    </row>
    <row r="8" customFormat="false" ht="15" hidden="false" customHeight="true" outlineLevel="0" collapsed="false">
      <c r="A8" s="13" t="s">
        <v>1400</v>
      </c>
      <c r="B8" s="31" t="s">
        <v>2338</v>
      </c>
      <c r="C8" s="31" t="s">
        <v>2889</v>
      </c>
      <c r="D8" s="31" t="n">
        <v>17</v>
      </c>
      <c r="E8" s="31" t="n">
        <v>13</v>
      </c>
      <c r="F8" s="31" t="n">
        <v>4</v>
      </c>
      <c r="G8" s="31" t="n">
        <v>0</v>
      </c>
      <c r="H8" s="31" t="n">
        <v>0</v>
      </c>
      <c r="I8" s="31" t="n">
        <v>0</v>
      </c>
      <c r="J8" s="32" t="n">
        <f aca="false">COUNTIF(缺陷登記!$F$3:$F$200,$A8)</f>
        <v>13</v>
      </c>
      <c r="K8" s="32" t="n">
        <f aca="false">COUNTIF(缺陷登記!$J$3:$J$200,$A8)</f>
        <v>5</v>
      </c>
      <c r="L8" s="32" t="n">
        <f aca="false">SUM($J$4:$J8)-SUM($K$4:$K8)</f>
        <v>13</v>
      </c>
      <c r="M8" s="33" t="s">
        <v>2992</v>
      </c>
      <c r="N8" s="31" t="s">
        <v>2993</v>
      </c>
    </row>
    <row r="9" customFormat="false" ht="15" hidden="false" customHeight="true" outlineLevel="0" collapsed="false">
      <c r="A9" s="13" t="s">
        <v>1455</v>
      </c>
      <c r="B9" s="31" t="s">
        <v>2576</v>
      </c>
      <c r="C9" s="31" t="s">
        <v>2896</v>
      </c>
      <c r="D9" s="31" t="n">
        <v>13</v>
      </c>
      <c r="E9" s="31" t="n">
        <v>13</v>
      </c>
      <c r="F9" s="31" t="n">
        <v>0</v>
      </c>
      <c r="G9" s="31" t="n">
        <v>0</v>
      </c>
      <c r="H9" s="31" t="n">
        <v>0</v>
      </c>
      <c r="I9" s="31" t="n">
        <v>0</v>
      </c>
      <c r="J9" s="32" t="n">
        <f aca="false">COUNTIF(缺陷登記!$F$3:$F$200,$A9)</f>
        <v>2</v>
      </c>
      <c r="K9" s="32" t="n">
        <f aca="false">COUNTIF(缺陷登記!$J$3:$J$200,$A9)</f>
        <v>14</v>
      </c>
      <c r="L9" s="32" t="n">
        <f aca="false">SUM($J$4:$J9)-SUM($K$4:$K9)</f>
        <v>1</v>
      </c>
      <c r="M9" s="33" t="s">
        <v>2994</v>
      </c>
      <c r="N9" s="31" t="s">
        <v>2995</v>
      </c>
    </row>
    <row r="10" customFormat="false" ht="15" hidden="false" customHeight="true" outlineLevel="0" collapsed="false">
      <c r="A10" s="13" t="s">
        <v>1509</v>
      </c>
      <c r="B10" s="31" t="s">
        <v>2756</v>
      </c>
      <c r="C10" s="31" t="s">
        <v>2903</v>
      </c>
      <c r="D10" s="31" t="n">
        <v>7</v>
      </c>
      <c r="E10" s="31" t="n">
        <v>7</v>
      </c>
      <c r="F10" s="31" t="n">
        <v>0</v>
      </c>
      <c r="G10" s="31" t="n">
        <v>0</v>
      </c>
      <c r="H10" s="31" t="n">
        <v>0</v>
      </c>
      <c r="I10" s="31" t="n">
        <v>0</v>
      </c>
      <c r="J10" s="32" t="n">
        <f aca="false">COUNTIF(缺陷登記!$F$3:$F$200,$A10)</f>
        <v>1</v>
      </c>
      <c r="K10" s="32" t="n">
        <f aca="false">COUNTIF(缺陷登記!$J$3:$J$200,$A10)</f>
        <v>2</v>
      </c>
      <c r="L10" s="32" t="n">
        <f aca="false">SUM($J$4:$J10)-SUM($K$4:$K10)</f>
        <v>0</v>
      </c>
      <c r="M10" s="33" t="s">
        <v>2996</v>
      </c>
      <c r="N10" s="31" t="s">
        <v>2997</v>
      </c>
    </row>
    <row r="11" customFormat="false" ht="15" hidden="false" customHeight="true" outlineLevel="0" collapsed="false">
      <c r="A11" s="13" t="s">
        <v>1532</v>
      </c>
      <c r="B11" s="31" t="s">
        <v>2756</v>
      </c>
      <c r="C11" s="31" t="s">
        <v>2903</v>
      </c>
      <c r="D11" s="31" t="n">
        <v>73</v>
      </c>
      <c r="E11" s="31" t="n">
        <v>71</v>
      </c>
      <c r="F11" s="31" t="n">
        <v>1</v>
      </c>
      <c r="G11" s="31" t="n">
        <v>0</v>
      </c>
      <c r="H11" s="31" t="n">
        <v>1</v>
      </c>
      <c r="I11" s="31" t="n">
        <v>0</v>
      </c>
      <c r="J11" s="32" t="n">
        <f aca="false">COUNTIF(缺陷登記!$F$3:$F$200,$A11)</f>
        <v>1</v>
      </c>
      <c r="K11" s="32" t="n">
        <f aca="false">COUNTIF(缺陷登記!$J$3:$J$200,$A11)</f>
        <v>0</v>
      </c>
      <c r="L11" s="32" t="n">
        <f aca="false">SUM($J$4:$J11)-SUM($K$4:$K11)</f>
        <v>1</v>
      </c>
      <c r="M11" s="33" t="s">
        <v>2998</v>
      </c>
      <c r="N11" s="31" t="s">
        <v>2999</v>
      </c>
    </row>
    <row r="12" customFormat="false" ht="15" hidden="false" customHeight="true" outlineLevel="0" collapsed="false">
      <c r="A12" s="13" t="s">
        <v>1535</v>
      </c>
      <c r="B12" s="31" t="s">
        <v>2756</v>
      </c>
      <c r="C12" s="31" t="s">
        <v>2915</v>
      </c>
      <c r="D12" s="31" t="n">
        <v>7</v>
      </c>
      <c r="E12" s="31" t="n">
        <v>7</v>
      </c>
      <c r="F12" s="31" t="n">
        <v>0</v>
      </c>
      <c r="G12" s="31" t="n">
        <v>0</v>
      </c>
      <c r="H12" s="31" t="n">
        <v>0</v>
      </c>
      <c r="I12" s="31" t="n">
        <v>0</v>
      </c>
      <c r="J12" s="32" t="n">
        <f aca="false">COUNTIF(缺陷登記!$F$3:$F$200,$A12)</f>
        <v>0</v>
      </c>
      <c r="K12" s="32" t="n">
        <f aca="false">COUNTIF(缺陷登記!$J$3:$J$200,$A12)</f>
        <v>1</v>
      </c>
      <c r="L12" s="32" t="n">
        <f aca="false">SUM($J$4:$J12)-SUM($K$4:$K12)</f>
        <v>0</v>
      </c>
      <c r="M12" s="33" t="s">
        <v>3000</v>
      </c>
      <c r="N12" s="31" t="s">
        <v>3001</v>
      </c>
    </row>
    <row r="13" customFormat="false" ht="15" hidden="false" customHeight="true" outlineLevel="0" collapsed="false">
      <c r="A13" s="13" t="s">
        <v>1539</v>
      </c>
      <c r="B13" s="31" t="s">
        <v>2773</v>
      </c>
      <c r="C13" s="31" t="s">
        <v>2915</v>
      </c>
      <c r="D13" s="31" t="n">
        <v>120</v>
      </c>
      <c r="E13" s="31" t="n">
        <v>116</v>
      </c>
      <c r="F13" s="31" t="n">
        <v>2</v>
      </c>
      <c r="G13" s="31" t="n">
        <v>0</v>
      </c>
      <c r="H13" s="31" t="n">
        <v>1</v>
      </c>
      <c r="I13" s="31" t="n">
        <v>1</v>
      </c>
      <c r="J13" s="32" t="n">
        <f aca="false">COUNTIF(缺陷登記!$F$3:$F$200,$A13)</f>
        <v>3</v>
      </c>
      <c r="K13" s="32" t="n">
        <f aca="false">COUNTIF(缺陷登記!$J$3:$J$200,$A13)</f>
        <v>0</v>
      </c>
      <c r="L13" s="32" t="n">
        <f aca="false">SUM($J$4:$J13)-SUM($K$4:$K13)</f>
        <v>3</v>
      </c>
      <c r="M13" s="33" t="s">
        <v>3002</v>
      </c>
      <c r="N13" s="31" t="s">
        <v>3003</v>
      </c>
    </row>
    <row r="14" customFormat="false" ht="15" hidden="false" customHeight="true" outlineLevel="0" collapsed="false">
      <c r="A14" s="13" t="s">
        <v>1542</v>
      </c>
      <c r="B14" s="31" t="s">
        <v>2821</v>
      </c>
      <c r="C14" s="31" t="s">
        <v>2936</v>
      </c>
      <c r="D14" s="31" t="n">
        <v>120</v>
      </c>
      <c r="E14" s="31" t="n">
        <v>119</v>
      </c>
      <c r="F14" s="31" t="n">
        <v>0</v>
      </c>
      <c r="G14" s="31" t="n">
        <v>0</v>
      </c>
      <c r="H14" s="31" t="n">
        <v>1</v>
      </c>
      <c r="I14" s="31" t="n">
        <v>0</v>
      </c>
      <c r="J14" s="32" t="n">
        <f aca="false">COUNTIF(缺陷登記!$F$3:$F$200,$A14)</f>
        <v>0</v>
      </c>
      <c r="K14" s="32" t="n">
        <f aca="false">COUNTIF(缺陷登記!$J$3:$J$200,$A14)</f>
        <v>3</v>
      </c>
      <c r="L14" s="32" t="n">
        <f aca="false">SUM($J$4:$J14)-SUM($K$4:$K14)</f>
        <v>0</v>
      </c>
      <c r="M14" s="33" t="s">
        <v>3004</v>
      </c>
      <c r="N14" s="31" t="s">
        <v>3005</v>
      </c>
    </row>
    <row r="15" customFormat="false" ht="15" hidden="false" customHeight="true" outlineLevel="0" collapsed="false">
      <c r="A15" s="13" t="s">
        <v>1555</v>
      </c>
      <c r="B15" s="31" t="s">
        <v>2821</v>
      </c>
      <c r="C15" s="31" t="s">
        <v>2946</v>
      </c>
      <c r="D15" s="31" t="n">
        <v>120</v>
      </c>
      <c r="E15" s="31" t="n">
        <v>117</v>
      </c>
      <c r="F15" s="31" t="n">
        <v>0</v>
      </c>
      <c r="G15" s="31" t="n">
        <v>0</v>
      </c>
      <c r="H15" s="31" t="n">
        <v>1</v>
      </c>
      <c r="I15" s="31" t="n">
        <v>2</v>
      </c>
      <c r="J15" s="32" t="n">
        <f aca="false">COUNTIF(缺陷登記!$F$3:$F$200,$A15)</f>
        <v>1</v>
      </c>
      <c r="K15" s="32" t="n">
        <f aca="false">COUNTIF(缺陷登記!$J$3:$J$200,$A15)</f>
        <v>1</v>
      </c>
      <c r="L15" s="32" t="n">
        <f aca="false">SUM($J$4:$J15)-SUM($K$4:$K15)</f>
        <v>0</v>
      </c>
      <c r="M15" s="33" t="s">
        <v>3006</v>
      </c>
      <c r="N15" s="31" t="s">
        <v>3007</v>
      </c>
    </row>
    <row r="16" customFormat="false" ht="15" hidden="false" customHeight="true" outlineLevel="0" collapsed="false">
      <c r="A16" s="13" t="s">
        <v>1560</v>
      </c>
      <c r="B16" s="31" t="s">
        <v>2831</v>
      </c>
      <c r="C16" s="31" t="s">
        <v>3008</v>
      </c>
      <c r="D16" s="31" t="n">
        <v>120</v>
      </c>
      <c r="E16" s="31" t="n">
        <v>114</v>
      </c>
      <c r="F16" s="31" t="n">
        <v>3</v>
      </c>
      <c r="G16" s="31" t="n">
        <v>1</v>
      </c>
      <c r="H16" s="31" t="n">
        <v>1</v>
      </c>
      <c r="I16" s="31" t="n">
        <v>1</v>
      </c>
      <c r="J16" s="32" t="n">
        <f aca="false">COUNTIF(缺陷登記!$F$3:$F$200,$A16)</f>
        <v>5</v>
      </c>
      <c r="K16" s="32" t="n">
        <f aca="false">COUNTIF(缺陷登記!$J$3:$J$200,$A16)</f>
        <v>0</v>
      </c>
      <c r="L16" s="32" t="n">
        <f aca="false">SUM($J$4:$J16)-SUM($K$4:$K16)</f>
        <v>5</v>
      </c>
      <c r="M16" s="33" t="s">
        <v>3009</v>
      </c>
      <c r="N16" s="31" t="s">
        <v>3010</v>
      </c>
    </row>
    <row r="17" customFormat="false" ht="15" hidden="false" customHeight="false" outlineLevel="0" collapsed="false">
      <c r="A17" s="34" t="s">
        <v>3011</v>
      </c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</row>
  </sheetData>
  <mergeCells count="1">
    <mergeCell ref="A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5" min="4" style="1" width="18"/>
    <col collapsed="false" customWidth="true" hidden="false" outlineLevel="0" max="6" min="6" style="1" width="10"/>
  </cols>
  <sheetData>
    <row r="1" customFormat="false" ht="15" hidden="false" customHeight="true" outlineLevel="0" collapsed="false">
      <c r="A1" s="30" t="s">
        <v>3012</v>
      </c>
    </row>
    <row r="3" customFormat="false" ht="31.5" hidden="false" customHeight="true" outlineLevel="0" collapsed="false">
      <c r="A3" s="8" t="s">
        <v>3013</v>
      </c>
      <c r="B3" s="9" t="s">
        <v>3014</v>
      </c>
      <c r="C3" s="9" t="s">
        <v>3015</v>
      </c>
      <c r="D3" s="9" t="s">
        <v>3016</v>
      </c>
      <c r="E3" s="9" t="s">
        <v>3017</v>
      </c>
      <c r="F3" s="9" t="s">
        <v>3018</v>
      </c>
    </row>
    <row r="4" customFormat="false" ht="15" hidden="false" customHeight="true" outlineLevel="0" collapsed="false">
      <c r="A4" s="13" t="s">
        <v>3019</v>
      </c>
      <c r="B4" s="15" t="s">
        <v>3020</v>
      </c>
      <c r="C4" s="14" t="s">
        <v>3021</v>
      </c>
      <c r="D4" s="31" t="s">
        <v>3022</v>
      </c>
      <c r="E4" s="31" t="s">
        <v>3023</v>
      </c>
      <c r="F4" s="33" t="s">
        <v>3024</v>
      </c>
    </row>
    <row r="5" customFormat="false" ht="15" hidden="false" customHeight="true" outlineLevel="0" collapsed="false">
      <c r="A5" s="13" t="s">
        <v>3025</v>
      </c>
      <c r="B5" s="15" t="s">
        <v>3026</v>
      </c>
      <c r="C5" s="15" t="s">
        <v>3027</v>
      </c>
      <c r="D5" s="31" t="s">
        <v>3028</v>
      </c>
      <c r="E5" s="31" t="s">
        <v>3028</v>
      </c>
      <c r="F5" s="33" t="s">
        <v>3024</v>
      </c>
    </row>
    <row r="6" customFormat="false" ht="15" hidden="false" customHeight="true" outlineLevel="0" collapsed="false">
      <c r="A6" s="13" t="s">
        <v>3029</v>
      </c>
      <c r="B6" s="15" t="s">
        <v>3030</v>
      </c>
      <c r="C6" s="15" t="s">
        <v>3031</v>
      </c>
      <c r="D6" s="31" t="s">
        <v>3032</v>
      </c>
      <c r="E6" s="31" t="s">
        <v>3032</v>
      </c>
      <c r="F6" s="33" t="s">
        <v>3024</v>
      </c>
    </row>
    <row r="7" customFormat="false" ht="15" hidden="false" customHeight="true" outlineLevel="0" collapsed="false">
      <c r="A7" s="13" t="s">
        <v>3033</v>
      </c>
      <c r="B7" s="15" t="s">
        <v>3034</v>
      </c>
      <c r="C7" s="15" t="s">
        <v>3035</v>
      </c>
      <c r="D7" s="31" t="s">
        <v>3036</v>
      </c>
      <c r="E7" s="31" t="s">
        <v>3036</v>
      </c>
      <c r="F7" s="33" t="s">
        <v>3024</v>
      </c>
    </row>
    <row r="8" customFormat="false" ht="15" hidden="false" customHeight="true" outlineLevel="0" collapsed="false">
      <c r="A8" s="13" t="s">
        <v>3037</v>
      </c>
      <c r="B8" s="15" t="s">
        <v>3038</v>
      </c>
      <c r="C8" s="15" t="s">
        <v>3039</v>
      </c>
      <c r="D8" s="31" t="s">
        <v>3040</v>
      </c>
      <c r="E8" s="31" t="s">
        <v>3040</v>
      </c>
      <c r="F8" s="33" t="s">
        <v>3024</v>
      </c>
    </row>
    <row r="9" customFormat="false" ht="15" hidden="false" customHeight="true" outlineLevel="0" collapsed="false">
      <c r="A9" s="13" t="s">
        <v>3041</v>
      </c>
      <c r="B9" s="15" t="s">
        <v>3042</v>
      </c>
      <c r="C9" s="14" t="s">
        <v>3043</v>
      </c>
      <c r="D9" s="31" t="s">
        <v>3044</v>
      </c>
      <c r="E9" s="31" t="s">
        <v>3045</v>
      </c>
      <c r="F9" s="33" t="s">
        <v>3046</v>
      </c>
    </row>
    <row r="10" customFormat="false" ht="15" hidden="false" customHeight="true" outlineLevel="0" collapsed="false">
      <c r="A10" s="13" t="s">
        <v>3047</v>
      </c>
      <c r="B10" s="15" t="s">
        <v>3048</v>
      </c>
      <c r="C10" s="14" t="s">
        <v>3049</v>
      </c>
      <c r="D10" s="31" t="s">
        <v>3050</v>
      </c>
      <c r="E10" s="31" t="s">
        <v>3051</v>
      </c>
      <c r="F10" s="33" t="s">
        <v>3024</v>
      </c>
    </row>
    <row r="11" customFormat="false" ht="15" hidden="false" customHeight="true" outlineLevel="0" collapsed="false">
      <c r="A11" s="13" t="s">
        <v>3052</v>
      </c>
      <c r="B11" s="15" t="s">
        <v>3053</v>
      </c>
      <c r="C11" s="15" t="s">
        <v>3054</v>
      </c>
      <c r="D11" s="31" t="s">
        <v>3055</v>
      </c>
      <c r="E11" s="31" t="s">
        <v>3056</v>
      </c>
      <c r="F11" s="33" t="s">
        <v>3024</v>
      </c>
    </row>
    <row r="12" customFormat="false" ht="15" hidden="false" customHeight="true" outlineLevel="0" collapsed="false">
      <c r="A12" s="13" t="s">
        <v>3057</v>
      </c>
      <c r="B12" s="15" t="s">
        <v>3058</v>
      </c>
      <c r="C12" s="15" t="s">
        <v>3059</v>
      </c>
      <c r="D12" s="31" t="s">
        <v>3060</v>
      </c>
      <c r="E12" s="31" t="s">
        <v>3061</v>
      </c>
      <c r="F12" s="33" t="s">
        <v>3062</v>
      </c>
    </row>
    <row r="13" customFormat="false" ht="15" hidden="false" customHeight="true" outlineLevel="0" collapsed="false">
      <c r="A13" s="13" t="s">
        <v>3063</v>
      </c>
      <c r="B13" s="14" t="s">
        <v>3064</v>
      </c>
      <c r="C13" s="15" t="s">
        <v>3065</v>
      </c>
      <c r="D13" s="33" t="s">
        <v>3066</v>
      </c>
      <c r="E13" s="33" t="s">
        <v>3067</v>
      </c>
      <c r="F13" s="33" t="s">
        <v>3068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35" t="s">
        <v>3069</v>
      </c>
    </row>
    <row r="3" customFormat="false" ht="15" hidden="false" customHeight="true" outlineLevel="0" collapsed="false">
      <c r="A3" s="36" t="s">
        <v>3070</v>
      </c>
      <c r="C3" s="36" t="s">
        <v>3071</v>
      </c>
    </row>
    <row r="4" customFormat="false" ht="29.25" hidden="false" customHeight="true" outlineLevel="0" collapsed="false">
      <c r="A4" s="37" t="s">
        <v>86</v>
      </c>
      <c r="B4" s="6" t="s">
        <v>3072</v>
      </c>
      <c r="C4" s="38" t="s">
        <v>3073</v>
      </c>
    </row>
    <row r="5" customFormat="false" ht="29.25" hidden="false" customHeight="true" outlineLevel="0" collapsed="false">
      <c r="A5" s="37" t="s">
        <v>88</v>
      </c>
      <c r="B5" s="6" t="s">
        <v>3074</v>
      </c>
      <c r="C5" s="38" t="s">
        <v>3075</v>
      </c>
    </row>
    <row r="6" customFormat="false" ht="43.5" hidden="false" customHeight="true" outlineLevel="0" collapsed="false">
      <c r="A6" s="37" t="s">
        <v>90</v>
      </c>
      <c r="B6" s="6" t="s">
        <v>3076</v>
      </c>
      <c r="C6" s="38" t="s">
        <v>3077</v>
      </c>
    </row>
    <row r="7" customFormat="false" ht="15" hidden="false" customHeight="true" outlineLevel="0" collapsed="false">
      <c r="A7" s="37" t="s">
        <v>92</v>
      </c>
      <c r="B7" s="6" t="s">
        <v>3078</v>
      </c>
      <c r="C7" s="38" t="s">
        <v>3079</v>
      </c>
    </row>
    <row r="8" customFormat="false" ht="29.25" hidden="false" customHeight="true" outlineLevel="0" collapsed="false">
      <c r="A8" s="37" t="s">
        <v>94</v>
      </c>
      <c r="B8" s="6" t="s">
        <v>3080</v>
      </c>
      <c r="C8" s="38" t="s">
        <v>3081</v>
      </c>
    </row>
    <row r="10" customFormat="false" ht="15" hidden="false" customHeight="true" outlineLevel="0" collapsed="false">
      <c r="A10" s="36" t="s">
        <v>3082</v>
      </c>
    </row>
    <row r="11" customFormat="false" ht="15" hidden="false" customHeight="true" outlineLevel="0" collapsed="false">
      <c r="A11" s="39" t="s">
        <v>3083</v>
      </c>
      <c r="B11" s="40" t="n">
        <f aca="false">COUNTA(輪次彙總!$B$4:$B$16)</f>
        <v>13</v>
      </c>
    </row>
    <row r="12" customFormat="false" ht="15" hidden="false" customHeight="true" outlineLevel="0" collapsed="false">
      <c r="A12" s="39" t="s">
        <v>3084</v>
      </c>
      <c r="B12" s="40" t="n">
        <f aca="false">COUNTIF(測試案例!$M$3:$M$132,"PASS")</f>
        <v>114</v>
      </c>
    </row>
    <row r="13" customFormat="false" ht="15" hidden="false" customHeight="true" outlineLevel="0" collapsed="false">
      <c r="A13" s="39" t="s">
        <v>3085</v>
      </c>
      <c r="B13" s="40" t="n">
        <f aca="false">COUNTIF(測試案例!$M$3:$M$132,"N/A")</f>
        <v>1</v>
      </c>
    </row>
    <row r="14" customFormat="false" ht="15" hidden="false" customHeight="true" outlineLevel="0" collapsed="false">
      <c r="A14" s="39" t="s">
        <v>3086</v>
      </c>
      <c r="B14" s="40" t="n">
        <f aca="false">120-COUNTIF(測試案例!$M$3:$M$132,"PASS")-COUNTIF(測試案例!$M$3:$M$132,"N/A")</f>
        <v>5</v>
      </c>
    </row>
    <row r="15" customFormat="false" ht="15" hidden="false" customHeight="true" outlineLevel="0" collapsed="false">
      <c r="A15" s="39" t="s">
        <v>3087</v>
      </c>
      <c r="B15" s="40" t="n">
        <f aca="false">COUNTA(缺陷登記!$I$3:$I$200)</f>
        <v>91</v>
      </c>
    </row>
    <row r="16" customFormat="false" ht="15" hidden="false" customHeight="true" outlineLevel="0" collapsed="false">
      <c r="A16" s="39" t="s">
        <v>3088</v>
      </c>
      <c r="B16" s="40" t="n">
        <f aca="false">COUNTIF(缺陷登記!$D$3:$D$200,"高")</f>
        <v>2</v>
      </c>
    </row>
    <row r="17" customFormat="false" ht="15" hidden="false" customHeight="true" outlineLevel="0" collapsed="false">
      <c r="A17" s="39" t="s">
        <v>3089</v>
      </c>
      <c r="B17" s="40" t="n">
        <f aca="false">COUNTIF(缺陷登記!$D$3:$D$200,"中")</f>
        <v>31</v>
      </c>
    </row>
    <row r="18" customFormat="false" ht="15" hidden="false" customHeight="true" outlineLevel="0" collapsed="false">
      <c r="A18" s="39" t="s">
        <v>3090</v>
      </c>
      <c r="B18" s="40" t="n">
        <f aca="false">COUNTIF(缺陷登記!$D$3:$D$200,"低")</f>
        <v>58</v>
      </c>
    </row>
    <row r="19" customFormat="false" ht="15" hidden="false" customHeight="true" outlineLevel="0" collapsed="false">
      <c r="A19" s="39" t="s">
        <v>3091</v>
      </c>
      <c r="B19" s="40" t="n">
        <f aca="false">COUNTIF(缺陷登記!$I$3:$I$200,"結案")+COUNTIF(缺陷登記!$I$3:$I$200,"非缺陷")</f>
        <v>86</v>
      </c>
    </row>
    <row r="20" customFormat="false" ht="15" hidden="false" customHeight="true" outlineLevel="0" collapsed="false">
      <c r="A20" s="39" t="s">
        <v>3092</v>
      </c>
      <c r="B20" s="40" t="n">
        <f aca="false">COUNTA(缺陷登記!$I$3:$I$200)-COUNTIF(缺陷登記!$I$3:$I$200,"結案")-COUNTIF(缺陷登記!$I$3:$I$200,"非缺陷")</f>
        <v>5</v>
      </c>
    </row>
    <row r="22" customFormat="false" ht="15" hidden="false" customHeight="true" outlineLevel="0" collapsed="false">
      <c r="A22" s="36" t="s">
        <v>3093</v>
      </c>
    </row>
    <row r="23" customFormat="false" ht="15" hidden="false" customHeight="true" outlineLevel="0" collapsed="false">
      <c r="A23" s="36" t="s">
        <v>3094</v>
      </c>
      <c r="B23" s="36" t="s">
        <v>3095</v>
      </c>
      <c r="C23" s="36" t="s">
        <v>1582</v>
      </c>
      <c r="D23" s="36" t="s">
        <v>3096</v>
      </c>
    </row>
    <row r="24" customFormat="false" ht="15" hidden="false" customHeight="true" outlineLevel="0" collapsed="false">
      <c r="A24" s="39" t="s">
        <v>3097</v>
      </c>
      <c r="B24" s="41" t="s">
        <v>3098</v>
      </c>
      <c r="C24" s="41" t="s">
        <v>2821</v>
      </c>
      <c r="D24" s="38" t="s">
        <v>3099</v>
      </c>
    </row>
    <row r="25" customFormat="false" ht="15" hidden="false" customHeight="true" outlineLevel="0" collapsed="false">
      <c r="A25" s="39" t="s">
        <v>3100</v>
      </c>
      <c r="B25" s="41" t="s">
        <v>3101</v>
      </c>
      <c r="C25" s="41" t="s">
        <v>2821</v>
      </c>
      <c r="D25" s="38" t="s">
        <v>3102</v>
      </c>
    </row>
    <row r="26" customFormat="false" ht="15" hidden="false" customHeight="true" outlineLevel="0" collapsed="false">
      <c r="A26" s="42" t="s">
        <v>3103</v>
      </c>
      <c r="B26" s="41" t="s">
        <v>3104</v>
      </c>
      <c r="C26" s="41" t="s">
        <v>2821</v>
      </c>
      <c r="D26" s="38" t="s">
        <v>3105</v>
      </c>
    </row>
    <row r="28" customFormat="false" ht="15" hidden="false" customHeight="true" outlineLevel="0" collapsed="false">
      <c r="A28" s="36" t="s">
        <v>3106</v>
      </c>
      <c r="B28" s="41" t="s">
        <v>3107</v>
      </c>
    </row>
    <row r="29" customFormat="false" ht="15" hidden="false" customHeight="true" outlineLevel="0" collapsed="false">
      <c r="A29" s="36" t="s">
        <v>3108</v>
      </c>
      <c r="B29" s="41" t="s">
        <v>2821</v>
      </c>
    </row>
    <row r="30" customFormat="false" ht="15" hidden="false" customHeight="true" outlineLevel="0" collapsed="false">
      <c r="A30" s="36" t="s">
        <v>3109</v>
      </c>
      <c r="B30" s="38" t="s">
        <v>3110</v>
      </c>
    </row>
    <row r="32" customFormat="false" ht="15" hidden="false" customHeight="true" outlineLevel="0" collapsed="false">
      <c r="A32" s="39" t="s">
        <v>3111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2026-09-22T17:50:57Z</dcterms:created>
  <dc:creator>openpyxl</dc:creator>
  <dc:description/>
  <dc:language>en-US</dc:language>
  <cp:lastModifiedBy/>
  <dcterms:modified xsi:type="dcterms:W3CDTF">2026-10-01T14:49:12Z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