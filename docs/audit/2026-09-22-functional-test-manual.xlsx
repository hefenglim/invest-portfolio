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0" fillId="5" borderId="1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0" fillId="5" borderId="1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 wrapText="1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2" min="1" max="1"/>
    <col width="110" customWidth="1" style="42" min="2" max="2"/>
  </cols>
  <sheetData>
    <row r="1" ht="21" customHeight="1" s="43">
      <c r="A1" s="44" t="inlineStr">
        <is>
          <t>portfolio-dash 功能測試手冊 — 修復・複驗來回版</t>
        </is>
      </c>
      <c r="B1" s="45" t="n"/>
    </row>
    <row r="2" ht="15" customHeight="1" s="43">
      <c r="A2" s="46" t="n"/>
      <c r="B2" s="45" t="n"/>
    </row>
    <row r="3" ht="15" customHeight="1" s="43">
      <c r="A3" s="47" t="inlineStr">
        <is>
          <t>文件版本</t>
        </is>
      </c>
      <c r="B3" s="45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3">
      <c r="A4" s="47" t="inlineStr">
        <is>
          <t>受測系統</t>
        </is>
      </c>
      <c r="B4" s="45" t="inlineStr">
        <is>
          <t>portfolio-dash · 個人多市場投資管理</t>
        </is>
      </c>
    </row>
    <row r="5" ht="15" customHeight="1" s="43">
      <c r="A5" s="47" t="inlineStr">
        <is>
          <t>對應版本</t>
        </is>
      </c>
      <c r="B5" s="45" t="inlineStr">
        <is>
          <t>v0.1.28 · 755c88a（demo 站；其他環境請填實際 commit）</t>
        </is>
      </c>
    </row>
    <row r="6" ht="15" customHeight="1" s="43">
      <c r="A6" s="47" t="inlineStr">
        <is>
          <t>測試案例數</t>
        </is>
      </c>
      <c r="B6" s="45" t="inlineStr">
        <is>
          <t>120（A–J 共 10 組）</t>
        </is>
      </c>
    </row>
    <row r="7" ht="15" customHeight="1" s="43">
      <c r="A7" s="47" t="inlineStr">
        <is>
          <t>配套文件</t>
        </is>
      </c>
      <c r="B7" s="45" t="inlineStr">
        <is>
          <t>2026-09-22-functional-test-manual.md — 規則、SOP、判讀邏輯規範與 120 題的期望值都在那裡；本活頁簿只承載狀態</t>
        </is>
      </c>
    </row>
    <row r="8" ht="15" customHeight="1" s="43">
      <c r="A8" s="47" t="inlineStr">
        <is>
          <t>為什麼要這一版</t>
        </is>
      </c>
      <c r="B8" s="48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3">
      <c r="A9" s="46" t="n"/>
      <c r="B9" s="45" t="n"/>
    </row>
    <row r="10" ht="15" customHeight="1" s="43">
      <c r="A10" s="47" t="inlineStr">
        <is>
          <t>【你拿到之後的第一件事】</t>
        </is>
      </c>
      <c r="B10" s="48" t="inlineStr">
        <is>
          <t>交付你的人只會說「你是開發者」或「你是驗證者」。其餘從這兩個檔案讀。詳細 SOP 在 .md 的 §4／§5</t>
        </is>
      </c>
    </row>
    <row r="11" ht="15" customHeight="1" s="43">
      <c r="A11" s="47" t="inlineStr">
        <is>
          <t>開發者 → 先看</t>
        </is>
      </c>
      <c r="B11" s="48" t="inlineStr">
        <is>
          <t>『缺陷登記』分頁，篩狀態 = 新開／複驗未過。有『複驗未過』要優先處理</t>
        </is>
      </c>
    </row>
    <row r="12" ht="15" customHeight="1" s="43">
      <c r="A12" s="47" t="inlineStr">
        <is>
          <t>驗證者 → 先看</t>
        </is>
      </c>
      <c r="B12" s="48" t="inlineStr">
        <is>
          <t>『缺陷登記』分頁，篩狀態 = 待複驗；一張都沒有就改看『測試案例』狀態 = 未測</t>
        </is>
      </c>
    </row>
    <row r="13" ht="15" customHeight="1" s="43">
      <c r="A13" s="47" t="inlineStr">
        <is>
          <t>兩人都先看</t>
        </is>
      </c>
      <c r="B13" s="48" t="inlineStr">
        <is>
          <t>『交接紀錄』最後一列：對方部署的版本、要你做什麼。受測站版本與它不符就停下來交回</t>
        </is>
      </c>
    </row>
    <row r="14" ht="15" customHeight="1" s="43">
      <c r="A14" s="47" t="inlineStr">
        <is>
          <t>唯一事實來源</t>
        </is>
      </c>
      <c r="B14" s="48" t="inlineStr">
        <is>
          <t>這個 xlsx。聊天訊息、口頭交代都不算數；沒寫進來的事等於沒發生</t>
        </is>
      </c>
    </row>
    <row r="15" ht="15" customHeight="1" s="43">
      <c r="A15" s="46" t="n"/>
      <c r="B15" s="45" t="n"/>
    </row>
    <row r="16" ht="15" customHeight="1" s="43">
      <c r="A16" s="49" t="inlineStr">
        <is>
          <t>【三方分工】</t>
        </is>
      </c>
      <c r="B16" s="45" t="n"/>
    </row>
    <row r="17" ht="29.25" customHeight="1" s="43">
      <c r="A17" s="47" t="inlineStr">
        <is>
          <t>檢驗方（黑箱）</t>
        </is>
      </c>
      <c r="B17" s="48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3">
      <c r="A18" s="47" t="inlineStr">
        <is>
          <t>修復方（開發者）</t>
        </is>
      </c>
      <c r="B18" s="48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3">
      <c r="A19" s="46" t="inlineStr">
        <is>
          <t>Owner（裁定者）</t>
        </is>
      </c>
      <c r="B19" s="48" t="inlineStr">
        <is>
          <t>裁定規格未定的項目（`OBSERVE`）、非缺陷的爭議、以及要不要做的新功能。裁定要寫進手冊，附理由。</t>
        </is>
      </c>
    </row>
    <row r="20" ht="15" customHeight="1" s="43">
      <c r="A20" s="46" t="n"/>
      <c r="B20" s="45" t="n"/>
    </row>
    <row r="21" ht="29.25" customHeight="1" s="43">
      <c r="A21" s="47" t="inlineStr">
        <is>
          <t>【流程】</t>
        </is>
      </c>
      <c r="B21" s="48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3">
      <c r="A22" s="47" t="inlineStr">
        <is>
          <t>一輪的定義</t>
        </is>
      </c>
      <c r="B22" s="48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3">
      <c r="A23" s="46" t="n"/>
      <c r="B23" s="45" t="n"/>
    </row>
    <row r="24" ht="15" customHeight="1" s="43">
      <c r="A24" s="49" t="inlineStr">
        <is>
          <t>【案例狀態】</t>
        </is>
      </c>
      <c r="B24" s="45" t="n"/>
    </row>
    <row r="25" ht="15" customHeight="1" s="43">
      <c r="A25" s="47" t="inlineStr">
        <is>
          <t>未測</t>
        </is>
      </c>
      <c r="B25" s="48" t="inlineStr">
        <is>
          <t>尚未執行</t>
        </is>
      </c>
    </row>
    <row r="26" ht="15" customHeight="1" s="43">
      <c r="A26" s="46" t="inlineStr">
        <is>
          <t>PASS</t>
        </is>
      </c>
      <c r="B26" s="48" t="inlineStr">
        <is>
          <t>本輪通過，無缺陷</t>
        </is>
      </c>
    </row>
    <row r="27" ht="15" customHeight="1" s="43">
      <c r="A27" s="46" t="inlineStr">
        <is>
          <t>FAIL</t>
        </is>
      </c>
      <c r="B27" s="48" t="inlineStr">
        <is>
          <t>本輪不通過 → 必須開一張缺陷（DEF-xxx）</t>
        </is>
      </c>
    </row>
    <row r="28" ht="15" customHeight="1" s="43">
      <c r="A28" s="46" t="inlineStr">
        <is>
          <t>BLOCKED</t>
        </is>
      </c>
      <c r="B28" s="48" t="inlineStr">
        <is>
          <t>環境或前置不具備，寫明卡在哪；不算通過也不算缺陷</t>
        </is>
      </c>
    </row>
    <row r="29" ht="15" customHeight="1" s="43">
      <c r="A29" s="46" t="inlineStr">
        <is>
          <t>N/A</t>
        </is>
      </c>
      <c r="B29" s="48" t="inlineStr">
        <is>
          <t>功能不存在或不適用，寫明依據</t>
        </is>
      </c>
    </row>
    <row r="30" ht="15" customHeight="1" s="43">
      <c r="A30" s="46" t="inlineStr">
        <is>
          <t>OBSERVE</t>
        </is>
      </c>
      <c r="B30" s="48" t="inlineStr">
        <is>
          <t>行為與預期不同但規格未定 → 開缺陷並標為『待裁定』，由 owner 決定</t>
        </is>
      </c>
    </row>
    <row r="31" ht="15" customHeight="1" s="43">
      <c r="A31" s="47" t="inlineStr">
        <is>
          <t>修復中</t>
        </is>
      </c>
      <c r="B31" s="48" t="inlineStr">
        <is>
          <t>缺陷已受理，修復方作業中</t>
        </is>
      </c>
    </row>
    <row r="32" ht="15" customHeight="1" s="43">
      <c r="A32" s="47" t="inlineStr">
        <is>
          <t>待複驗</t>
        </is>
      </c>
      <c r="B32" s="48" t="inlineStr">
        <is>
          <t>修復方已部署，等檢驗方複驗</t>
        </is>
      </c>
    </row>
    <row r="33" ht="15" customHeight="1" s="43">
      <c r="A33" s="47" t="inlineStr">
        <is>
          <t>複驗未過</t>
        </is>
      </c>
      <c r="B33" s="48" t="inlineStr">
        <is>
          <t>複驗不通過 → 回到『修復中』，輪次 +1</t>
        </is>
      </c>
    </row>
    <row r="34" ht="15" customHeight="1" s="43">
      <c r="A34" s="47" t="inlineStr">
        <is>
          <t>結案</t>
        </is>
      </c>
      <c r="B34" s="48" t="inlineStr">
        <is>
          <t>複驗通過且滿足四項結案條件</t>
        </is>
      </c>
    </row>
    <row r="35" ht="15" customHeight="1" s="43">
      <c r="A35" s="46" t="n"/>
      <c r="B35" s="45" t="n"/>
    </row>
    <row r="36" ht="15" customHeight="1" s="43">
      <c r="A36" s="47" t="inlineStr">
        <is>
          <t>【缺陷結案四條件】</t>
        </is>
      </c>
      <c r="B36" s="48" t="inlineStr">
        <is>
          <t>四條全部滿足才可把缺陷改為『結案』</t>
        </is>
      </c>
    </row>
    <row r="37" ht="15" customHeight="1" s="43">
      <c r="A37" s="46" t="inlineStr">
        <is>
          <t>1. 根因定位到行</t>
        </is>
      </c>
      <c r="B37" s="48" t="inlineStr">
        <is>
          <t>缺陷登記的「根因」欄必須寫到檔案:行，不能只寫現象或模組名</t>
        </is>
      </c>
    </row>
    <row r="38" ht="29.25" customHeight="1" s="43">
      <c r="A38" s="46" t="inlineStr">
        <is>
          <t>2. 修類別不修實例</t>
        </is>
      </c>
      <c r="B38" s="48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3">
      <c r="A39" s="46" t="inlineStr">
        <is>
          <t>3. 有一個會失敗的測試</t>
        </is>
      </c>
      <c r="B39" s="48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3">
      <c r="A40" s="46" t="inlineStr">
        <is>
          <t>4. 黑箱複驗通過</t>
        </is>
      </c>
      <c r="B40" s="48" t="inlineStr">
        <is>
          <t>檢驗方以真實瀏覽器重放原始重現步驟通過，並確認未造成回歸（跑 J 組回歸快篩）</t>
        </is>
      </c>
    </row>
    <row r="41" ht="29.25" customHeight="1" s="43">
      <c r="A41" s="47" t="inlineStr">
        <is>
          <t>⚠ 最貴的一課</t>
        </is>
      </c>
      <c r="B41" s="48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3">
      <c r="A42" s="46" t="n"/>
      <c r="B42" s="45" t="n"/>
    </row>
    <row r="43" ht="15" customHeight="1" s="43">
      <c r="A43" s="49" t="inlineStr">
        <is>
          <t>【嚴重度】</t>
        </is>
      </c>
      <c r="B43" s="45" t="n"/>
    </row>
    <row r="44" ht="15" customHeight="1" s="43">
      <c r="A44" s="47" t="inlineStr">
        <is>
          <t>高</t>
        </is>
      </c>
      <c r="B44" s="48" t="inlineStr">
        <is>
          <t>金額/成本/損益算錯、資料寫壞、無法還原、資料外洩</t>
        </is>
      </c>
    </row>
    <row r="45" ht="15" customHeight="1" s="43">
      <c r="A45" s="47" t="inlineStr">
        <is>
          <t>中</t>
        </is>
      </c>
      <c r="B45" s="48" t="inlineStr">
        <is>
          <t>功能不可用或給出互相矛盾的資訊、需要人工繞道</t>
        </is>
      </c>
    </row>
    <row r="46" ht="15" customHeight="1" s="43">
      <c r="A46" s="47" t="inlineStr">
        <is>
          <t>低</t>
        </is>
      </c>
      <c r="B46" s="48" t="inlineStr">
        <is>
          <t>文案、顯示一致性、可用性；不影響數字正確性</t>
        </is>
      </c>
    </row>
    <row r="47" ht="15" customHeight="1" s="43">
      <c r="A47" s="46" t="n"/>
      <c r="B47" s="45" t="n"/>
    </row>
    <row r="48" ht="15" customHeight="1" s="43">
      <c r="A48" s="49" t="inlineStr">
        <is>
          <t>【分類】</t>
        </is>
      </c>
      <c r="B48" s="45" t="n"/>
    </row>
    <row r="49" ht="15" customHeight="1" s="43">
      <c r="A49" s="47" t="inlineStr">
        <is>
          <t>程式缺陷</t>
        </is>
      </c>
      <c r="B49" s="48" t="inlineStr">
        <is>
          <t>程式碼要改</t>
        </is>
      </c>
    </row>
    <row r="50" ht="15" customHeight="1" s="43">
      <c r="A50" s="47" t="inlineStr">
        <is>
          <t>資料殘留</t>
        </is>
      </c>
      <c r="B50" s="48" t="inlineStr">
        <is>
          <t>修復前寫入的舊資料，程式已正確 → 由 owner 裁定清不清</t>
        </is>
      </c>
    </row>
    <row r="51" ht="15" customHeight="1" s="43">
      <c r="A51" s="47" t="inlineStr">
        <is>
          <t>來源資料</t>
        </is>
      </c>
      <c r="B51" s="48" t="inlineStr">
        <is>
          <t>第三方/模型產出的內容（新聞標題、AI 卡片文字）→ 不是本站文案，不列缺陷</t>
        </is>
      </c>
    </row>
    <row r="52" ht="15" customHeight="1" s="43">
      <c r="A52" s="47" t="inlineStr">
        <is>
          <t>規格未定</t>
        </is>
      </c>
      <c r="B52" s="48" t="inlineStr">
        <is>
          <t>行為合理但規格沒寫 → 待 owner 裁定</t>
        </is>
      </c>
    </row>
    <row r="53" ht="15" customHeight="1" s="43">
      <c r="A53" s="47" t="inlineStr">
        <is>
          <t>非缺陷</t>
        </is>
      </c>
      <c r="B53" s="48" t="inlineStr">
        <is>
          <t>複驗推翻原判斷（原測試方法有誤）→ 寫明原因，保留紀錄</t>
        </is>
      </c>
    </row>
    <row r="54" ht="15" customHeight="1" s="43">
      <c r="A54" s="46" t="n"/>
      <c r="B54" s="45" t="n"/>
    </row>
    <row r="55" ht="15" customHeight="1" s="43">
      <c r="A55" s="49" t="inlineStr">
        <is>
          <t>【通用規則】</t>
        </is>
      </c>
      <c r="B55" s="45" t="n"/>
    </row>
    <row r="56" ht="29.25" customHeight="1" s="43">
      <c r="A56" s="46" t="inlineStr">
        <is>
          <t>1</t>
        </is>
      </c>
      <c r="B56" s="48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3">
      <c r="A57" s="46" t="inlineStr">
        <is>
          <t>2</t>
        </is>
      </c>
      <c r="B57" s="48" t="inlineStr">
        <is>
          <t>測完還原，並逐位元比對四段 JSON 是否字串完全相同；不同即判 FAIL。R13 例外：依 Owner 2026-10-01 裁定 6B，demo 上的測試資料全部留下、不還原、不跑還原檢查；只有題目本身在測刪除或復原的案例（B-14、C-03、D-10、I-08、J-03）照步驟刪除（手冊 §9 第 2 條）</t>
        </is>
      </c>
    </row>
    <row r="58" ht="15" customHeight="1" s="43">
      <c r="A58" s="46" t="inlineStr">
        <is>
          <t>3</t>
        </is>
      </c>
      <c r="B58" s="48" t="inlineStr">
        <is>
          <t>不要在正式環境跑會寫入的案例</t>
        </is>
      </c>
    </row>
    <row r="59" ht="15" customHeight="1" s="43">
      <c r="A59" s="46" t="inlineStr">
        <is>
          <t>4</t>
        </is>
      </c>
      <c r="B59" s="48" t="inlineStr">
        <is>
          <t>每個 FAIL 至少附：重現步驟、實際值 vs 預期值、截圖或 API 回應原文</t>
        </is>
      </c>
    </row>
    <row r="60" ht="15" customHeight="1" s="43">
      <c r="A60" s="46" t="inlineStr">
        <is>
          <t>5</t>
        </is>
      </c>
      <c r="B60" s="45" t="inlineStr">
        <is>
          <t>AI 案例每次約 $0.002–$0.03；開跑前記錄額度，跑完對帳（H-02）</t>
        </is>
      </c>
    </row>
    <row r="61" ht="15" customHeight="1" s="43">
      <c r="A61" s="46" t="inlineStr">
        <is>
          <t>6</t>
        </is>
      </c>
      <c r="B61" s="48" t="inlineStr">
        <is>
          <t>不代為輸入密碼類欄位，不要在正式站新增授權用戶</t>
        </is>
      </c>
    </row>
    <row r="62" ht="15" customHeight="1" s="43">
      <c r="A62" s="46" t="inlineStr">
        <is>
          <t>7</t>
        </is>
      </c>
      <c r="B62" s="48" t="inlineStr">
        <is>
          <t>一次只改一件事</t>
        </is>
      </c>
    </row>
    <row r="63" ht="15" customHeight="1" s="43">
      <c r="A63" s="46" t="inlineStr">
        <is>
          <t>8</t>
        </is>
      </c>
      <c r="B63" s="48" t="inlineStr">
        <is>
          <t>順序：J 組回歸快篩 → 唯讀案例 → 會寫入的案例（A、B、C、D、I）。D 組單獨排時段並先備份資料庫</t>
        </is>
      </c>
    </row>
    <row r="64" ht="15" customHeight="1" s="43">
      <c r="A64" s="46" t="inlineStr">
        <is>
          <t>9</t>
        </is>
      </c>
      <c r="B64" s="48" t="inlineStr">
        <is>
          <t>每一輪複驗都要重跑 J 組，確認前一輪的修復沒造成回歸</t>
        </is>
      </c>
    </row>
    <row r="65" ht="15" customHeight="1" s="43">
      <c r="A65" s="46" t="n"/>
      <c r="B65" s="45" t="n"/>
    </row>
    <row r="66" ht="15" customHeight="1" s="43">
      <c r="A66" s="49" t="inlineStr">
        <is>
          <t>【環境前置】</t>
        </is>
      </c>
      <c r="B66" s="45" t="n"/>
    </row>
    <row r="67" ht="15" customHeight="1" s="43">
      <c r="A67" s="47" t="inlineStr">
        <is>
          <t>受測站</t>
        </is>
      </c>
      <c r="B67" s="45" t="inlineStr">
        <is>
          <t>demo 站或專用測試環境（不可用正式資料）</t>
        </is>
      </c>
    </row>
    <row r="68" ht="15" customHeight="1" s="43">
      <c r="A68" s="47" t="inlineStr">
        <is>
          <t>資料庫備份</t>
        </is>
      </c>
      <c r="B68" s="48" t="inlineStr">
        <is>
          <t>開跑前備份；D 組與 I 組務必在備份後執行</t>
        </is>
      </c>
    </row>
    <row r="69" ht="15" customHeight="1" s="43">
      <c r="A69" s="47" t="inlineStr">
        <is>
          <t>帳戶</t>
        </is>
      </c>
      <c r="B69" s="48" t="inlineStr">
        <is>
          <t>至少三個：台灣券商(TWD)、嘉信 Schwab(USD)、Moomoo MY(USD／MYR)</t>
        </is>
      </c>
    </row>
    <row r="70" ht="15" customHeight="1" s="43">
      <c r="A70" s="47" t="inlineStr">
        <is>
          <t>持倉</t>
        </is>
      </c>
      <c r="B70" s="48" t="inlineStr">
        <is>
          <t>至少一檔台股、一檔美股、一檔馬股，其中一檔有配息紀錄</t>
        </is>
      </c>
    </row>
    <row r="71" ht="15" customHeight="1" s="43">
      <c r="A71" s="47" t="inlineStr">
        <is>
          <t>工具</t>
        </is>
      </c>
      <c r="B71" s="48" t="inlineStr">
        <is>
          <t>瀏覽器開發者工具（Network／Console）、可算 Decimal 的工具、可解壓 ZIP</t>
        </is>
      </c>
    </row>
    <row r="72" ht="15" customHeight="1" s="43">
      <c r="A72" s="47" t="inlineStr">
        <is>
          <t>排程器</t>
        </is>
      </c>
      <c r="B72" s="45" t="inlineStr">
        <is>
          <t>E-05 需要排程器可啟動的環境（demo 依裁定關閉，該案會是 BLOCKED）</t>
        </is>
      </c>
    </row>
    <row r="73" ht="15" customHeight="1" s="43">
      <c r="A73" s="47" t="inlineStr">
        <is>
          <t>券商對帳單</t>
        </is>
      </c>
      <c r="B73" s="45" t="inlineStr">
        <is>
          <t>I-10 需要一份真實的 Schwab 匯出 CSV</t>
        </is>
      </c>
    </row>
    <row r="74" ht="15" customHeight="1" s="43">
      <c r="A74" s="46" t="inlineStr">
        <is>
          <t>AI 額度</t>
        </is>
      </c>
      <c r="B74" s="45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7" customWidth="1" style="42" min="2" max="2"/>
    <col width="20" customWidth="1" style="42" min="3" max="3"/>
    <col width="26" customWidth="1" style="42" min="4" max="4"/>
    <col width="36" customWidth="1" style="42" min="5" max="5"/>
    <col width="42" customWidth="1" style="42" min="6" max="6"/>
    <col width="26" customWidth="1" style="42" min="7" max="7"/>
    <col width="11" customWidth="1" style="42" min="8" max="8"/>
    <col width="34" customWidth="1" style="42" min="9" max="9"/>
    <col width="10" customWidth="1" style="42" min="10" max="10"/>
    <col width="12" customWidth="1" style="42" min="11" max="11"/>
    <col width="11" customWidth="1" style="42" min="12" max="12"/>
    <col width="10" customWidth="1" style="42" min="13" max="13"/>
    <col width="20" customWidth="1" style="42" min="14" max="14"/>
  </cols>
  <sheetData>
    <row r="1" ht="31.5" customHeight="1" s="43">
      <c r="A1" s="50" t="inlineStr">
        <is>
          <t>ID</t>
        </is>
      </c>
      <c r="B1" s="51" t="inlineStr">
        <is>
          <t>群組</t>
        </is>
      </c>
      <c r="C1" s="51" t="inlineStr">
        <is>
          <t>功能點</t>
        </is>
      </c>
      <c r="D1" s="51" t="inlineStr">
        <is>
          <t>前置條件</t>
        </is>
      </c>
      <c r="E1" s="51" t="inlineStr">
        <is>
          <t>操作步驟</t>
        </is>
      </c>
      <c r="F1" s="51" t="inlineStr">
        <is>
          <t>預期結果與驗算</t>
        </is>
      </c>
      <c r="G1" s="51" t="inlineStr">
        <is>
          <t>風險與還原</t>
        </is>
      </c>
      <c r="H1" s="51" t="inlineStr">
        <is>
          <t>稽核已驗</t>
        </is>
      </c>
      <c r="I1" s="50" t="inlineStr">
        <is>
          <t>R1 實測結果</t>
        </is>
      </c>
      <c r="J1" s="50" t="inlineStr">
        <is>
          <t>R1 判定</t>
        </is>
      </c>
      <c r="K1" s="51" t="inlineStr">
        <is>
          <t>關聯缺陷</t>
        </is>
      </c>
      <c r="L1" s="51" t="inlineStr">
        <is>
          <t>目前狀態</t>
        </is>
      </c>
      <c r="M1" s="51" t="inlineStr">
        <is>
          <t>最終判定</t>
        </is>
      </c>
      <c r="N1" s="51" t="inlineStr">
        <is>
          <t>備註</t>
        </is>
      </c>
    </row>
    <row r="2" ht="43.5" customHeight="1" s="43">
      <c r="A2" s="52" t="inlineStr">
        <is>
          <t>範例</t>
        </is>
      </c>
      <c r="B2" s="53" t="inlineStr">
        <is>
          <t>—</t>
        </is>
      </c>
      <c r="C2" s="52" t="inlineStr">
        <is>
          <t>（填寫範例，執行時略過）</t>
        </is>
      </c>
      <c r="D2" s="53" t="inlineStr">
        <is>
          <t>—</t>
        </is>
      </c>
      <c r="E2" s="53" t="inlineStr">
        <is>
          <t>—</t>
        </is>
      </c>
      <c r="F2" s="53" t="inlineStr">
        <is>
          <t>—</t>
        </is>
      </c>
      <c r="G2" s="53" t="inlineStr">
        <is>
          <t>—</t>
        </is>
      </c>
      <c r="H2" s="53" t="inlineStr">
        <is>
          <t>—</t>
        </is>
      </c>
      <c r="I2" s="53" t="inlineStr">
        <is>
          <t>bk-account 顯示「TW Broker（tw_broker）」，同頁 m-account 顯示「台灣券商（TWD）」</t>
        </is>
      </c>
      <c r="J2" s="53" t="inlineStr">
        <is>
          <t>FAIL</t>
        </is>
      </c>
      <c r="K2" s="53" t="inlineStr">
        <is>
          <t>DEF-範例</t>
        </is>
      </c>
      <c r="L2" s="52" t="inlineStr">
        <is>
          <t>結案</t>
        </is>
      </c>
      <c r="M2" s="53" t="inlineStr">
        <is>
          <t>PASS</t>
        </is>
      </c>
      <c r="N2" s="53" t="inlineStr">
        <is>
          <t>R2 複驗通過</t>
        </is>
      </c>
    </row>
    <row r="3" ht="16.5" customHeight="1" s="43">
      <c r="A3" s="54" t="inlineStr">
        <is>
          <t>A. 帳戶現金：入金／出金／利息／費用／換匯／折讓款</t>
        </is>
      </c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6" t="n"/>
    </row>
    <row r="4" ht="57.75" customHeight="1" s="43">
      <c r="A4" s="57" t="inlineStr">
        <is>
          <t>A-01</t>
        </is>
      </c>
      <c r="B4" s="58" t="inlineStr">
        <is>
          <t>A</t>
        </is>
      </c>
      <c r="C4" s="59" t="inlineStr">
        <is>
          <t>入金（本幣）寫入</t>
        </is>
      </c>
      <c r="D4" s="59" t="inlineStr">
        <is>
          <t>資金管理 › **出金入金**；先記錄基準：`GET /api/cash` 該池餘額、`GET /api/dashboard` 的 kpis、資金收支列數</t>
        </is>
      </c>
      <c r="E4" s="59" t="inlineStr">
        <is>
          <t>點 kind 按鈕『入金』→ 帳戶=台灣券商、幣別 TWD、金額 100,000、日期=今天 → 確認寫入</t>
        </is>
      </c>
      <c r="F4" s="59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9" t="inlineStr">
        <is>
          <t>會寫入帳本。測畢刪除該列，並比對 `/api/dashboard` 的 kpis／holdings 與基準**字串完全相同**</t>
        </is>
      </c>
      <c r="H4" s="59" t="inlineStr">
        <is>
          <t>否</t>
        </is>
      </c>
      <c r="I4" s="60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1" t="inlineStr">
        <is>
          <t>OBSERVE</t>
        </is>
      </c>
      <c r="K4" s="61" t="inlineStr">
        <is>
          <t>DEF-006</t>
        </is>
      </c>
      <c r="L4" s="60" t="inlineStr">
        <is>
          <t>結案</t>
        </is>
      </c>
      <c r="M4" s="61" t="inlineStr">
        <is>
          <t>PASS</t>
        </is>
      </c>
      <c r="N4" s="6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
R13（830056c 上 prod 前整份 one shot 重跑；Owner 6B：寫入留在 demo、不還原）：PASS — demo 真實瀏覽器（頁首 v0.1.28 · 830056c），demo 7／7 項檢查全過：台灣券商入金 100,000 TWD（2026-10-01）→ POST /api/cash/movements 201（#126）：① TWD 池 6,067,595→6,167,595；② 資金收支 +1（35 列）、列上「入金」中性實心 chip；③ 持倉、總市值（34,822,281.49）與未實現不變；④ toast「✓ 寫入成功 入金 100000」</t>
        </is>
      </c>
    </row>
    <row r="5" ht="57.75" customHeight="1" s="43">
      <c r="A5" s="57" t="inlineStr">
        <is>
          <t>A-02</t>
        </is>
      </c>
      <c r="B5" s="58" t="inlineStr">
        <is>
          <t>A</t>
        </is>
      </c>
      <c r="C5" s="59" t="inlineStr">
        <is>
          <t>入金（外幣，取得匯率模式）</t>
        </is>
      </c>
      <c r="D5" s="59" t="inlineStr">
        <is>
          <t>帳戶=嘉信 Schwab（家幣 TWD、外幣 USD）</t>
        </is>
      </c>
      <c r="E5" s="59" t="inlineStr">
        <is>
          <t>入金 → 幣別 USD、金額 1,000 →『取得成本』切到『匯率』模式，填 31.5 → 確認寫入</t>
        </is>
      </c>
      <c r="F5" s="58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9" t="inlineStr">
        <is>
          <t>同 A-01，測畢刪除並逐位元比對</t>
        </is>
      </c>
      <c r="H5" s="59" t="inlineStr">
        <is>
          <t>否</t>
        </is>
      </c>
      <c r="I5" s="60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1" t="inlineStr">
        <is>
          <t>FAIL</t>
        </is>
      </c>
      <c r="K5" s="61" t="inlineStr">
        <is>
          <t>DEF-007</t>
        </is>
      </c>
      <c r="L5" s="60" t="inlineStr">
        <is>
          <t>結案</t>
        </is>
      </c>
      <c r="M5" s="61" t="inlineStr">
        <is>
          <t>PASS</t>
        </is>
      </c>
      <c r="N5" s="60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
R13（830056c 上 prod 前整份 one shot 重跑；Owner 6B：寫入留在 demo、不還原）：PASS — demo 真實瀏覽器（頁首 v0.1.28 · 830056c），demo 6／6 項檢查全過：嘉信 USD 入金 1,000、匯率 31.5（送出 acq_rate 31.5）→ 201：① USD 池 398,497.90→399,497.90；② 加權平均取得匯率 31.78828061…→31.78672715…（往 31.5 移動）；③ 報告合計 +1,000×即期 31.868＝+31,868；④ 總報酬不變（23,546,998.06）</t>
        </is>
      </c>
    </row>
    <row r="6" ht="29.25" customHeight="1" s="43">
      <c r="A6" s="57" t="inlineStr">
        <is>
          <t>A-03</t>
        </is>
      </c>
      <c r="B6" s="58" t="inlineStr">
        <is>
          <t>A</t>
        </is>
      </c>
      <c r="C6" s="59" t="inlineStr">
        <is>
          <t>入金（外幣，家幣金額模式）</t>
        </is>
      </c>
      <c r="D6" s="59" t="inlineStr">
        <is>
          <t>同 A-02</t>
        </is>
      </c>
      <c r="E6" s="59" t="inlineStr">
        <is>
          <t>入金 USD 1,000 →『取得成本』切到『家幣金額』，填 31,500 → 確認寫入</t>
        </is>
      </c>
      <c r="F6" s="59" t="inlineStr">
        <is>
          <t>系統自行反推匯率 31.5（1,000 × 31.5 = 31,500），與 A-02 的結果一致；兩種模式互為驗算</t>
        </is>
      </c>
      <c r="G6" s="59" t="inlineStr">
        <is>
          <t>同上</t>
        </is>
      </c>
      <c r="H6" s="59" t="inlineStr">
        <is>
          <t>否</t>
        </is>
      </c>
      <c r="I6" s="60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1" t="inlineStr">
        <is>
          <t>PASS</t>
        </is>
      </c>
      <c r="K6" s="61" t="n"/>
      <c r="L6" s="60" t="inlineStr">
        <is>
          <t>PASS</t>
        </is>
      </c>
      <c r="M6" s="61" t="inlineStr">
        <is>
          <t>PASS</t>
        </is>
      </c>
      <c r="N6" s="60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
R13（830056c 上 prod 前整份 one shot 重跑；Owner 6B：寫入留在 demo、不還原）：PASS — demo 真實瀏覽器（頁首 v0.1.28 · 830056c），demo 8／9 項（未過 1 項是檢查程式的比較基準在 6B 下不成立，依數據改判）：嘉信 USD 入金 1,000、填家幣金額 31,500 → 201（送出 acq_home_amount 31500）、提示「換算後 1 USD = 31.5000 TWD」；① USD 池 399,497.90→400,497.90；② 加權平均取得匯率 31.78672715…→31.78519034…（往 31.5 移動）；③ 報告合計 +31,868（1,000×即期 31.868）；④ 總報酬不變。未過的一項「與 A-02（匯率模式）的均價相同」：6B 下 A-02 的入金留在帳上，A-03 是從 A-02 之後的狀態再入金，兩者不可能相等；改以「金額模式與匯率模式等價」驗算——由 A-02 前後均價反推權重 Q＝184,572.99，同一公式代入 A-03（31,500）得預期 31.785190342932275459593588542，實測 31.78519034293227545959358855，差 8e−27（28 位有效數字的捨入）</t>
        </is>
      </c>
    </row>
    <row r="7" ht="29.25" customHeight="1" s="43">
      <c r="A7" s="57" t="inlineStr">
        <is>
          <t>A-04</t>
        </is>
      </c>
      <c r="B7" s="58" t="inlineStr">
        <is>
          <t>A</t>
        </is>
      </c>
      <c r="C7" s="59" t="inlineStr">
        <is>
          <t>出金寫入</t>
        </is>
      </c>
      <c r="D7" s="59" t="inlineStr">
        <is>
          <t>選定池餘額已知</t>
        </is>
      </c>
      <c r="E7" s="59" t="inlineStr">
        <is>
          <t>點 kind 按鈕『出金』→ 金額 = 餘額的一半 → 確認寫入</t>
        </is>
      </c>
      <c r="F7" s="59" t="inlineStr">
        <is>
          <t>① 池餘額 = 基準 − 金額；② 方向 chip 為**中性色外框**（入金實心、出金外框——2026-09-24 owner 裁定 DEF-006）；③ 持倉不受影響</t>
        </is>
      </c>
      <c r="G7" s="59" t="inlineStr">
        <is>
          <t>測畢刪除並比對</t>
        </is>
      </c>
      <c r="H7" s="59" t="inlineStr">
        <is>
          <t>否</t>
        </is>
      </c>
      <c r="I7" s="60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1" t="inlineStr">
        <is>
          <t>PASS</t>
        </is>
      </c>
      <c r="K7" s="61" t="n"/>
      <c r="L7" s="60" t="inlineStr">
        <is>
          <t>PASS</t>
        </is>
      </c>
      <c r="M7" s="61" t="inlineStr">
        <is>
          <t>PASS</t>
        </is>
      </c>
      <c r="N7" s="6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
R13（830056c 上 prod 前整份 one shot 重跑；Owner 6B：寫入留在 demo、不還原）：PASS — demo 真實瀏覽器（頁首 v0.1.28 · 830056c），demo 4／4 項檢查全過：台灣券商出金半池 3,083,797 TWD：① TWD 池 6,167,595→3,083,798；② 列上「出金」中性外框 chip；③ 持倉不變（依 6B 留在 demo）</t>
        </is>
      </c>
    </row>
    <row r="8" ht="43.5" customHeight="1" s="43">
      <c r="A8" s="57" t="inlineStr">
        <is>
          <t>A-05</t>
        </is>
      </c>
      <c r="B8" s="58" t="inlineStr">
        <is>
          <t>A</t>
        </is>
      </c>
      <c r="C8" s="59" t="inlineStr">
        <is>
          <t>出金超額必須被擋</t>
        </is>
      </c>
      <c r="D8" s="59" t="inlineStr">
        <is>
          <t>已知池餘額 X</t>
        </is>
      </c>
      <c r="E8" s="59" t="inlineStr">
        <is>
          <t>出金金額填 X + 1 → 送出</t>
        </is>
      </c>
      <c r="F8" s="59" t="inlineStr">
        <is>
          <t>① 前端顯示可用餘額上限提示；② 後端回 400 且**不得寫入**，訊息需指出是哪一天開始透支；③ 資金收支列數不變</t>
        </is>
      </c>
      <c r="G8" s="59" t="inlineStr">
        <is>
          <t>不會寫入（預期被擋）。若竟然寫入 → 判 FAIL 並立即刪除</t>
        </is>
      </c>
      <c r="H8" s="59" t="inlineStr">
        <is>
          <t>否</t>
        </is>
      </c>
      <c r="I8" s="60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1" t="inlineStr">
        <is>
          <t>FAIL</t>
        </is>
      </c>
      <c r="K8" s="61" t="inlineStr">
        <is>
          <t>DEF-008</t>
        </is>
      </c>
      <c r="L8" s="60" t="inlineStr">
        <is>
          <t>結案</t>
        </is>
      </c>
      <c r="M8" s="61" t="inlineStr">
        <is>
          <t>PASS</t>
        </is>
      </c>
      <c r="N8" s="60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
R13（830056c 上 prod 前整份 one shot 重跑；Owner 6B：寫入留在 demo、不還原）：PASS — demo 真實瀏覽器（頁首 v0.1.28 · 830056c），demo 5／5 項檢查全過：承 A-04 池餘額 3,083,798 → 出金 3,083,799：① 前端即示「帳戶現金：3,083,798 TWD」「出金金額超過帳戶現金（3,083,798 TWD）— 出金不可透支」且確認鍵停用；② 後端 422 withdraw_insufficient_balance「…TWD 現金於 2026-10-01 降至 −1（出金當日）— 出金不可透支，請先補登入金或換匯」；③ 資金收支仍 38 列；分段與案例開始時逐字相同
R14（c9a44ac 複驗 DEF-087～091；手冊 §9 第 2 條，各題測完還原並比對）：PASS — demo 真實瀏覽器（頁首 v0.1.28 · c9a44ac），demo 5／5 項：台灣券商 TWD 池 6,067,595 → 出金 6,067,596：① 前端即示「帳戶現金：6,067,595 TWD」「出金金額超過帳戶現金（6,067,595 TWD）— 出金不可透支」且確認鍵停用；② 後端 422 withdraw_insufficient_balance「…TWD 現金於 2026-10-02 降至 −1（出金當日）— 出金不可透支，請先補登入金或換匯」（第一個轉負日即最低點，依 2B 只寫一天）；③ 資金收支仍 34 列；分段逐字相同</t>
        </is>
      </c>
    </row>
    <row r="9" ht="29.25" customHeight="1" s="43">
      <c r="A9" s="57" t="inlineStr">
        <is>
          <t>A-06</t>
        </is>
      </c>
      <c r="B9" s="58" t="inlineStr">
        <is>
          <t>A</t>
        </is>
      </c>
      <c r="C9" s="59" t="inlineStr">
        <is>
          <t>出金造成「過去某日」透支</t>
        </is>
      </c>
      <c r="D9" s="59" t="inlineStr">
        <is>
          <t>池中有多筆依日期排序的紀錄</t>
        </is>
      </c>
      <c r="E9" s="59" t="inlineStr">
        <is>
          <t>在**過去日期**插入一筆大額出金，使該日之後某一天餘額為負</t>
        </is>
      </c>
      <c r="F9" s="59" t="inlineStr">
        <is>
          <t>系統需指出**哪一天**開始為負並阻擋（日期感知餘額，非只看期末）；訊息寫出第一個轉負日與最低點（「自 D1 起為負，最低於 D2 降至 −N」，兩者同日時只寫「於 D 降至 −N」；Owner 2026-10-01 裁定 2B，DEF-091）</t>
        </is>
      </c>
      <c r="G9" s="59" t="inlineStr">
        <is>
          <t>預期被擋；若寫入成功需刪除</t>
        </is>
      </c>
      <c r="H9" s="59" t="inlineStr">
        <is>
          <t>否</t>
        </is>
      </c>
      <c r="I9" s="60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1" t="inlineStr">
        <is>
          <t>PASS</t>
        </is>
      </c>
      <c r="K9" s="61" t="inlineStr">
        <is>
          <t>DEF-090, DEF-091</t>
        </is>
      </c>
      <c r="L9" s="60" t="inlineStr">
        <is>
          <t>結案</t>
        </is>
      </c>
      <c r="M9" s="61" t="inlineStr">
        <is>
          <t>PASS</t>
        </is>
      </c>
      <c r="N9" s="60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
R13（830056c 上 prod 前整份 one shot 重跑；Owner 6B：寫入留在 demo、不還原）：FAIL — demo 真實瀏覽器（頁首 v0.1.28 · 830056c），one shot 2／4 項、重跑 3／5 項、另做 A-06M 5／6 項：one shot 首跑時台灣券商 TWD 池已因 A-04 依 6B 留下的半池出金只剩 3,083,798（表單以帳戶現金為上限），找不到「過去某日可出、之後某日轉負」的空間，檢查程式沒有送出；重跑改用符合前置條件的嘉信 Schwab TWD 池（資金對帳單：2026-07-17 日終 501,000、07-19 200,000、07-20 195,000、目前 800,000）→ 出金 2026-07-17 348,000（表單不擋）→ 後端 201 寫入（#140）、toast「✓ 寫入成功 出金 348000」，07-19／07-20 變成 −148,000／−153,000 ✗；依題目「若寫入成功需刪除」，檢查程式隨即刪除 #140，資金收支 47 列、分段與案例開始時逐字相同 ✓。原因：此池 2026-01-12 已有 −220,000（demo 既有的換匯出），後端只比對整段時間的最低點，新的負段不比它深就放行 → 開 DEF-090（中）。另找全期間無負值的池重做（A-06M，Moomoo MY MYR，日終最低 345,200.17）：2026-01-05 出金 423,806 → 422 被擋 ✓、資金收支 48 列不變 ✓、分段相同 ✓，但訊息「於 2026-07-19 降至 −78,605.83（出金日早於資金到位）」點名的是最低點那天，第一個轉負的日子是 2026-01-07（當日日終 420,000 − 423,806 ＝ −3,806）✗ → 開 DEF-091（低，規格未定）
R14（c9a44ac 複驗 DEF-087～091；手冊 §9 第 2 條，各題測完還原並比對）：PASS — demo 真實瀏覽器（頁首 v0.1.28 · c9a44ac），demo 20／20 項（每句皆先由資金對帳單的日終餘額推算再比對）：① 手冊步驟：台灣券商 TWD 倒填 2026-07-14 出金 4,000,000 → 422「…TWD 現金於 2026-07-17 降至 −253,820（出金日早於資金到位）」（第一個轉負日即最低點，依 2B 只寫一天）；② DEF-090 重放：嘉信 Schwab TWD（2026-01-12 起已有 −220,000）倒填 2026-07-17 出金 348,000 → 422「…自 2026-07-19 起為負，最低於 2026-07-20 降至 −153,000（出金日早於資金到位）」（R13 為 201 寫入）；③ DEF-091 重放：Moomoo MY MYR 倒填 2026-01-05 出金 423,806 → 422「…自 2026-01-07 起為負，最低於 2026-07-19 降至 −78,605.83（出金日早於資金到位）」（R13 只寫 07-19）；④ 出金的編輯門：先寫嘉信 TWD 2026-07-17 出金 1,000（201 #126）再改成 348,000 → PUT 422 同句、該筆仍為 1,000。三筆倒填皆為前端未擋（確認鍵可按）、由後端擋下；畫面 toast 同句且帳戶以名稱顯示；資金收支 34 列不變；#126 測後刪除，分段與案例開始時逐字相同</t>
        </is>
      </c>
    </row>
    <row r="10" ht="43.5" customHeight="1" s="43">
      <c r="A10" s="57" t="inlineStr">
        <is>
          <t>A-07</t>
        </is>
      </c>
      <c r="B10" s="58" t="inlineStr">
        <is>
          <t>A</t>
        </is>
      </c>
      <c r="C10" s="59" t="inlineStr">
        <is>
          <t>利息入帳</t>
        </is>
      </c>
      <c r="D10" s="58" t="inlineStr">
        <is>
          <t>—</t>
        </is>
      </c>
      <c r="E10" s="59" t="inlineStr">
        <is>
          <t>點 kind 按鈕『利息』→ 帳戶=嘉信 Schwab、幣別 USD、金額 12.34 → 確認寫入</t>
        </is>
      </c>
      <c r="F10" s="59" t="inlineStr">
        <is>
          <t>① 池餘額 +12.34；② kind 顯示「利息」；③ 利息**不得**被計入持倉成本或已實現損益；④ 出現在資金收支與現金對帳單匯出</t>
        </is>
      </c>
      <c r="G10" s="59" t="inlineStr">
        <is>
          <t>測畢刪除並比對</t>
        </is>
      </c>
      <c r="H10" s="59" t="inlineStr">
        <is>
          <t>否（本次稽核未測）</t>
        </is>
      </c>
      <c r="I10" s="60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1" t="inlineStr">
        <is>
          <t>PASS</t>
        </is>
      </c>
      <c r="K10" s="61" t="n"/>
      <c r="L10" s="60" t="inlineStr">
        <is>
          <t>PASS</t>
        </is>
      </c>
      <c r="M10" s="61" t="inlineStr">
        <is>
          <t>PASS</t>
        </is>
      </c>
      <c r="N10" s="6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
R13（830056c 上 prod 前整份 one shot 重跑；Owner 6B：寫入留在 demo、不還原）：PASS — demo 真實瀏覽器（頁首 v0.1.28 · 830056c），demo 6／6 項檢查全過：嘉信利息 12.34 USD（2026-09-23）：① USD 池 400,497.90→400,510.24；成本不變；② 列顯示「利息」；③ 不進已實現；④ 現金對帳單匯出有該列（2026-09-23 interest 12.34，當日滾動餘額 398,510.24）</t>
        </is>
      </c>
    </row>
    <row r="11" ht="29.25" customHeight="1" s="43">
      <c r="A11" s="57" t="inlineStr">
        <is>
          <t>A-08</t>
        </is>
      </c>
      <c r="B11" s="58" t="inlineStr">
        <is>
          <t>A</t>
        </is>
      </c>
      <c r="C11" s="59" t="inlineStr">
        <is>
          <t>融資利息（扣款）</t>
        </is>
      </c>
      <c r="D11" s="58" t="inlineStr">
        <is>
          <t>—</t>
        </is>
      </c>
      <c r="E11" s="59" t="inlineStr">
        <is>
          <t>點 kind 按鈕『融資利息』→ 金額 5.00 → 確認寫入</t>
        </is>
      </c>
      <c r="F11" s="59" t="inlineStr">
        <is>
          <t>① 池餘額 −5.00；② 方向為扣款；③ 不影響持倉成本</t>
        </is>
      </c>
      <c r="G11" s="59" t="inlineStr">
        <is>
          <t>測畢刪除並比對</t>
        </is>
      </c>
      <c r="H11" s="59" t="inlineStr">
        <is>
          <t>否</t>
        </is>
      </c>
      <c r="I11" s="60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1" t="inlineStr">
        <is>
          <t>PASS</t>
        </is>
      </c>
      <c r="K11" s="61" t="n"/>
      <c r="L11" s="60" t="inlineStr">
        <is>
          <t>PASS</t>
        </is>
      </c>
      <c r="M11" s="61" t="inlineStr">
        <is>
          <t>PASS</t>
        </is>
      </c>
      <c r="N11" s="6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
R13（830056c 上 prod 前整份 one shot 重跑；Owner 6B：寫入留在 demo、不還原）：PASS — demo 真實瀏覽器（頁首 v0.1.28 · 830056c），demo 4／4 項檢查全過：融資利息 5.00 USD：① USD 池 400,510.24→400,505.24；成本不變；② 外框 chip「融資利息」</t>
        </is>
      </c>
    </row>
    <row r="12" ht="29.25" customHeight="1" s="43">
      <c r="A12" s="57" t="inlineStr">
        <is>
          <t>A-09</t>
        </is>
      </c>
      <c r="B12" s="58" t="inlineStr">
        <is>
          <t>A</t>
        </is>
      </c>
      <c r="C12" s="59" t="inlineStr">
        <is>
          <t>券商費用（扣款）</t>
        </is>
      </c>
      <c r="D12" s="58" t="inlineStr">
        <is>
          <t>—</t>
        </is>
      </c>
      <c r="E12" s="59" t="inlineStr">
        <is>
          <t>點 kind 按鈕『券商費用』→ 金額 3.00 → 確認寫入</t>
        </is>
      </c>
      <c r="F12" s="59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9" t="inlineStr">
        <is>
          <t>測畢刪除並比對</t>
        </is>
      </c>
      <c r="H12" s="59" t="inlineStr">
        <is>
          <t>否</t>
        </is>
      </c>
      <c r="I12" s="60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1" t="inlineStr">
        <is>
          <t>PASS</t>
        </is>
      </c>
      <c r="K12" s="61" t="n"/>
      <c r="L12" s="60" t="inlineStr">
        <is>
          <t>PASS</t>
        </is>
      </c>
      <c r="M12" s="61" t="inlineStr">
        <is>
          <t>PASS</t>
        </is>
      </c>
      <c r="N12" s="6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
R13（830056c 上 prod 前整份 one shot 重跑；Owner 6B：寫入留在 demo、不還原）：PASS — demo 真實瀏覽器（頁首 v0.1.28 · 830056c），demo 4／4 項檢查全過：券商費用 3.00 USD：USD 池 400,505.24→400,502.24；成本不變；中性外框 chip「券商費用」</t>
        </is>
      </c>
    </row>
    <row r="13" ht="43.5" customHeight="1" s="43">
      <c r="A13" s="57" t="inlineStr">
        <is>
          <t>A-10</t>
        </is>
      </c>
      <c r="B13" s="58" t="inlineStr">
        <is>
          <t>A</t>
        </is>
      </c>
      <c r="C13" s="59" t="inlineStr">
        <is>
          <t>期初資金</t>
        </is>
      </c>
      <c r="D13" s="58" t="inlineStr">
        <is>
          <t>—</t>
        </is>
      </c>
      <c r="E13" s="59" t="inlineStr">
        <is>
          <t>點 kind 按鈕『期初資金』→ 填金額與日期（早於所有紀錄）→ 確認寫入</t>
        </is>
      </c>
      <c r="F13" s="59" t="inlineStr">
        <is>
          <t>① 成為滾動餘額的起點；② 後續每列餘額全部往上加；③ 期初資金屬取得性質，外幣時應提供取得成本欄</t>
        </is>
      </c>
      <c r="G13" s="59" t="inlineStr">
        <is>
          <t>測畢刪除並比對</t>
        </is>
      </c>
      <c r="H13" s="59" t="inlineStr">
        <is>
          <t>否</t>
        </is>
      </c>
      <c r="I13" s="60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1" t="inlineStr">
        <is>
          <t>PASS</t>
        </is>
      </c>
      <c r="K13" s="61" t="n"/>
      <c r="L13" s="60" t="inlineStr">
        <is>
          <t>PASS</t>
        </is>
      </c>
      <c r="M13" s="61" t="inlineStr">
        <is>
          <t>PASS</t>
        </is>
      </c>
      <c r="N13" s="60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
R13（830056c 上 prod 前整份 one shot 重跑；Owner 6B：寫入留在 demo、不還原）：PASS — demo 真實瀏覽器（頁首 v0.1.28 · 830056c），demo 4／4 項檢查全過：外幣期初表單顯示「取得成本（外幣入金）」欄與參考匯率（2025-12-31 收盤 1 USD = 31.24 TWD）；① 對帳單第一列為 2026-01-01 期初 1,000；② 45 列滾動餘額全對（錯 0）、其後每列 +1,000（期末 400,502.24→401,502.24）</t>
        </is>
      </c>
    </row>
    <row r="14" ht="29.25" customHeight="1" s="43">
      <c r="A14" s="57" t="inlineStr">
        <is>
          <t>A-11</t>
        </is>
      </c>
      <c r="B14" s="58" t="inlineStr">
        <is>
          <t>A</t>
        </is>
      </c>
      <c r="C14" s="59" t="inlineStr">
        <is>
          <t>現金收支編輯</t>
        </is>
      </c>
      <c r="D14" s="59" t="inlineStr">
        <is>
          <t>任選一列可編輯的紀錄</t>
        </is>
      </c>
      <c r="E14" s="59" t="inlineStr">
        <is>
          <t>編輯 → 改金額與備註 → 儲存</t>
        </is>
      </c>
      <c r="F14" s="59" t="inlineStr">
        <is>
          <t>① 該列與其後所有列的滾動餘額重算正確；② 折讓款列**整列可編輯**（日期／類型／金額／備註，與手動輸入的資金列相同），編輯寫入稽核軌跡（2026-09-24 owner 裁定 DEF-009）；③ 池中已有與這筆無關的負值時，修改或刪除一筆不會讓任何一天新轉負、也不會跌破原本最低點的紀錄（例：刪除一筆出金），直接寫入、不要求確認；會造成新負值的修改仍要求確認，訊息點名這次造成的第一個轉負日與最低點（Owner 2026-10-02 裁定 A，DEF-092）</t>
        </is>
      </c>
      <c r="G14" s="59" t="inlineStr">
        <is>
          <t>改完改回原值，或刪除後重建</t>
        </is>
      </c>
      <c r="H14" s="59" t="inlineStr">
        <is>
          <t>否</t>
        </is>
      </c>
      <c r="I14" s="60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1" t="inlineStr">
        <is>
          <t>OBSERVE</t>
        </is>
      </c>
      <c r="K14" s="61" t="inlineStr">
        <is>
          <t>DEF-009, DEF-092</t>
        </is>
      </c>
      <c r="L14" s="60" t="inlineStr">
        <is>
          <t>結案</t>
        </is>
      </c>
      <c r="M14" s="61" t="inlineStr">
        <is>
          <t>PASS</t>
        </is>
      </c>
      <c r="N14" s="60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
R13（830056c 上 prod 前整份 one shot 重跑；Owner 6B：寫入留在 demo、不還原）：PASS — demo 真實瀏覽器（頁首 v0.1.28 · 830056c），demo 5／5 項檢查全過：寫入 #134 → 編輯為 150（PUT /api/cash/movements/134 200）→ ① 54 列滾動餘額全部重算（錯 0）；② 折讓款列 #135（2026-07、1,083 TWD）日期／類型／金額／備註皆可編輯，對話框說明「每次修改都會寫入稽核軌跡…若要撤銷此筆退款，請直接刪除」
R14（c9a44ac 複驗 DEF-087～091；手冊 §9 第 2 條，各題測完還原並比對）：PASS — demo 真實瀏覽器（頁首 v0.1.28 · c9a44ac），demo 6／6 項：寫入 #127 → 編輯為 150（PUT 200）→ 52 列滾動餘額全部重算（錯 0）；確認折讓款 #128（2026-07、1,083）→ 日期／類型／金額／備註皆可編輯；測後刪除，分段逐字相同。另補驗編輯／刪除門的 2B 句（A-11X，8／8 項）：台灣券商 TWD 寫入 2026-07-15 入金 1,000,000（#133）與 2026-07-16 出金 4,500,000（#134，靠此入金才夠）→ 把入金改成 100,000 → PUT 422 negative_cash「此筆會使 台灣券商 的 TWD 現金自 2026-07-16 起為負，最低於 2026-07-17 降至 −653,820 — 通常代表漏記入金或換匯；確認無誤可強制寫入」，對話框提供「我了解，仍要寫入」，取消後未寫入；直接刪入金 → 422「…自 2026-07-16 起為負，最低於 2026-07-17 降至 −753,820…」；兩句皆與對帳單推算相同；測後刪除，分段逐字相同
R15（d8efc07 複驗 DEF-092；手冊 §9 第 2 條，各題測完還原並比對）：PASS — demo 真實瀏覽器（頁首 v0.1.28 · d8efc07），demo 6／6 項：寫入 #141 → 編輯為 150（PUT 200）→ 52 列滾動餘額全部重算（錯 0）；確認折讓款 #142（2026-07、1,083）→ 日期／類型／金額／備註皆可編輯；測後刪除，分段逐字相同。A-11 ③（A-11C，demo 29／29 項；期望句皆先由資金對帳單的日終餘額逐日推算）——嘉信 Schwab TWD 池 2026-01-12 起已有 −220,000（demo 既有、與以下各筆無關）：① 資金管理 › 出金入金 寫入 2026-07-19 出金 100,000（POST 201 #143）→ 刪除：只跳一般的「刪除資金紀錄」確認，DELETE（不帶確認參數）200、提示「已刪除」，沒有「現金將變為負數」（R14 為 422「於 2026-01-12 降至 −220,000」）；② 入金 2026-07-18 300,000（#144）＋出金 07-19 400,000（#145，靠此入金才夠）：入金改 250,000 → PUT 200 直接寫入（07-19 仍 50,000）；改 100,000 → PUT 422 negative_cash，對話框「現金將變為負數｜此筆會使 嘉信 Schwab 的 TWD 現金自 2026-07-19 起為負，最低於 2026-07-20 降至 −105,000 — 通常代表漏記入金或換匯；確認無誤可強制寫入［取消］［我了解，仍要寫入］」，不提 2026-01-12／−220,000，取消後仍為 250,000；刪除該入金 → 422「…自 2026-07-19 起為負，最低於 2026-07-20 降至 −205,000…」，取消後仍在；不帶確認先刪出金、再刪入金 → 皆 200；③ 跌破原本最低點仍詢問：補 2026-01-05 入金 50,000（#146，最低點變 −170,000）→ 刪除 → 422「…於 2026-01-12 降至 −220,000…」→ 按「我了解，仍要寫入」→ DELETE ?ack_negative=true 200；④ 交易帳本 › 換匯 › 刪除：2026-07-22 USD 1,000 → TWD 31,900（#30）→ 只跳「刪除換匯」、DELETE 200 不詢問；2026-07-18 USD 10,000 → TWD 319,000（#31）＋07-19 出金 400,000（#147）→ 刪換匯 → 422「…自 2026-07-19 起為負，最低於 2026-07-20 降至 −205,000…」［我了解，仍要刪除］，取消後仍在；測後嘉信 TWD／USD 對帳單逐日餘額與開始時逐字相同，分段逐字相同。另重跑 A-11X（8／8，此池本身無負值）：台灣券商 TWD 入金 1,000,000 改 100,000 → 422「自 2026-07-16 起為負，最低於 2026-07-17 降至 −653,820」、刪入金 →「…−753,820」，與 R14 相同</t>
        </is>
      </c>
    </row>
    <row r="15" ht="29.25" customHeight="1" s="43">
      <c r="A15" s="57" t="inlineStr">
        <is>
          <t>A-12</t>
        </is>
      </c>
      <c r="B15" s="58" t="inlineStr">
        <is>
          <t>A</t>
        </is>
      </c>
      <c r="C15" s="59" t="inlineStr">
        <is>
          <t>滾動餘額逐列驗算</t>
        </is>
      </c>
      <c r="D15" s="58" t="inlineStr">
        <is>
          <t>—</t>
        </is>
      </c>
      <c r="E15" s="59" t="inlineStr">
        <is>
          <t>匯出或逐頁讀取某一池（例如 Moomoo MY／MYR）全部紀錄</t>
        </is>
      </c>
      <c r="F15" s="59" t="inlineStr">
        <is>
          <t>對每一列：前一列餘額 + 本列金額 = 本列餘額；最末列 = `GET /api/cash` 的當前餘額</t>
        </is>
      </c>
      <c r="G15" s="59" t="inlineStr">
        <is>
          <t>唯讀</t>
        </is>
      </c>
      <c r="H15" s="59" t="inlineStr">
        <is>
          <t>✅ 已驗（31 列）</t>
        </is>
      </c>
      <c r="I15" s="60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1" t="inlineStr">
        <is>
          <t>PASS</t>
        </is>
      </c>
      <c r="K15" s="61" t="n"/>
      <c r="L15" s="60" t="inlineStr">
        <is>
          <t>PASS</t>
        </is>
      </c>
      <c r="M15" s="61" t="inlineStr">
        <is>
          <t>PASS</t>
        </is>
      </c>
      <c r="N15" s="60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
R13（830056c 上 prod 前整份 one shot 重跑；Owner 6B：寫入留在 demo、不還原）：PASS — demo 真實瀏覽器（頁首 v0.1.28 · 830056c），demo 2／2 項檢查全過：Moomoo MY MYR 對帳單 28 列「前一列＋變動＝餘額」全對；末列 508,466.420＝GET /api/cash；畫面「目前餘額 508,466.42 MYR」</t>
        </is>
      </c>
    </row>
    <row r="16" ht="57.75" customHeight="1" s="43">
      <c r="A16" s="57" t="inlineStr">
        <is>
          <t>A-13</t>
        </is>
      </c>
      <c r="B16" s="58" t="inlineStr">
        <is>
          <t>A</t>
        </is>
      </c>
      <c r="C16" s="59" t="inlineStr">
        <is>
          <t>換匯寫入</t>
        </is>
      </c>
      <c r="D16" s="59" t="inlineStr">
        <is>
          <t>記錄基準：兩池餘額、FX 取得均價、`kpis.total_return`</t>
        </is>
      </c>
      <c r="E16" s="59" t="inlineStr">
        <is>
          <t>換匯中心 → 賣出 MYR 4,000 → 買入 USD（自動試算）→ 確認寫入</t>
        </is>
      </c>
      <c r="F16" s="58" t="inlineStr">
        <is>
          <t>① MYR −4,000、USD +試算金額；② FX 取得均價依加權重算；③ **總報酬完全不變**（換匯不產生損益，不變量 6）；④ 換匯帳本新增 1 列，`implied_rate` 方向為「較值錢的幣別 = 1」；⑤ 交易帳本 › 換匯 › 編輯一筆換匯，把換入金額改小到使之後某天轉負 → 跳「現金將變為負數」，訊息點名這次造成的第一個轉負日與最低點，確認後寫入；換出金額超過餘額仍直接擋下、不能強制寫入（Owner 2026-10-03 裁定 A，DEF-093）</t>
        </is>
      </c>
      <c r="G16" s="59" t="inlineStr">
        <is>
          <t>測畢由換匯帳本刪除，並比對現金池、均價、`reporting_total` 逐位元還原</t>
        </is>
      </c>
      <c r="H16" s="59" t="inlineStr">
        <is>
          <t>✅ 已驗（第一輪）</t>
        </is>
      </c>
      <c r="I16" s="60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1" t="inlineStr">
        <is>
          <t>PASS</t>
        </is>
      </c>
      <c r="K16" s="61" t="inlineStr">
        <is>
          <t>DEF-092</t>
        </is>
      </c>
      <c r="L16" s="60" t="inlineStr">
        <is>
          <t>PASS</t>
        </is>
      </c>
      <c r="M16" s="61" t="inlineStr">
        <is>
          <t>PASS</t>
        </is>
      </c>
      <c r="N16" s="6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
R13（830056c 上 prod 前整份 one shot 重跑；Owner 6B：寫入留在 demo、不還原）：PASS — demo 真實瀏覽器（頁首 v0.1.28 · 830056c），demo 5／5 項檢查全過：Moomoo MY 換匯 MYR 4,000 → USD 980.63（試算 1 USD = 4.0790 MYR）→ POST /api/cash/fx 201（#27）：① MYR 508,466.42→504,466.42、USD 56,384.10→57,364.73；② 加權均價 4.384338→4.379328＝(avg×Q＋4,000)÷(Q＋980.63)，Q＝58,785.1，與預測值逐位相同；③ 總報酬不變；④ 換匯帳本 +1、implied_rate 4.0790 MYR／USD
R14（c9a44ac 複驗 DEF-087～091；手冊 §9 第 2 條，各題測完還原並比對）：PASS — demo 真實瀏覽器（頁首 v0.1.28 · c9a44ac），demo 6／6 項：Moomoo MY 換匯 MYR 4,000 → USD 979.91（試算 1 USD = 4.0820 MYR）POST 201（#27）：① MYR 508,466.42→504,466.42、USD 56,384.10→57,364.01；② 加權均價 4.384338→4.379381＝(avg×Q＋4,000)÷(Q＋979.91)，Q＝58,785.1，與預測值逐位相同；③ 總報酬不變；④ 換匯帳本 +1、implied_rate 4.0820；測後刪除，分段逐字相同。另補驗換匯守門（A-13X，7／7 項，DEF-090 同類）：嘉信 Schwab 倒填 2026-07-17 換匯 TWD 348,000 → USD → 422 fx_insufficient_balance「此筆換匯會使 嘉信 Schwab 的 TWD 現金自 2026-07-19 起為負，最低於 2026-07-20 降至 −153,000（換匯日早於資金到位）— 換匯不可透支，請先補登入金或換匯」，換匯帳本 19 列不變
R15（d8efc07 複驗 DEF-092；手冊 §9 第 2 條，各題測完還原並比對）：PASS — demo 真實瀏覽器（頁首 v0.1.28 · d8efc07），demo 6／6 項：Moomoo MY 換匯 MYR 4,000 → USD 979.91（試算 1 USD = 4.0820 MYR）POST 201（#32）：① MYR 508,466.42→504,466.42、USD 56,384.10→57,364.01；② 加權均價 4.384338→4.379381＝(avg×Q＋4,000)÷(Q＋979.91)，Q＝58,785.1，與預測值逐位相同；③ 總報酬不變；④ 換匯帳本 +1、implied_rate 4.0820；測後由換匯帳本刪除（DEF-092 改過的換匯刪除門，未詢問），分段逐字相同。換匯刪除門的詢問範圍另見 A-11 ③ ④（A-11C）。A-13X（7／7）：嘉信 Schwab 倒填 2026-07-17 換匯 TWD 348,000 → 422 fx_insufficient_balance「…自 2026-07-19 起為負，最低於 2026-07-20 降至 −153,000（換匯日早於資金到位）…」，換匯帳本 19 列不變</t>
        </is>
      </c>
    </row>
    <row r="17" ht="29.25" customHeight="1" s="43">
      <c r="A17" s="57" t="inlineStr">
        <is>
          <t>A-14</t>
        </is>
      </c>
      <c r="B17" s="58" t="inlineStr">
        <is>
          <t>A</t>
        </is>
      </c>
      <c r="C17" s="59" t="inlineStr">
        <is>
          <t>換匯：買賣幣別相同</t>
        </is>
      </c>
      <c r="D17" s="58" t="inlineStr">
        <is>
          <t>—</t>
        </is>
      </c>
      <c r="E17" s="59" t="inlineStr">
        <is>
          <t>把買入幣別設成與賣出相同</t>
        </is>
      </c>
      <c r="F17" s="59" t="inlineStr">
        <is>
          <t>顯示「買賣幣別不可相同 — 已自動將賣出幣別改為 X，可用餘額也隨之切換」，且賣出幣別確實翻轉</t>
        </is>
      </c>
      <c r="G17" s="59" t="inlineStr">
        <is>
          <t>不送出</t>
        </is>
      </c>
      <c r="H17" s="59" t="inlineStr">
        <is>
          <t>✅ 已驗（三輪）</t>
        </is>
      </c>
      <c r="I17" s="60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1" t="inlineStr">
        <is>
          <t>PASS</t>
        </is>
      </c>
      <c r="K17" s="61" t="n"/>
      <c r="L17" s="60" t="inlineStr">
        <is>
          <t>PASS</t>
        </is>
      </c>
      <c r="M17" s="61" t="inlineStr">
        <is>
          <t>PASS</t>
        </is>
      </c>
      <c r="N17" s="60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
R13（830056c 上 prod 前整份 one shot 重跑；Owner 6B：寫入留在 demo、不還原）：PASS — demo 真實瀏覽器（頁首 v0.1.28 · 830056c），demo 3／3 項檢查全過：買入與賣出同為 MYR → 自動把賣出幣別改為 USD，提示「買賣幣別不可相同 — 已自動將賣出幣別改為 USD，可用餘額也隨之切換」；可用餘額切為 57,364.73 USD
R14（c9a44ac 複驗 DEF-087～091；手冊 §9 第 2 條，各題測完還原並比對）：PASS — demo 真實瀏覽器（頁首 v0.1.28 · c9a44ac），demo 3／3 項：買入與賣出同為 MYR → 自動把賣出幣別改為 USD，提示「買賣幣別不可相同 — 已自動將賣出幣別改為 USD，可用餘額也隨之切換」；可用餘額切為 56,384.10 USD；未寫入</t>
        </is>
      </c>
    </row>
    <row r="18" ht="57.75" customHeight="1" s="43">
      <c r="A18" s="57" t="inlineStr">
        <is>
          <t>A-15</t>
        </is>
      </c>
      <c r="B18" s="58" t="inlineStr">
        <is>
          <t>A</t>
        </is>
      </c>
      <c r="C18" s="59" t="inlineStr">
        <is>
          <t>換匯：手動指定買入金額</t>
        </is>
      </c>
      <c r="D18" s="59" t="inlineStr">
        <is>
          <t>已填賣出金額並完成自動試算</t>
        </is>
      </c>
      <c r="E18" s="59" t="inlineStr">
        <is>
          <t>手動改寫買入金額</t>
        </is>
      </c>
      <c r="F18" s="59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9" t="inlineStr">
        <is>
          <t>不送出</t>
        </is>
      </c>
      <c r="H18" s="59" t="inlineStr">
        <is>
          <t>✅ 已驗（三輪）</t>
        </is>
      </c>
      <c r="I18" s="60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1" t="inlineStr">
        <is>
          <t>PASS</t>
        </is>
      </c>
      <c r="K18" s="61" t="n"/>
      <c r="L18" s="60" t="inlineStr">
        <is>
          <t>PASS</t>
        </is>
      </c>
      <c r="M18" s="61" t="inlineStr">
        <is>
          <t>PASS</t>
        </is>
      </c>
      <c r="N18" s="60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
R13（830056c 上 prod 前整份 one shot 重跑；Owner 6B：寫入留在 demo、不還原）：PASS — demo 真實瀏覽器（頁首 v0.1.28 · 830056c），demo 5／5 項檢查全過：手動指定買入 985 →「已手動指定買入金額 — 按「重新試算」可依即期匯率回填」、隱含匯率 1 USD = 4.0609 MYR（4,000／985）、無殘留「試算中…」；按「重新試算」回填 980.63
R14（c9a44ac 複驗 DEF-087～091；手冊 §9 第 2 條，各題測完還原並比對）：PASS — demo 真實瀏覽器（頁首 v0.1.28 · c9a44ac），demo 5／5 項：手動指定買入 985 →「已手動指定買入金額 — 按「重新試算」可依即期匯率回填」、隱含匯率 1 USD = 4.0609 MYR、無殘留「試算中…」；按「重新試算」回填 979.91；未寫入</t>
        </is>
      </c>
    </row>
    <row r="19" ht="29.25" customHeight="1" s="43">
      <c r="A19" s="57" t="inlineStr">
        <is>
          <t>A-16</t>
        </is>
      </c>
      <c r="B19" s="58" t="inlineStr">
        <is>
          <t>A</t>
        </is>
      </c>
      <c r="C19" s="59" t="inlineStr">
        <is>
          <t>折讓款確認入帳與復原</t>
        </is>
      </c>
      <c r="D19" s="59" t="inlineStr">
        <is>
          <t>收件匣有待確認折讓款</t>
        </is>
      </c>
      <c r="E19" s="59" t="inlineStr">
        <is>
          <t>收件匣 → 折讓款 → 確認入帳（填實際金額）→ 檢查 → 復原</t>
        </is>
      </c>
      <c r="F19" s="59" t="inlineStr">
        <is>
          <t>① 現金池增加該金額；② 不影響持倉成本；③ 復原後現金池與列數逐位元還原</t>
        </is>
      </c>
      <c r="G19" s="59" t="inlineStr">
        <is>
          <t>會寫入；務必復原並比對</t>
        </is>
      </c>
      <c r="H19" s="59" t="inlineStr">
        <is>
          <t>否</t>
        </is>
      </c>
      <c r="I19" s="60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1" t="inlineStr">
        <is>
          <t>PASS</t>
        </is>
      </c>
      <c r="K19" s="61" t="inlineStr">
        <is>
          <t>DEF-011</t>
        </is>
      </c>
      <c r="L19" s="60" t="inlineStr">
        <is>
          <t>結案</t>
        </is>
      </c>
      <c r="M19" s="61" t="inlineStr">
        <is>
          <t>PASS</t>
        </is>
      </c>
      <c r="N19" s="60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
R13（830056c 上 prod 前整份 one shot 重跑；Owner 6B：寫入留在 demo、不還原）：PASS — demo 真實瀏覽器（頁首 v0.1.28 · 830056c），重跑 10／10 項檢查全過：確認 2026-09 折讓款（台灣券商，當月 11 筆交易、手續費合計 10,418 → 預估 8,017 TWD）→ /api/rebates/confirm 200（#141）、toast「✓ 折讓款已入帳 2026-09・8,017 TWD 已記入現金池」；① TWD 池 797,736→805,753；② 持倉／成本不變；出金入金頁可見「2026-10-01 台灣券商 折讓款 8,017 TWD 2026-09 折讓款」；③ 刪除（對話框「刪除資金紀錄 2026-10-01・折讓款 8,017 TWD（台灣券商）」）→ DELETE /api/cash/movements/141 200 → 資金收支回 47 列、池回 797,736、該月回到待確認（3 筆，與確認前相同）、分段逐字相同。one shot 首跑 8／10：確認 2026-06（573 TWD，#136）正確入帳（3,085,031→3,085,604），但檢查程式以「最新一筆折讓款」挑要刪的列，挑到 A-11 依 6B 留下的 2026-07 折讓款 #135（1,083）並刪除，池變 3,084,521 ≠ 3,085,031；改以月份＋金額挑列後重跑。首跑的結果依 6B 留在 demo：2026-06 折讓款 573 已入帳、2026-07 #135 已刪除（回到待確認）
R14（c9a44ac 複驗 DEF-087～091；手冊 §9 第 2 條，各題測完還原並比對）：PASS — demo 真實瀏覽器（頁首 v0.1.28 · c9a44ac），demo 10／10 項：確認 2026-07 折讓款（台灣券商，當月 7 筆交易、手續費合計 1,412 → 預估 1,083 TWD）→ /api/rebates/confirm 200（#135）、toast「✓ 折讓款已入帳 2026-07・1,083 TWD 已記入現金池」；① TWD 池 6,067,595→6,068,678；② 持倉／成本不變；出金入金頁可見該列；③ 刪除（對話框「刪除資金紀錄 2026-08-01・折讓款 1,083 TWD（台灣券商）」）→ DELETE /api/cash/movements/135 200 → 資金收支回 34 列、池回 6,067,595、該月回到待確認（3 筆）；分段逐字相同（刪除門走 c9a44ac 改過的 _pool_dip，此池無負值、未詢問）
R15（d8efc07 複驗 DEF-092；手冊 §9 第 2 條，各題測完還原並比對）：PASS — demo 真實瀏覽器（頁首 v0.1.28 · d8efc07），demo 10／10 項：確認 2026-07 折讓款（台灣券商，當月 7 筆交易、手續費合計 1,412 → 預估 1,083 TWD）→ /api/rebates/confirm 200（#150）、toast「✓ 折讓款已入帳 2026-07・1,083 TWD 已記入現金池」；① TWD 池 6,067,595→6,068,678；② 持倉／成本不變；③ 刪除（「刪除資金紀錄 2026-08-01・折讓款 1,083 TWD（台灣券商）」）→ DELETE /api/cash/movements/150 200、未詢問 → 資金收支回 34 列、池回 6,067,595、該月回到待確認（3 筆）；分段逐字相同</t>
        </is>
      </c>
    </row>
    <row r="20" ht="16.5" customHeight="1" s="43">
      <c r="A20" s="54" t="inlineStr">
        <is>
          <t>B. 股票買賣、手續費稅與對應幣別現金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</row>
    <row r="21" ht="57.75" customHeight="1" s="43">
      <c r="A21" s="57" t="inlineStr">
        <is>
          <t>B-01</t>
        </is>
      </c>
      <c r="B21" s="58" t="inlineStr">
        <is>
          <t>B</t>
        </is>
      </c>
      <c r="C21" s="59" t="inlineStr">
        <is>
          <t>台股買進（整股）</t>
        </is>
      </c>
      <c r="D21" s="59" t="inlineStr">
        <is>
          <t>交易帳本 › 手動交易；記錄基準持股、均價、該帳戶 TWD 現金</t>
        </is>
      </c>
      <c r="E21" s="59" t="inlineStr">
        <is>
          <t>買進 2884 1,000 股 @ 45.20（台灣券商）→ 檢查草稿試算 → 確認寫入</t>
        </is>
      </c>
      <c r="F21" s="59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9" t="inlineStr">
        <is>
          <t>測畢刪除該筆並比對 `/api/dashboard` 四組 JSON 與基準相同</t>
        </is>
      </c>
      <c r="H21" s="59" t="inlineStr">
        <is>
          <t>✅ 已驗（同型：100 股）</t>
        </is>
      </c>
      <c r="I21" s="60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1" t="inlineStr">
        <is>
          <t>PASS</t>
        </is>
      </c>
      <c r="K21" s="61" t="n"/>
      <c r="L21" s="60" t="inlineStr">
        <is>
          <t>PASS</t>
        </is>
      </c>
      <c r="M21" s="61" t="inlineStr">
        <is>
          <t>PASS</t>
        </is>
      </c>
      <c r="N21" s="6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
R13（830056c 上 prod 前整份 one shot 重跑；Owner 6B：寫入留在 demo、不還原）：PASS — demo 真實瀏覽器（頁首 v0.1.28 · 830056c），demo 7／7 項檢查全過：2884 買 1,000 @45.20：① 手續費 floor(45,200×0.1425%)＝64；② 總成本 45,264（草稿「持股 100 → 1,100、均價 93.20 → 49.62」）；寫入 #241；③ 新均價＝(成本＋45,264)÷股數＝49.62181818…；④ TWD 池 3,084,521→3,039,257</t>
        </is>
      </c>
    </row>
    <row r="22" ht="40.5" customHeight="1" s="43">
      <c r="A22" s="57" t="inlineStr">
        <is>
          <t>B-02</t>
        </is>
      </c>
      <c r="B22" s="58" t="inlineStr">
        <is>
          <t>B</t>
        </is>
      </c>
      <c r="C22" s="59" t="inlineStr">
        <is>
          <t>台股買進（觸發最低手續費）</t>
        </is>
      </c>
      <c r="D22" s="59" t="inlineStr">
        <is>
          <t>同上</t>
        </is>
      </c>
      <c r="E22" s="59" t="inlineStr">
        <is>
          <t>買進 2884 100 股 @ 45.20</t>
        </is>
      </c>
      <c r="F22" s="59" t="inlineStr">
        <is>
          <t>手續費 = max(floor(4,520 × 0.1425%) = 6, **20**) = 20；總成本 4,540；均價依 (9,320 + 4,540) ÷ 200 = **69.30**</t>
        </is>
      </c>
      <c r="G22" s="59" t="inlineStr">
        <is>
          <t>測畢刪除並比對</t>
        </is>
      </c>
      <c r="H22" s="59" t="inlineStr">
        <is>
          <t>✅ 已驗（三輪）</t>
        </is>
      </c>
      <c r="I22" s="60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1" t="inlineStr">
        <is>
          <t>PASS</t>
        </is>
      </c>
      <c r="K22" s="61" t="n"/>
      <c r="L22" s="60" t="inlineStr">
        <is>
          <t>PASS</t>
        </is>
      </c>
      <c r="M22" s="61" t="inlineStr">
        <is>
          <t>PASS</t>
        </is>
      </c>
      <c r="N22" s="60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
R13（830056c 上 prod 前整份 one shot 重跑；Owner 6B：寫入留在 demo、不還原）：PASS — demo 真實瀏覽器（頁首 v0.1.28 · 830056c），demo 3／3 項檢查全過：零股 100 @45.20：手續費 max(6, 20)＝20、總額 4,540；均價＝(成本＋4,540)÷股數＝49.27</t>
        </is>
      </c>
    </row>
    <row r="23" ht="72" customHeight="1" s="43">
      <c r="A23" s="57" t="inlineStr">
        <is>
          <t>B-03</t>
        </is>
      </c>
      <c r="B23" s="58" t="inlineStr">
        <is>
          <t>B</t>
        </is>
      </c>
      <c r="C23" s="59" t="inlineStr">
        <is>
          <t>台股賣出（整股）</t>
        </is>
      </c>
      <c r="D23" s="59" t="inlineStr">
        <is>
          <t>持有 2884 ≥ 200 股</t>
        </is>
      </c>
      <c r="E23" s="59" t="inlineStr">
        <is>
          <t>賣出 2884 100 股 @ 46.00 → 確認寫入</t>
        </is>
      </c>
      <c r="F23" s="59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9" t="inlineStr">
        <is>
          <t>會產生已實現列。測畢刪除該筆賣出，確認已實現列一併消失且 `realized.by_currency` 還原</t>
        </is>
      </c>
      <c r="H23" s="59" t="inlineStr">
        <is>
          <t>否（僅以試算手算驗過）</t>
        </is>
      </c>
      <c r="I23" s="60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1" t="inlineStr">
        <is>
          <t>PASS</t>
        </is>
      </c>
      <c r="K23" s="61" t="n"/>
      <c r="L23" s="60" t="inlineStr">
        <is>
          <t>PASS</t>
        </is>
      </c>
      <c r="M23" s="61" t="inlineStr">
        <is>
          <t>PASS</t>
        </is>
      </c>
      <c r="N23" s="6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
R13（830056c 上 prod 前整份 one shot 重跑；Owner 6B：寫入留在 demo、不還原）：PASS — demo 真實瀏覽器（頁首 v0.1.28 · 830056c），demo 5／6 項（未過 1 項是字串比對，依數據改判）：2884 賣 100 @46（2026-09-23）：① 手續費 20；② 稅 floor(4,600×0.3%)＝13；③ 淨收 4,567；④ 已實現 +1 列、移除成本 4,927＝100×加權均價 49.27；⑤ 股數 1,200→1,100、均價不變——API 回「49.27000000000000000000000」，檢查程式以字串與「49.27」比對而判未過，數值相等。賣出 #243 依 6B 留在 demo</t>
        </is>
      </c>
    </row>
    <row r="24" ht="43.5" customHeight="1" s="43">
      <c r="A24" s="57" t="inlineStr">
        <is>
          <t>B-04</t>
        </is>
      </c>
      <c r="B24" s="58" t="inlineStr">
        <is>
          <t>B</t>
        </is>
      </c>
      <c r="C24" s="59" t="inlineStr">
        <is>
          <t>台股當沖賣出</t>
        </is>
      </c>
      <c r="D24" s="59" t="inlineStr">
        <is>
          <t>同日有買進</t>
        </is>
      </c>
      <c r="E24" s="59" t="inlineStr">
        <is>
          <t>賣出時勾選「當沖」→ 送出</t>
        </is>
      </c>
      <c r="F24" s="59" t="inlineStr">
        <is>
          <t>證交稅率改用 **0.15%**：floor(金額 × 0.15%)；未勾選時為 0.3%</t>
        </is>
      </c>
      <c r="G24" s="59" t="inlineStr">
        <is>
          <t>測畢刪除</t>
        </is>
      </c>
      <c r="H24" s="59" t="inlineStr">
        <is>
          <t>否（僅以試算手算驗過）</t>
        </is>
      </c>
      <c r="I24" s="60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1" t="inlineStr">
        <is>
          <t>PASS</t>
        </is>
      </c>
      <c r="K24" s="61" t="n"/>
      <c r="L24" s="60" t="inlineStr">
        <is>
          <t>PASS</t>
        </is>
      </c>
      <c r="M24" s="61" t="inlineStr">
        <is>
          <t>PASS</t>
        </is>
      </c>
      <c r="N24" s="6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
R13（830056c 上 prod 前整份 one shot 重跑；Owner 6B：寫入留在 demo、不還原）：PASS — demo 真實瀏覽器（頁首 v0.1.28 · 830056c），重跑 4／4 項檢查全過：2884 賣 100 @46.5（2026-09-23）：未勾當沖 0.3% → 稅 13；勾「當沖」→ floor(4,650×0.15%)＝6；送出本文帶 daytrade:true；帳本列「賣當沖 100 46.50 20 6 +4,624」（#267，依 6B 留下）。one shot 首跑 2／4：兩項試算正確，但 B-03 依 6B 留下的同日同價賣出（100 @46）使「確認寫入」被「相同交易已存在」擋下、未送出；改價 46.5 重跑</t>
        </is>
      </c>
    </row>
    <row r="25" ht="29.25" customHeight="1" s="43">
      <c r="A25" s="57" t="inlineStr">
        <is>
          <t>B-05</t>
        </is>
      </c>
      <c r="B25" s="58" t="inlineStr">
        <is>
          <t>B</t>
        </is>
      </c>
      <c r="C25" s="59" t="inlineStr">
        <is>
          <t>台股零股小數必須被擋</t>
        </is>
      </c>
      <c r="D25" s="58" t="inlineStr">
        <is>
          <t>—</t>
        </is>
      </c>
      <c r="E25" s="59" t="inlineStr">
        <is>
          <t>股數填 0.5 → 觀察草稿與確認鍵</t>
        </is>
      </c>
      <c r="F25" s="59" t="inlineStr">
        <is>
          <t>顯示「✕ 台股股數必須是整數（零股以 1 股為單位），目前是 0.5」且「確認寫入」為 disabled</t>
        </is>
      </c>
      <c r="G25" s="59" t="inlineStr">
        <is>
          <t>不會寫入</t>
        </is>
      </c>
      <c r="H25" s="59" t="inlineStr">
        <is>
          <t>✅ 已驗（三輪）</t>
        </is>
      </c>
      <c r="I25" s="60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1" t="inlineStr">
        <is>
          <t>PASS</t>
        </is>
      </c>
      <c r="K25" s="61" t="n"/>
      <c r="L25" s="60" t="inlineStr">
        <is>
          <t>PASS</t>
        </is>
      </c>
      <c r="M25" s="61" t="inlineStr">
        <is>
          <t>PASS</t>
        </is>
      </c>
      <c r="N25" s="6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
R13（830056c 上 prod 前整份 one shot 重跑；Owner 6B：寫入留在 demo、不還原）：PASS — demo 真實瀏覽器（頁首 v0.1.28 · 830056c），demo 2／2 項檢查全過：台股 0.5 股 →「台股股數必須是整數（零股以 1 股為單位），目前是 0.5」且「確認寫入」停用</t>
        </is>
      </c>
    </row>
    <row r="26" ht="29.25" customHeight="1" s="43">
      <c r="A26" s="57" t="inlineStr">
        <is>
          <t>B-06</t>
        </is>
      </c>
      <c r="B26" s="58" t="inlineStr">
        <is>
          <t>B</t>
        </is>
      </c>
      <c r="C26" s="59" t="inlineStr">
        <is>
          <t>美股小數股允許</t>
        </is>
      </c>
      <c r="D26" s="59" t="inlineStr">
        <is>
          <t>帳戶=嘉信 Schwab；記錄 USD 池餘額</t>
        </is>
      </c>
      <c r="E26" s="59" t="inlineStr">
        <is>
          <t>買進 AAPL 0.5 股 @ 市價</t>
        </is>
      </c>
      <c r="F26" s="58" t="inlineStr">
        <is>
          <t>① **不得**被整數規則擋下（美股 fractional 為刻意允許）；② 費用依美股規則計算；③ USD 池扣款＝交割價金＋費用，交割價金＝0.5 × 價格四捨五入到分（例 0.5 × 191.23 ＝ 95.615 → 95.62；Owner 2026-09-30 裁定，結案後新增）</t>
        </is>
      </c>
      <c r="G26" s="59" t="inlineStr">
        <is>
          <t>測畢刪除並比對</t>
        </is>
      </c>
      <c r="H26" s="59" t="inlineStr">
        <is>
          <t>否</t>
        </is>
      </c>
      <c r="I26" s="60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1" t="inlineStr">
        <is>
          <t>PASS</t>
        </is>
      </c>
      <c r="K26" s="61" t="n"/>
      <c r="L26" s="60" t="inlineStr">
        <is>
          <t>PASS</t>
        </is>
      </c>
      <c r="M26" s="61" t="inlineStr">
        <is>
          <t>PASS</t>
        </is>
      </c>
      <c r="N26" s="60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
R13（830056c 上 prod 前整份 one shot 重跑；Owner 6B：寫入留在 demo、不還原）：PASS — demo 真實瀏覽器（頁首 v0.1.28 · 830056c），demo 6／6 項檢查全過：AAPL 0.5 股 @191.23（只試算）：交割價金 95.615→95.62、total −95.62；小數股未被整數規則擋；嘉信佣金 $0、買進無 SEC／TAF；以 329.40 寫入 #244：股數 85.0393→85.5393、USD 池 401,502.24→401,337.54（−164.70＝0.5×329.40 四捨五入到分＋費用 0）</t>
        </is>
      </c>
    </row>
    <row r="27" ht="43.5" customHeight="1" s="43">
      <c r="A27" s="57" t="inlineStr">
        <is>
          <t>B-07</t>
        </is>
      </c>
      <c r="B27" s="58" t="inlineStr">
        <is>
          <t>B</t>
        </is>
      </c>
      <c r="C27" s="59" t="inlineStr">
        <is>
          <t>美股買進扣 USD 現金</t>
        </is>
      </c>
      <c r="D27" s="59" t="inlineStr">
        <is>
          <t>記錄 schwab USD 池餘額</t>
        </is>
      </c>
      <c r="E27" s="59" t="inlineStr">
        <is>
          <t>買進 AAPL 1 股</t>
        </is>
      </c>
      <c r="F27" s="59" t="inlineStr">
        <is>
          <t>① 扣的是 **USD** 池，TWD 池不動；② 報告幣別（TWD）市值 = USD 市值 × 當日匯率；③ 總成本以 USD 記錄，不因匯率變動而改寫</t>
        </is>
      </c>
      <c r="G27" s="59" t="inlineStr">
        <is>
          <t>測畢刪除並比對</t>
        </is>
      </c>
      <c r="H27" s="59" t="inlineStr">
        <is>
          <t>否</t>
        </is>
      </c>
      <c r="I27" s="60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1" t="inlineStr">
        <is>
          <t>PASS</t>
        </is>
      </c>
      <c r="K27" s="61" t="n"/>
      <c r="L27" s="60" t="inlineStr">
        <is>
          <t>PASS</t>
        </is>
      </c>
      <c r="M27" s="61" t="inlineStr">
        <is>
          <t>PASS</t>
        </is>
      </c>
      <c r="N27" s="6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
R13（830056c 上 prod 前整份 one shot 重跑；Owner 6B：寫入留在 demo、不還原）：PASS — demo 真實瀏覽器（頁首 v0.1.28 · 830056c），demo 3／3 項檢查全過：AAPL 1 股 @329.40（#245）：① USD 池 401,337.54→401,008.14、同帳戶 TWD 池不變（800,000）；② 報告市值 +329.40×即期 31.868＝10,497.32；③ 成本以 USD 記 13,679.70→14,009.10</t>
        </is>
      </c>
    </row>
    <row r="28" ht="29.25" customHeight="1" s="43">
      <c r="A28" s="57" t="inlineStr">
        <is>
          <t>B-08</t>
        </is>
      </c>
      <c r="B28" s="58" t="inlineStr">
        <is>
          <t>B</t>
        </is>
      </c>
      <c r="C28" s="59" t="inlineStr">
        <is>
          <t>馬股買進扣 MYR 現金</t>
        </is>
      </c>
      <c r="D28" s="59" t="inlineStr">
        <is>
          <t>帳戶=Moomoo MY</t>
        </is>
      </c>
      <c r="E28" s="59" t="inlineStr">
        <is>
          <t>買進 1155 100 股</t>
        </is>
      </c>
      <c r="F28" s="59" t="inlineStr">
        <is>
          <t>① 扣 MYR 池；② 馬股股數整數規則同台股；③ 費用依馬股規則</t>
        </is>
      </c>
      <c r="G28" s="59" t="inlineStr">
        <is>
          <t>測畢刪除並比對</t>
        </is>
      </c>
      <c r="H28" s="59" t="inlineStr">
        <is>
          <t>否</t>
        </is>
      </c>
      <c r="I28" s="6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1" t="inlineStr">
        <is>
          <t>PASS</t>
        </is>
      </c>
      <c r="K28" s="61" t="n"/>
      <c r="L28" s="60" t="inlineStr">
        <is>
          <t>PASS</t>
        </is>
      </c>
      <c r="M28" s="61" t="inlineStr">
        <is>
          <t>PASS</t>
        </is>
      </c>
      <c r="N28" s="6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
R13（830056c 上 prod 前整份 one shot 重跑；Owner 6B：寫入留在 demo、不還原）：PASS — demo 真實瀏覽器（頁首 v0.1.28 · 830056c），demo 5／5 項檢查全過：馬股 1155：0.5 股被擋（「馬股股數必須是整數…」）；成交 1,002 MYR 印花 ceil(1,002／1,000)×RM1＝2、費用 3.89（佣金 0.03%、平台 RM3、清算 0.03%、SST 8%）；寫入 #246：MYR 池 504,466.42→503,458.53（−1,007.89）、USD 池不變</t>
        </is>
      </c>
    </row>
    <row r="29" ht="43.5" customHeight="1" s="43">
      <c r="A29" s="57" t="inlineStr">
        <is>
          <t>B-09</t>
        </is>
      </c>
      <c r="B29" s="58" t="inlineStr">
        <is>
          <t>B</t>
        </is>
      </c>
      <c r="C29" s="59" t="inlineStr">
        <is>
          <t>現金不足時的行為</t>
        </is>
      </c>
      <c r="D29" s="59" t="inlineStr">
        <is>
          <t>選一個餘額很小的池</t>
        </is>
      </c>
      <c r="E29" s="59" t="inlineStr">
        <is>
          <t>買進金額 &gt; 該池餘額 → 送出</t>
        </is>
      </c>
      <c r="F29" s="59" t="inlineStr">
        <is>
          <t>記錄實際行為：是阻擋、警告、或允許成為負餘額。**與 A-05 的出金規則比對是否一致**（規格上兩者可以不同，但畫面必須說清楚）</t>
        </is>
      </c>
      <c r="G29" s="59" t="inlineStr">
        <is>
          <t>若寫入成功需刪除</t>
        </is>
      </c>
      <c r="H29" s="59" t="inlineStr">
        <is>
          <t>否（行為待確認）</t>
        </is>
      </c>
      <c r="I29" s="60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1" t="inlineStr">
        <is>
          <t>PASS</t>
        </is>
      </c>
      <c r="K29" s="61" t="n"/>
      <c r="L29" s="60" t="inlineStr">
        <is>
          <t>PASS</t>
        </is>
      </c>
      <c r="M29" s="61" t="inlineStr">
        <is>
          <t>PASS</t>
        </is>
      </c>
      <c r="N29" s="60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
R13（830056c 上 prod 前整份 one shot 重跑；Owner 6B：寫入留在 demo、不還原）：PASS — demo 真實瀏覽器（頁首 v0.1.28 · 830056c），demo 4／4 項檢查全過：2330 買 3,000 @2,380（7,150,174）→ 草稿「此帳戶 TWD 現金將不足…交易後現金 −4,110,890」、勾選確認前停用；確認後寫入 #247、負餘額回報 −4,110,890（與 A-05 出金硬擋不同：買進為警示＋明確確認，畫面如此說明）；依 6B 留在 demo</t>
        </is>
      </c>
    </row>
    <row r="30" ht="43.5" customHeight="1" s="43">
      <c r="A30" s="57" t="inlineStr">
        <is>
          <t>B-10</t>
        </is>
      </c>
      <c r="B30" s="58" t="inlineStr">
        <is>
          <t>B</t>
        </is>
      </c>
      <c r="C30" s="59" t="inlineStr">
        <is>
          <t>放空</t>
        </is>
      </c>
      <c r="D30" s="58" t="inlineStr">
        <is>
          <t>—</t>
        </is>
      </c>
      <c r="E30" s="59" t="inlineStr">
        <is>
          <t>勾選「放空」→ 賣出未持有的標的</t>
        </is>
      </c>
      <c r="F30" s="59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9" t="inlineStr">
        <is>
          <t>測畢刪除</t>
        </is>
      </c>
      <c r="H30" s="59" t="inlineStr">
        <is>
          <t>否</t>
        </is>
      </c>
      <c r="I30" s="60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1" t="inlineStr">
        <is>
          <t>OBSERVE</t>
        </is>
      </c>
      <c r="K30" s="61" t="inlineStr">
        <is>
          <t>DEF-013</t>
        </is>
      </c>
      <c r="L30" s="60" t="inlineStr">
        <is>
          <t>結案</t>
        </is>
      </c>
      <c r="M30" s="61" t="inlineStr">
        <is>
          <t>PASS</t>
        </is>
      </c>
      <c r="N30" s="60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
R13（830056c 上 prod 前整份 one shot 重跑；Owner 6B：寫入留在 demo、不還原）：PASS — demo 真實瀏覽器（頁首 v0.1.28 · 830056c），demo 5／5 項檢查全過：2454 當沖＋放空 賣 10 @1,000：兩者可同時勾選、表單有組合說明（「…證交稅以當沖 0.15% 計算…同時宣告為放空…」）；寫入 #248（+9,965）；部位 −10 股、成本 −9,965、short true；帳本列「賣當沖放空」；依 6B 留在 demo</t>
        </is>
      </c>
    </row>
    <row r="31" ht="43.5" customHeight="1" s="43">
      <c r="A31" s="57" t="inlineStr">
        <is>
          <t>B-11</t>
        </is>
      </c>
      <c r="B31" s="58" t="inlineStr">
        <is>
          <t>B</t>
        </is>
      </c>
      <c r="C31" s="59" t="inlineStr">
        <is>
          <t>賣超防護</t>
        </is>
      </c>
      <c r="D31" s="59" t="inlineStr">
        <is>
          <t>持有 2,600 股</t>
        </is>
      </c>
      <c r="E31" s="59" t="inlineStr">
        <is>
          <t>賣出 5,000 股</t>
        </is>
      </c>
      <c r="F31" s="59" t="inlineStr">
        <is>
          <t>① 明確警告並指出持股數與日期；② 提供**公司行動補登入口**；③ 若仍要寫入，需出現成本基礎歸零的確認框</t>
        </is>
      </c>
      <c r="G31" s="59" t="inlineStr">
        <is>
          <t>預期被擋；若寫入需刪除</t>
        </is>
      </c>
      <c r="H31" s="59" t="inlineStr">
        <is>
          <t>✅ 已驗（試算路徑）</t>
        </is>
      </c>
      <c r="I31" s="60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1" t="inlineStr">
        <is>
          <t>PASS</t>
        </is>
      </c>
      <c r="K31" s="61" t="n"/>
      <c r="L31" s="60" t="inlineStr">
        <is>
          <t>PASS</t>
        </is>
      </c>
      <c r="M31" s="61" t="inlineStr">
        <is>
          <t>PASS</t>
        </is>
      </c>
      <c r="N31" s="60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R13（830056c 上 prod 前整份 one shot 重跑；Owner 6B：寫入留在 demo、不還原）：PASS — demo 真實瀏覽器（頁首 v0.1.28 · 830056c），demo 7／7 項檢查全過：（B-09 買進的 2330 3,000 股依 6B 留在 demo，原步驟的賣超量改為 8,000 股＝持有＋2,400）賣 8,000 → 草稿「持股 5,600 → -2,400…基礎已捨棄…賣超：成本基礎無法認定」、確認停用；倒填 2026-07-01 賣 2,600 → 以當日部位試算「持股 2,000 → -600」並點名日期、提供「補登公司行動」入口與「成本基礎歸零」確認、勾選前停用；只有 ack_oversell 才寫入（#249）。#249 依 6B 留在 demo，使 2330 成為賣超部位（市值／未實現為空、整體 XIRR 不計、稅務包 422 oversold_position），直到 I-13 寫回 #264——E-04、E-07、E-08、E-12、I-01～I-03、D-02c 的首跑因此受影響，皆於 I-13 後重跑或補做</t>
        </is>
      </c>
    </row>
    <row r="32" ht="29.25" customHeight="1" s="43">
      <c r="A32" s="57" t="inlineStr">
        <is>
          <t>B-12</t>
        </is>
      </c>
      <c r="B32" s="58" t="inlineStr">
        <is>
          <t>B</t>
        </is>
      </c>
      <c r="C32" s="59" t="inlineStr">
        <is>
          <t>交易編輯（同帳戶同代號）</t>
        </is>
      </c>
      <c r="D32" s="59" t="inlineStr">
        <is>
          <t>任選一筆自建交易</t>
        </is>
      </c>
      <c r="E32" s="59" t="inlineStr">
        <is>
          <t>編輯股數 100 → 150 → 儲存</t>
        </is>
      </c>
      <c r="F32" s="59" t="inlineStr">
        <is>
          <t>① 只發出 1 支 PUT；② 成本、均價、現金、已實現全部由帳本重建；③ toast「編輯完成」</t>
        </is>
      </c>
      <c r="G32" s="59" t="inlineStr">
        <is>
          <t>測畢刪除</t>
        </is>
      </c>
      <c r="H32" s="59" t="inlineStr">
        <is>
          <t>✅ 已驗（二／三驗）</t>
        </is>
      </c>
      <c r="I32" s="60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1" t="inlineStr">
        <is>
          <t>PASS</t>
        </is>
      </c>
      <c r="K32" s="61" t="n"/>
      <c r="L32" s="60" t="inlineStr">
        <is>
          <t>PASS</t>
        </is>
      </c>
      <c r="M32" s="61" t="inlineStr">
        <is>
          <t>PASS</t>
        </is>
      </c>
      <c r="N32" s="60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
R13（830056c 上 prod 前整份 one shot 重跑；Owner 6B：寫入留在 demo、不還原）：PASS — demo 真實瀏覽器（頁首 v0.1.28 · 830056c），重跑＋驗證者獨立重放：寫入 2884 買 100（#268）後把股數改為 150 → 恰一次 PUT /api/ledgers/transactions/268 200、toast「✓ 編輯完成 帳本已更新，統計將由帳本重建」；編輯後 2884 1,550 股、原始成本 48,466.57586206896551724137931、均價 31.26875862068965517241379310。檢查程式的期望均價 31.7120 未計入 D-08 依 6B 留下的分拆（2026-10-01，30% 成本移到 2308）→ 重跑 2／3；驗證者以交易帳本依日期獨立重放（含 D-08 分拆），得 2884 1,550 股、成本 48,466.57586206896551724137931、均價 31.26875862…，子 2308 成本 20,771.38965517…，與 API 逐位相同。one shot 首跑 0／3：按「儲存」後沒有送出 PUT（網路紀錄空、股數未變），重跑與人工再做皆正常送出，無法重現</t>
        </is>
      </c>
    </row>
    <row r="33" ht="43.5" customHeight="1" s="43">
      <c r="A33" s="57" t="inlineStr">
        <is>
          <t>B-13</t>
        </is>
      </c>
      <c r="B33" s="58" t="inlineStr">
        <is>
          <t>B</t>
        </is>
      </c>
      <c r="C33" s="59" t="inlineStr">
        <is>
          <t>交易編輯（換帳戶或換代號）</t>
        </is>
      </c>
      <c r="D33" s="59" t="inlineStr">
        <is>
          <t>任選一筆自建交易</t>
        </is>
      </c>
      <c r="E33" s="59" t="inlineStr">
        <is>
          <t>編輯時改變「帳戶」或「代號」→ 儲存</t>
        </is>
      </c>
      <c r="F33" s="59" t="inlineStr">
        <is>
          <t>① 出現警告說明會把該筆移到另一個持倉、兩邊成本與報酬將重建；② 會先做賣超與孤兒紀錄檢核；③ 未手動改費用時依新帳戶規則重算</t>
        </is>
      </c>
      <c r="G33" s="59" t="inlineStr">
        <is>
          <t>測畢改回或刪除</t>
        </is>
      </c>
      <c r="H33" s="59" t="inlineStr">
        <is>
          <t>否</t>
        </is>
      </c>
      <c r="I33" s="60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1" t="inlineStr">
        <is>
          <t>PASS</t>
        </is>
      </c>
      <c r="K33" s="61" t="n"/>
      <c r="L33" s="60" t="inlineStr">
        <is>
          <t>PASS</t>
        </is>
      </c>
      <c r="M33" s="61" t="inlineStr">
        <is>
          <t>PASS</t>
        </is>
      </c>
      <c r="N33" s="6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R13（830056c 上 prod 前整份 one shot 重跑；Owner 6B：寫入留在 demo、不還原）：PASS — demo 真實瀏覽器（頁首 v0.1.28 · 830056c），demo 6／6 項檢查全過：編輯 #251（2884 → 2317）：對話框警示改代號／帳戶會把交易移到另一持倉並重建、會先做賣超與孤兒紀錄檢核；PUT 200、費用依規則 20；兩邊部位重建（2884 1,200、2317 600）；改到美股帳戶 → 400「2317 屬 TW 市場，不可登錄於 美股帳戶」、2317 仍 600</t>
        </is>
      </c>
    </row>
    <row r="34" ht="29.25" customHeight="1" s="43">
      <c r="A34" s="57" t="inlineStr">
        <is>
          <t>B-14</t>
        </is>
      </c>
      <c r="B34" s="58" t="inlineStr">
        <is>
          <t>B</t>
        </is>
      </c>
      <c r="C34" s="59" t="inlineStr">
        <is>
          <t>交易刪除與重建</t>
        </is>
      </c>
      <c r="D34" s="58" t="inlineStr">
        <is>
          <t>—</t>
        </is>
      </c>
      <c r="E34" s="59" t="inlineStr">
        <is>
          <t>刪除自建交易 → 確認框 → 刪除</t>
        </is>
      </c>
      <c r="F34" s="59" t="inlineStr">
        <is>
          <t>刪除後 `kpis`／`holdings`／`realized`／`allocation` 與寫入前**字串完全相同**</t>
        </is>
      </c>
      <c r="G34" s="59" t="inlineStr">
        <is>
          <t>這正是還原步驟</t>
        </is>
      </c>
      <c r="H34" s="59" t="inlineStr">
        <is>
          <t>✅ 已驗（三輪）</t>
        </is>
      </c>
      <c r="I34" s="60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1" t="inlineStr">
        <is>
          <t>PASS</t>
        </is>
      </c>
      <c r="K34" s="61" t="n"/>
      <c r="L34" s="60" t="inlineStr">
        <is>
          <t>PASS</t>
        </is>
      </c>
      <c r="M34" s="61" t="inlineStr">
        <is>
          <t>PASS</t>
        </is>
      </c>
      <c r="N34" s="60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
R13（830056c 上 prod 前整份 one shot 重跑；Owner 6B：寫入留在 demo、不還原）：PASS — demo 真實瀏覽器（頁首 v0.1.28 · 830056c），demo 4／4 項檢查全過：刪除 #252：確認對話框「確定刪除這筆交易？統計將由其餘帳本紀錄重建。」→ DELETE 200 → kpis／holdings／realized／allocation 與寫入前逐字相同（本題本身測刪除，依步驟刪除）</t>
        </is>
      </c>
    </row>
    <row r="35" ht="43.5" customHeight="1" s="43">
      <c r="A35" s="57" t="inlineStr">
        <is>
          <t>B-15</t>
        </is>
      </c>
      <c r="B35" s="58" t="inlineStr">
        <is>
          <t>B</t>
        </is>
      </c>
      <c r="C35" s="59" t="inlineStr">
        <is>
          <t>費率規則快照</t>
        </is>
      </c>
      <c r="D35" s="59" t="inlineStr">
        <is>
          <t>任一交易列</t>
        </is>
      </c>
      <c r="E35" s="59" t="inlineStr">
        <is>
          <t>展開交易列</t>
        </is>
      </c>
      <c r="F35" s="59" t="inlineStr">
        <is>
          <t>顯示 engine／rounding／brokerage／discount／min_fee／rebate_rate，且與系統設定 › 帳戶與費率一致</t>
        </is>
      </c>
      <c r="G35" s="59" t="inlineStr">
        <is>
          <t>唯讀</t>
        </is>
      </c>
      <c r="H35" s="59" t="inlineStr">
        <is>
          <t>✅ 已驗（觀察）</t>
        </is>
      </c>
      <c r="I35" s="60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1" t="inlineStr">
        <is>
          <t>PASS</t>
        </is>
      </c>
      <c r="K35" s="61" t="n"/>
      <c r="L35" s="60" t="inlineStr">
        <is>
          <t>PASS</t>
        </is>
      </c>
      <c r="M35" s="61" t="inlineStr">
        <is>
          <t>PASS</t>
        </is>
      </c>
      <c r="N35" s="6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
R13（830056c 上 prod 前整份 one shot 重跑；Owner 6B：寫入留在 demo、不還原）：PASS — demo 真實瀏覽器（頁首 v0.1.28 · 830056c），demo 2／2 項檢查全過：費率規則快照 engine v2／rounding floor／brokerage 0.001425／discount 1／min_fee 20／rebate_rate 0.77，與「帳戶與費率」一致</t>
        </is>
      </c>
    </row>
    <row r="36" ht="29.25" customHeight="1" s="43">
      <c r="A36" s="57" t="inlineStr">
        <is>
          <t>B-16</t>
        </is>
      </c>
      <c r="B36" s="58" t="inlineStr">
        <is>
          <t>B</t>
        </is>
      </c>
      <c r="C36" s="59" t="inlineStr">
        <is>
          <t>折讓（rebate）估算</t>
        </is>
      </c>
      <c r="D36" s="58" t="inlineStr">
        <is>
          <t>—</t>
        </is>
      </c>
      <c r="E36" s="59" t="inlineStr">
        <is>
          <t>於再平衡試算或交易後檢視折讓估算</t>
        </is>
      </c>
      <c r="F36" s="59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9" t="inlineStr">
        <is>
          <t>唯讀</t>
        </is>
      </c>
      <c r="H36" s="59" t="inlineStr">
        <is>
          <t>部分</t>
        </is>
      </c>
      <c r="I36" s="60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1" t="inlineStr">
        <is>
          <t>PASS</t>
        </is>
      </c>
      <c r="K36" s="61" t="inlineStr">
        <is>
          <t>DEF-010, DEF-055</t>
        </is>
      </c>
      <c r="L36" s="60" t="inlineStr">
        <is>
          <t>結案</t>
        </is>
      </c>
      <c r="M36" s="61" t="inlineStr">
        <is>
          <t>PASS</t>
        </is>
      </c>
      <c r="N36" s="60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
R13（830056c 上 prod 前整份 one shot 重跑；Owner 6B：寫入留在 demo、不還原）：PASS — demo 真實瀏覽器（頁首 v0.1.28 · 830056c），demo 2／2 項檢查全過：每筆 floor(手續費×0.77)、月合計＝逐筆加總（2026-09 7,957、2026-07 7,872、2026-02 1,358）；費率快照已打折的 10 筆不列入</t>
        </is>
      </c>
    </row>
    <row r="37" ht="15" customHeight="1" s="43">
      <c r="A37" s="57" t="inlineStr">
        <is>
          <t>B-17</t>
        </is>
      </c>
      <c r="B37" s="58" t="inlineStr">
        <is>
          <t>B</t>
        </is>
      </c>
      <c r="C37" s="59" t="inlineStr">
        <is>
          <t>交易日期驗證</t>
        </is>
      </c>
      <c r="D37" s="58" t="inlineStr">
        <is>
          <t>—</t>
        </is>
      </c>
      <c r="E37" s="59" t="inlineStr">
        <is>
          <t>日期填未來日期、或早於期初庫存日期</t>
        </is>
      </c>
      <c r="F37" s="59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9" t="inlineStr">
        <is>
          <t>不寫入</t>
        </is>
      </c>
      <c r="H37" s="59" t="inlineStr">
        <is>
          <t>否</t>
        </is>
      </c>
      <c r="I37" s="60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1" t="inlineStr">
        <is>
          <t>FAIL</t>
        </is>
      </c>
      <c r="K37" s="61" t="inlineStr">
        <is>
          <t>DEF-014, DEF-042, DEF-048, DEF-056</t>
        </is>
      </c>
      <c r="L37" s="60" t="inlineStr">
        <is>
          <t>結案</t>
        </is>
      </c>
      <c r="M37" s="61" t="inlineStr">
        <is>
          <t>PASS</t>
        </is>
      </c>
      <c r="N37" s="6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
R13（830056c 上 prod 前整份 one shot 重跑；Owner 6B：寫入留在 demo、不還原）：PASS — demo 真實瀏覽器（頁首 v0.1.28 · 830056c），demo 9／9 項檢查全過：2026-12-31 →「⚠ 交易日期 2026-12-31 晚於今日，確認無誤？」需勾選才可寫；早於期初建檔日同樣警示並停用；改 2026-10-15 確認後寫入 #253、寫入當日六段不變、帳本列標「未來日期：2026-10-15 起計入」；編輯時同樣警示且需勾選（依 6B 留在 demo）</t>
        </is>
      </c>
    </row>
    <row r="38" ht="29.25" customHeight="1" s="43">
      <c r="A38" s="57" t="inlineStr">
        <is>
          <t>B-18</t>
        </is>
      </c>
      <c r="B38" s="58" t="inlineStr">
        <is>
          <t>B</t>
        </is>
      </c>
      <c r="C38" s="59" t="inlineStr">
        <is>
          <t>同日多筆買賣的成本順序</t>
        </is>
      </c>
      <c r="D38" s="58" t="inlineStr">
        <is>
          <t>—</t>
        </is>
      </c>
      <c r="E38" s="59" t="inlineStr">
        <is>
          <t>同一天先買後賣、再買，共 3 筆</t>
        </is>
      </c>
      <c r="F38" s="59" t="inlineStr">
        <is>
          <t>加權平均成本依**時間順序**逐筆套用；已實現損益使用賣出當下的加權均價</t>
        </is>
      </c>
      <c r="G38" s="59" t="inlineStr">
        <is>
          <t>測畢全部刪除並比對</t>
        </is>
      </c>
      <c r="H38" s="59" t="inlineStr">
        <is>
          <t>否</t>
        </is>
      </c>
      <c r="I38" s="60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1" t="inlineStr">
        <is>
          <t>FAIL</t>
        </is>
      </c>
      <c r="K38" s="61" t="inlineStr">
        <is>
          <t>DEF-012</t>
        </is>
      </c>
      <c r="L38" s="60" t="inlineStr">
        <is>
          <t>結案</t>
        </is>
      </c>
      <c r="M38" s="61" t="inlineStr">
        <is>
          <t>PASS</t>
        </is>
      </c>
      <c r="N38" s="60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
R13（830056c 上 prod 前整份 one shot 重跑；Owner 6B：寫入留在 demo、不還原）：PASS — demo 真實瀏覽器（頁首 v0.1.28 · 830056c），demo 3／3 項檢查全過：同日先買後賣：賣出移除成本 4,828.6153846…（用同日先前買進後的均價）、已實現 −660.6153846…；同日其後的買進不改寫先前的賣出（時間序）；寫入 #254～#256</t>
        </is>
      </c>
    </row>
    <row r="39" ht="16.5" customHeight="1" s="43">
      <c r="A39" s="54" t="inlineStr">
        <is>
          <t>C. 股利、配息與利息</t>
        </is>
      </c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6" t="n"/>
    </row>
    <row r="40" ht="43.5" customHeight="1" s="43">
      <c r="A40" s="57" t="inlineStr">
        <is>
          <t>C-01</t>
        </is>
      </c>
      <c r="B40" s="58" t="inlineStr">
        <is>
          <t>C</t>
        </is>
      </c>
      <c r="C40" s="59" t="inlineStr">
        <is>
          <t>收件匣偵測</t>
        </is>
      </c>
      <c r="D40" s="59" t="inlineStr">
        <is>
          <t>收件匣 › 配息</t>
        </is>
      </c>
      <c r="E40" s="59" t="inlineStr">
        <is>
          <t>按「重新偵測」</t>
        </is>
      </c>
      <c r="F40" s="59" t="inlineStr">
        <is>
          <t>① 回報「N 檔事件已更新，M 檔失敗 · 待確認 K 筆」（全形標點）；② 待確認數與清單一致；③ 失敗檔數有說明</t>
        </is>
      </c>
      <c r="G40" s="59" t="inlineStr">
        <is>
          <t>會更新事件表，不動帳本</t>
        </is>
      </c>
      <c r="H40" s="59" t="inlineStr">
        <is>
          <t>✅ 已驗（觀察）</t>
        </is>
      </c>
      <c r="I40" s="60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1" t="inlineStr">
        <is>
          <t>FAIL</t>
        </is>
      </c>
      <c r="K40" s="61" t="inlineStr">
        <is>
          <t>DEF-015, DEF-047</t>
        </is>
      </c>
      <c r="L40" s="60" t="inlineStr">
        <is>
          <t>結案</t>
        </is>
      </c>
      <c r="M40" s="61" t="inlineStr">
        <is>
          <t>PASS</t>
        </is>
      </c>
      <c r="N40" s="61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
R13（830056c 上 prod 前整份 one shot 重跑；Owner 6B：寫入留在 demo、不還原）：PASS — demo 真實瀏覽器（頁首 v0.1.28 · 830056c），demo 4／4 項檢查全過：「重新偵測」→ toast「✓ 偵測完成 14 檔事件已更新，1 檔無配息紀錄（TSLA）・待確認 7 筆」（全形）；待確認數＝清單（7／7／7）；帳本不變</t>
        </is>
      </c>
    </row>
    <row r="41" ht="43.5" customHeight="1" s="43">
      <c r="A41" s="57" t="inlineStr">
        <is>
          <t>C-02</t>
        </is>
      </c>
      <c r="B41" s="58" t="inlineStr">
        <is>
          <t>C</t>
        </is>
      </c>
      <c r="C41" s="59" t="inlineStr">
        <is>
          <t>現金股利確認入帳</t>
        </is>
      </c>
      <c r="D41" s="59" t="inlineStr">
        <is>
          <t>記錄基準：該檔調整成本、調整均價、未實現、回本率、總市值</t>
        </is>
      </c>
      <c r="E41" s="59" t="inlineStr">
        <is>
          <t>收件匣 → 選一筆現金股利 → 確認入帳</t>
        </is>
      </c>
      <c r="F41" s="59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9" t="inlineStr">
        <is>
          <t>會寫入。測畢以「刪除並復原」還原，並比對逐位元</t>
        </is>
      </c>
      <c r="H41" s="59" t="inlineStr">
        <is>
          <t>✅ 已驗（第一輪）</t>
        </is>
      </c>
      <c r="I41" s="60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1" t="inlineStr">
        <is>
          <t>PASS</t>
        </is>
      </c>
      <c r="K41" s="61" t="inlineStr">
        <is>
          <t>DEF-016, DEF-061</t>
        </is>
      </c>
      <c r="L41" s="60" t="inlineStr">
        <is>
          <t>結案</t>
        </is>
      </c>
      <c r="M41" s="61" t="inlineStr">
        <is>
          <t>PASS</t>
        </is>
      </c>
      <c r="N41" s="60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R13（830056c 上 prod 前整份 one shot 重跑；Owner 6B：寫入留在 demo、不還原）：PASS — demo 真實瀏覽器（頁首 v0.1.28 · 830056c），one shot 8／9＋補做 C-02R 3／3：① 確認 3008（發放日 2026-09-10，已過）寫入 1 筆（#78）：調整成本 1,870,094.81→1,736,464.81（−133,630）；② 調整均價＝調整成本÷股數＝539.2748；③ 未實現 +133,630；④ 總市值不變（28,375,145.80）；⑤ 回本率 0.0487→0.1167；⑥ TWD 池 2,046,302→2,179,932（+133,630）。⑦ 入帳日在未來：one shot 時 2330 2026-09-16 那筆（發放 10-08）因 B-11 依 6B 留下的 07-01 超賣、除息日持股為 0 而不能確認（written 0）；先以「交易帳本 › 股利」手動補一筆 3008 現金股利 1,000、發放日 2026-10-20（C-02F，#83）佐證：寫入當下 kpis／holdings／realized／allocation、現金池與報告合計皆不變（檢查程式把匯入批次數 6→7 也列入比對而判未過——單筆表單寫入本身就是一批，屬預期）；I-13 寫回 #264 補足 07-01 持股後，2330 那筆回到收件匣（除息日持股 2,000、每股 7），C-02R 確認 → 寫入 1 筆（#86），入帳日前六段皆不變、股利帳本 29→30 ✓。三筆股利依 6B 留在 demo</t>
        </is>
      </c>
    </row>
    <row r="42" ht="43.5" customHeight="1" s="43">
      <c r="A42" s="57" t="inlineStr">
        <is>
          <t>C-03</t>
        </is>
      </c>
      <c r="B42" s="58" t="inlineStr">
        <is>
          <t>C</t>
        </is>
      </c>
      <c r="C42" s="59" t="inlineStr">
        <is>
          <t>股利復原</t>
        </is>
      </c>
      <c r="D42" s="59" t="inlineStr">
        <is>
          <t>承 C-02</t>
        </is>
      </c>
      <c r="E42" s="59" t="inlineStr">
        <is>
          <t>帳本 › 股利 → 刪除並復原</t>
        </is>
      </c>
      <c r="F42" s="58" t="inlineStr">
        <is>
          <t>① toast「已復原 帳本紀錄已刪除，項目將重新出現在收件匣」；② 該筆回到收件匣待確認；③ 全部數值還原</t>
        </is>
      </c>
      <c r="G42" s="59" t="inlineStr">
        <is>
          <t>這是還原步驟</t>
        </is>
      </c>
      <c r="H42" s="59" t="inlineStr">
        <is>
          <t>✅ 已驗（第一輪）</t>
        </is>
      </c>
      <c r="I42" s="60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1" t="inlineStr">
        <is>
          <t>PASS</t>
        </is>
      </c>
      <c r="K42" s="61" t="n"/>
      <c r="L42" s="60" t="inlineStr">
        <is>
          <t>PASS</t>
        </is>
      </c>
      <c r="M42" s="61" t="inlineStr">
        <is>
          <t>PASS</t>
        </is>
      </c>
      <c r="N42" s="60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R13（830056c 上 prod 前整份 one shot 重跑；Owner 6B：寫入留在 demo、不還原）：PASS — demo 真實瀏覽器（頁首 v0.1.28 · 830056c），demo 11／11 項檢查全過：C-02 確認的 3008／2330 依 6B 留在帳本，改用 5225 2026-09-29（Net 220.00 MYR）：確認入帳 200、股利帳本 24→25；「本次已入帳」條帶「復原」→ 對話框「刪除並復原」→ DELETE /api/ledgers/dividends/79 200；項目回到收件匣；四段 JSON、帳本列數與現金池與確認前逐字相同（本題本身測復原）</t>
        </is>
      </c>
    </row>
    <row r="43" ht="43.5" customHeight="1" s="43">
      <c r="A43" s="57" t="inlineStr">
        <is>
          <t>C-04</t>
        </is>
      </c>
      <c r="B43" s="58" t="inlineStr">
        <is>
          <t>C</t>
        </is>
      </c>
      <c r="C43" s="59" t="inlineStr">
        <is>
          <t>配股（股票股利）</t>
        </is>
      </c>
      <c r="D43" s="59" t="inlineStr">
        <is>
          <t>交易帳本 › 股利 › 切到『配股』</t>
        </is>
      </c>
      <c r="E43" s="59" t="inlineStr">
        <is>
          <t>填代號、除息日、配股股數 → 送出</t>
        </is>
      </c>
      <c r="F43" s="59" t="inlineStr">
        <is>
          <t>① 股數增加；② **原始成本不變**；③ 均價下降 = 原成本 ÷ 新股數；④ 不產生已實現損益；⑤ 不動現金池</t>
        </is>
      </c>
      <c r="G43" s="59" t="inlineStr">
        <is>
          <t>會寫入。測畢刪除該筆股利並比對四段 JSON</t>
        </is>
      </c>
      <c r="H43" s="59" t="inlineStr">
        <is>
          <t>否</t>
        </is>
      </c>
      <c r="I43" s="60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1" t="inlineStr">
        <is>
          <t>PASS</t>
        </is>
      </c>
      <c r="K43" s="61" t="inlineStr">
        <is>
          <t>DEF-017</t>
        </is>
      </c>
      <c r="L43" s="60" t="inlineStr">
        <is>
          <t>結案</t>
        </is>
      </c>
      <c r="M43" s="61" t="inlineStr">
        <is>
          <t>PASS</t>
        </is>
      </c>
      <c r="N43" s="60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
R13（830056c 上 prod 前整份 one shot 重跑；Owner 6B：寫入留在 demo、不還原）：PASS — demo 真實瀏覽器（頁首 v0.1.28 · 830056c），重跑 7／7 項檢查全過：2884 配股 100 股（發放日 2026-09-30）：表單說明以 $0 成本股數入帳；寫入（preview／commit 200）；① 股數 1,550→1,650；② 原始成本 48,466.58 不變；③ 均價 31.2688→29.3737（＝成本÷新股數）；④ 無已實現；⑤ 現金池不變。one shot 首跑 5／7：配股日用 2026-09-23，早於 B-03／B-04／B-18 依 6B 留下的 09-23～09-24 賣出——帳本依日期重播，$0 成本股拉低賣出時的均價，使那幾筆賣出的成本移除與已實現改變（原始成本 62,363.38→62,708.29），是正確的重播結果，但不符本題「原始成本不變、無已實現」的單獨情境；配股日改到 09-30（晚於所有 2884 既有交易）重跑。兩筆配股依 6B 留在 demo</t>
        </is>
      </c>
    </row>
    <row r="44" ht="57.75" customHeight="1" s="43">
      <c r="A44" s="57" t="inlineStr">
        <is>
          <t>C-04b</t>
        </is>
      </c>
      <c r="B44" s="58" t="inlineStr">
        <is>
          <t>C</t>
        </is>
      </c>
      <c r="C44" s="59" t="inlineStr">
        <is>
          <t>再投資（DRIP）</t>
        </is>
      </c>
      <c r="D44" s="59" t="inlineStr">
        <is>
          <t>交易帳本 › 股利 › 切到『再投資（DRIP）』</t>
        </is>
      </c>
      <c r="E44" s="59" t="inlineStr">
        <is>
          <t>填代號、金額與再投資買進的股數／價格 → 送出</t>
        </is>
      </c>
      <c r="F44" s="59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9" t="inlineStr">
        <is>
          <t>會寫入。測畢刪除並比對</t>
        </is>
      </c>
      <c r="H44" s="59" t="inlineStr">
        <is>
          <t>否</t>
        </is>
      </c>
      <c r="I44" s="60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1" t="inlineStr">
        <is>
          <t>OBSERVE</t>
        </is>
      </c>
      <c r="K44" s="61" t="inlineStr">
        <is>
          <t>DEF-018, DEF-019</t>
        </is>
      </c>
      <c r="L44" s="60" t="inlineStr">
        <is>
          <t>結案</t>
        </is>
      </c>
      <c r="M44" s="61" t="inlineStr">
        <is>
          <t>PASS</t>
        </is>
      </c>
      <c r="N44" s="60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
R13（830056c 上 prod 前整份 one shot 重跑；Owner 6B：寫入留在 demo、不還原）：PASS — demo 真實瀏覽器（頁首 v0.1.28 · 830056c），demo 6／6 項檢查全過：AAPL 再投資（DRIP）：表單說明 net 以 $0 成本股數入帳；寫入（preview／commit 200）；① 股數 86.53925→86.55925（+0.02，④ 小數股）、原始成本 14,009.10 不變；② 均價＝14,009.10÷新股數＝161.8440；③ USD 池不變（淨額當下再投資）；依 6B 留在 demo</t>
        </is>
      </c>
    </row>
    <row r="45" ht="43.5" customHeight="1" s="43">
      <c r="A45" s="57" t="inlineStr">
        <is>
          <t>C-05</t>
        </is>
      </c>
      <c r="B45" s="58" t="inlineStr">
        <is>
          <t>C</t>
        </is>
      </c>
      <c r="C45" s="59" t="inlineStr">
        <is>
          <t>海外股利預扣稅</t>
        </is>
      </c>
      <c r="D45" s="59" t="inlineStr">
        <is>
          <t>美股標的</t>
        </is>
      </c>
      <c r="E45" s="59" t="inlineStr">
        <is>
          <t>確認一筆美股現金股利，填入預扣稅額</t>
        </is>
      </c>
      <c r="F45" s="59" t="inlineStr">
        <is>
          <t>① 現金池入帳為**淨額**；② 調整成本以淨額或總額沖減需符合規格並在畫面標示清楚；③ 稅額進入稅務包匯出</t>
        </is>
      </c>
      <c r="G45" s="59" t="inlineStr">
        <is>
          <t>測畢復原</t>
        </is>
      </c>
      <c r="H45" s="59" t="inlineStr">
        <is>
          <t>否</t>
        </is>
      </c>
      <c r="I45" s="60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1" t="inlineStr">
        <is>
          <t>PASS</t>
        </is>
      </c>
      <c r="K45" s="61" t="n"/>
      <c r="L45" s="60" t="inlineStr">
        <is>
          <t>PASS</t>
        </is>
      </c>
      <c r="M45" s="61" t="inlineStr">
        <is>
          <t>PASS</t>
        </is>
      </c>
      <c r="N45" s="60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
R13（830056c 上 prod 前整份 one shot 重跑；Owner 6B：寫入留在 demo、不還原）：PASS — demo 真實瀏覽器（頁首 v0.1.28 · 830056c），重跑 6／6 項檢查全過：AAPL 美股現金股利（嘉信，2026-09-23）Gross 10：表單說明「預扣 30% 後的淨額沖減成本」、自動帶預扣 3.00／Net 7.00；寫入（preview／commit 200）；① USD 池 400,870.48→400,877.48（+7.00）；② 調整成本 14,259.10→14,252.10（−7）、原始不變；③ 稅務包 dividends_2026.csv 有「2026-09-23,schwab,AAPL,cash,10,3.00,7.00,USD」。one shot 首跑 2／6：送出時 /api/import/preview 回 502（閘道錯誤），未寫入；重跑同一操作 200，無法重現</t>
        </is>
      </c>
    </row>
    <row r="46" ht="29.25" customHeight="1" s="43">
      <c r="A46" s="57" t="inlineStr">
        <is>
          <t>C-06</t>
        </is>
      </c>
      <c r="B46" s="58" t="inlineStr">
        <is>
          <t>C</t>
        </is>
      </c>
      <c r="C46" s="59" t="inlineStr">
        <is>
          <t>略過（不入帳）</t>
        </is>
      </c>
      <c r="D46" s="59" t="inlineStr">
        <is>
          <t>收件匣有待確認項</t>
        </is>
      </c>
      <c r="E46" s="59" t="inlineStr">
        <is>
          <t>按「略過」</t>
        </is>
      </c>
      <c r="F46" s="59" t="inlineStr">
        <is>
          <t>① 該筆離開待確認清單；② **不寫入帳本**；③ 可再次被偵測出來（或有明確的已略過狀態）</t>
        </is>
      </c>
      <c r="G46" s="59" t="inlineStr">
        <is>
          <t>不寫帳本，但會改變收件匣狀態——記下被略過的項目以便回復</t>
        </is>
      </c>
      <c r="H46" s="59" t="inlineStr">
        <is>
          <t>否</t>
        </is>
      </c>
      <c r="I46" s="60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1" t="inlineStr">
        <is>
          <t>PASS</t>
        </is>
      </c>
      <c r="K46" s="61" t="n"/>
      <c r="L46" s="60" t="inlineStr">
        <is>
          <t>PASS</t>
        </is>
      </c>
      <c r="M46" s="61" t="inlineStr">
        <is>
          <t>PASS</t>
        </is>
      </c>
      <c r="N46" s="6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
R13（830056c 上 prod 前整份 one shot 重跑；Owner 6B：寫入留在 demo、不還原）：PASS — demo 真實瀏覽器（頁首 v0.1.28 · 830056c），demo 5／5 項檢查全過：略過 1155 2026-09-23（skip 200）：離開待確認、股利帳本仍 26、列於「已忽略」並提供「取消忽略」（依 6B 留在已忽略）</t>
        </is>
      </c>
    </row>
    <row r="47" ht="43.5" customHeight="1" s="43">
      <c r="A47" s="57" t="inlineStr">
        <is>
          <t>C-07</t>
        </is>
      </c>
      <c r="B47" s="58" t="inlineStr">
        <is>
          <t>C</t>
        </is>
      </c>
      <c r="C47" s="59" t="inlineStr">
        <is>
          <t>全部確認</t>
        </is>
      </c>
      <c r="D47" s="59" t="inlineStr">
        <is>
          <t>收件匣有多筆</t>
        </is>
      </c>
      <c r="E47" s="59" t="inlineStr">
        <is>
          <t>按「全部確認」</t>
        </is>
      </c>
      <c r="F47" s="59" t="inlineStr">
        <is>
          <t>逐筆入帳、筆數正確、可逐筆復原</t>
        </is>
      </c>
      <c r="G47" s="58" t="inlineStr">
        <is>
          <t>**風險較高**：會一次寫入多筆。建議最後再測，或先用單筆確認替代</t>
        </is>
      </c>
      <c r="H47" s="59" t="inlineStr">
        <is>
          <t>否</t>
        </is>
      </c>
      <c r="I47" s="60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1" t="inlineStr">
        <is>
          <t>PASS</t>
        </is>
      </c>
      <c r="K47" s="61" t="n"/>
      <c r="L47" s="60" t="inlineStr">
        <is>
          <t>PASS</t>
        </is>
      </c>
      <c r="M47" s="61" t="inlineStr">
        <is>
          <t>PASS</t>
        </is>
      </c>
      <c r="N47" s="60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
R13（830056c 上 prod 前整份 one shot 重跑；Owner 6B：寫入留在 demo、不還原）：BLOCKED — demo 真實瀏覽器（頁首 v0.1.28 · 830056c），demo 0／4 項：前置條件「收件匣有多筆」（同一標的多筆可「全部確認」）在 6B 下不成立——收件匣每組只剩 1 筆：AAPL 原有嘉信與 Moomoo MY 各一筆（2026-08-10），嘉信那筆因 C-04b 依 6B 留下的 2026-09-23 再投資股利落在 45 天比對視窗內（api/dividend_inbox.py _MATCH_WINDOW_DAYS＝45）而視為已入帳、不再列出；按 AAPL「全部確認」→ 對話框「將 1 筆偵測到的配息寫入股利帳本」→ 寫入 1 筆（#82），可復原（復原後股利帳本回到確認前 26 列）。其餘標的皆單筆，demo 上沒有可替代的多筆組合，無法照步驟驗「逐筆入帳、筆數正確」→ BLOCKED，請 Owner 決定：在 demo 補造同一標的多筆待確認的情境重測、改在本機驗，或接受 R12 的結果（d2e5e08 全部確認 2 筆 #76、#77）
R14（c9a44ac 複驗 DEF-087～091；手冊 §9 第 2 條，各題測完還原並比對）：PASS — demo 真實瀏覽器（頁首 v0.1.28 · c9a44ac）（demo 已依 Owner 裁定 4A 還原到 R13 前，收件匣 AAPL 回到嘉信與 Moomoo MY 各 1 筆），demo 5／5 項：AAPL「全部確認」→ 對話框「將 2 筆偵測到的配息寫入股利帳本（金額由後端依除息日持股重新計算）」→ 寫入 2 筆（#78、#79）、股利帳本 23→25；「本次已入帳」逐筆「復原」兩次 → 回到 23；分段與案例開始時逐字相同（R13 的 BLOCKED 解除）</t>
        </is>
      </c>
    </row>
    <row r="48" ht="43.5" customHeight="1" s="43">
      <c r="A48" s="57" t="inlineStr">
        <is>
          <t>C-08</t>
        </is>
      </c>
      <c r="B48" s="58" t="inlineStr">
        <is>
          <t>C</t>
        </is>
      </c>
      <c r="C48" s="59" t="inlineStr">
        <is>
          <t>除息日曆與配息預測</t>
        </is>
      </c>
      <c r="D48" s="59" t="inlineStr">
        <is>
          <t>儀表板</t>
        </is>
      </c>
      <c r="E48" s="59" t="inlineStr">
        <is>
          <t>檢視除息行事曆與配息預測卡</t>
        </is>
      </c>
      <c r="F48" s="59" t="inlineStr">
        <is>
          <t>① 日期與 `dividend_events` 一致；② 預測金額 = 持股數 × 每股配息，與帳本可對帳；③ 已過期事件不應顯示為未來</t>
        </is>
      </c>
      <c r="G48" s="59" t="inlineStr">
        <is>
          <t>唯讀</t>
        </is>
      </c>
      <c r="H48" s="59" t="inlineStr">
        <is>
          <t>否</t>
        </is>
      </c>
      <c r="I48" s="60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1" t="inlineStr">
        <is>
          <t>PASS</t>
        </is>
      </c>
      <c r="K48" s="61" t="n"/>
      <c r="L48" s="60" t="inlineStr">
        <is>
          <t>PASS</t>
        </is>
      </c>
      <c r="M48" s="61" t="inlineStr">
        <is>
          <t>PASS</t>
        </is>
      </c>
      <c r="N48" s="60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
R13（830056c 上 prod 前整份 one shot 重跑；Owner 6B：寫入留在 demo、不還原）：PASS — demo 真實瀏覽器（頁首 v0.1.28 · 830056c），demo 1／1 項檢查全過：即將除息只列 0056（除息 2026-10-22、發放 2026-11-11），無過去事件被當成即將發生；配息預測基礎 declared_only（本年無已宣告金額）</t>
        </is>
      </c>
    </row>
    <row r="49" ht="29.25" customHeight="1" s="43">
      <c r="A49" s="57" t="inlineStr">
        <is>
          <t>C-09</t>
        </is>
      </c>
      <c r="B49" s="58" t="inlineStr">
        <is>
          <t>C</t>
        </is>
      </c>
      <c r="C49" s="59" t="inlineStr">
        <is>
          <t>股利帳本匯出對帳</t>
        </is>
      </c>
      <c r="D49" s="58" t="inlineStr">
        <is>
          <t>—</t>
        </is>
      </c>
      <c r="E49" s="59" t="inlineStr">
        <is>
          <t>匯出股利帳本 CSV</t>
        </is>
      </c>
      <c r="F49" s="59" t="inlineStr">
        <is>
          <t>列數 = 畫面列數；每列金額、日期、帳戶、代號與畫面逐位元一致</t>
        </is>
      </c>
      <c r="G49" s="59" t="inlineStr">
        <is>
          <t>唯讀</t>
        </is>
      </c>
      <c r="H49" s="59" t="inlineStr">
        <is>
          <t>部分（已驗端點回 200）</t>
        </is>
      </c>
      <c r="I49" s="60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1" t="inlineStr">
        <is>
          <t>PASS</t>
        </is>
      </c>
      <c r="K49" s="61" t="n"/>
      <c r="L49" s="60" t="inlineStr">
        <is>
          <t>PASS</t>
        </is>
      </c>
      <c r="M49" s="61" t="inlineStr">
        <is>
          <t>PASS</t>
        </is>
      </c>
      <c r="N49" s="6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
R13（830056c 上 prod 前整份 one shot 重跑；Owner 6B：寫入留在 demo、不還原）：PASS — demo 真實瀏覽器（頁首 v0.1.28 · 830056c），demo 2／2 項檢查全過：股利帳本匯出 26 列＝帳本 26 列，逐列日期／帳戶／代號／gross／net 相符（缺 0）；畫面 26</t>
        </is>
      </c>
    </row>
    <row r="50" ht="29.25" customHeight="1" s="43">
      <c r="A50" s="57" t="inlineStr">
        <is>
          <t>C-10</t>
        </is>
      </c>
      <c r="B50" s="58" t="inlineStr">
        <is>
          <t>C</t>
        </is>
      </c>
      <c r="C50" s="59" t="inlineStr">
        <is>
          <t>利息與股利的界線</t>
        </is>
      </c>
      <c r="D50" s="59" t="inlineStr">
        <is>
          <t>承 A-07</t>
        </is>
      </c>
      <c r="E50" s="59" t="inlineStr">
        <is>
          <t>寫入一筆利息後檢視持倉與已實現</t>
        </is>
      </c>
      <c r="F50" s="59" t="inlineStr">
        <is>
          <t>利息**不得**出現在股利帳本、不得沖減成本、不得計入已實現損益；只出現在資金收支</t>
        </is>
      </c>
      <c r="G50" s="59" t="inlineStr">
        <is>
          <t>測畢刪除</t>
        </is>
      </c>
      <c r="H50" s="59" t="inlineStr">
        <is>
          <t>否</t>
        </is>
      </c>
      <c r="I50" s="60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1" t="inlineStr">
        <is>
          <t>PASS</t>
        </is>
      </c>
      <c r="K50" s="61" t="n"/>
      <c r="L50" s="60" t="inlineStr">
        <is>
          <t>PASS</t>
        </is>
      </c>
      <c r="M50" s="61" t="inlineStr">
        <is>
          <t>PASS</t>
        </is>
      </c>
      <c r="N50" s="60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
R13（830056c 上 prod 前整份 one shot 重跑；Owner 6B：寫入留在 demo、不還原）：PASS — demo 真實瀏覽器（頁首 v0.1.28 · 830056c），demo 5／5 項檢查全過：利息 #137 只進資金收支：不進股利帳本（26）、不沖成本、不進已實現與股利</t>
        </is>
      </c>
    </row>
    <row r="51" ht="16.5" customHeight="1" s="43">
      <c r="A51" s="54" t="inlineStr">
        <is>
          <t>D. 公司行動：拆股／合股／換股（更名・ticker 變更）／分拆</t>
        </is>
      </c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6" t="n"/>
    </row>
    <row r="52" ht="100.5" customHeight="1" s="43">
      <c r="A52" s="57" t="inlineStr">
        <is>
          <t>D-00</t>
        </is>
      </c>
      <c r="B52" s="58" t="inlineStr">
        <is>
          <t>D</t>
        </is>
      </c>
      <c r="C52" s="59" t="inlineStr">
        <is>
          <t>三個入口都能開到同一張表單</t>
        </is>
      </c>
      <c r="D52" s="59" t="inlineStr">
        <is>
          <t>表單是共用元件 `pdCorpActionForm`，規格 §6.7 明定三個入口</t>
        </is>
      </c>
      <c r="E52" s="59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9" t="inlineStr">
        <is>
          <t>三個入口打開的是**同一張表單**，且預填一致（門 2 帶入該標的與帳戶；門 3 另帶入賣出日期作為日期上限）</t>
        </is>
      </c>
      <c r="G52" s="59" t="inlineStr">
        <is>
          <t>唯讀（只要不按『登錄公司行動』）</t>
        </is>
      </c>
      <c r="H52" s="59" t="inlineStr">
        <is>
          <t>否</t>
        </is>
      </c>
      <c r="I52" s="60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1" t="inlineStr">
        <is>
          <t>BLOCKED</t>
        </is>
      </c>
      <c r="K52" s="61" t="inlineStr">
        <is>
          <t>DEF-072</t>
        </is>
      </c>
      <c r="L52" s="60" t="inlineStr">
        <is>
          <t>結案</t>
        </is>
      </c>
      <c r="M52" s="61" t="inlineStr">
        <is>
          <t>PASS</t>
        </is>
      </c>
      <c r="N52" s="60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5／5 項檢查全過：demo（one shot 與重跑各 3／3）：門 1／門 3 開同一張表單（三種行動類型、相同欄位），門 3 帶入台灣券商／2330、日期＝賣出日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87dd2c5d34e0707d 前後相同</t>
        </is>
      </c>
    </row>
    <row r="53" ht="29.25" customHeight="1" s="43">
      <c r="A53" s="57" t="inlineStr">
        <is>
          <t>D-01</t>
        </is>
      </c>
      <c r="B53" s="58" t="inlineStr">
        <is>
          <t>D</t>
        </is>
      </c>
      <c r="C53" s="59" t="inlineStr">
        <is>
          <t>基準盤點</t>
        </is>
      </c>
      <c r="D53" s="58" t="inlineStr">
        <is>
          <t>—</t>
        </is>
      </c>
      <c r="E53" s="59" t="inlineStr">
        <is>
          <t>匯出公司行動帳本；讀 `GET /api/dashboard` 的 `unapplied_actions`</t>
        </is>
      </c>
      <c r="F53" s="59" t="inlineStr">
        <is>
          <t>記錄目前列數（稽核時為 **0 列、僅表頭**）與未套用提示的內容，作為後續比對基準</t>
        </is>
      </c>
      <c r="G53" s="59" t="inlineStr">
        <is>
          <t>唯讀</t>
        </is>
      </c>
      <c r="H53" s="59" t="inlineStr">
        <is>
          <t>部分（僅確認為空）</t>
        </is>
      </c>
      <c r="I53" s="60" t="inlineStr">
        <is>
          <t>匯出公司行動帳本 ledger_actions_all_all.csv：僅表頭 1 行（0 列）；GET /api/ledgers/corporate-actions total_count 0；GET /api/dashboard unapplied_actions = []</t>
        </is>
      </c>
      <c r="J53" s="61" t="inlineStr">
        <is>
          <t>PASS</t>
        </is>
      </c>
      <c r="K53" s="61" t="n"/>
      <c r="L53" s="60" t="inlineStr">
        <is>
          <t>PASS</t>
        </is>
      </c>
      <c r="M53" s="61" t="inlineStr">
        <is>
          <t>PASS</t>
        </is>
      </c>
      <c r="N53" s="60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
R13（830056c 上 prod 前整份 one shot 重跑；Owner 6B：寫入留在 demo、不還原）：PASS — demo 真實瀏覽器（頁首 v0.1.28 · 830056c），demo 3／3 項檢查全過：公司行動帳本匯出只有表頭（0 列）、帳本總數 0、unapplied_actions []</t>
        </is>
      </c>
    </row>
    <row r="54" ht="57.75" customHeight="1" s="43">
      <c r="A54" s="57" t="inlineStr">
        <is>
          <t>D-02</t>
        </is>
      </c>
      <c r="B54" s="58" t="inlineStr">
        <is>
          <t>D</t>
        </is>
      </c>
      <c r="C54" s="59" t="inlineStr">
        <is>
          <t>試算（成本守恆檢查）先於寫入</t>
        </is>
      </c>
      <c r="D54" s="59" t="inlineStr">
        <is>
          <t>門 1：交易帳本 › 公司行動分頁 › ＋補登公司行動</t>
        </is>
      </c>
      <c r="E54" s="59" t="inlineStr">
        <is>
          <t>選類型、填帳戶／代號／行動日期／比例後，看表單下方的**「試算（成本守恆檢查）」**區（`POST /api/ledgers/corporate-actions/preview`）</t>
        </is>
      </c>
      <c r="F54" s="59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9" t="inlineStr">
        <is>
          <t>唯讀（只要不按登錄）</t>
        </is>
      </c>
      <c r="H54" s="59" t="inlineStr">
        <is>
          <t>否</t>
        </is>
      </c>
      <c r="I54" s="60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1" t="inlineStr">
        <is>
          <t>FAIL</t>
        </is>
      </c>
      <c r="K54" s="61" t="inlineStr">
        <is>
          <t>DEF-005</t>
        </is>
      </c>
      <c r="L54" s="60" t="inlineStr">
        <is>
          <t>結案</t>
        </is>
      </c>
      <c r="M54" s="61" t="inlineStr">
        <is>
          <t>PASS</t>
        </is>
      </c>
      <c r="N54" s="60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
R13（830056c 上 prod 前整份 one shot 重跑；Owner 6B：寫入留在 demo、不還原）：PASS — demo 真實瀏覽器（頁首 v0.1.28 · 830056c），demo 5／6 項（未過 1 項是檢查程式的期望數字以原步驟的 2884 100 股計，依數據改判）：2884 1→3 分割試算 200，畫面「行動前 2884 1,400 44.79 62,708 → 行動後 2884 4,200 14.93 62,708 ✓ 成本不變」——4,200＝1,400×3、14.93＝62,708÷4,200，新股數、均價與成本守恆皆正確；① 按「登錄」前未寫入；③ 表單註明只收整數、比例 1.5 被拒（確認鍵停用）；未寫入任何行動（0 筆）</t>
        </is>
      </c>
    </row>
    <row r="55" ht="43.5" customHeight="1" s="43">
      <c r="A55" s="57" t="inlineStr">
        <is>
          <t>D-02b</t>
        </is>
      </c>
      <c r="B55" s="58" t="inlineStr">
        <is>
          <t>D</t>
        </is>
      </c>
      <c r="C55" s="59" t="inlineStr">
        <is>
          <t>一筆行動套用到所有持有帳戶</t>
        </is>
      </c>
      <c r="D55" s="59" t="inlineStr">
        <is>
          <t>選一檔**兩個帳戶都持有**的標的（例如 AAPL）</t>
        </is>
      </c>
      <c r="E55" s="59" t="inlineStr">
        <is>
          <t>登錄一筆該標的的公司行動</t>
        </is>
      </c>
      <c r="F55" s="59" t="inlineStr">
        <is>
          <t>表單已明說「公司行動會自動套用到所有持有這檔股票的帳戶」——驗證兩個帳戶的股數與均價**都**被調整，且各自的成本基礎獨立守恆</t>
        </is>
      </c>
      <c r="G55" s="59" t="inlineStr">
        <is>
          <t>會改寫多個帳戶的持倉。務必刪除還原並比對兩邊</t>
        </is>
      </c>
      <c r="H55" s="59" t="inlineStr">
        <is>
          <t>否</t>
        </is>
      </c>
      <c r="I55" s="6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1" t="inlineStr">
        <is>
          <t>PASS</t>
        </is>
      </c>
      <c r="K55" s="61" t="n"/>
      <c r="L55" s="60" t="inlineStr">
        <is>
          <t>PASS</t>
        </is>
      </c>
      <c r="M55" s="61" t="inlineStr">
        <is>
          <t>PASS</t>
        </is>
      </c>
      <c r="N55" s="60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
R13（830056c 上 prod 前整份 one shot 重跑；Owner 6B：寫入留在 demo、不還原）：PASS — demo 真實瀏覽器（頁首 v0.1.28 · 830056c），demo 7／7 項檢查全過：AAPL 1→2：試算列出兩個持有帳戶（Moomoo MY 10.006458→20.012915、成本 2,401.00 不變；嘉信同列）且成本守恆；寫入 2 筆（#83、#84）、兩帳戶皆 ×2（嘉信 173.1185、Moomoo 20.0129）、各帳戶成本不變；最新收盤 2026-09-30 抓取、早於行動日 → 依 §5.1(c) ÷2，總市值不變（28,379,850.74）；只刪一筆 → 422 partial_action_set_change（依 6B 不整組刪除）</t>
        </is>
      </c>
    </row>
    <row r="56" ht="57.75" customHeight="1" s="43">
      <c r="A56" s="57" t="inlineStr">
        <is>
          <t>D-02c</t>
        </is>
      </c>
      <c r="B56" s="58" t="inlineStr">
        <is>
          <t>D</t>
        </is>
      </c>
      <c r="C56" s="59" t="inlineStr">
        <is>
          <t>重組費用寫成現金支出</t>
        </is>
      </c>
      <c r="D56" s="59" t="inlineStr">
        <is>
          <t>同上，表單的「重組費用（選填）」</t>
        </is>
      </c>
      <c r="E56" s="59" t="inlineStr">
        <is>
          <t>填入重組費用金額後登錄</t>
        </is>
      </c>
      <c r="F56" s="59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9" t="inlineStr">
        <is>
          <t>同時動持倉與現金，兩邊都要還原</t>
        </is>
      </c>
      <c r="H56" s="59" t="inlineStr">
        <is>
          <t>否</t>
        </is>
      </c>
      <c r="I56" s="6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1" t="inlineStr">
        <is>
          <t>PASS</t>
        </is>
      </c>
      <c r="K56" s="61" t="n"/>
      <c r="L56" s="60" t="inlineStr">
        <is>
          <t>PASS</t>
        </is>
      </c>
      <c r="M56" s="61" t="inlineStr">
        <is>
          <t>PASS</t>
        </is>
      </c>
      <c r="N56" s="60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
R13（830056c 上 prod 前整份 one shot 重跑；Owner 6B：寫入留在 demo、不還原）：PASS — demo 真實瀏覽器（頁首 v0.1.28 · 830056c），one shot 6／6＋補做 D-02cN 7／7：one shot（依 6B 改用 8299）8299 1→2 附重組費 50：toast「已一併登錄重組費用 50 TWD，記為現金支出（不計入成本基礎）；刪除此公司行動時會一併刪除」、資金收支 WITHDRAW 50（#138）備註可追溯、不進成本、TWD 池 −50；但當時 2330 為賣超部位，整體 XIRR 與融資成本為空，「不進 XIRR」一項是空對空。I-13 之後補做 D-02cN：NVDA（嘉信）1→2 附重組費 50 USD → toast 同上、WITHDRAW 50 USD（#143）備註「重組費用 NVDA 2026-10-01」、不進成本（2,800）、USD 池 −50；淨投入 13,619,808.67 與融資成本 510.696 前後相同；XIRR 14.6991→14.7773 只因 NVDA 收盤於行動日抓取、依 §5.1(c) 不再 ÷2（市值差 147,045.37），與費用無關。兩筆行動與費用依 6B 留在 demo</t>
        </is>
      </c>
    </row>
    <row r="57" ht="57.75" customHeight="1" s="43">
      <c r="A57" s="57" t="inlineStr">
        <is>
          <t>D-03</t>
        </is>
      </c>
      <c r="B57" s="58" t="inlineStr">
        <is>
          <t>D</t>
        </is>
      </c>
      <c r="C57" s="59" t="inlineStr">
        <is>
          <t>拆股 1→3（SPLIT）</t>
        </is>
      </c>
      <c r="D57" s="59" t="inlineStr">
        <is>
          <t>選一檔持股，記錄股數 S、原始均價 P、原始成本 C、市值 V、已實現</t>
        </is>
      </c>
      <c r="E57" s="59" t="inlineStr">
        <is>
          <t>＋補登公司行動 → 選『同一檔股票，股數變多或變少』→ 每持有 1 股 → 變成 3 股 → 看試算 → 登錄公司行動</t>
        </is>
      </c>
      <c r="F57" s="59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8" t="inlineStr">
        <is>
          <t>**會改寫持倉**。測畢以刪除該公司行動列還原，並比對股數、均價、成本、市值逐位元</t>
        </is>
      </c>
      <c r="H57" s="59" t="inlineStr">
        <is>
          <t>否（本次稽核完全未測）</t>
        </is>
      </c>
      <c r="I57" s="60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1" t="inlineStr">
        <is>
          <t>PASS</t>
        </is>
      </c>
      <c r="K57" s="61" t="n"/>
      <c r="L57" s="60" t="inlineStr">
        <is>
          <t>PASS</t>
        </is>
      </c>
      <c r="M57" s="61" t="inlineStr">
        <is>
          <t>PASS</t>
        </is>
      </c>
      <c r="N57" s="60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
R13（830056c 上 prod 前整份 one shot 重跑；Owner 6B：寫入留在 demo、不還原）：PASS — demo 真實瀏覽器（頁首 v0.1.28 · 830056c），demo 7／7 項檢查全過：（2884 已用於前題，依 6B 改用 2317）2317 1→3：試算 600→1,800、成本 106,210 守恆；寫入 #86；① 股數 1,800；② 均價 59.0056；③ 原始成本不變；④ 收盤 2026-09-30 早於行動日 → §5.1(c) 價格 ÷3（84.3333）、市值 151,800 不變；⑤ 已實現不變（依 6B 留下，D-09 承接）</t>
        </is>
      </c>
    </row>
    <row r="58" ht="43.5" customHeight="1" s="43">
      <c r="A58" s="57" t="inlineStr">
        <is>
          <t>D-04</t>
        </is>
      </c>
      <c r="B58" s="58" t="inlineStr">
        <is>
          <t>D</t>
        </is>
      </c>
      <c r="C58" s="59" t="inlineStr">
        <is>
          <t>合股 5→1（反向分割）</t>
        </is>
      </c>
      <c r="D58" s="59" t="inlineStr">
        <is>
          <t>同 D-03</t>
        </is>
      </c>
      <c r="E58" s="59" t="inlineStr">
        <is>
          <t>每持有 5 股 → 變成 1 股 → 確認</t>
        </is>
      </c>
      <c r="F58" s="59" t="inlineStr">
        <is>
          <t>① 股數 = S÷5；② 均價 = P×5；③ 原始成本不變；④ **餘數（不足 5 股的零股）如何處理**需明確：現金補償或無條件捨去，畫面須說明</t>
        </is>
      </c>
      <c r="G58" s="59" t="inlineStr">
        <is>
          <t>同 D-03，務必還原</t>
        </is>
      </c>
      <c r="H58" s="59" t="inlineStr">
        <is>
          <t>否</t>
        </is>
      </c>
      <c r="I58" s="60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1" t="inlineStr">
        <is>
          <t>PASS</t>
        </is>
      </c>
      <c r="K58" s="61" t="n"/>
      <c r="L58" s="60" t="inlineStr">
        <is>
          <t>PASS</t>
        </is>
      </c>
      <c r="M58" s="61" t="inlineStr">
        <is>
          <t>PASS</t>
        </is>
      </c>
      <c r="N58" s="6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
R13（830056c 上 prod 前整份 one shot 重跑；Owner 6B：寫入留在 demo、不還原）：PASS — demo 真實瀏覽器（頁首 v0.1.28 · 830056c），demo 5／5 項檢查全過：（依 6B 改用 2603）2603 5→1：股數 1,500→300、均價 928.8225、成本 278,646.75 不變；收盤早於行動日 → 價格 ×5、總市值不變；寫入 #87（依 6B 留下）</t>
        </is>
      </c>
    </row>
    <row r="59" ht="29.25" customHeight="1" s="43">
      <c r="A59" s="57" t="inlineStr">
        <is>
          <t>D-05</t>
        </is>
      </c>
      <c r="B59" s="58" t="inlineStr">
        <is>
          <t>D</t>
        </is>
      </c>
      <c r="C59" s="59" t="inlineStr">
        <is>
          <t>合股產生小數股</t>
        </is>
      </c>
      <c r="D59" s="59" t="inlineStr">
        <is>
          <t>選一檔股數不能被比例整除的持倉</t>
        </is>
      </c>
      <c r="E59" s="59" t="inlineStr">
        <is>
          <t>以會產生餘數的比例合股</t>
        </is>
      </c>
      <c r="F59" s="59" t="inlineStr">
        <is>
          <t>系統不得靜默產生小數股或吞掉餘額；需有明確處理與說明</t>
        </is>
      </c>
      <c r="G59" s="59" t="inlineStr">
        <is>
          <t>同上</t>
        </is>
      </c>
      <c r="H59" s="59" t="inlineStr">
        <is>
          <t>否</t>
        </is>
      </c>
      <c r="I59" s="6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1" t="inlineStr">
        <is>
          <t>PASS</t>
        </is>
      </c>
      <c r="K59" s="61" t="n"/>
      <c r="L59" s="60" t="inlineStr">
        <is>
          <t>PASS</t>
        </is>
      </c>
      <c r="M59" s="61" t="inlineStr">
        <is>
          <t>PASS</t>
        </is>
      </c>
      <c r="N59" s="60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
R13（830056c 上 prod 前整份 one shot 重跑；Owner 6B：寫入留在 demo、不還原）：PASS — demo 真實瀏覽器（頁首 v0.1.28 · 830056c），demo 4／4 項檢查全過：（依 6B 改用 0056）0056 3→1：試算 5,000→1,666.666667（非整數）、成本 190,027 守恆；彈窗「產生 0.666667 股 0056 零股，券商通常折現（cash in lieu）。要現在補登這筆賣出嗎？…」；成本未被吞掉；寫入 #88（依 6B 留下，未補登零股賣出）</t>
        </is>
      </c>
    </row>
    <row r="60" ht="72" customHeight="1" s="43">
      <c r="A60" s="57" t="inlineStr">
        <is>
          <t>D-06</t>
        </is>
      </c>
      <c r="B60" s="58" t="inlineStr">
        <is>
          <t>D</t>
        </is>
      </c>
      <c r="C60" s="59" t="inlineStr">
        <is>
          <t>換股／更名（EXCHANGE，1:1）</t>
        </is>
      </c>
      <c r="D60" s="59" t="inlineStr">
        <is>
          <t>選一檔持股 X，記錄其股數、成本、目標價、觀察清單狀態</t>
        </is>
      </c>
      <c r="E60" s="59" t="inlineStr">
        <is>
          <t>＋補登公司行動 → 選『整個部位換成另一檔股票』→ 每 1 股 → 換得 1 股新代號 Y → 看試算 → 登錄公司行動</t>
        </is>
      </c>
      <c r="F60" s="58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8" t="inlineStr">
        <is>
          <t>**影響範圍最大**。務必先記錄完整基準，測畢刪除並全面比對</t>
        </is>
      </c>
      <c r="H60" s="59" t="inlineStr">
        <is>
          <t>否</t>
        </is>
      </c>
      <c r="I60" s="60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1" t="inlineStr">
        <is>
          <t>PASS</t>
        </is>
      </c>
      <c r="K60" s="61" t="n"/>
      <c r="L60" s="60" t="inlineStr">
        <is>
          <t>PASS</t>
        </is>
      </c>
      <c r="M60" s="61" t="inlineStr">
        <is>
          <t>PASS</t>
        </is>
      </c>
      <c r="N60" s="60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
R13（830056c 上 prod 前整份 one shot 重跑；Owner 6B：寫入留在 demo、不還原）：PASS — demo 真實瀏覽器（頁首 v0.1.28 · 830056c），重跑 8／8 項檢查全過（台股持股當天皆已有本輪的公司行動，同日同標的不得再登錄，依 6B 改用 TSLA → AMD，嘉信）：TSLA 目標帶 40／55 → 表單註明目標帶將移到 AMD → 寫入 #92（band_moved TSLA→AMD 40／55）；① TSLA 歸零、AMD 出現 127 股；② 成本 43,230 原封移轉；③ AMD 目標帶 40／55、TSLA 清空；④ 舊交易 10 列仍記 TSLA；⑤ TSLA 舊卡 15 張保留代號、未被標未知代碼。one shot 首跑 4／8：改用 2603 → 2609，但 2603 當天已有 D-04 的合股，後端以「同一天、同一標的的兩筆行動…」拒絕、未寫入（設計）；首跑設的 2603 目標帶 40／55 依 6B 留在 demo</t>
        </is>
      </c>
    </row>
    <row r="61" ht="29.25" customHeight="1" s="43">
      <c r="A61" s="57" t="inlineStr">
        <is>
          <t>D-07</t>
        </is>
      </c>
      <c r="B61" s="58" t="inlineStr">
        <is>
          <t>D</t>
        </is>
      </c>
      <c r="C61" s="59" t="inlineStr">
        <is>
          <t>換股（非 1:1，含現金找補）</t>
        </is>
      </c>
      <c r="D61" s="59" t="inlineStr">
        <is>
          <t>同上</t>
        </is>
      </c>
      <c r="E61" s="59" t="inlineStr">
        <is>
          <t>＋補登公司行動 → 『整個部位換成另一檔股票』→ 每 2 股 → 換得 1 股新代號</t>
        </is>
      </c>
      <c r="F61" s="59" t="inlineStr">
        <is>
          <t>① 新股數與成本分攤正確；② 重組費用會寫出一筆現金 WITHDRAW（kind=出金），金額與備註正確</t>
        </is>
      </c>
      <c r="G61" s="59" t="inlineStr">
        <is>
          <t>會同時動持倉與現金。兩邊都要還原</t>
        </is>
      </c>
      <c r="H61" s="59" t="inlineStr">
        <is>
          <t>否</t>
        </is>
      </c>
      <c r="I61" s="60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1" t="inlineStr">
        <is>
          <t>PASS</t>
        </is>
      </c>
      <c r="K61" s="61" t="n"/>
      <c r="L61" s="60" t="inlineStr">
        <is>
          <t>PASS</t>
        </is>
      </c>
      <c r="M61" s="61" t="inlineStr">
        <is>
          <t>PASS</t>
        </is>
      </c>
      <c r="N61" s="60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
R13（830056c 上 prod 前整份 one shot 重跑；Owner 6B：寫入留在 demo、不還原）：PASS — demo 真實瀏覽器（頁首 v0.1.28 · 830056c），重跑 3／3 項檢查全過（依 6B 改用 MSFT → SPCX，嘉信）：MSFT 每 2 股換 1 股 SPCX 附重組費 30 → 寫入 #93；① 66.74796 股 → SPCX 33.37398 股、成本移轉、均價＝成本÷新股數；② WITHDRAW 30 USD（#142）備註「重組費用 MSFT…」可追溯。one shot 首跑 0／3：改用 8299 → 2412，但 8299 當天已有 D-02c 的分割，同日同標的被拒、未寫入</t>
        </is>
      </c>
    </row>
    <row r="62" ht="57.75" customHeight="1" s="43">
      <c r="A62" s="57" t="inlineStr">
        <is>
          <t>D-08</t>
        </is>
      </c>
      <c r="B62" s="58" t="inlineStr">
        <is>
          <t>D</t>
        </is>
      </c>
      <c r="C62" s="59" t="inlineStr">
        <is>
          <t>分拆（SPINOFF）</t>
        </is>
      </c>
      <c r="D62" s="59" t="inlineStr">
        <is>
          <t>選一檔持股</t>
        </is>
      </c>
      <c r="E62" s="59" t="inlineStr">
        <is>
          <t>＋補登公司行動 → 選『原持股不變，另外多拿到一檔新股票』→ 每 1 股 → 另外配發 1 股 Y（比例只收整數）→ 看試算 → 登錄公司行動</t>
        </is>
      </c>
      <c r="F62" s="59" t="inlineStr">
        <is>
          <t>① 原持股股數不變；② 新增 Y 部位；③ **成本在母子之間分攤**，分攤比例需可檢視且母+子 = 原成本；④ 分攤後兩邊均價正確</t>
        </is>
      </c>
      <c r="G62" s="59" t="inlineStr">
        <is>
          <t>同 D-03，務必還原</t>
        </is>
      </c>
      <c r="H62" s="59" t="inlineStr">
        <is>
          <t>否</t>
        </is>
      </c>
      <c r="I62" s="60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1" t="inlineStr">
        <is>
          <t>PASS</t>
        </is>
      </c>
      <c r="K62" s="61" t="n"/>
      <c r="L62" s="60" t="inlineStr">
        <is>
          <t>PASS</t>
        </is>
      </c>
      <c r="M62" s="61" t="inlineStr">
        <is>
          <t>PASS</t>
        </is>
      </c>
      <c r="N62" s="6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
R13（830056c 上 prod 前整份 one shot 重跑；Owner 6B：寫入留在 demo、不還原）：PASS — demo 真實瀏覽器（頁首 v0.1.28 · 830056c），demo 7／7 項檢查全過：（子公司代號依 6B 改用 2308）2884 分拆 2308：試算「行動前 2884 1,400 股 62,708 → 母 43,896＋子 2308 18,812 ✓ 成本合計不變」；寫入 #89；① 母股數仍 1,400；② 子部位 1,400 股；③ 43,895.80＋18,812.49＝62,708.29、帳本列可見分拆比例；④ 均價 31.354／13.437（依 6B 留下）</t>
        </is>
      </c>
    </row>
    <row r="63" ht="29.25" customHeight="1" s="43">
      <c r="A63" s="57" t="inlineStr">
        <is>
          <t>D-09</t>
        </is>
      </c>
      <c r="B63" s="58" t="inlineStr">
        <is>
          <t>D</t>
        </is>
      </c>
      <c r="C63" s="59" t="inlineStr">
        <is>
          <t>公司行動後再賣出</t>
        </is>
      </c>
      <c r="D63" s="59" t="inlineStr">
        <is>
          <t>承 D-03（已拆股）</t>
        </is>
      </c>
      <c r="E63" s="59" t="inlineStr">
        <is>
          <t>賣出拆股後的部分股數</t>
        </is>
      </c>
      <c r="F63" s="59" t="inlineStr">
        <is>
          <t>已實現損益以**拆股後的均價**計算；成本移除量正確</t>
        </is>
      </c>
      <c r="G63" s="59" t="inlineStr">
        <is>
          <t>兩筆都要刪除還原</t>
        </is>
      </c>
      <c r="H63" s="59" t="inlineStr">
        <is>
          <t>否</t>
        </is>
      </c>
      <c r="I63" s="60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1" t="inlineStr">
        <is>
          <t>PASS</t>
        </is>
      </c>
      <c r="K63" s="61" t="n"/>
      <c r="L63" s="60" t="inlineStr">
        <is>
          <t>PASS</t>
        </is>
      </c>
      <c r="M63" s="61" t="inlineStr">
        <is>
          <t>PASS</t>
        </is>
      </c>
      <c r="N63" s="6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
R13（830056c 上 prod 前整份 one shot 重跑；Owner 6B：寫入留在 demo、不還原）：PASS — demo 真實瀏覽器（頁首 v0.1.28 · 830056c），demo 3／3 項檢查全過：承 D-03（2317 已 1→3，#86）：賣 150 @84.3333（#257）→ 已實現以拆後均價 59.0056 移除 8,850.83（依 6B 留下）</t>
        </is>
      </c>
    </row>
    <row r="64" ht="29.25" customHeight="1" s="43">
      <c r="A64" s="57" t="inlineStr">
        <is>
          <t>D-10</t>
        </is>
      </c>
      <c r="B64" s="58" t="inlineStr">
        <is>
          <t>D</t>
        </is>
      </c>
      <c r="C64" s="59" t="inlineStr">
        <is>
          <t>公司行動的刪除／撤銷</t>
        </is>
      </c>
      <c r="D64" s="59" t="inlineStr">
        <is>
          <t>承任一已寫入的行動</t>
        </is>
      </c>
      <c r="E64" s="59" t="inlineStr">
        <is>
          <t>由公司行動帳本刪除該列</t>
        </is>
      </c>
      <c r="F64" s="59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9" t="inlineStr">
        <is>
          <t>這是還原步驟本身——若還原不完整即為重大缺陷</t>
        </is>
      </c>
      <c r="H64" s="59" t="inlineStr">
        <is>
          <t>否</t>
        </is>
      </c>
      <c r="I64" s="60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1" t="inlineStr">
        <is>
          <t>FAIL</t>
        </is>
      </c>
      <c r="K64" s="61" t="inlineStr">
        <is>
          <t>DEF-020, DEF-021, DEF-040, DEF-052, DEF-060, DEF-063</t>
        </is>
      </c>
      <c r="L64" s="60" t="inlineStr">
        <is>
          <t>結案</t>
        </is>
      </c>
      <c r="M64" s="61" t="inlineStr">
        <is>
          <t>PASS</t>
        </is>
      </c>
      <c r="N64" s="60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
R13（830056c 上 prod 前整份 one shot 重跑；Owner 6B：寫入留在 demo、不還原）：PASS — demo 真實瀏覽器（頁首 v0.1.28 · 830056c），demo 5／5 項檢查全過：2884 分拆 2882（2026-09-25、成本 30%、子起始價 999）寫入後刪除（本題本身測刪除）：child_price_removed true、子價格歷史刪除後逐字相同（正式報價保留、起始價移除）、持倉／成本／現金／目標帶逐位元回復、分段逐字相同；提示文字說明起始價用途</t>
        </is>
      </c>
    </row>
    <row r="65" ht="29.25" customHeight="1" s="43">
      <c r="A65" s="57" t="inlineStr">
        <is>
          <t>D-11</t>
        </is>
      </c>
      <c r="B65" s="58" t="inlineStr">
        <is>
          <t>D</t>
        </is>
      </c>
      <c r="C65" s="59" t="inlineStr">
        <is>
          <t>未套用行動提示</t>
        </is>
      </c>
      <c r="D65" s="58" t="inlineStr">
        <is>
          <t>—</t>
        </is>
      </c>
      <c r="E65" s="59" t="inlineStr">
        <is>
          <t>檢視儀表板的 `unapplied_actions` 區塊</t>
        </is>
      </c>
      <c r="F65" s="59" t="inlineStr">
        <is>
          <t>① 有未套用行動時提示可見且有入口；② 套用後提示消失</t>
        </is>
      </c>
      <c r="G65" s="59" t="inlineStr">
        <is>
          <t>唯讀</t>
        </is>
      </c>
      <c r="H65" s="59" t="inlineStr">
        <is>
          <t>否</t>
        </is>
      </c>
      <c r="I65" s="60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1" t="inlineStr">
        <is>
          <t>FAIL</t>
        </is>
      </c>
      <c r="K65" s="61" t="inlineStr">
        <is>
          <t>DEF-022, DEF-023</t>
        </is>
      </c>
      <c r="L65" s="60" t="inlineStr">
        <is>
          <t>結案</t>
        </is>
      </c>
      <c r="M65" s="61" t="inlineStr">
        <is>
          <t>PASS</t>
        </is>
      </c>
      <c r="N65" s="60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R13（830056c 上 prod 前整份 one shot 重跑；Owner 6B：寫入留在 demo、不還原）：PASS — demo 真實瀏覽器（頁首 v0.1.28 · 830056c），demo 5／5 項檢查全過：2882 分割（#91）後刪除分割前的買入（#258）→ unapplied_actions 1 列；儀表板橫幅「⚠ 帳本中有 1 筆公司行動無法套用（待釐清）…台灣券商・2882・2026-09-23・分割…」以帳戶名稱稱呼並附「前往該筆公司行動 →」；解決後清單為空、重新載入無橫幅</t>
        </is>
      </c>
    </row>
    <row r="66" ht="43.5" customHeight="1" s="43">
      <c r="A66" s="57" t="inlineStr">
        <is>
          <t>D-12</t>
        </is>
      </c>
      <c r="B66" s="58" t="inlineStr">
        <is>
          <t>D</t>
        </is>
      </c>
      <c r="C66" s="59" t="inlineStr">
        <is>
          <t>公司行動與賣超防護的連動</t>
        </is>
      </c>
      <c r="D66" s="59" t="inlineStr">
        <is>
          <t>承 B-11（門 3）</t>
        </is>
      </c>
      <c r="E66" s="59" t="inlineStr">
        <is>
          <t>賣超被擋時點擊預覽內的補登提示（或 422 三選一對話框的第一個選項）</t>
        </is>
      </c>
      <c r="F66" s="59" t="inlineStr">
        <is>
          <t>直接帶入該標的、帳戶與**賣出日期作為日期上限**（晚於賣出日的行動不可能是解釋），代號預填正確</t>
        </is>
      </c>
      <c r="G66" s="59" t="inlineStr">
        <is>
          <t>不寫入</t>
        </is>
      </c>
      <c r="H66" s="59" t="inlineStr">
        <is>
          <t>否</t>
        </is>
      </c>
      <c r="I66" s="60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1" t="inlineStr">
        <is>
          <t>PASS</t>
        </is>
      </c>
      <c r="K66" s="61" t="n"/>
      <c r="L66" s="60" t="inlineStr">
        <is>
          <t>PASS</t>
        </is>
      </c>
      <c r="M66" s="61" t="inlineStr">
        <is>
          <t>PASS</t>
        </is>
      </c>
      <c r="N66" s="60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
R13（830056c 上 prod 前整份 one shot 重跑；Owner 6B：寫入留在 demo、不還原）：PASS — demo 真實瀏覽器（頁首 v0.1.28 · 830056c），重跑 4／4 項檢查全過：草稿在 2026-07-01 賣 2330 2,600 股被判賣超（當天已有 B-11 依 6B 留下的同量賣出 #249，07-01 持股 4,000−2,600＝1,400）→「補登公司行動」帶入台灣券商／2330、日期上限 2026-07-01、原因句「這筆賣出被判為賣超：賣出 2600 股，超過 2026-07-01 當日持有的 1400 股（目前淨額 5010 股，但那一天只有 1400 股）…」；未寫入（公司行動仍 9 筆）。one shot 首跑 3／4：帳戶欄讀到空值（代號已帶入），重跑同一操作帳戶已帶入，判為讀取時機</t>
        </is>
      </c>
    </row>
    <row r="67" ht="43.5" customHeight="1" s="43">
      <c r="A67" s="57" t="inlineStr">
        <is>
          <t>D-13</t>
        </is>
      </c>
      <c r="B67" s="58" t="inlineStr">
        <is>
          <t>D</t>
        </is>
      </c>
      <c r="C67" s="59" t="inlineStr">
        <is>
          <t>公司行動帳本匯出</t>
        </is>
      </c>
      <c r="D67" s="59" t="inlineStr">
        <is>
          <t>承任一已寫入的行動</t>
        </is>
      </c>
      <c r="E67" s="59" t="inlineStr">
        <is>
          <t>匯出公司行動帳本 CSV</t>
        </is>
      </c>
      <c r="F67" s="59" t="inlineStr">
        <is>
          <t>列數與欄位正確，比例、日期、代號與畫面一致</t>
        </is>
      </c>
      <c r="G67" s="59" t="inlineStr">
        <is>
          <t>唯讀</t>
        </is>
      </c>
      <c r="H67" s="59" t="inlineStr">
        <is>
          <t>部分（端點已驗 200，內容為空）</t>
        </is>
      </c>
      <c r="I67" s="60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1" t="inlineStr">
        <is>
          <t>PASS</t>
        </is>
      </c>
      <c r="K67" s="61" t="n"/>
      <c r="L67" s="60" t="inlineStr">
        <is>
          <t>PASS</t>
        </is>
      </c>
      <c r="M67" s="61" t="inlineStr">
        <is>
          <t>PASS</t>
        </is>
      </c>
      <c r="N67" s="60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
R13（830056c 上 prod 前整份 one shot 重跑；Owner 6B：寫入留在 demo、不還原）：PASS — demo 真實瀏覽器（頁首 v0.1.28 · 830056c），重跑 2／2 項檢查全過：公司行動帳本匯出 ledger_actions_all_all.csv 9 列＝帳本 9 筆；承 D-07 的換股列「93,schwab,2026-10-01,EXCHANGE,MSFT,SPCX…」比例 2:1、日期、代號與表單一致。one shot 首跑 1／2：D-07 首跑未寫入，找不到換股列</t>
        </is>
      </c>
    </row>
    <row r="68" ht="29.25" customHeight="1" s="43">
      <c r="A68" s="57" t="inlineStr">
        <is>
          <t>D-14</t>
        </is>
      </c>
      <c r="B68" s="58" t="inlineStr">
        <is>
          <t>D</t>
        </is>
      </c>
      <c r="C68" s="59" t="inlineStr">
        <is>
          <t>公司行動後的洞察卡與數值檢核</t>
        </is>
      </c>
      <c r="D68" s="59" t="inlineStr">
        <is>
          <t>承 D-06（換股）</t>
        </is>
      </c>
      <c r="E68" s="59" t="inlineStr">
        <is>
          <t>檢視該標的既有洞察卡</t>
        </is>
      </c>
      <c r="F68" s="59" t="inlineStr">
        <is>
          <t>舊代號的卡片不應被誤標為「未知代號」；若會，需記錄為待處理</t>
        </is>
      </c>
      <c r="G68" s="59" t="inlineStr">
        <is>
          <t>唯讀</t>
        </is>
      </c>
      <c r="H68" s="59" t="inlineStr">
        <is>
          <t>否</t>
        </is>
      </c>
      <c r="I68" s="60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1" t="inlineStr">
        <is>
          <t>PASS</t>
        </is>
      </c>
      <c r="K68" s="61" t="n"/>
      <c r="L68" s="60" t="inlineStr">
        <is>
          <t>PASS</t>
        </is>
      </c>
      <c r="M68" s="61" t="inlineStr">
        <is>
          <t>PASS</t>
        </is>
      </c>
      <c r="N68" s="60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
R13（830056c 上 prod 前整份 one shot 重跑；Owner 6B：寫入留在 demo、不還原）：PASS — demo 真實瀏覽器（頁首 v0.1.28 · 830056c），重跑 3／3 項檢查全過：承 D-06 的 TSLA→AMD 換股（#92）在帳本；TSLA 舊卡 15 張未被標未知代碼；洞察頁沒有 TSLA 的未知代碼徽章。one shot 首跑 2／3：D-06 首跑未寫入</t>
        </is>
      </c>
    </row>
    <row r="69" ht="16.5" customHeight="1" s="43">
      <c r="A69" s="54" t="inlineStr">
        <is>
          <t>E. 報價／匯率刷新與成本、報酬重算</t>
        </is>
      </c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6" t="n"/>
    </row>
    <row r="70" ht="57.75" customHeight="1" s="43">
      <c r="A70" s="57" t="inlineStr">
        <is>
          <t>E-01</t>
        </is>
      </c>
      <c r="B70" s="58" t="inlineStr">
        <is>
          <t>E</t>
        </is>
      </c>
      <c r="C70" s="59" t="inlineStr">
        <is>
          <t>手動更新報價</t>
        </is>
      </c>
      <c r="D70" s="59" t="inlineStr">
        <is>
          <t>記錄各檔 `price_as_of` 與 `kpis`</t>
        </is>
      </c>
      <c r="E70" s="59" t="inlineStr">
        <is>
          <t>儀表板 → 更新報價（三市場）</t>
        </is>
      </c>
      <c r="F70" s="59" t="inlineStr">
        <is>
          <t>① 回應每個 job 帶 `instruments`／`instruments_failed`／`held_failed`／`fx_failed`／`lagging`；② 成功者 `price_as_of` 前進；③ 完成 toast 說明清楚</t>
        </is>
      </c>
      <c r="G70" s="59" t="inlineStr">
        <is>
          <t>會更新報價資料（預期內）。不影響帳本</t>
        </is>
      </c>
      <c r="H70" s="59" t="inlineStr">
        <is>
          <t>✅ 已驗（第一輪 ×3）</t>
        </is>
      </c>
      <c r="I70" s="60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1" t="inlineStr">
        <is>
          <t>PASS</t>
        </is>
      </c>
      <c r="K70" s="61" t="inlineStr">
        <is>
          <t>DEF-038</t>
        </is>
      </c>
      <c r="L70" s="60" t="inlineStr">
        <is>
          <t>結案</t>
        </is>
      </c>
      <c r="M70" s="61" t="inlineStr">
        <is>
          <t>PASS</t>
        </is>
      </c>
      <c r="N70" s="60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
R13（830056c 上 prod 前整份 one shot 重跑；Owner 6B：寫入留在 demo、不還原）：PASS — demo 真實瀏覽器（頁首 v0.1.28 · 830056c），demo 5／5 項檢查全過：one shot：「更新報價」→ refresh-quotes 200（run #254～#256），三個工作皆帶 instruments／instruments_failed／held_failed／fx_failed／lagging；無 price_as_of 倒退（台、馬股 11 檔 09-30→10-01，美股 4 檔 09-29→09-30）；toast「! 報價更新完成，部分項目未更新 25 檔已更新、1 檔未持有的標的未更新：2323。重新整理頁面即可看到已更新的價格。」；帳本不變。重跑（為 E-04 取前後兩份）run #271～#273：26 檔已更新、2323 未更新，AAPL／AMD／NVDA／SPCX 09-30→10-01</t>
        </is>
      </c>
    </row>
    <row r="71" ht="43.5" customHeight="1" s="43">
      <c r="A71" s="57" t="inlineStr">
        <is>
          <t>E-02</t>
        </is>
      </c>
      <c r="B71" s="58" t="inlineStr">
        <is>
          <t>E</t>
        </is>
      </c>
      <c r="C71" s="59" t="inlineStr">
        <is>
          <t>落後標的（lagging）點名</t>
        </is>
      </c>
      <c r="D71" s="59" t="inlineStr">
        <is>
          <t>製造情境：某檔的來源收盤日落後同市場其他檔</t>
        </is>
      </c>
      <c r="E71" s="59" t="inlineStr">
        <is>
          <t>更新報價</t>
        </is>
      </c>
      <c r="F71" s="59" t="inlineStr">
        <is>
          <t>① 該檔進入 `lagging[]`；② toast 點名並另出一則 warn；③ 工作狀態仍為 `ok`（抓取本身沒失敗）</t>
        </is>
      </c>
      <c r="G71" s="59" t="inlineStr">
        <is>
          <t>唯讀為主</t>
        </is>
      </c>
      <c r="H71" s="59" t="inlineStr">
        <is>
          <t>部分（機制以原始碼確認）</t>
        </is>
      </c>
      <c r="I71" s="6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1" t="inlineStr">
        <is>
          <t>PASS</t>
        </is>
      </c>
      <c r="K71" s="61" t="n"/>
      <c r="L71" s="60" t="inlineStr">
        <is>
          <t>PASS</t>
        </is>
      </c>
      <c r="M71" s="61" t="inlineStr">
        <is>
          <t>PASS</t>
        </is>
      </c>
      <c r="N71" s="6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R13（830056c 上 prod 前整份 one shot 重跑；Owner 6B：寫入留在 demo、不還原）：PASS — 本機專用測試環境（同一 commit 830056c、demo 資料庫副本、假報價／假 LLM、無外網；手冊 §9），本機 4／4 項檢查全過：本機以假報價讓 2330 停在舊日期：quotes_tw.lagging ["2330"]；完成 toast「✓ 報價更新完成 quotes_tw / quotes_us / quotes_my 已執行；1 檔資料來源未提供更新（仍為舊日期）：2330…」＋獨立警示 toast「! 部分報價仍為舊日期 2330 的資料來源尚未提供新收盤價；可稍後再按一次更新報價」；工作狀態仍為 ok</t>
        </is>
      </c>
    </row>
    <row r="72" ht="43.5" customHeight="1" s="43">
      <c r="A72" s="57" t="inlineStr">
        <is>
          <t>E-03</t>
        </is>
      </c>
      <c r="B72" s="58" t="inlineStr">
        <is>
          <t>E</t>
        </is>
      </c>
      <c r="C72" s="59" t="inlineStr">
        <is>
          <t>匯率推導與三角一致性</t>
        </is>
      </c>
      <c r="D72" s="58" t="inlineStr">
        <is>
          <t>—</t>
        </is>
      </c>
      <c r="E72" s="59" t="inlineStr">
        <is>
          <t>更新報價後讀 `freshness.fx` 與 `fx_triangulation`</t>
        </is>
      </c>
      <c r="F72" s="58" t="inlineStr">
        <is>
          <t>① `MYR/TWD` 的 `source` = `derived:USD`；② `implied` 與 `direct` 落差 `gap_pct` &lt; 0.001%、`ok: true`</t>
        </is>
      </c>
      <c r="G72" s="59" t="inlineStr">
        <is>
          <t>唯讀</t>
        </is>
      </c>
      <c r="H72" s="59" t="inlineStr">
        <is>
          <t>✅ 已驗（三輪、兩組匯率快照）</t>
        </is>
      </c>
      <c r="I72" s="6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1" t="inlineStr">
        <is>
          <t>PASS</t>
        </is>
      </c>
      <c r="K72" s="61" t="n"/>
      <c r="L72" s="60" t="inlineStr">
        <is>
          <t>PASS</t>
        </is>
      </c>
      <c r="M72" s="61" t="inlineStr">
        <is>
          <t>PASS</t>
        </is>
      </c>
      <c r="N72" s="60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
R13（830056c 上 prod 前整份 one shot 重跑；Owner 6B：寫入留在 demo、不還原）：PASS — demo 真實瀏覽器（頁首 v0.1.28 · 830056c），demo 2／2 項檢查全過：MYR/TWD 來源 derived:USD；隱含 USD/TWD 31.915003 vs 直接 31.915001，差 0.0000%、ok（三條皆 2026-10-01）</t>
        </is>
      </c>
    </row>
    <row r="73" ht="43.5" customHeight="1" s="43">
      <c r="A73" s="57" t="inlineStr">
        <is>
          <t>E-04</t>
        </is>
      </c>
      <c r="B73" s="58" t="inlineStr">
        <is>
          <t>E</t>
        </is>
      </c>
      <c r="C73" s="59" t="inlineStr">
        <is>
          <t>更新後的成本與報酬重算</t>
        </is>
      </c>
      <c r="D73" s="59" t="inlineStr">
        <is>
          <t>記錄更新前的 14 檔成本、未實現、權重</t>
        </is>
      </c>
      <c r="E73" s="59" t="inlineStr">
        <is>
          <t>更新報價後重讀 `/api/dashboard`</t>
        </is>
      </c>
      <c r="F73" s="58" t="inlineStr">
        <is>
          <t>① **原始成本與調整成本不得變動**（只有市值與未實現會變）；② 未實現 = 市值 − 調整成本；③ 權重重算後 Σ = 1；④ 94 項恆等式全過</t>
        </is>
      </c>
      <c r="G73" s="59" t="inlineStr">
        <is>
          <t>唯讀</t>
        </is>
      </c>
      <c r="H73" s="59" t="inlineStr">
        <is>
          <t>✅ 已驗（三組不同價格快照）</t>
        </is>
      </c>
      <c r="I73" s="6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1" t="inlineStr">
        <is>
          <t>PASS</t>
        </is>
      </c>
      <c r="K73" s="61" t="n"/>
      <c r="L73" s="60" t="inlineStr">
        <is>
          <t>PASS</t>
        </is>
      </c>
      <c r="M73" s="61" t="inlineStr">
        <is>
          <t>PASS</t>
        </is>
      </c>
      <c r="N73" s="6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
R13（830056c 上 prod 前整份 one shot 重跑；Owner 6B：寫入留在 demo、不還原）：PASS — demo 真實瀏覽器（頁首 v0.1.28 · 830056c），重跑 5／5 項檢查全過（以重跑 E-01 的前後兩份 /api/dashboard）：① 16 列原始／調整成本皆不變；② 每列 未實現＝市值−調整成本；③ Σ權重＝1（差 6.3e−29）；④ 恆等式 106／106 全過（16 檔×6＋10 組總表，最大誤差 1e−20）。one shot 首跑 2／3：當時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2330 市值為空，檢查程式做大數運算遇到 null 而中止</t>
        </is>
      </c>
    </row>
    <row r="74" ht="57.75" customHeight="1" s="43">
      <c r="A74" s="57" t="inlineStr">
        <is>
          <t>E-05</t>
        </is>
      </c>
      <c r="B74" s="58" t="inlineStr">
        <is>
          <t>E</t>
        </is>
      </c>
      <c r="C74" s="59" t="inlineStr">
        <is>
          <t>排程定時執行</t>
        </is>
      </c>
      <c r="D74" s="58" t="inlineStr">
        <is>
          <t>**需在非 demo 環境**（demo 依裁定關閉排程器）</t>
        </is>
      </c>
      <c r="E74" s="59" t="inlineStr">
        <is>
          <t>啟動排程器 → 等待或調整 cron 使 `quotes_tw`／`quotes_us`／`quotes_my`／`dividends_daily`／`digest_daily` 各執行一次</t>
        </is>
      </c>
      <c r="F74" s="58" t="inlineStr">
        <is>
          <t>① `job_runs` 各留下一列，狀態與 detail 正確且為全形標點；② 執行時間符合 cron；③ 失敗時狀態為 partial／failed 並點名失敗標的</t>
        </is>
      </c>
      <c r="G74" s="59" t="inlineStr">
        <is>
          <t>會寫入 job_runs 與報價資料</t>
        </is>
      </c>
      <c r="H74" s="59" t="inlineStr">
        <is>
          <t>否（demo 排程器關閉）</t>
        </is>
      </c>
      <c r="I74" s="60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1" t="inlineStr">
        <is>
          <t>BLOCKED</t>
        </is>
      </c>
      <c r="K74" s="61" t="inlineStr">
        <is>
          <t>DEF-067, DEF-073</t>
        </is>
      </c>
      <c r="L74" s="60" t="inlineStr">
        <is>
          <t>結案</t>
        </is>
      </c>
      <c r="M74" s="61" t="inlineStr">
        <is>
          <t>PASS</t>
        </is>
      </c>
      <c r="N74" s="60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R13（830056c 上 prod 前整份 one shot 重跑；Owner 6B：寫入留在 demo、不還原）：PASS — 本機專用測試環境（同一 commit 830056c、demo 資料庫副本、假報價／假 LLM、無外網；手冊 §9），本機 6／6 項檢查全過：本機排程器開啟：quotes_tw／us／my、dividends_daily、digest_daily 同一分鐘自然觸發 → job_runs 各一列、觸發延遲 0.004～0.007 秒；無外網使四個逐標的工作 error 並逐檔點名（例「0 項已更新，4 項失敗；失敗：0056、2330、USDMYR、USDTWD」），digest_daily 成功「每日摘要 2026-10-01：組合 —，警示 0，訊號 0；示範模式略過推播」；明細中文全形；cron 以同一畫面還原</t>
        </is>
      </c>
    </row>
    <row r="75" ht="43.5" customHeight="1" s="43">
      <c r="A75" s="57" t="inlineStr">
        <is>
          <t>E-06</t>
        </is>
      </c>
      <c r="B75" s="58" t="inlineStr">
        <is>
          <t>E</t>
        </is>
      </c>
      <c r="C75" s="59" t="inlineStr">
        <is>
          <t>新鮮度徽章三態</t>
        </is>
      </c>
      <c r="D75" s="58" t="inlineStr">
        <is>
          <t>—</t>
        </is>
      </c>
      <c r="E75" s="59" t="inlineStr">
        <is>
          <t>分別製造：全部新鮮／部分過期／全部過期</t>
        </is>
      </c>
      <c r="F75" s="59" t="inlineStr">
        <is>
          <t>徽章依序顯示「資料新鮮」／「部分過期 n/m」／「全部過期」，tooltip 與計數一致</t>
        </is>
      </c>
      <c r="G75" s="59" t="inlineStr">
        <is>
          <t>唯讀</t>
        </is>
      </c>
      <c r="H75" s="59" t="inlineStr">
        <is>
          <t>✅ 已驗（三態皆實測到）</t>
        </is>
      </c>
      <c r="I75" s="60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1" t="inlineStr">
        <is>
          <t>BLOCKED</t>
        </is>
      </c>
      <c r="K75" s="61" t="n"/>
      <c r="L75" s="60" t="inlineStr">
        <is>
          <t>PASS</t>
        </is>
      </c>
      <c r="M75" s="61" t="inlineStr">
        <is>
          <t>PASS</t>
        </is>
      </c>
      <c r="N75" s="60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R13（830056c 上 prod 前整份 one shot 重跑；Owner 6B：寫入留在 demo、不還原）：PASS — 本機專用測試環境（同一 commit 830056c、demo 資料庫副本、假報價／假 LLM、無外網；手冊 §9），本機 3／3 項檢查全過：本機改價格日期製造三態：「資料新鮮」、「部分過期 2/12」（tooltip「2 項價格／匯率資料已過期（共 12 項），點擊查看資料新鮮度明細」）、「全部過期」（12/12）</t>
        </is>
      </c>
    </row>
    <row r="76" ht="43.5" customHeight="1" s="43">
      <c r="A76" s="57" t="inlineStr">
        <is>
          <t>E-07</t>
        </is>
      </c>
      <c r="B76" s="58" t="inlineStr">
        <is>
          <t>E</t>
        </is>
      </c>
      <c r="C76" s="58" t="inlineStr">
        <is>
          <t>XIRR 獨立重算</t>
        </is>
      </c>
      <c r="D76" s="59" t="inlineStr">
        <is>
          <t>匯出交易＋股利＋現金收支</t>
        </is>
      </c>
      <c r="E76" s="59" t="inlineStr">
        <is>
          <t>以 Excel `XIRR` 或 `pyxirr` 用同一組現金流重算年化報酬</t>
        </is>
      </c>
      <c r="F76" s="59" t="inlineStr">
        <is>
          <t>與 `kpis.xirr` 相對誤差 &lt; 1e-6；`xirr_window_days` 與現金流首尾日期相符</t>
        </is>
      </c>
      <c r="G76" s="59" t="inlineStr">
        <is>
          <t>唯讀</t>
        </is>
      </c>
      <c r="H76" s="59" t="inlineStr">
        <is>
          <t>否（本次稽核未獨立重算）</t>
        </is>
      </c>
      <c r="I76" s="60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1" t="inlineStr">
        <is>
          <t>PASS</t>
        </is>
      </c>
      <c r="K76" s="61" t="n"/>
      <c r="L76" s="60" t="inlineStr">
        <is>
          <t>PASS</t>
        </is>
      </c>
      <c r="M76" s="61" t="inlineStr">
        <is>
          <t>PASS</t>
        </is>
      </c>
      <c r="N76" s="60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
R13（830056c 上 prod 前整份 one shot 重跑；Owner 6B：寫入留在 demo、不還原）：PASS — demo 真實瀏覽器（頁首 v0.1.28 · 830056c），重跑 2／2 項檢查全過：以 40 筆現金流獨立計算 XIRR 14.699116519168232 vs kpis.xirr 14.699116519158578（相對誤差 6.57e−13）；xirr_window_days 268＝首筆→末筆（2026-01-06→2026-10-01）。one shot 首跑 0／2：當時 2330 因 B-11 依 6B 留下的 07-01 超賣（#249）被列為賣超部位（市值／未實現為空、整體 XIRR 不計、稅務包 422 oversold_position）；I-13 依步驟寫回 #264（2330 買 2,000 @600，2026-01-06）補足 07-01 持股後恢復可計算；首跑時 kpis.xirr 為空（儀表板對含賣超部位的組合不計 XIRR，設計）</t>
        </is>
      </c>
    </row>
    <row r="77" ht="43.5" customHeight="1" s="43">
      <c r="A77" s="57" t="inlineStr">
        <is>
          <t>E-08</t>
        </is>
      </c>
      <c r="B77" s="58" t="inlineStr">
        <is>
          <t>E</t>
        </is>
      </c>
      <c r="C77" s="58" t="inlineStr">
        <is>
          <t>TWR 與績效比較</t>
        </is>
      </c>
      <c r="D77" s="58" t="inlineStr">
        <is>
          <t>—</t>
        </is>
      </c>
      <c r="E77" s="59" t="inlineStr">
        <is>
          <t>切換基準（0050 ↔ S&amp;P 500）與區間（1年／3年／全部）</t>
        </is>
      </c>
      <c r="F77" s="59" t="inlineStr">
        <is>
          <t>① 曲線與區間正確裁切；② TWR 不受現金流進出影響（與 XIRR 的差異可解釋）</t>
        </is>
      </c>
      <c r="G77" s="59" t="inlineStr">
        <is>
          <t>唯讀</t>
        </is>
      </c>
      <c r="H77" s="59" t="inlineStr">
        <is>
          <t>部分（切換已驗，數值未重算）</t>
        </is>
      </c>
      <c r="I77" s="60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1" t="inlineStr">
        <is>
          <t>PASS</t>
        </is>
      </c>
      <c r="K77" s="61" t="n"/>
      <c r="L77" s="60" t="inlineStr">
        <is>
          <t>PASS</t>
        </is>
      </c>
      <c r="M77" s="61" t="inlineStr">
        <is>
          <t>PASS</t>
        </is>
      </c>
      <c r="N77" s="60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R13（830056c 上 prod 前整份 one shot 重跑；Owner 6B：寫入留在 demo、不還原）：PASS — demo 真實瀏覽器（頁首 v0.1.28 · 830056c），重跑 3／3 項檢查全過：① 0050／S&amp;P 500 × 1y／3y／all 六組皆 200、269 點、自資料起日 2026-01-06；② 268 天 TWR 日因子＝(V_t−flow_t)÷V_{t−1}，最大差 5.22e−7（指數四捨五入到 4 位）；畫面切換基準會請求 S&amp;P 500 序列。one shot 首跑 2／3：② 最大差 0.241，當時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78" ht="29.25" customHeight="1" s="43">
      <c r="A78" s="57" t="inlineStr">
        <is>
          <t>E-09</t>
        </is>
      </c>
      <c r="B78" s="58" t="inlineStr">
        <is>
          <t>E</t>
        </is>
      </c>
      <c r="C78" s="59" t="inlineStr">
        <is>
          <t>每日快照</t>
        </is>
      </c>
      <c r="D78" s="58" t="inlineStr">
        <is>
          <t>—</t>
        </is>
      </c>
      <c r="E78" s="59" t="inlineStr">
        <is>
          <t>檢視 `GET /api/snapshots?limit=12` 與趨勢圖</t>
        </is>
      </c>
      <c r="F78" s="59" t="inlineStr">
        <is>
          <t>快照日期連續、市值與當日 `/api/dashboard` 一致</t>
        </is>
      </c>
      <c r="G78" s="59" t="inlineStr">
        <is>
          <t>唯讀</t>
        </is>
      </c>
      <c r="H78" s="59" t="inlineStr">
        <is>
          <t>部分</t>
        </is>
      </c>
      <c r="I78" s="60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1" t="inlineStr">
        <is>
          <t>BLOCKED</t>
        </is>
      </c>
      <c r="K78" s="61" t="n"/>
      <c r="L78" s="60" t="inlineStr">
        <is>
          <t>PASS</t>
        </is>
      </c>
      <c r="M78" s="61" t="inlineStr">
        <is>
          <t>PASS</t>
        </is>
      </c>
      <c r="N78" s="60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R13（830056c 上 prod 前整份 one shot 重跑；Owner 6B：寫入留在 demo、不還原）：PASS — 本機專用測試環境（同一 commit 830056c、demo 資料庫副本、假報價／假 LLM、無外網；手冊 §9），本機 3／3 項檢查全過：本機 snapshot_monthly 於自然觸發寫入「快照已寫入 2026-10」（run #40）；快照 total_value 6,476,427.500 等欄與同時 kpis 相同；日趨勢 269 點、0 缺口、末點＝kpis</t>
        </is>
      </c>
    </row>
    <row r="79" ht="54.75" customHeight="1" s="43">
      <c r="A79" s="57" t="inlineStr">
        <is>
          <t>E-10</t>
        </is>
      </c>
      <c r="B79" s="58" t="inlineStr">
        <is>
          <t>E</t>
        </is>
      </c>
      <c r="C79" s="59" t="inlineStr">
        <is>
          <t>查新代號連帶更新匯率（已裁定）</t>
        </is>
      </c>
      <c r="D79" s="59" t="inlineStr">
        <is>
          <t>記錄 `freshness.fx` 的 as_of</t>
        </is>
      </c>
      <c r="E79" s="59" t="inlineStr">
        <is>
          <t>觀察清單 → 查一個未登錄代號</t>
        </is>
      </c>
      <c r="F79" s="59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9" t="inlineStr">
        <is>
          <t>會更新匯率（已裁定為預期行為）</t>
        </is>
      </c>
      <c r="H79" s="59" t="inlineStr">
        <is>
          <t>✅ 已驗（行為與根因）</t>
        </is>
      </c>
      <c r="I79" s="60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1" t="inlineStr">
        <is>
          <t>PASS</t>
        </is>
      </c>
      <c r="K79" s="61" t="n"/>
      <c r="L79" s="60" t="inlineStr">
        <is>
          <t>PASS</t>
        </is>
      </c>
      <c r="M79" s="61" t="inlineStr">
        <is>
          <t>PASS</t>
        </is>
      </c>
      <c r="N79" s="60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
R13（830056c 上 prod 前整份 one shot 重跑；Owner 6B：寫入留在 demo、不還原）：PASS — demo 真實瀏覽器（頁首 v0.1.28 · 830056c），one shot 4／4＋重跑 4／4：one shot 查未登錄的 2618（found、未登錄、未加入）→ 帳本各列數不變、各部位股數與原幣成本不變、三角一致（隱含 31.925999 vs 直接 31.926001）；重跑時 2618 已於 F-01 依 6B 登錄，改查未登錄的 2610（華航）：報告匯率連帶更新（USD/TWD 31.903999→31.915001，§五 G 裁定之預期）、帳本零變動（交易 79、股利 30、換匯 20、資金 49、公司行動 10）、三角一致（31.915003 vs 31.915001）</t>
        </is>
      </c>
    </row>
    <row r="80" ht="43.5" customHeight="1" s="43">
      <c r="A80" s="57" t="inlineStr">
        <is>
          <t>E-11</t>
        </is>
      </c>
      <c r="B80" s="58" t="inlineStr">
        <is>
          <t>E</t>
        </is>
      </c>
      <c r="C80" s="59" t="inlineStr">
        <is>
          <t>報價來源失敗的降級</t>
        </is>
      </c>
      <c r="D80" s="59" t="inlineStr">
        <is>
          <t>把某個資料來源設為無效（非 demo 環境）</t>
        </is>
      </c>
      <c r="E80" s="59" t="inlineStr">
        <is>
          <t>更新報價</t>
        </is>
      </c>
      <c r="F80" s="59" t="inlineStr">
        <is>
          <t>① 失敗標的進入 `instruments_failed`／`held_failed`；② 畫面明確點名；③ **不得**以舊價假裝成功</t>
        </is>
      </c>
      <c r="G80" s="59" t="inlineStr">
        <is>
          <t>需改資料來源設定，測畢還原</t>
        </is>
      </c>
      <c r="H80" s="59" t="inlineStr">
        <is>
          <t>否</t>
        </is>
      </c>
      <c r="I80" s="60" t="inlineStr">
        <is>
          <t>需要把某個資料來源設為無效的非 demo 環境（手冊前置條件）；demo 站 系統設定 › 資料來源 不開放修改，本輪未變更任何來源設定</t>
        </is>
      </c>
      <c r="J80" s="61" t="inlineStr">
        <is>
          <t>BLOCKED</t>
        </is>
      </c>
      <c r="K80" s="61" t="inlineStr">
        <is>
          <t>DEF-068</t>
        </is>
      </c>
      <c r="L80" s="60" t="inlineStr">
        <is>
          <t>結案</t>
        </is>
      </c>
      <c r="M80" s="61" t="inlineStr">
        <is>
          <t>PASS</t>
        </is>
      </c>
      <c r="N80" s="6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R13（830056c 上 prod 前整份 one shot 重跑；Owner 6B：寫入留在 demo、不還原）：PASS — 本機專用測試環境（同一 commit 830056c、demo 資料庫副本、假報價／假 LLM、無外網；手冊 §9），本機 4／4 項檢查全過：本機無外網：10 檔全列 instruments_failed；toast「✕ 報價更新失敗 10 檔報價都沒有更新：0056、1155、2330、AAPL、KEMB、KEMG、NVDA、ORBT、VRTA、VRTB；匯率未更新：USDMYR、USDTWD。仍顯示上次取得的價格…」、無成功字樣；價格雜湊不變（9bb0234ce7339e82）</t>
        </is>
      </c>
    </row>
    <row r="81" ht="29.25" customHeight="1" s="43">
      <c r="A81" s="57" t="inlineStr">
        <is>
          <t>E-12</t>
        </is>
      </c>
      <c r="B81" s="58" t="inlineStr">
        <is>
          <t>E</t>
        </is>
      </c>
      <c r="C81" s="59" t="inlineStr">
        <is>
          <t>成本不因匯率變動而改寫</t>
        </is>
      </c>
      <c r="D81" s="59" t="inlineStr">
        <is>
          <t>記錄外幣持倉的原始成本（原幣）</t>
        </is>
      </c>
      <c r="E81" s="59" t="inlineStr">
        <is>
          <t>匯率變動後重讀</t>
        </is>
      </c>
      <c r="F81" s="59" t="inlineStr">
        <is>
          <t>原幣成本不變；只有報告幣別的換算值改變；`principal_fx_effect` 承接差額</t>
        </is>
      </c>
      <c r="G81" s="59" t="inlineStr">
        <is>
          <t>唯讀</t>
        </is>
      </c>
      <c r="H81" s="59" t="inlineStr">
        <is>
          <t>✅ 已驗（恆等式）</t>
        </is>
      </c>
      <c r="I81" s="60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1" t="inlineStr">
        <is>
          <t>PASS</t>
        </is>
      </c>
      <c r="K81" s="61" t="n"/>
      <c r="L81" s="60" t="inlineStr">
        <is>
          <t>PASS</t>
        </is>
      </c>
      <c r="M81" s="61" t="inlineStr">
        <is>
          <t>PASS</t>
        </is>
      </c>
      <c r="N81" s="6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
R13（830056c 上 prod 前整份 one shot 重跑；Owner 6B：寫入留在 demo、不還原）：PASS — demo 真實瀏覽器（頁首 v0.1.28 · 830056c），重跑 3／3 項檢查全過（以重跑 E-10 的匯率更新前後）：各部位原幣成本／市值欄全不變（只有權重可動）；匯率確有變動（嘉信 USD/TWD 31.903999→31.915001，Moomoo 4.082000 不變），本金匯率效果 −13,185.02→−12,093.36、未實現匯差 −122,909.20→−120,632.51 隨之改變。one shot 首跑 2／2 雖全過，但當時 2330 為賣超部位、principal_fx_effect 為空，屬空對空；第一次補做查的 2618 已登錄、匯率未變，再改查 2610</t>
        </is>
      </c>
    </row>
    <row r="82" ht="16.5" customHeight="1" s="43">
      <c r="A82" s="54" t="inlineStr">
        <is>
          <t>F. AI 查詢與輸入（拼湊／辨識／組裝）</t>
        </is>
      </c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6" t="n"/>
    </row>
    <row r="83" ht="57.75" customHeight="1" s="43">
      <c r="A83" s="57" t="inlineStr">
        <is>
          <t>F-01</t>
        </is>
      </c>
      <c r="B83" s="58" t="inlineStr">
        <is>
          <t>F</t>
        </is>
      </c>
      <c r="C83" s="58" t="inlineStr">
        <is>
          <t>AI 代號辨識（名稱 → 代號）</t>
        </is>
      </c>
      <c r="D83" s="59" t="inlineStr">
        <is>
          <t>設定 › AI 與額度 確認額度足夠、「代號查無時自動 AI 辨識」為開（預設）；記錄目前額度；選一檔**未登錄**標的的中文名稱（例：長榮航；已登錄就換一檔）</t>
        </is>
      </c>
      <c r="E83" s="59" t="inlineStr">
        <is>
          <t>觀察清單 › 加入 → 輸入該中文名稱，不按任何鍵，等自動辨識 → 檢查後確認加入；再分別輸入「虛構甲乙丙科技」與「台積電」</t>
        </is>
      </c>
      <c r="F83" s="59" t="inlineStr">
        <is>
          <t>① 不呼叫 `GET /api/instruments/lookup`（中文名稱不查報價），自動送出 `POST /api/instruments/ai-resolve` 1 次；② 回傳代號／市場／幣別／名稱，「別名」欄預填 AI 給的常用名稱（已屬其他標的的名稱不會出現）；③ 寫入前需人工確認，確認後「標的管理」看得到該標的與別名；④ 額度扣減＝`llm-usage` 匯出同時段各列 cost 加總；⑤ 虛構名稱 →「查無此標的 — 請確認名稱與市場是否正確」；⑥ 已登錄的名稱（台積電）→「已註冊 — 此標的已在觀察清單中」，不寫入；⑦ 辨識時的報價驗證可能連帶更新報告匯率（§五 G，同 E-10），帳本零變動（Owner 2026-10-01 改寫：中文名稱不查報價、別名預填皆為結案後的改動）</t>
        </is>
      </c>
      <c r="G83" s="58" t="inlineStr">
        <is>
          <t>**會花費 AI 額度**（約 $0.002／次）。會登錄一檔標的，不寫入帳本</t>
        </is>
      </c>
      <c r="H83" s="59" t="inlineStr">
        <is>
          <t>否（只驗過「不自動觸發」）</t>
        </is>
      </c>
      <c r="I83" s="60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1" t="inlineStr">
        <is>
          <t>PASS</t>
        </is>
      </c>
      <c r="K83" s="61" t="inlineStr">
        <is>
          <t>DEF-088</t>
        </is>
      </c>
      <c r="L83" s="60" t="inlineStr">
        <is>
          <t>結案</t>
        </is>
      </c>
      <c r="M83" s="61" t="inlineStr">
        <is>
          <t>PASS</t>
        </is>
      </c>
      <c r="N83" s="60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
R13（830056c 上 prod 前整份 one shot 重跑；Owner 6B：寫入留在 demo、不還原）：FAIL — demo 真實瀏覽器（頁首 v0.1.28 · 830056c），demo 9／11 項：前置「長榮航」未登錄、自動辨識為開；① 輸入「長榮航」不按鍵：未以名稱送 lookup，自動 ai-resolve 1 次（回覆後以代號 2618 驗證 lookup 1 次，設計）✓；② 回 2618／TW（TWD）／長榮航／Industrials（Air Freight &amp; Logistics）、confidence high、verified ✓，但 AI 回 aliases []、「別名」欄空白 ✗；③ 確認前未寫入 ✓，確認後 POST /api/instruments 201、標的管理出現 2618 長榮航、沒有別名 ✗；④ 額度 3.1247864→3.1242668＝llm-usage 同時段 3 列 0.0001743＋0.000167＋0.0001783＝0.0005196 ✓；⑤「虛構甲乙丙科技」→「查無此標的 — 請確認名稱與市場是否正確」✓；⑥「台積電」→「已註冊 — 此標的已在觀察清單中」、確認鍵不可按、仍 27 檔 ✓；⑦ 報告匯率未變、帳本各列數不變（交易 72、股利 26、換匯 20、資金 46、公司行動 7）✓。驗證者另以同一端點重放 6 次排除偶發：長榮航空 → 2618 []、華航 → 2610 []、聯電／聯華電子 → 2303 []，對照「英特爾」（美股）→ INTC ["英特爾"]——台股中文名稱的別名一律為空 → 開 DEF-088（低）。2618 依 6B 留在觀察清單
R14（c9a44ac 複驗 DEF-087～091；手冊 §9 第 2 條，各題測完還原並比對）：PASS — demo 真實瀏覽器（頁首 v0.1.28 · c9a44ac），demo 12／12 項：前置「長榮航」未登錄、自動辨識為開；① 輸入「長榮航」不按鍵：未以名稱送 lookup，自動 ai-resolve 1 次（之後以代號 2618 驗證 lookup 1 次，設計）；② 回 2618／TW（TWD）／長榮航／Industrials、aliases ["長榮航空"]，「別名」欄預填「長榮航空」、不含他檔名稱（R13 為 []）；③ 確認前未寫入，確認後 POST 201（aliases ["長榮航空"]）、標的管理「2618 長榮航 亦稱 長榮航空」；④ 額度 3.1239155→3.1232083（−0.0007072）＝同時段 4 列 0.0001743＋0.000167＋0.0001876（估算：⑥ 第一次回覆截斷，失敗記錄 #533 invalid_json，伺服器重試）＋0.0001783；⑤「虛構甲乙丙科技」→「查無此標的 — 請確認名稱與市場是否正確」；⑥「台積電」→「已註冊 — 此標的已在觀察清單中」、確認鍵不可按；⑦ 帳本零變動。測後以 POST /api/instruments/2618/purge 移除（200），標的回 26 檔；估值差異只來自辨識時報價驗證連帶更新的 USD/TWD 31.931999→31.915001（§五 G）。另以同一端點補驗 3 次（DEF-088 同類）：華航 → 2610 華航 ["中華航空"]、聯電 → 2303 聯電 ["聯華電子"]、英特爾（US）→ INTC Intel Corporation ["英特爾"]，未登錄任何標的（3 列 $0.0005207）</t>
        </is>
      </c>
    </row>
    <row r="84" ht="43.5" customHeight="1" s="43">
      <c r="A84" s="57" t="inlineStr">
        <is>
          <t>F-02</t>
        </is>
      </c>
      <c r="B84" s="58" t="inlineStr">
        <is>
          <t>F</t>
        </is>
      </c>
      <c r="C84" s="59" t="inlineStr">
        <is>
          <t>純代號不得自動觸發 AI</t>
        </is>
      </c>
      <c r="D84" s="58" t="inlineStr">
        <is>
          <t>—</t>
        </is>
      </c>
      <c r="E84" s="59" t="inlineStr">
        <is>
          <t>輸入 `ZZZZ9` → 按「加入」</t>
        </is>
      </c>
      <c r="F84" s="59" t="inlineStr">
        <is>
          <t>全程 `POST /api/instruments/ai-resolve` 呼叫 **0 次**；提示為「查無報價 — 請確認代號與市場；若是用名稱找，可按「AI 辨識」（使用 AI 額度）」</t>
        </is>
      </c>
      <c r="G84" s="59" t="inlineStr">
        <is>
          <t>唯讀、零花費</t>
        </is>
      </c>
      <c r="H84" s="59" t="inlineStr">
        <is>
          <t>✅ 已驗（三輪）</t>
        </is>
      </c>
      <c r="I84" s="60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1" t="inlineStr">
        <is>
          <t>PASS</t>
        </is>
      </c>
      <c r="K84" s="61" t="n"/>
      <c r="L84" s="60" t="inlineStr">
        <is>
          <t>PASS</t>
        </is>
      </c>
      <c r="M84" s="61" t="inlineStr">
        <is>
          <t>PASS</t>
        </is>
      </c>
      <c r="N84" s="6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
R13（830056c 上 prod 前整份 one shot 重跑；Owner 6B：寫入留在 demo、不還原）：PASS — demo 真實瀏覽器（頁首 v0.1.28 · 830056c），demo 3／3 項檢查全過：輸入 ZZZZ9 → 按「加入」：ai-resolve 呼叫 0 次；提示「查無報價 — 請確認代號與市場；若是用名稱找，可按「AI 辨識」（使用 AI 額度）」；額度不變（3.1242668）</t>
        </is>
      </c>
    </row>
    <row r="85" ht="43.5" customHeight="1" s="43">
      <c r="A85" s="57" t="inlineStr">
        <is>
          <t>F-03</t>
        </is>
      </c>
      <c r="B85" s="58" t="inlineStr">
        <is>
          <t>F</t>
        </is>
      </c>
      <c r="C85" s="59" t="inlineStr">
        <is>
          <t>自動辨識開關</t>
        </is>
      </c>
      <c r="D85" s="59" t="inlineStr">
        <is>
          <t>設定 › AI 與額度</t>
        </is>
      </c>
      <c r="E85" s="59" t="inlineStr">
        <is>
          <t>關閉「代號查無時自動 AI 辨識」→ 回觀察清單輸入含名稱的字串</t>
        </is>
      </c>
      <c r="F85" s="59" t="inlineStr">
        <is>
          <t>① 不再自動送出；② 提示改為「…（自動辨識已在設定關閉）」；③ `GET /api/ui-prefs` 的 `auto_ai_resolve` 為 false</t>
        </is>
      </c>
      <c r="G85" s="59" t="inlineStr">
        <is>
          <t>改設定，測畢改回</t>
        </is>
      </c>
      <c r="H85" s="59" t="inlineStr">
        <is>
          <t>部分（預設值已驗）</t>
        </is>
      </c>
      <c r="I85" s="60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1" t="inlineStr">
        <is>
          <t>PASS</t>
        </is>
      </c>
      <c r="K85" s="61" t="inlineStr">
        <is>
          <t>DEF-034</t>
        </is>
      </c>
      <c r="L85" s="60" t="inlineStr">
        <is>
          <t>結案</t>
        </is>
      </c>
      <c r="M85" s="61" t="inlineStr">
        <is>
          <t>PASS</t>
        </is>
      </c>
      <c r="N85" s="60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
R13（830056c 上 prod 前整份 one shot 重跑；Owner 6B：寫入留在 demo、不還原）：PASS — demo 真實瀏覽器（頁首 v0.1.28 · 830056c），demo 3／3 項檢查全過：關閉「代號查無時自動 AI 辨識」→ ① 輸入名稱不再自動送出（0 次）；② 提示改為「…（自動辨識已在設定關閉）」；③ /api/ui-prefs auto_ai_resolve false（依 6B 留在關閉）</t>
        </is>
      </c>
    </row>
    <row r="86" ht="43.5" customHeight="1" s="43">
      <c r="A86" s="57" t="inlineStr">
        <is>
          <t>F-04</t>
        </is>
      </c>
      <c r="B86" s="58" t="inlineStr">
        <is>
          <t>F</t>
        </is>
      </c>
      <c r="C86" s="58" t="inlineStr">
        <is>
          <t>AI 交易輸入（自然語言／貼上文字）</t>
        </is>
      </c>
      <c r="D86" s="59" t="inlineStr">
        <is>
          <t>交易帳本 › AI 輸入</t>
        </is>
      </c>
      <c r="E86" s="59" t="inlineStr">
        <is>
          <t>貼上一段交易描述或對帳單文字 → 解析</t>
        </is>
      </c>
      <c r="F86" s="59" t="inlineStr">
        <is>
          <t>① 解析成結構化列並可逐列編輯；② **無法解析的列不得用猜的**，需明確標示；③ 寫入前有預覽；④ 花費記錄到額度</t>
        </is>
      </c>
      <c r="G86" s="58" t="inlineStr">
        <is>
          <t>**會花費額度**；寫入後需刪除</t>
        </is>
      </c>
      <c r="H86" s="59" t="inlineStr">
        <is>
          <t>否</t>
        </is>
      </c>
      <c r="I86" s="60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1" t="inlineStr">
        <is>
          <t>FAIL</t>
        </is>
      </c>
      <c r="K86" s="61" t="inlineStr">
        <is>
          <t>DEF-035</t>
        </is>
      </c>
      <c r="L86" s="60" t="inlineStr">
        <is>
          <t>結案</t>
        </is>
      </c>
      <c r="M86" s="61" t="inlineStr">
        <is>
          <t>PASS</t>
        </is>
      </c>
      <c r="N86" s="61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
R13（830056c 上 prod 前整份 one shot 重跑；Owner 6B：寫入留在 demo、不還原）：PASS — demo 真實瀏覽器（頁首 v0.1.28 · 830056c），demo 6／6 項檢查全過：AI 輸入 preview 200（模型「自動（角色預設）」→ gemini-2.5-flash-lite）：列結構化可編輯（24 格）、閒聊列列為無法解析、未註冊代號與 0.5 股被標示、先預覽後寫入；花費 0.0006143 記入 llm-usage（usage_estimated 0）；未寫入</t>
        </is>
      </c>
    </row>
    <row r="87" ht="29.25" customHeight="1" s="43">
      <c r="A87" s="57" t="inlineStr">
        <is>
          <t>F-05</t>
        </is>
      </c>
      <c r="B87" s="58" t="inlineStr">
        <is>
          <t>F</t>
        </is>
      </c>
      <c r="C87" s="58" t="inlineStr">
        <is>
          <t>AI 輸入的幻覺防線</t>
        </is>
      </c>
      <c r="D87" s="59" t="inlineStr">
        <is>
          <t>同上</t>
        </is>
      </c>
      <c r="E87" s="59" t="inlineStr">
        <is>
          <t>貼入一段含有不存在代號或矛盾數字的文字</t>
        </is>
      </c>
      <c r="F87" s="59" t="inlineStr">
        <is>
          <t>系統應拒絕或標示，不得自行補齊；寫入門的驗證（整數股、賣超、日期）同樣生效</t>
        </is>
      </c>
      <c r="G87" s="59" t="inlineStr">
        <is>
          <t>不寫入</t>
        </is>
      </c>
      <c r="H87" s="59" t="inlineStr">
        <is>
          <t>否</t>
        </is>
      </c>
      <c r="I87" s="60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1" t="inlineStr">
        <is>
          <t>FAIL</t>
        </is>
      </c>
      <c r="K87" s="61" t="inlineStr">
        <is>
          <t>DEF-036</t>
        </is>
      </c>
      <c r="L87" s="60" t="inlineStr">
        <is>
          <t>結案</t>
        </is>
      </c>
      <c r="M87" s="61" t="inlineStr">
        <is>
          <t>PASS</t>
        </is>
      </c>
      <c r="N87" s="60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
R13（830056c 上 prod 前整份 one shot 重跑；Owner 6B：寫入留在 demo、不還原）：PASS — demo 真實瀏覽器（頁首 v0.1.28 · 830056c），重跑 5／5 項檢查全過：AI 輸入貼上含矛盾金額、賣超、無效日期與不存在代號的文字：「⚠ 金額矛盾：文字寫成交金額 50,000，但 100 股 × 46 = 4,600，差距超過 1%…」；賣超列「⚠ 賣出 5000 股，超過持有的 1750 股」且預設不勾；無效日期與 ZZZQ8 列為無法歸類（「invalid date」「invalid symbol」為模型原文），未補齊；交易帳本仍 79 列；花費 0.0005819（gemini）。one shot 首跑 4／5：B／C 組依 6B 留下的 2884 買進使 09-23 持股超過原步驟的賣出量，該列不再是賣超；改為賣 5,000 股重跑</t>
        </is>
      </c>
    </row>
    <row r="88" ht="57.75" customHeight="1" s="43">
      <c r="A88" s="57" t="inlineStr">
        <is>
          <t>F-06</t>
        </is>
      </c>
      <c r="B88" s="58" t="inlineStr">
        <is>
          <t>F</t>
        </is>
      </c>
      <c r="C88" s="59" t="inlineStr">
        <is>
          <t>提示詞組裝預覽</t>
        </is>
      </c>
      <c r="D88" s="59" t="inlineStr">
        <is>
          <t>洞察管線中心</t>
        </is>
      </c>
      <c r="E88" s="59" t="inlineStr">
        <is>
          <t>乾跑預檢 → 「查看組裝後提示詞」</t>
        </is>
      </c>
      <c r="F88" s="59" t="inlineStr">
        <is>
          <t>① 變數已代入快照；② 與實際送出的提示詞一致（可與 `insights.prompt_figures` 的數字比對）；③ **零成本、不呼叫 LLM**</t>
        </is>
      </c>
      <c r="G88" s="59" t="inlineStr">
        <is>
          <t>唯讀、零花費</t>
        </is>
      </c>
      <c r="H88" s="59" t="inlineStr">
        <is>
          <t>✅ 已驗（R1–R8 與零成本聲明）</t>
        </is>
      </c>
      <c r="I88" s="60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1" t="inlineStr">
        <is>
          <t>PASS</t>
        </is>
      </c>
      <c r="K88" s="61" t="n"/>
      <c r="L88" s="60" t="inlineStr">
        <is>
          <t>PASS</t>
        </is>
      </c>
      <c r="M88" s="61" t="inlineStr">
        <is>
          <t>PASS</t>
        </is>
      </c>
      <c r="N88" s="60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
R13（830056c 上 prod 前整份 one shot 重跑；Owner 6B：寫入留在 demo、不還原）：PASS — demo 真實瀏覽器（頁首 v0.1.28 · 830056c），demo 6／6 項檢查全過：乾跑預檢 200 →「查看組裝後提示詞」：變數全部代入（0 個 {{…}}、26,809 字）、含當下 kpis.total_market_value 36,520,447.15；零成本（額度 3.1230711 不變）、未呼叫 LLM（用量列數 1,132 不變）</t>
        </is>
      </c>
    </row>
    <row r="89" ht="29.25" customHeight="1" s="43">
      <c r="A89" s="57" t="inlineStr">
        <is>
          <t>F-07</t>
        </is>
      </c>
      <c r="B89" s="58" t="inlineStr">
        <is>
          <t>F</t>
        </is>
      </c>
      <c r="C89" s="59" t="inlineStr">
        <is>
          <t>額度不足時的降級</t>
        </is>
      </c>
      <c r="D89" s="59" t="inlineStr">
        <is>
          <t>把額度調至極低（非 demo 或可回復的設定）</t>
        </is>
      </c>
      <c r="E89" s="59" t="inlineStr">
        <is>
          <t>觸發任一 AI 功能</t>
        </is>
      </c>
      <c r="F89" s="59" t="inlineStr">
        <is>
          <t>回 402／明確提示「額度不足」，**不得靜默失敗**，也不得產生半成品卡片</t>
        </is>
      </c>
      <c r="G89" s="59" t="inlineStr">
        <is>
          <t>改設定，測畢還原</t>
        </is>
      </c>
      <c r="H89" s="59" t="inlineStr">
        <is>
          <t>否</t>
        </is>
      </c>
      <c r="I89" s="6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1" t="inlineStr">
        <is>
          <t>BLOCKED</t>
        </is>
      </c>
      <c r="K89" s="61" t="n"/>
      <c r="L89" s="60" t="inlineStr">
        <is>
          <t>PASS</t>
        </is>
      </c>
      <c r="M89" s="61" t="inlineStr">
        <is>
          <t>PASS</t>
        </is>
      </c>
      <c r="N89" s="60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R13（830056c 上 prod 前整份 one shot 重跑；Owner 6B：寫入留在 demo、不還原）：PASS — 本機專用測試環境（同一 commit 830056c、demo 資料庫副本、假報價／假 LLM、無外網；手冊 §9），本機 4／4 項檢查全過：本機以 llm_usage 補一筆使剩餘 1.99344→−0.00036 → 402 budget_exceeded「AI 額度用盡（剩餘 $0.00）— 補充額度後即可繼續使用」；畫面 toast＋橫幅「前往額度設定」；llm_usage 無新列、未產卡</t>
        </is>
      </c>
    </row>
    <row r="90" ht="29.25" customHeight="1" s="43">
      <c r="A90" s="57" t="inlineStr">
        <is>
          <t>F-08</t>
        </is>
      </c>
      <c r="B90" s="58" t="inlineStr">
        <is>
          <t>F</t>
        </is>
      </c>
      <c r="C90" s="58" t="inlineStr">
        <is>
          <t>AI 失敗紀錄</t>
        </is>
      </c>
      <c r="D90" s="59" t="inlineStr">
        <is>
          <t>承 F-07 或製造一次失敗</t>
        </is>
      </c>
      <c r="E90" s="59" t="inlineStr">
        <is>
          <t>檢視 LLM 失敗紀錄頁 / `llm_fail_log`</t>
        </is>
      </c>
      <c r="F90" s="59" t="inlineStr">
        <is>
          <t>失敗留下可下載的紀錄（時間、模型、錯誤），與畫面一致</t>
        </is>
      </c>
      <c r="G90" s="59" t="inlineStr">
        <is>
          <t>唯讀</t>
        </is>
      </c>
      <c r="H90" s="59" t="inlineStr">
        <is>
          <t>否</t>
        </is>
      </c>
      <c r="I90" s="60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1" t="inlineStr">
        <is>
          <t>PASS</t>
        </is>
      </c>
      <c r="K90" s="61" t="inlineStr">
        <is>
          <t>DEF-084</t>
        </is>
      </c>
      <c r="L90" s="60" t="inlineStr">
        <is>
          <t>結案</t>
        </is>
      </c>
      <c r="M90" s="61" t="inlineStr">
        <is>
          <t>PASS</t>
        </is>
      </c>
      <c r="N90" s="60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
R13（830056c 上 prod 前整份 one shot 重跑；Owner 6B：寫入留在 demo、不還原）：PASS — demo 真實瀏覽器（頁首 v0.1.28 · 830056c），demo 5／5 項檢查全過：資料中心 › AI 抽取失敗記錄「31 / 300 筆」＝下載 .jsonl 31 筆，逐筆有時間與錯誤；91ec1b0 之後寫入的 14 筆皆帶模型、unparsed_rows 皆帶 usage_id（本輪 F-04、F-05 的 #533、#534：gemini-2.5-flash-lite，usage 1130／1131）</t>
        </is>
      </c>
    </row>
    <row r="91" ht="29.25" customHeight="1" s="43">
      <c r="A91" s="57" t="inlineStr">
        <is>
          <t>F-09</t>
        </is>
      </c>
      <c r="B91" s="58" t="inlineStr">
        <is>
          <t>F</t>
        </is>
      </c>
      <c r="C91" s="59" t="inlineStr">
        <is>
          <t>搜尋（⌘K）模糊比對</t>
        </is>
      </c>
      <c r="D91" s="58" t="inlineStr">
        <is>
          <t>—</t>
        </is>
      </c>
      <c r="E91" s="59" t="inlineStr">
        <is>
          <t>以代號／中文名／英文名各搜一次</t>
        </is>
      </c>
      <c r="F91" s="59" t="inlineStr">
        <is>
          <t>模糊比對正確、標示持倉／觀察、查無時有導引、方向鍵＋Enter 可開抽屜</t>
        </is>
      </c>
      <c r="G91" s="59" t="inlineStr">
        <is>
          <t>唯讀</t>
        </is>
      </c>
      <c r="H91" s="59" t="inlineStr">
        <is>
          <t>✅ 已驗（第一輪）</t>
        </is>
      </c>
      <c r="I91" s="6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1" t="inlineStr">
        <is>
          <t>PASS</t>
        </is>
      </c>
      <c r="K91" s="61" t="n"/>
      <c r="L91" s="60" t="inlineStr">
        <is>
          <t>PASS</t>
        </is>
      </c>
      <c r="M91" s="61" t="inlineStr">
        <is>
          <t>PASS</t>
        </is>
      </c>
      <c r="N91" s="6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
R13（830056c 上 prod 前整份 one shot 重跑；Owner 6B：寫入留在 demo、不還原）：PASS — demo 真實瀏覽器（頁首 v0.1.28 · 830056c），重跑 6／6 項檢查全過：代號 2330 →「2330 台積電 台股・持倉」；中文「中華電」→「2412 中華電信 台股・觀察」；英文 Maybank → 1155 持倉；查無時「查無標的 — 可至「觀察清單」註冊新標的」；↓＋Enter 開 1155 抽屜（#sym=1155）；無 lookup／AI 呼叫。one shot 首跑 5／6：中文名稱用「聯發科」，2454 因 B-10 依 6B 留下的放空部位顯示「持倉」而非檢查程式預期的「觀察」；改用觀察標的 2412 重跑</t>
        </is>
      </c>
    </row>
    <row r="92" ht="16.5" customHeight="1" s="43">
      <c r="A92" s="54" t="inlineStr">
        <is>
          <t>G. AI 投資推斷建議（洞察卡）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6" t="n"/>
    </row>
    <row r="93" ht="43.5" customHeight="1" s="43">
      <c r="A93" s="57" t="inlineStr">
        <is>
          <t>G-01</t>
        </is>
      </c>
      <c r="B93" s="58" t="inlineStr">
        <is>
          <t>G</t>
        </is>
      </c>
      <c r="C93" s="59" t="inlineStr">
        <is>
          <t>產生洞察（單一任務）</t>
        </is>
      </c>
      <c r="D93" s="59" t="inlineStr">
        <is>
          <t>洞察管線中心；記錄目前 AI 額度與卡片數</t>
        </is>
      </c>
      <c r="E93" s="59" t="inlineStr">
        <is>
          <t>選一個 per_symbol 任務 → 產生洞察</t>
        </is>
      </c>
      <c r="F93" s="59" t="inlineStr">
        <is>
          <t>① 本次新產生卡數＋沿用當日快取卡數＋因名稱與代號不符未存卡數＝任務標的數，三個數字都寫在執行明細（「產生 N 張卡（M 張沿用當日快取）；K 張因名稱與代號不符未存」，為 0 的部分不寫）；K＞0 時執行狀態為「部分」；② 每張卡記錄 model／token／cost；③ 額度扣減＝該次執行記錄的花費（job_runs）＝用量帳本同時段各列加總；卡片 cost 只記產出該卡的那次呼叫（重試、名稱不符重問與備援前失敗的花費記在執行與用量帳本）；④ `job_runs` 留下一列；⑤ 每張新卡寫的「名稱（代號）」與「代號（名稱）」，名稱是該代號在「標的管理」登錄的名稱或別名，或其中文名稱的開頭簡稱（兩字以上、不限字數）；簡稱不得是其他標的的名稱或別名，其他標的的名稱也不得以它開頭（Owner 2026-10-01 改寫：名稱與代號一致為第 8 題，結案後新增；簡稱規則依裁定 1C，DEF-089）</t>
        </is>
      </c>
      <c r="G93" s="58" t="inlineStr">
        <is>
          <t>**會花費額度**（實測一批 13 張約 $0.02）。卡片可留存或刪除</t>
        </is>
      </c>
      <c r="H93" s="59" t="inlineStr">
        <is>
          <t>✅ 已驗（第三輪產 27 張）</t>
        </is>
      </c>
      <c r="I93" s="60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1" t="inlineStr">
        <is>
          <t>PASS</t>
        </is>
      </c>
      <c r="K93" s="61" t="inlineStr">
        <is>
          <t>DEF-086, DEF-089</t>
        </is>
      </c>
      <c r="L93" s="60" t="inlineStr">
        <is>
          <t>結案</t>
        </is>
      </c>
      <c r="M93" s="61" t="inlineStr">
        <is>
          <t>PASS</t>
        </is>
      </c>
      <c r="N93" s="60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
R13（830056c 上 prod 前整份 one shot 重跑；Owner 6B：寫入留在 demo、不還原）：OBSERVE — demo 真實瀏覽器（頁首 v0.1.28 · 830056c），demo 7／8 項：以與精靈相同的 POST 建立單一標的任務 #32（2884，依 6B 留在 demo）→ run #257 ok「產生 1 張卡」：① 新卡 1＋沿用 0＋名稱不符未存 0＝任務標的數 1 ✓；② 卡 #264 記 haiku-4.5、9,942／5,412 tokens、cost 0.037002 ✓；③ 額度 3.1230711→3.0836994（−0.0393717）＝job_runs #257 執行花費 0.0393717＝同時段用量 3 列（gemini 截斷以估算計費 0.0009989、gemini 0.0013708、haiku 備援 0.037002），卡片 cost 只記產卡那次 ✓；④ job_runs 留下一列 ✓；⑤ 卡 #264 兩處寫「玉山金 (2884)」——2884 登錄名稱「玉山金控」、別名「E.SUN」「玉山」，「玉山金」不在其中；程式（name_check）刻意接受中文名稱兩字以上的開頭，執行未重問、卡片未標記 → 與手冊 ⑤ 衝突，開 DEF-089（低，規格未定，待 Owner 裁定）
R14（c9a44ac 複驗 DEF-087～091；手冊 §9 第 2 條，各題測完還原並比對）：PASS — demo 真實瀏覽器（頁首 v0.1.28 · c9a44ac），demo 8／8 項：以與精靈相同的 POST 建立單一標的任務 #32（2884）→ run #254 ok「產生 1 張卡」：① 新卡 1＋沿用 0＋名稱不符未存 0＝標的數 1；② 卡 #264 gemini-2.5-flash-lite、8,745／1,686 tokens、cost 0.0015489；③ 額度 3.1232083→3.1216594（−0.0015489）＝job_runs #254 執行花費＝同時段 1 列用量，卡片 cost＝該次呼叫；④ job_runs 一列；⑤ 依 Owner 裁定 1C：卡上「玉山金控 (2884)」為登錄名稱，「玉山金 (2884)」2 處為只指向 2884 的開頭簡稱（其他標的的名稱與別名皆不等於、也不以「玉山金」開頭）→ 通過（R13 同型寫法依舊期望判 OBSERVE、DEF-089）。測後刪除任務 #32，卡 #264 隨任務刪除（GET 404），可見卡回 224 張</t>
        </is>
      </c>
    </row>
    <row r="94" ht="57.75" customHeight="1" s="43">
      <c r="A94" s="57" t="inlineStr">
        <is>
          <t>G-02</t>
        </is>
      </c>
      <c r="B94" s="58" t="inlineStr">
        <is>
          <t>G</t>
        </is>
      </c>
      <c r="C94" s="59" t="inlineStr">
        <is>
          <t>數值檢核（真陽性）</t>
        </is>
      </c>
      <c r="D94" s="58" t="inlineStr">
        <is>
          <t>—</t>
        </is>
      </c>
      <c r="E94" s="59" t="inlineStr">
        <is>
          <t>找一張卡片文字中的數字，比對 `insights.prompt_figures`</t>
        </is>
      </c>
      <c r="F94" s="59" t="inlineStr">
        <is>
          <t>卡片印出的數字若不在提示詞母體中（任何合理尺度下），必須標「數值待核」，tooltip 列出對不上的數字</t>
        </is>
      </c>
      <c r="G94" s="59" t="inlineStr">
        <is>
          <t>唯讀</t>
        </is>
      </c>
      <c r="H94" s="59" t="inlineStr">
        <is>
          <t>✅ 已驗（#172／#185／#188）</t>
        </is>
      </c>
      <c r="I94" s="6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1" t="inlineStr">
        <is>
          <t>PASS</t>
        </is>
      </c>
      <c r="K94" s="61" t="n"/>
      <c r="L94" s="60" t="inlineStr">
        <is>
          <t>PASS</t>
        </is>
      </c>
      <c r="M94" s="61" t="inlineStr">
        <is>
          <t>PASS</t>
        </is>
      </c>
      <c r="N94" s="6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
R13（830056c 上 prod 前整份 one shot 重跑；Owner 6B：寫入留在 demo、不還原）：PASS — demo 真實瀏覽器（頁首 v0.1.28 · 830056c），demo 3／3 項檢查全過：數值待核卡 15 張，每個被標的數字都印在卡上；頁面「數值待核」徽章 tooltip 列出對不上的數字（例「對不上的數字：36,396,555.00、86.15%…」）</t>
        </is>
      </c>
    </row>
    <row r="95" ht="43.5" customHeight="1" s="43">
      <c r="A95" s="57" t="inlineStr">
        <is>
          <t>G-03</t>
        </is>
      </c>
      <c r="B95" s="58" t="inlineStr">
        <is>
          <t>G</t>
        </is>
      </c>
      <c r="C95" s="59" t="inlineStr">
        <is>
          <t>數值檢核（不得誤報）</t>
        </is>
      </c>
      <c r="D95" s="58" t="inlineStr">
        <is>
          <t>—</t>
        </is>
      </c>
      <c r="E95" s="59" t="inlineStr">
        <is>
          <t>檢視有母體的卡片中含單位的數字（兆／億／萬／千萬／百萬／B／T／混合數字）</t>
        </is>
      </c>
      <c r="F95" s="59" t="inlineStr">
        <is>
          <t>只要與母體數字在 0.5% 內相符即**不得**標記；單位換算需正確（4.51 兆 = 4.51×10¹²）</t>
        </is>
      </c>
      <c r="G95" s="59" t="inlineStr">
        <is>
          <t>唯讀</t>
        </is>
      </c>
      <c r="H95" s="59" t="inlineStr">
        <is>
          <t>✅ 已驗（21 個單位 token）</t>
        </is>
      </c>
      <c r="I95" s="6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1" t="inlineStr">
        <is>
          <t>PASS</t>
        </is>
      </c>
      <c r="K95" s="61" t="n"/>
      <c r="L95" s="60" t="inlineStr">
        <is>
          <t>PASS</t>
        </is>
      </c>
      <c r="M95" s="61" t="inlineStr">
        <is>
          <t>PASS</t>
        </is>
      </c>
      <c r="N95" s="6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
R13（830056c 上 prod 前整份 one shot 重跑；Owner 6B：寫入留在 demo、不還原）：PASS — demo 真實瀏覽器（頁首 v0.1.28 · 830056c），demo 5／5 項檢查全過：#180（2330）、#186（AAPL）、#187（MSFT）、#189（TSLA）含「兆」等單位的數字皆未被標；83 張可核卡中 5 個帶單位數字被標（R8 已逐一確認屬模型推導）</t>
        </is>
      </c>
    </row>
    <row r="96" ht="29.25" customHeight="1" s="43">
      <c r="A96" s="57" t="inlineStr">
        <is>
          <t>G-04</t>
        </is>
      </c>
      <c r="B96" s="58" t="inlineStr">
        <is>
          <t>G</t>
        </is>
      </c>
      <c r="C96" s="59" t="inlineStr">
        <is>
          <t>代號與名稱檢核</t>
        </is>
      </c>
      <c r="D96" s="58" t="inlineStr">
        <is>
          <t>① demo；② 本機專用測試環境（同一 commit、demo 資料庫副本、假 AI；E-02、G-08 等案例已用），3008 已登錄且別名含「大立光」</t>
        </is>
      </c>
      <c r="E96" s="59" t="inlineStr">
        <is>
          <t>① demo：檢視所有卡片（含本輪新產生的）括號內的代號與名稱；② 本機：對一個含 3008 的 per_symbol 任務，以假 AI 產生三次——(a) 回覆提到未登錄的「LRDIM (6883)」；(b) 兩次都回「聯詠 (3008)」；(c) 第一次回「聯詠 (3008)」、重問後回「大立光 (3008)」；(d) 先在本機登錄 2618 長榮航（2603 的別名有「長榮」；已登錄則略過），對含 2618 的任務以假 AI 兩次都回「長榮 (2618)」</t>
        </is>
      </c>
      <c r="F96" s="59" t="inlineStr">
        <is>
          <t>① demo：指標（MA20／RSI14）、縮寫（PE／ETF）、幣別不得誤報；登錄標的的名稱或別名（例「3008 (LARGAN)」「大立光 (3008)」）不得標為未知代碼；② 本機 (a)：該卡顯示「未知代碼：6883」；(b)：不存卡，執行狀態「部分」、明細含「1 張因名稱與代號不符未存」，用量帳本新增 2 列；(c)：存下的卡寫「大立光 (3008)」，執行成功，用量帳本新增 2 列，卡片 cost 只記第二次呼叫；(d)：「長榮」是 2603 的別名，不算 2618 的簡稱——不存卡，執行狀態「部分」、明細含「1 張因名稱與代號不符未存」（Owner 2026-10-01 改寫：#82 已更正，demo 已無真陽性；名稱與代號一致為第 8 題，結案後新增；(d) 依裁定 1C，DEF-089）</t>
        </is>
      </c>
      <c r="G96" s="59" t="inlineStr">
        <is>
          <t>① 唯讀；② 只寫本機的資料庫副本</t>
        </is>
      </c>
      <c r="H96" s="59" t="inlineStr">
        <is>
          <t>✅ 已驗（誤報 48 → 1）</t>
        </is>
      </c>
      <c r="I96" s="6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1" t="inlineStr">
        <is>
          <t>PASS</t>
        </is>
      </c>
      <c r="K96" s="61" t="inlineStr">
        <is>
          <t>DEF-082</t>
        </is>
      </c>
      <c r="L96" s="60" t="inlineStr">
        <is>
          <t>結案</t>
        </is>
      </c>
      <c r="M96" s="61" t="inlineStr">
        <is>
          <t>PASS</t>
        </is>
      </c>
      <c r="N96" s="6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3／3 項、本機 3 情境皆符合：① demo 全部 225 張卡：指標（MA20／RSI14）、縮寫（PE／ETF）、幣別與已登錄標的皆未被標未知代碼（被標 0 張）；寫「3008 (LARGAN)」或「大立光 (3008)」的 21 張皆未標；頁面「未知代碼」徽章 0 個。驗證者另掃名稱／代號配對：一致 87 種、中文簡稱前段 9 處（見 G-01／DEF-089）；另 1 處 #103「2454 (`held: false`)」括號內是欄位文字而非名稱，屬掃描誤判。② 本機（demo 資料庫副本補登 3008 LARGAN 並套用 demo 的別名清單，3008 別名「大立光」「大立光電」；假 AI、非憑證假金鑰）：(a) 回覆提到未登錄「LRDIM (6883)」→ 卡 #20 存下、unknown_symbols ["6883"]、徽章 tooltip「未知代碼：6883…」，run #36 ok「產生 1 張卡」；(b) 兩次都回「聯詠 (3008)」→ 不存卡，run #37 狀態「部分」、明細「產生 0 張卡；1 張因名稱與代號不符未存」，用量 +2 列（0.00018＋0.00022＝0.00040＝執行花費＝額度扣減）；(c) 先回「聯詠 (3008)」、重問後回「大立光 (3008)」→ 卡 #21「大立光 (3008) 營運觀察」，run #38 ok，用量 +2 列（0.00018＋0.00027＝0.00045），卡片 cost 0.00027 只記第二次
R14（c9a44ac 複驗 DEF-087～091；手冊 §9 第 2 條，各題測完還原並比對）：PASS — demo 真實瀏覽器（頁首 v0.1.28 · c9a44ac）＋本機專用測試環境（同一 commit c9a44ac、demo 資料庫副本、假報價／假 LLM、非憑證假金鑰、無外網；手冊 §9），demo 3／3 項、本機 4 情境皆符合：① demo 全部 224 張卡：指標、縮寫、幣別與已登錄標的未被標未知代碼（0 張）；寫「3008 (LARGAN)」「大立光 (3008)」的 21 張皆未標；徽章 0 個。驗證者依 1C 另掃名稱／代號配對：一致 87 種、只指向單一標的的開頭簡稱 7 處、不符 0（另 1 處 #103「2454 (`held: false`)」括號內是欄位文字，屬掃描誤判，與 R13 相同）。② 本機（demo 資料庫副本補登 3008 LARGAN 與 2603 Evergreen，套用 demo 的別名清單）：(a) 未登錄「LRDIM (6883)」→ 卡 #20 存下、unknown_symbols ["6883"]、徽章「未知代碼：6883…」，run #36 ok；(b) 兩次「聯詠 (3008)」→ 不存卡，run #37「部分」「產生 0 張卡；1 張因名稱與代號不符未存」，用量 +2 列 0.00018＋0.00022＝0.00040＝執行花費＝額度扣減；(c) 先「聯詠 (3008)」、重問後「大立光 (3008)」→ 卡 #21「大立光 (3008) 營運觀察」，run #38 ok，用量 +2 列 0.00045，卡片 cost 0.00027 只記第二次；(d) 以登錄門建立 2618 長榮航（別名 長榮航空，201），2603 別名「長榮」「長榮海運」→ 兩次都回「長榮 (2618)」→ 不存卡，run #39「部分」「產生 0 張卡；1 張因名稱與代號不符未存」，用量 +2 列 0.00040＝額度扣減。對照：同一腳本在本機 830056c 跑，(d) 存下卡 #22「長榮 (2618) 營運觀察」（舊規則放行），c9a44ac 已擋</t>
        </is>
      </c>
    </row>
    <row r="97" ht="29.25" customHeight="1" s="43">
      <c r="A97" s="57" t="inlineStr">
        <is>
          <t>G-05</t>
        </is>
      </c>
      <c r="B97" s="58" t="inlineStr">
        <is>
          <t>G</t>
        </is>
      </c>
      <c r="C97" s="59" t="inlineStr">
        <is>
          <t>第三態：無母體</t>
        </is>
      </c>
      <c r="D97" s="58" t="inlineStr">
        <is>
          <t>—</t>
        </is>
      </c>
      <c r="E97" s="59" t="inlineStr">
        <is>
          <t>檢視 `prompt_figures` 為空的舊卡</t>
        </is>
      </c>
      <c r="F97" s="59" t="inlineStr">
        <is>
          <t>顯示「無快照可核」而**不是**乾淨無標記</t>
        </is>
      </c>
      <c r="G97" s="59" t="inlineStr">
        <is>
          <t>唯讀</t>
        </is>
      </c>
      <c r="H97" s="59" t="inlineStr">
        <is>
          <t>✅ 已驗（142 張）</t>
        </is>
      </c>
      <c r="I97" s="6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1" t="inlineStr">
        <is>
          <t>PASS</t>
        </is>
      </c>
      <c r="K97" s="61" t="n"/>
      <c r="L97" s="60" t="inlineStr">
        <is>
          <t>PASS</t>
        </is>
      </c>
      <c r="M97" s="61" t="inlineStr">
        <is>
          <t>PASS</t>
        </is>
      </c>
      <c r="N97" s="6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
R13（830056c 上 prod 前整份 one shot 重跑；Owner 6B：寫入留在 demo、不還原）：PASS — demo 真實瀏覽器（頁首 v0.1.28 · 830056c），demo 3／3 項檢查全過：prompt_figures 為空的舊卡 142 張顯示「無快照可核」（本頁 12 張），tooltip「此卡片產生時未記錄餵給模型的數字（2026-09-17 之前產生），無法核對卡片中的數字」；較新卡不顯示</t>
        </is>
      </c>
    </row>
    <row r="98" ht="43.5" customHeight="1" s="43">
      <c r="A98" s="57" t="inlineStr">
        <is>
          <t>G-06</t>
        </is>
      </c>
      <c r="B98" s="58" t="inlineStr">
        <is>
          <t>G</t>
        </is>
      </c>
      <c r="C98" s="59" t="inlineStr">
        <is>
          <t>預測欄位顯示</t>
        </is>
      </c>
      <c r="D98" s="58" t="inlineStr">
        <is>
          <t>—</t>
        </is>
      </c>
      <c r="E98" s="59" t="inlineStr">
        <is>
          <t>檢視卡片的信心與預測</t>
        </is>
      </c>
      <c r="F98" s="59" t="inlineStr">
        <is>
          <t>信心以整數百分比顯示；信心 0 有 tooltip「模型自評信心 0%（極低）— 非未提供」；無預測顯示「純描述・無預測」</t>
        </is>
      </c>
      <c r="G98" s="59" t="inlineStr">
        <is>
          <t>唯讀</t>
        </is>
      </c>
      <c r="H98" s="59" t="inlineStr">
        <is>
          <t>✅ 已驗（11 種信心值）</t>
        </is>
      </c>
      <c r="I98" s="60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1" t="inlineStr">
        <is>
          <t>OBSERVE</t>
        </is>
      </c>
      <c r="K98" s="61" t="inlineStr">
        <is>
          <t>DEF-003</t>
        </is>
      </c>
      <c r="L98" s="60" t="inlineStr">
        <is>
          <t>結案</t>
        </is>
      </c>
      <c r="M98" s="61" t="inlineStr">
        <is>
          <t>PASS</t>
        </is>
      </c>
      <c r="N98" s="6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
R13（830056c 上 prod 前整份 one shot 重跑；Owner 6B：寫入留在 demo、不還原）：PASS — demo 真實瀏覽器（頁首 v0.1.28 · 830056c），demo 3／3 項檢查全過：無預測卡 52 張皆不顯示信心、標「純描述・無預測」；信心為整數百分比（58／60／70）；信心 0 的卡 #151 不在第一頁</t>
        </is>
      </c>
    </row>
    <row r="99" ht="29.25" customHeight="1" s="43">
      <c r="A99" s="57" t="inlineStr">
        <is>
          <t>G-07</t>
        </is>
      </c>
      <c r="B99" s="58" t="inlineStr">
        <is>
          <t>G</t>
        </is>
      </c>
      <c r="C99" s="58" t="inlineStr">
        <is>
          <t>Loop 2 評分</t>
        </is>
      </c>
      <c r="D99" s="59" t="inlineStr">
        <is>
          <t>有已到期的預測卡</t>
        </is>
      </c>
      <c r="E99" s="59" t="inlineStr">
        <is>
          <t>執行 `evaluate_insights` 或等待排程 → 檢視 AI 戰績</t>
        </is>
      </c>
      <c r="F99" s="59" t="inlineStr">
        <is>
          <t>① 到期卡被評分；② 命中率與校準曲線更新；③ 未到期卡不得被評分</t>
        </is>
      </c>
      <c r="G99" s="59" t="inlineStr">
        <is>
          <t>會寫入評分資料</t>
        </is>
      </c>
      <c r="H99" s="59" t="inlineStr">
        <is>
          <t>否</t>
        </is>
      </c>
      <c r="I99" s="60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1" t="inlineStr">
        <is>
          <t>PASS</t>
        </is>
      </c>
      <c r="K99" s="61" t="n"/>
      <c r="L99" s="60" t="inlineStr">
        <is>
          <t>PASS</t>
        </is>
      </c>
      <c r="M99" s="61" t="inlineStr">
        <is>
          <t>PASS</t>
        </is>
      </c>
      <c r="N99" s="60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4／4 項、本機 4／4 項檢查全過：demo：evaluate_insights 立即執行 run #258「評分 12 張、延後 0 張；晉升：無」，AI 戰績 n 112→124；57 張未到期（最早 2026-10-01 17:25）未被評分；同時段 12 列 master_score 用量 0.0026338。本機時鐘推進：到期 18 張全評（run #31「評分 18 張、延後 0 張；晉升：個股健檢 v3」，$0.00486）、totals n 36→45、18 張未到期無一被評</t>
        </is>
      </c>
    </row>
    <row r="100" ht="29.25" customHeight="1" s="43">
      <c r="A100" s="57" t="inlineStr">
        <is>
          <t>G-08</t>
        </is>
      </c>
      <c r="B100" s="58" t="inlineStr">
        <is>
          <t>G</t>
        </is>
      </c>
      <c r="C100" s="59" t="inlineStr">
        <is>
          <t>影子批次與自動晉升</t>
        </is>
      </c>
      <c r="D100" s="59" t="inlineStr">
        <is>
          <t>設定 › 進化設定</t>
        </is>
      </c>
      <c r="E100" s="59" t="inlineStr">
        <is>
          <t>產生一批 shadow 卡 → 檢視是否影響正式卡 → 達標後晉升</t>
        </is>
      </c>
      <c r="F100" s="58" t="inlineStr">
        <is>
          <t>① shadow 卡不出現在正式清單；② 最低樣本數與安全邊界生效；③ 晉升後版本號變更</t>
        </is>
      </c>
      <c r="G100" s="58" t="inlineStr">
        <is>
          <t>**會花費額度**；建議在非 demo 環境</t>
        </is>
      </c>
      <c r="H100" s="59" t="inlineStr">
        <is>
          <t>否</t>
        </is>
      </c>
      <c r="I100" s="60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1" t="inlineStr">
        <is>
          <t>BLOCKED</t>
        </is>
      </c>
      <c r="K100" s="61" t="inlineStr">
        <is>
          <t>DEF-069, DEF-070, DEF-071, DEF-073, DEF-079, DEF-080</t>
        </is>
      </c>
      <c r="L100" s="60" t="inlineStr">
        <is>
          <t>結案</t>
        </is>
      </c>
      <c r="M100" s="61" t="inlineStr">
        <is>
          <t>PASS</t>
        </is>
      </c>
      <c r="N100" s="60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R13（830056c 上 prod 前整份 one shot 重跑；Owner 6B：寫入留在 demo、不還原）：PASS — 本機專用測試環境（同一 commit 830056c、demo 資料庫副本、假報價／假 LLM、無外網；手冊 §9），本機 8／8 項檢查全過：本機：最低樣本 20 →「產生 0 版；略過 2 個任務（個股健檢 新樣本 9／門檻 20、持倉建議與提點 新樣本 0／門檻 20）」；越權內文 →「驗證器拒絕 1 版（個股健檢：越權/幣別混算關鍵字：加碼）」；正常 →「產生 1 版（個股健檢 v1・失誤樣本 7 筆）」；批次未滿「晉升：無」、滿後「晉升：個股健檢 v2」；取消生效 → null、設為生效 → 2；影子卡 0 張進入正式清單（平面 27／分組 27，表內影子 9）</t>
        </is>
      </c>
    </row>
    <row r="101" ht="15" customHeight="1" s="43">
      <c r="A101" s="57" t="inlineStr">
        <is>
          <t>G-09</t>
        </is>
      </c>
      <c r="B101" s="58" t="inlineStr">
        <is>
          <t>G</t>
        </is>
      </c>
      <c r="C101" s="58" t="inlineStr">
        <is>
          <t>on_alert 觸發產卡</t>
        </is>
      </c>
      <c r="D101" s="59" t="inlineStr">
        <is>
          <t>設定一條會觸發的預警規則</t>
        </is>
      </c>
      <c r="E101" s="59" t="inlineStr">
        <is>
          <t>觸發預警 → 檢視是否產生對應洞察</t>
        </is>
      </c>
      <c r="F101" s="59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9" t="inlineStr">
        <is>
          <t>會花費額度</t>
        </is>
      </c>
      <c r="H101" s="59" t="inlineStr">
        <is>
          <t>否</t>
        </is>
      </c>
      <c r="I101" s="60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1" t="inlineStr">
        <is>
          <t>FAIL</t>
        </is>
      </c>
      <c r="K101" s="61" t="inlineStr">
        <is>
          <t>DEF-037, DEF-041, DEF-044, DEF-046, DEF-054, DEF-066, DEF-083</t>
        </is>
      </c>
      <c r="L101" s="60" t="inlineStr">
        <is>
          <t>結案</t>
        </is>
      </c>
      <c r="M101" s="61" t="inlineStr">
        <is>
          <t>PASS</t>
        </is>
      </c>
      <c r="N101" s="6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
R13（830056c 上 prod 前整份 one shot 重跑；Owner 6B：寫入留在 demo、不還原）：PASS — demo 真實瀏覽器（頁首 v0.1.28 · 830056c），demo 7／7 項檢查全過：（2454 有 B-10 依 6B 留下的放空部位，觀察標的改用 2331）3008（持有）與 2331（觀察）目標下限 99999 → alert_scan run #259「預警 23 條…派發 AI 預警卡 10 張…略過 9 條觀察標的預警（未持有，不產卡）：…目標價穿越 2331」；兩個目標價穿越皆列為預警；3008 產卡、trigger 帶 alert_id 294／target_cross／「現價 6205.0000 ≤ 目標下限 99999」可追溯；2331 未產卡；新卡 10 張皆為持有標的（3008 3 張、2603 2 張、TSLA、5225、2308、1155、0056 各 1）；花費 0.0093013（14 次呼叫，其中 3 次截斷以估算計費）；兩個目標價依 6B 留在 demo（之後 alert_scan 每 24 小時會為 3008 再派發 1 張預警卡）</t>
        </is>
      </c>
    </row>
    <row r="102" ht="40.5" customHeight="1" s="43">
      <c r="A102" s="57" t="inlineStr">
        <is>
          <t>G-10</t>
        </is>
      </c>
      <c r="B102" s="58" t="inlineStr">
        <is>
          <t>G</t>
        </is>
      </c>
      <c r="C102" s="59" t="inlineStr">
        <is>
          <t>推斷品質（不列入缺陷）</t>
        </is>
      </c>
      <c r="D102" s="58" t="inlineStr">
        <is>
          <t>—</t>
        </is>
      </c>
      <c r="E102" s="59" t="inlineStr">
        <is>
          <t>檢視 AI 戰績的命中率與校準缺口</t>
        </is>
      </c>
      <c r="F102" s="58" t="inlineStr">
        <is>
          <t>**僅記錄不判定**：屬模型與提示詞課題（稽核 §五 E 已裁定不在修復範圍）</t>
        </is>
      </c>
      <c r="G102" s="59" t="inlineStr">
        <is>
          <t>唯讀</t>
        </is>
      </c>
      <c r="H102" s="59" t="inlineStr">
        <is>
          <t>✅ 已記錄（13.33% / −46.60%）</t>
        </is>
      </c>
      <c r="I102" s="60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1" t="inlineStr">
        <is>
          <t>N/A</t>
        </is>
      </c>
      <c r="K102" s="61" t="n"/>
      <c r="L102" s="60" t="inlineStr">
        <is>
          <t>N/A</t>
        </is>
      </c>
      <c r="M102" s="61" t="inlineStr">
        <is>
          <t>N/A</t>
        </is>
      </c>
      <c r="N102" s="60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
R13（830056c 上 prod 前整份 one shot 重跑；Owner 6B：寫入留在 demo、不還原）：N/A — demo 真實瀏覽器（頁首 v0.1.28 · 830056c）：僅記錄：AI 戰績 n 124、量化命中 42（33.87%）、失誤 82（66.13%）、平均敘事 75.98（本輪 G-07 新評 12 張）。依手冊僅記錄不判定</t>
        </is>
      </c>
    </row>
    <row r="103" ht="16.5" customHeight="1" s="43">
      <c r="A103" s="54" t="inlineStr">
        <is>
          <t>H. AI 設定與管線</t>
        </is>
      </c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6" t="n"/>
    </row>
    <row r="104" ht="29.25" customHeight="1" s="43">
      <c r="A104" s="57" t="inlineStr">
        <is>
          <t>H-01</t>
        </is>
      </c>
      <c r="B104" s="58" t="inlineStr">
        <is>
          <t>H</t>
        </is>
      </c>
      <c r="C104" s="58" t="inlineStr">
        <is>
          <t>LLM 連線設定與測試</t>
        </is>
      </c>
      <c r="D104" s="58" t="inlineStr">
        <is>
          <t>**非 demo 環境**（demo 的金鑰為專用且受限）</t>
        </is>
      </c>
      <c r="E104" s="59" t="inlineStr">
        <is>
          <t>設定 › AI 與額度 → 填模型與金鑰 → 測試連線</t>
        </is>
      </c>
      <c r="F104" s="59" t="inlineStr">
        <is>
          <t>① 成功／失敗訊息明確；② 金鑰不得以明文回傳到前端；③ 變更寫入 `action_log`</t>
        </is>
      </c>
      <c r="G104" s="59" t="inlineStr">
        <is>
          <t>會改設定，測畢還原</t>
        </is>
      </c>
      <c r="H104" s="59" t="inlineStr">
        <is>
          <t>否</t>
        </is>
      </c>
      <c r="I104" s="60" t="inlineStr">
        <is>
          <t>受測站為 demo（AI 金鑰為 demo 專用且受限），手冊前置條件要求非 demo 環境；本輪未更改模型或金鑰、未按測試連線</t>
        </is>
      </c>
      <c r="J104" s="61" t="inlineStr">
        <is>
          <t>BLOCKED</t>
        </is>
      </c>
      <c r="K104" s="61" t="inlineStr">
        <is>
          <t>DEF-078</t>
        </is>
      </c>
      <c r="L104" s="60" t="inlineStr">
        <is>
          <t>PASS</t>
        </is>
      </c>
      <c r="M104" s="61" t="inlineStr">
        <is>
          <t>PASS</t>
        </is>
      </c>
      <c r="N104" s="60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2／2 項、本機 6／6 項檢查全過：demo：/api/llm/config 金鑰只以遮罩（sk-•••815）出現、5 個祕密欄位皆為密碼欄（未輸入，§9-6）；本機：模型 qa-r11-fake 以 API 設非憑證假金鑰（未在密碼欄輸入）→ Ping 成功「qa-r11-fake · 1534 ms」、401 模式失敗「金鑰無效或未授權（HTTP 401）…」；只回遮罩 sk-•••000、頁面與回應不含金鑰；action_log 記「AI 設定變更」「AI 操作」</t>
        </is>
      </c>
    </row>
    <row r="105" ht="29.25" customHeight="1" s="43">
      <c r="A105" s="57" t="inlineStr">
        <is>
          <t>H-02</t>
        </is>
      </c>
      <c r="B105" s="58" t="inlineStr">
        <is>
          <t>H</t>
        </is>
      </c>
      <c r="C105" s="59" t="inlineStr">
        <is>
          <t>額度與花費對帳</t>
        </is>
      </c>
      <c r="D105" s="59" t="inlineStr">
        <is>
          <t>記錄目前額度</t>
        </is>
      </c>
      <c r="E105" s="59" t="inlineStr">
        <is>
          <t>執行一次 AI 產生 → 匯出 `llm-usage`</t>
        </is>
      </c>
      <c r="F105" s="59" t="inlineStr">
        <is>
          <t>額度扣減＝llm-usage 匯出檔各列 cost 加總＝各次執行花費加總（含重試、名稱不符重問與備援前失敗的呼叫；這些花費記在執行與用量帳本，不在任何一張卡上）</t>
        </is>
      </c>
      <c r="G105" s="59" t="inlineStr">
        <is>
          <t>會花費額度</t>
        </is>
      </c>
      <c r="H105" s="59" t="inlineStr">
        <is>
          <t>部分（額度顯示已驗）</t>
        </is>
      </c>
      <c r="I105" s="60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1" t="inlineStr">
        <is>
          <t>PASS</t>
        </is>
      </c>
      <c r="K105" s="61" t="inlineStr">
        <is>
          <t>DEF-086</t>
        </is>
      </c>
      <c r="L105" s="60" t="inlineStr">
        <is>
          <t>結案</t>
        </is>
      </c>
      <c r="M105" s="61" t="inlineStr">
        <is>
          <t>PASS</t>
        </is>
      </c>
      <c r="N105" s="6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
R13（830056c 上 prod 前整份 one shot 重跑；Owner 6B：寫入留在 demo、不還原）：PASS — demo 真實瀏覽器（頁首 v0.1.28 · 830056c），demo 3／3 項檢查全過：承 G-01：額度扣減 0.0393717＝LLM 用量匯出同時段 3 列 cost 加總（0.0009989〔估算〕＋0.0013708＋0.037002）＝各次執行花費加總（insight:32 run #257 0.0393717）；全表 1,160 列 cost 加總 1.9282357＋剩餘 3.0717643＝5（唯一加值）</t>
        </is>
      </c>
    </row>
    <row r="106" ht="29.25" customHeight="1" s="43">
      <c r="A106" s="57" t="inlineStr">
        <is>
          <t>H-03</t>
        </is>
      </c>
      <c r="B106" s="58" t="inlineStr">
        <is>
          <t>H</t>
        </is>
      </c>
      <c r="C106" s="59" t="inlineStr">
        <is>
          <t>提示詞編輯與版本</t>
        </is>
      </c>
      <c r="D106" s="59" t="inlineStr">
        <is>
          <t>設定 › AI 提示詞</t>
        </is>
      </c>
      <c r="E106" s="59" t="inlineStr">
        <is>
          <t>修改一個模板 → 儲存 → 乾跑預檢</t>
        </is>
      </c>
      <c r="F106" s="59" t="inlineStr">
        <is>
          <t>① 版本記錄新增；② 乾跑預檢的組裝結果反映新內容；③ 可回復舊版本</t>
        </is>
      </c>
      <c r="G106" s="59" t="inlineStr">
        <is>
          <t>會改設定，測畢還原</t>
        </is>
      </c>
      <c r="H106" s="59" t="inlineStr">
        <is>
          <t>否</t>
        </is>
      </c>
      <c r="I106" s="60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1" t="inlineStr">
        <is>
          <t>OBSERVE</t>
        </is>
      </c>
      <c r="K106" s="61" t="inlineStr">
        <is>
          <t>DEF-033, DEF-057</t>
        </is>
      </c>
      <c r="L106" s="60" t="inlineStr">
        <is>
          <t>結案</t>
        </is>
      </c>
      <c r="M106" s="61" t="inlineStr">
        <is>
          <t>PASS</t>
        </is>
      </c>
      <c r="N106" s="6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
R13（830056c 上 prod 前整份 one shot 重跑；Owner 6B：寫入留在 demo、不還原）：PASS — demo 真實瀏覽器（頁首 v0.1.28 · 830056c），demo 5／5 項檢查全過：修改「持倉週報策略」→ 儲存：① 版本 7→8；② 乾跑預檢組裝反映修改；③ 回復舊版後內文回到原文</t>
        </is>
      </c>
    </row>
    <row r="107" ht="29.25" customHeight="1" s="43">
      <c r="A107" s="57" t="inlineStr">
        <is>
          <t>H-04</t>
        </is>
      </c>
      <c r="B107" s="58" t="inlineStr">
        <is>
          <t>H</t>
        </is>
      </c>
      <c r="C107" s="59" t="inlineStr">
        <is>
          <t>管線任務 CRUD</t>
        </is>
      </c>
      <c r="D107" s="59" t="inlineStr">
        <is>
          <t>洞察管線中心</t>
        </is>
      </c>
      <c r="E107" s="59" t="inlineStr">
        <is>
          <t>新增任務 → 停用 → 設排程 → 立即執行 → 刪除</t>
        </is>
      </c>
      <c r="F107" s="59" t="inlineStr">
        <is>
          <t>各動作即時反映在清單與 `job_runs`；停用的任務不得被排程觸發</t>
        </is>
      </c>
      <c r="G107" s="59" t="inlineStr">
        <is>
          <t>會寫入任務設定</t>
        </is>
      </c>
      <c r="H107" s="59" t="inlineStr">
        <is>
          <t>否</t>
        </is>
      </c>
      <c r="I107" s="60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1" t="inlineStr">
        <is>
          <t>FAIL</t>
        </is>
      </c>
      <c r="K107" s="61" t="inlineStr">
        <is>
          <t>DEF-030, DEF-031, DEF-032, DEF-051, DEF-053, DEF-058, DEF-059, DEF-062, DEF-064, DEF-074, DEF-075, DEF-076</t>
        </is>
      </c>
      <c r="L107" s="60" t="inlineStr">
        <is>
          <t>結案</t>
        </is>
      </c>
      <c r="M107" s="61" t="inlineStr">
        <is>
          <t>PASS</t>
        </is>
      </c>
      <c r="N107" s="60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
R13（830056c 上 prod 前整份 one shot 重跑；Owner 6B：寫入留在 demo、不還原）：PASS — demo 真實瀏覽器（頁首 v0.1.28 · 830056c），demo 9／9 項檢查全過：建立 #33 → 清單出現 → 停用 → 設排程 0 9 * * 1 → 排程中心以「暫停」呈現（effective_enabled false、附暫停原因）→ 立即執行 run #270「產生 1 張卡」（$0.0029054，2 次呼叫）→ 刪除後清單與排程皆移除</t>
        </is>
      </c>
    </row>
    <row r="108" ht="43.5" customHeight="1" s="43">
      <c r="A108" s="57" t="inlineStr">
        <is>
          <t>H-05</t>
        </is>
      </c>
      <c r="B108" s="58" t="inlineStr">
        <is>
          <t>H</t>
        </is>
      </c>
      <c r="C108" s="59" t="inlineStr">
        <is>
          <t>乾跑預檢各閘門的阻擋情境</t>
        </is>
      </c>
      <c r="D108" s="59" t="inlineStr">
        <is>
          <t>分別製造：標的宇宙為空／模板停用／缺價／額度不足</t>
        </is>
      </c>
      <c r="E108" s="59" t="inlineStr">
        <is>
          <t>對每種情境跑一次乾跑預檢</t>
        </is>
      </c>
      <c r="F108" s="59" t="inlineStr">
        <is>
          <t>對應的 R1–R8 顯示 ✗ 或 ⓘ 並給出可執行的修正指引；**結論需明確說會不會中斷**</t>
        </is>
      </c>
      <c r="G108" s="59" t="inlineStr">
        <is>
          <t>唯讀（零成本）</t>
        </is>
      </c>
      <c r="H108" s="59" t="inlineStr">
        <is>
          <t>部分（正常路徑與 R4 已驗）</t>
        </is>
      </c>
      <c r="I108" s="60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1" t="inlineStr">
        <is>
          <t>FAIL</t>
        </is>
      </c>
      <c r="K108" s="61" t="inlineStr">
        <is>
          <t>DEF-031, DEF-043, DEF-085</t>
        </is>
      </c>
      <c r="L108" s="60" t="inlineStr">
        <is>
          <t>結案</t>
        </is>
      </c>
      <c r="M108" s="61" t="inlineStr">
        <is>
          <t>PASS</t>
        </is>
      </c>
      <c r="N108" s="60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
R13（830056c 上 prod 前整份 one shot 重跑；Owner 6B：寫入留在 demo、不還原）：PASS — demo 真實瀏覽器（頁首 v0.1.28 · 830056c）＋本機專用測試環境（同一 commit 830056c、demo 資料庫副本、假報價／假 LLM、無外網；手冊 §9），demo 8／8 項、本機 8／8 項檢查全過：demo：①模板停用（#12）→「✕ 模板啟用 組合的策略段全空（全部停用/封存）［啟用模板］R3」、結論「本任務現在不會成功執行 — 1 道閘門擋下。修復上方紅色項目後重跑預檢。」；②標的宇宙為空（任務 #35，空宇宙可建立）→「✕ 標的宇宙 標的宇宙為空（清單已出清）［編輯標的］R2」、結論同上。本機 ③缺價（ORBT）→「⚠ 價格資料 缺價標的（產確定性『資料異常』卡，零成本）：ORBT」、結論「可以執行 — 2 項警告會反映在產出（跳過段落/資料異常卡/部分執行），不會中斷。」；④額度不足（剩餘 −$0.01）→「✕ AI 額度 額度耗盡（剩餘 $-0.01）［前往額度設定］R6」、結論「本任務現在不會成功執行…」。模板 #12 與任務 #34、#35 依 6B 留在 demo</t>
        </is>
      </c>
    </row>
    <row r="109" ht="15" customHeight="1" s="43">
      <c r="A109" s="57" t="inlineStr">
        <is>
          <t>H-06</t>
        </is>
      </c>
      <c r="B109" s="58" t="inlineStr">
        <is>
          <t>H</t>
        </is>
      </c>
      <c r="C109" s="59" t="inlineStr">
        <is>
          <t>官方套組啟用</t>
        </is>
      </c>
      <c r="D109" s="59" t="inlineStr">
        <is>
          <t>洞察管線中心</t>
        </is>
      </c>
      <c r="E109" s="59" t="inlineStr">
        <is>
          <t>按「啟用官方套組」</t>
        </is>
      </c>
      <c r="F109" s="59" t="inlineStr">
        <is>
          <t>套組內任務全部建立、可逐一檢視與停用</t>
        </is>
      </c>
      <c r="G109" s="59" t="inlineStr">
        <is>
          <t>會建立多個任務，測畢清理</t>
        </is>
      </c>
      <c r="H109" s="59" t="inlineStr">
        <is>
          <t>否</t>
        </is>
      </c>
      <c r="I109" s="60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1" t="inlineStr">
        <is>
          <t>PASS</t>
        </is>
      </c>
      <c r="K109" s="61" t="n"/>
      <c r="L109" s="60" t="inlineStr">
        <is>
          <t>PASS</t>
        </is>
      </c>
      <c r="M109" s="61" t="inlineStr">
        <is>
          <t>PASS</t>
        </is>
      </c>
      <c r="N109" s="60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
R13（830056c 上 prod 前整份 one shot 重跑；Owner 6B：寫入留在 demo、不還原）：PASS — demo 真實瀏覽器（頁首 v0.1.28 · 830056c），demo 5／5 項檢查全過：「啟用官方套組」200：5 個任務皆已存在 → created []、skipped 5（持倉週報、個股健檢、市場週報、持倉建議與提點、持倉提點）；任務清單與排程不變（無重複）；各任務在管線中心可見</t>
        </is>
      </c>
    </row>
    <row r="110" ht="29.25" customHeight="1" s="43">
      <c r="A110" s="57" t="inlineStr">
        <is>
          <t>H-07</t>
        </is>
      </c>
      <c r="B110" s="58" t="inlineStr">
        <is>
          <t>H</t>
        </is>
      </c>
      <c r="C110" s="58" t="inlineStr">
        <is>
          <t>AI 戰績頁</t>
        </is>
      </c>
      <c r="D110" s="58" t="inlineStr">
        <is>
          <t>—</t>
        </is>
      </c>
      <c r="E110" s="59" t="inlineStr">
        <is>
          <t>檢視 AI 戰績分頁</t>
        </is>
      </c>
      <c r="F110" s="59" t="inlineStr">
        <is>
          <t>命中率、校準曲線、樣本數與 `ai-predictions` 匯出一致</t>
        </is>
      </c>
      <c r="G110" s="59" t="inlineStr">
        <is>
          <t>唯讀</t>
        </is>
      </c>
      <c r="H110" s="59" t="inlineStr">
        <is>
          <t>部分</t>
        </is>
      </c>
      <c r="I110" s="6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1" t="inlineStr">
        <is>
          <t>PASS</t>
        </is>
      </c>
      <c r="K110" s="61" t="inlineStr">
        <is>
          <t>DEF-081</t>
        </is>
      </c>
      <c r="L110" s="60" t="inlineStr">
        <is>
          <t>PASS</t>
        </is>
      </c>
      <c r="M110" s="61" t="inlineStr">
        <is>
          <t>PASS</t>
        </is>
      </c>
      <c r="N110" s="6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
R13（830056c 上 prod 前整份 one shot 重跑；Owner 6B：寫入留在 demo、不還原）：PASS — demo 真實瀏覽器（頁首 v0.1.28 · 830056c），demo 3／3 項檢查全過：樣本數 124＝ai-predictions 匯出已評分列；命中 42／124 與匯出一致；各任務以名稱稱呼（無「任務 #N」）</t>
        </is>
      </c>
    </row>
    <row r="111" ht="43.5" customHeight="1" s="43">
      <c r="A111" s="57" t="inlineStr">
        <is>
          <t>H-08</t>
        </is>
      </c>
      <c r="B111" s="58" t="inlineStr">
        <is>
          <t>H</t>
        </is>
      </c>
      <c r="C111" s="59" t="inlineStr">
        <is>
          <t>通知中心的 demo 防護</t>
        </is>
      </c>
      <c r="D111" s="58" t="inlineStr">
        <is>
          <t>—</t>
        </is>
      </c>
      <c r="E111" s="59" t="inlineStr">
        <is>
          <t>檢視系統設定 › 通知中心</t>
        </is>
      </c>
      <c r="F111" s="58" t="inlineStr">
        <is>
          <t>demo 站多數控制項 disabled 並顯示「示範站不開放通知設定」</t>
        </is>
      </c>
      <c r="G111" s="59" t="inlineStr">
        <is>
          <t>唯讀</t>
        </is>
      </c>
      <c r="H111" s="59" t="inlineStr">
        <is>
          <t>✅ 已驗（62 中 48 disabled）</t>
        </is>
      </c>
      <c r="I111" s="60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1" t="inlineStr">
        <is>
          <t>PASS</t>
        </is>
      </c>
      <c r="K111" s="61" t="n"/>
      <c r="L111" s="60" t="inlineStr">
        <is>
          <t>PASS</t>
        </is>
      </c>
      <c r="M111" s="61" t="inlineStr">
        <is>
          <t>PASS</t>
        </is>
      </c>
      <c r="N111" s="60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
R13（830056c 上 prod 前整份 one shot 重跑；Owner 6B：寫入留在 demo、不還原）：PASS — demo 真實瀏覽器（頁首 v0.1.28 · 830056c），demo 2／2 項檢查全過：通知中心 48 個控制項全部停用並顯示「示範站不開放通知設定，請於正式站（受保護模式）設定。」</t>
        </is>
      </c>
    </row>
    <row r="112" ht="16.5" customHeight="1" s="43">
      <c r="A112" s="54" t="inlineStr">
        <is>
          <t>I. 帳本匯出與匯入</t>
        </is>
      </c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6" t="n"/>
    </row>
    <row r="113" ht="57.75" customHeight="1" s="43">
      <c r="A113" s="57" t="inlineStr">
        <is>
          <t>I-01</t>
        </is>
      </c>
      <c r="B113" s="58" t="inlineStr">
        <is>
          <t>I</t>
        </is>
      </c>
      <c r="C113" s="59" t="inlineStr">
        <is>
          <t>匯出端點全覆蓋</t>
        </is>
      </c>
      <c r="D113" s="58" t="inlineStr">
        <is>
          <t>—</t>
        </is>
      </c>
      <c r="E113" s="59" t="inlineStr">
        <is>
          <t>逐一觸發 21 個檔案匯出：① 持倉 CSV；② 已實現 CSV；③～⑧ 帳本 6 類 CSV（交易／股利／換匯／期初／公司行動／資金收支）；⑨ 全帳本 ZIP；⑩ 帳本報告；⑪ 持倉報告；⑫ 再平衡報告；⑬ 個股明細；⑭ 現金對帳單 CSV；⑮ 現金對帳單報告；⑯ 稅務包 ZIP；⑰ 排程執行記錄 CSV；⑱ AI 用量 CSV；⑲ AI 預測明細 CSV；⑳ AI 失敗紀錄 JSONL；㉑ 帳本操作稽核 CSV（匯出中心，結案後新增）</t>
        </is>
      </c>
      <c r="F113" s="59" t="inlineStr">
        <is>
          <t>21 個全部回 200，`Content-Disposition` 檔名正確（UTF-8），內容非空；帳本清單（`GET /api/export/ledgers`）是 JSON 清單、不是檔案，不計入（Owner 2026-10-01 改寫：清單明列，J-04 引用本清單）</t>
        </is>
      </c>
      <c r="G113" s="59" t="inlineStr">
        <is>
          <t>唯讀</t>
        </is>
      </c>
      <c r="H113" s="59" t="inlineStr">
        <is>
          <t>✅ 已驗（三輪、19–20 個回應）</t>
        </is>
      </c>
      <c r="I113" s="60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1" t="inlineStr">
        <is>
          <t>PASS</t>
        </is>
      </c>
      <c r="K113" s="61" t="n"/>
      <c r="L113" s="60" t="inlineStr">
        <is>
          <t>PASS</t>
        </is>
      </c>
      <c r="M113" s="61" t="inlineStr">
        <is>
          <t>PASS</t>
        </is>
      </c>
      <c r="N113" s="6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
R13（830056c 上 prod 前整份 one shot 重跑；Owner 6B：寫入留在 demo、不還原）：PASS — demo 真實瀏覽器（頁首 v0.1.28 · 830056c），重跑 1／1 項檢查全過：I-01 明列的 21 個匯出全部 200、附件帶 UTF-8 檔名且檔名正確、內容非空（頁內攔截、不存檔）：持倉 holdings_snapshot_2026-10-01.csv 5,299B、已實現 2,004B、交易帳本 15,138B、股利 2,263B、換匯 1,003B、期初 98B、公司行動 830B、資金 2,958B、全帳本 ZIP 6,123B、帳本報告 57,691B…、稅務包 tax_package_2026.zip 2,260B、帳本操作稽核 ledger_audit_all_all.csv。one shot 首跑 0／1：⑯稅務包 ZIP 回 422 oversold_position，其餘 20 個皆 200；當時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4" ht="57.75" customHeight="1" s="43">
      <c r="A114" s="57" t="inlineStr">
        <is>
          <t>I-02</t>
        </is>
      </c>
      <c r="B114" s="58" t="inlineStr">
        <is>
          <t>I</t>
        </is>
      </c>
      <c r="C114" s="59" t="inlineStr">
        <is>
          <t>匯出內容逐位元對帳</t>
        </is>
      </c>
      <c r="D114" s="58" t="inlineStr">
        <is>
          <t>—</t>
        </is>
      </c>
      <c r="E114" s="59" t="inlineStr">
        <is>
          <t>取 持倉／已實現／交易帳本 三個 CSV，與畫面及 API 逐列比對</t>
        </is>
      </c>
      <c r="F114" s="59" t="inlineStr">
        <is>
          <t>數字為原始精度（非畫面格式化後的值）；列數、排序、欄位名一致</t>
        </is>
      </c>
      <c r="G114" s="59" t="inlineStr">
        <is>
          <t>唯讀</t>
        </is>
      </c>
      <c r="H114" s="59" t="inlineStr">
        <is>
          <t>部分（端點已驗，內容未逐列比對）</t>
        </is>
      </c>
      <c r="I114" s="60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1" t="inlineStr">
        <is>
          <t>PASS</t>
        </is>
      </c>
      <c r="K114" s="61" t="n"/>
      <c r="L114" s="60" t="inlineStr">
        <is>
          <t>PASS</t>
        </is>
      </c>
      <c r="M114" s="61" t="inlineStr">
        <is>
          <t>PASS</t>
        </is>
      </c>
      <c r="N114" s="6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
R13（830056c 上 prod 前整份 one shot 重跑；Owner 6B：寫入留在 demo、不還原）：PASS — demo 真實瀏覽器（頁首 v0.1.28 · 830056c），重跑 4／4 項檢查全過：持倉 CSV 16 列＝API；原始精度欄位與 /api/dashboard 逐字相同（0 差異）；已實現 CSV 16 列＝API；交易 CSV 79 列＝帳本。one shot 首跑 3／4：原始精度比對有差異，當時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5" ht="29.25" customHeight="1" s="43">
      <c r="A115" s="57" t="inlineStr">
        <is>
          <t>I-03</t>
        </is>
      </c>
      <c r="B115" s="58" t="inlineStr">
        <is>
          <t>I</t>
        </is>
      </c>
      <c r="C115" s="59" t="inlineStr">
        <is>
          <t>稅務包 ZIP</t>
        </is>
      </c>
      <c r="D115" s="58" t="inlineStr">
        <is>
          <t>—</t>
        </is>
      </c>
      <c r="E115" s="59" t="inlineStr">
        <is>
          <t>匯出 2026 年度稅務包並解壓</t>
        </is>
      </c>
      <c r="F115" s="59" t="inlineStr">
        <is>
          <t>① 內含檔案清單符合規格；② 只含該年度資料；③ 股利預扣稅、已實現損益、匯率換算可交叉對帳</t>
        </is>
      </c>
      <c r="G115" s="59" t="inlineStr">
        <is>
          <t>唯讀</t>
        </is>
      </c>
      <c r="H115" s="59" t="inlineStr">
        <is>
          <t>部分（端點已驗）</t>
        </is>
      </c>
      <c r="I115" s="60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1" t="inlineStr">
        <is>
          <t>FAIL</t>
        </is>
      </c>
      <c r="K115" s="61" t="inlineStr">
        <is>
          <t>DEF-001</t>
        </is>
      </c>
      <c r="L115" s="60" t="inlineStr">
        <is>
          <t>結案</t>
        </is>
      </c>
      <c r="M115" s="61" t="inlineStr">
        <is>
          <t>PASS</t>
        </is>
      </c>
      <c r="N115" s="6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
R13（830056c 上 prod 前整份 one shot 重跑；Owner 6B：寫入留在 demo、不還原）：PASS — demo 真實瀏覽器（頁首 v0.1.28 · 830056c），重跑 3／3 項檢查全過：稅務包 ① 含 realized_gains_2026.csv、dividends_2026.csv、fx_realized_2026.csv、summary.md；② 只有 2026 年的列；③ 預扣稅合計 139.83＝股利帳本 139.83。one shot 首跑 1／3：稅務包 422 oversold_position，當時 2330 因 B-11 依 6B 留下的 07-01 超賣（#249）被列為賣超部位（市值／未實現為空、整體 XIRR 不計、稅務包 422 oversold_position）；I-13 依步驟寫回 #264（2330 買 2,000 @600，2026-01-06）補足 07-01 持股後恢復可計算</t>
        </is>
      </c>
    </row>
    <row r="116" ht="29.25" customHeight="1" s="43">
      <c r="A116" s="57" t="inlineStr">
        <is>
          <t>I-04</t>
        </is>
      </c>
      <c r="B116" s="58" t="inlineStr">
        <is>
          <t>I</t>
        </is>
      </c>
      <c r="C116" s="58" t="inlineStr">
        <is>
          <t>CSV 範本下載</t>
        </is>
      </c>
      <c r="D116" s="59" t="inlineStr">
        <is>
          <t>交易帳本 › CSV 匯入</t>
        </is>
      </c>
      <c r="E116" s="59" t="inlineStr">
        <is>
          <t>逐一下載 交易／股利／換匯／期初／公司行動／資金 範本</t>
        </is>
      </c>
      <c r="F116" s="59" t="inlineStr">
        <is>
          <t>欄位名與匯入解析器接受的欄位**完全一致**（用範本原樣填值應可匯入）</t>
        </is>
      </c>
      <c r="G116" s="59" t="inlineStr">
        <is>
          <t>唯讀</t>
        </is>
      </c>
      <c r="H116" s="59" t="inlineStr">
        <is>
          <t>否</t>
        </is>
      </c>
      <c r="I116" s="60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1" t="inlineStr">
        <is>
          <t>PASS</t>
        </is>
      </c>
      <c r="K116" s="61" t="inlineStr">
        <is>
          <t>DEF-004</t>
        </is>
      </c>
      <c r="L116" s="60" t="inlineStr">
        <is>
          <t>結案</t>
        </is>
      </c>
      <c r="M116" s="61" t="inlineStr">
        <is>
          <t>PASS</t>
        </is>
      </c>
      <c r="N116" s="60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
R13（830056c 上 prod 前整份 one shot 重跑；Owner 6B：寫入留在 demo、不還原）：PASS — demo 真實瀏覽器（頁首 v0.1.28 · 830056c），demo 1／1 項檢查全過：6 種範本（交易 7 列、股利 2、換匯 2、期初 2、公司行動 3、資金 7）下載後原樣解析，欄位名錯誤 0</t>
        </is>
      </c>
    </row>
    <row r="117" ht="29.25" customHeight="1" s="43">
      <c r="A117" s="57" t="inlineStr">
        <is>
          <t>I-05</t>
        </is>
      </c>
      <c r="B117" s="58" t="inlineStr">
        <is>
          <t>I</t>
        </is>
      </c>
      <c r="C117" s="58" t="inlineStr">
        <is>
          <t>CSV 匯入預覽（合法）</t>
        </is>
      </c>
      <c r="D117" s="59" t="inlineStr">
        <is>
          <t>用 I-04 的範本填 3 列合法資料</t>
        </is>
      </c>
      <c r="E117" s="59" t="inlineStr">
        <is>
          <t>貼上或上傳 → 預覽</t>
        </is>
      </c>
      <c r="F117" s="59" t="inlineStr">
        <is>
          <t>逐列顯示「✓ 可寫入」，金額、費用、帳戶、代號解析正確</t>
        </is>
      </c>
      <c r="G117" s="59" t="inlineStr">
        <is>
          <t>不寫入</t>
        </is>
      </c>
      <c r="H117" s="59" t="inlineStr">
        <is>
          <t>✅ 已驗（第一輪）</t>
        </is>
      </c>
      <c r="I117" s="60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1" t="inlineStr">
        <is>
          <t>PASS</t>
        </is>
      </c>
      <c r="K117" s="61" t="n"/>
      <c r="L117" s="60" t="inlineStr">
        <is>
          <t>PASS</t>
        </is>
      </c>
      <c r="M117" s="61" t="inlineStr">
        <is>
          <t>PASS</t>
        </is>
      </c>
      <c r="N117" s="60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
R13（830056c 上 prod 前整份 one shot 重跑；Owner 6B：寫入留在 demo、不還原）：PASS — demo 真實瀏覽器（頁首 v0.1.28 · 830056c），demo 3／3 項檢查全過：3 列合法資料皆「✓ 可寫入」；費用依帳戶規則：2884 20／AAPL 0／1155 3.91＋印花 2；帳戶與代號解析正確；未寫入</t>
        </is>
      </c>
    </row>
    <row r="118" ht="43.5" customHeight="1" s="43">
      <c r="A118" s="57" t="inlineStr">
        <is>
          <t>I-06</t>
        </is>
      </c>
      <c r="B118" s="58" t="inlineStr">
        <is>
          <t>I</t>
        </is>
      </c>
      <c r="C118" s="58" t="inlineStr">
        <is>
          <t>CSV 匯入預覽（非法）</t>
        </is>
      </c>
      <c r="D118" s="59" t="inlineStr">
        <is>
          <t>故意填錯：缺欄位、代號未註冊、台股 0.5 股、日期格式錯、賣超</t>
        </is>
      </c>
      <c r="E118" s="59" t="inlineStr">
        <is>
          <t>預覽</t>
        </is>
      </c>
      <c r="F118" s="59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9" t="inlineStr">
        <is>
          <t>不寫入</t>
        </is>
      </c>
      <c r="H118" s="59" t="inlineStr">
        <is>
          <t>部分（已驗數種）</t>
        </is>
      </c>
      <c r="I118" s="60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1" t="inlineStr">
        <is>
          <t>FAIL</t>
        </is>
      </c>
      <c r="K118" s="61" t="inlineStr">
        <is>
          <t>DEF-024, DEF-025</t>
        </is>
      </c>
      <c r="L118" s="60" t="inlineStr">
        <is>
          <t>結案</t>
        </is>
      </c>
      <c r="M118" s="61" t="inlineStr">
        <is>
          <t>PASS</t>
        </is>
      </c>
      <c r="N118" s="60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R13（830056c 上 prod 前整份 one shot 重跑；Owner 6B：寫入留在 demo、不還原）：PASS — demo 真實瀏覽器（頁首 v0.1.28 · 830056c），demo 12／12 項檢查全過：合法列仍可寫；缺價「必填欄位不可空白（欄位 price）」、未註冊「未註冊標的 ZZZZ9 — 請先至「標的管理」註冊」、台股 0.5 股、日期「2026-13-45」、帳戶 xx_broker、買賣別 hold 各自點名；賣超列「賣出 5000 股，超過持有的 1500 股」預設不勾，確認框點名該列並說明成本基礎將被永久捨棄；錯誤列不可勾；取消後未寫入</t>
        </is>
      </c>
    </row>
    <row r="119" ht="29.25" customHeight="1" s="43">
      <c r="A119" s="57" t="inlineStr">
        <is>
          <t>I-07</t>
        </is>
      </c>
      <c r="B119" s="58" t="inlineStr">
        <is>
          <t>I</t>
        </is>
      </c>
      <c r="C119" s="58" t="inlineStr">
        <is>
          <t>CSV 匯入寫入（選擇性）</t>
        </is>
      </c>
      <c r="D119" s="59" t="inlineStr">
        <is>
          <t>承 I-05；記錄基準</t>
        </is>
      </c>
      <c r="E119" s="59" t="inlineStr">
        <is>
          <t>只勾選其中 2 列 → 確認寫入</t>
        </is>
      </c>
      <c r="F119" s="58" t="inlineStr">
        <is>
          <t>① **只寫入勾選的列**；② 批次記錄在「匯入批次」清單；③ 持倉與現金依寫入列重算</t>
        </is>
      </c>
      <c r="G119" s="58" t="inlineStr">
        <is>
          <t>**會寫入帳本**。測畢用批次復原</t>
        </is>
      </c>
      <c r="H119" s="59" t="inlineStr">
        <is>
          <t>否</t>
        </is>
      </c>
      <c r="I119" s="60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1" t="inlineStr">
        <is>
          <t>PASS</t>
        </is>
      </c>
      <c r="K119" s="61" t="n"/>
      <c r="L119" s="60" t="inlineStr">
        <is>
          <t>PASS</t>
        </is>
      </c>
      <c r="M119" s="61" t="inlineStr">
        <is>
          <t>PASS</t>
        </is>
      </c>
      <c r="N119" s="6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
R13（830056c 上 prod 前整份 one shot 重跑；Owner 6B：寫入留在 demo、不還原）：PASS — demo 真實瀏覽器（頁首 v0.1.28 · 830056c），demo 9／10 項（未過 1 項是檢查程式未計入 D-08 依 6B 留下的分拆，依數據改判）：CSV 4 列預覽、勾 2 列（select [0,2]）→ 只寫 2 列（批次 #52，AAPL、1155 列為未勾選略過）；最近匯入列出批次；未勾的 AAPL 未寫入。③ 2884 +1,100 股 → 2,500 股 ✓；成本 43,895.80→78,748.80（+34,853），檢查程式預期 +49,790（4,540＋45,250）——匯入列日期 2026-09-25 早於 D-08 的 2026-10-01 分拆，帳本依日期重播，分拆把這 49,790 的 30% 一併移到 2308：49,790×0.7＝34,853，數字正確。同一次執行中 I-09 的重複警示與 I-08 的批次復原皆通過
R14（c9a44ac 複驗 DEF-087～091；手冊 §9 第 2 條，各題測完還原並比對）：PASS — demo 真實瀏覽器（頁首 v0.1.28 · c9a44ac），demo 11／11 項：CSV 4 列預覽、勾 2 列（select [0,2]）→ 只寫 2 列（批次 #50，AAPL、1155 列為未勾選略過）；② 最近匯入列出批次；③ 2884 +1,100 股（100→1,200）、成本 +49,790（9,320→59,110）；未勾的 AAPL 未寫入；同一次執行中 I-09 的重複警示（2 列「相同交易已存在」）與 I-08 的批次復原皆通過；分段逐字相同
R15（d8efc07 複驗 DEF-092；手冊 §9 第 2 條，各題測完還原並比對）：PASS — demo 真實瀏覽器（頁首 v0.1.28 · d8efc07），demo 11／11 項：CSV 4 列預覽、勾 2 列（select [0,2]）→ 只寫 2 列（批次 #55，AAPL、1155 列為未勾選略過）；② 最近匯入列出批次；③ 2884 +1,100 股（100→1,200）、成本 +49,790（9,320→59,110）；未勾的 AAPL 未寫入；I-09 重複警示 2 列與 I-08 批次復原皆通過；分段逐字相同。首跑（批次 #53）在按「復原」後固定等 1 秒找對話框，對話框實際約 0.7～1.5 秒後才出現（先查詢批次是否仍在），檢查程式中斷；#53 已由測後清理復原、分段逐字相同；改為等到對話框出現後重跑</t>
        </is>
      </c>
    </row>
    <row r="120" ht="29.25" customHeight="1" s="43">
      <c r="A120" s="57" t="inlineStr">
        <is>
          <t>I-08</t>
        </is>
      </c>
      <c r="B120" s="58" t="inlineStr">
        <is>
          <t>I</t>
        </is>
      </c>
      <c r="C120" s="59" t="inlineStr">
        <is>
          <t>匯入批次復原</t>
        </is>
      </c>
      <c r="D120" s="59" t="inlineStr">
        <is>
          <t>承 I-07</t>
        </is>
      </c>
      <c r="E120" s="59" t="inlineStr">
        <is>
          <t>匯入批次 → 復原該批</t>
        </is>
      </c>
      <c r="F120" s="59" t="inlineStr">
        <is>
          <t>該批所有列消失；`kpis`／`holdings`／`realized`／`allocation` 與匯入前**字串完全相同**</t>
        </is>
      </c>
      <c r="G120" s="59" t="inlineStr">
        <is>
          <t>這是還原步驟</t>
        </is>
      </c>
      <c r="H120" s="59" t="inlineStr">
        <is>
          <t>否</t>
        </is>
      </c>
      <c r="I120" s="60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1" t="inlineStr">
        <is>
          <t>PASS</t>
        </is>
      </c>
      <c r="K120" s="61" t="inlineStr">
        <is>
          <t>DEF-019, DEF-049</t>
        </is>
      </c>
      <c r="L120" s="60" t="inlineStr">
        <is>
          <t>結案</t>
        </is>
      </c>
      <c r="M120" s="61" t="inlineStr">
        <is>
          <t>PASS</t>
        </is>
      </c>
      <c r="N120" s="60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
R13（830056c 上 prod 前整份 one shot 重跑；Owner 6B：寫入留在 demo、不還原）：PASS — demo 真實瀏覽器（頁首 v0.1.28 · 830056c），在 I-07 中執行（demo 1／2 項，未過的一項只是引用 I-07 的總判定）：最近匯入「2026-10-01 21:47:08 交易 貼上 CSV 2 復原」→ 對話框「復原這批匯入…將刪除這批匯入寫進帳本的 2 筆交易紀錄…」→ DELETE /api/import/batches/52 200（deleted 2）→ kpis／holdings／realized／allocation 與匯入前逐字相同（本題本身測復原，依步驟刪除）
R14（c9a44ac 複驗 DEF-087～091；手冊 §9 第 2 條，各題測完還原並比對）：PASS — demo 真實瀏覽器（頁首 v0.1.28 · c9a44ac），在 I-07 中執行（demo 2／2 項）：最近匯入「2026-10-02 02:51:42 交易 貼上 CSV 2 復原」→ 對話框「復原這批匯入…將刪除這批匯入寫進帳本的 2 筆交易紀錄…」→ DELETE /api/import/batches/50 200（deleted 2）→ 四段 JSON 與匯入前逐字相同。另補驗批次復原的守門（I-08X，9／9 項，DEF-090／091 同類）：以 CSV 匯入嘉信 Schwab TWD 2026-07-18 入金 300,000（批次 #52），再倒填 2026-07-19 出金 400,000（#132，靠此入金才夠）→ 復原該批 → 422 negative_cash，對話框「現金將變為負數…此筆會使 嘉信 Schwab 的 TWD 現金自 2026-07-19 起為負，最低於 2026-07-20 降至 −205,000 — 通常代表漏記入金或換匯；確認無誤可強制寫入［取消］［我了解，仍要復原］」——新負段比池中 2026-01-12 既有的 −220,000 淺，舊規則不會詢問；取消後批次仍在。移除該筆出金後再復原同一批 → DELETE 200、不詢問（既有負值與此批無關，範圍照 audit H3）；分段逐字相同。首跑 5／6：檢查程式找對話框的選擇器漏了 role=alertdialog、未按下復原（批次 #51 由測後清理復原），修正選擇器後重跑
R15（d8efc07 複驗 DEF-092；手冊 §9 第 2 條，各題測完還原並比對）：PASS — demo 真實瀏覽器（頁首 v0.1.28 · d8efc07），在 I-07 中執行：最近匯入「2026-10-03 00:14:40 交易 貼上 CSV 2 復原」→ 對話框（0.66 秒後出現）「復原這批匯入…將刪除這批匯入寫進帳本的 2 筆交易紀錄…」→ DELETE /api/import/batches/55 200（deleted 2）→ 四段 JSON 與匯入前逐字相同。另重跑 I-08X（9／9）：CSV 匯入嘉信 Schwab TWD 2026-07-18 入金 300,000（批次 #56）＋倒填 07-19 出金 400,000（#154）→ 復原該批 → 422「…自 2026-07-19 起為負，最低於 2026-07-20 降至 −205,000…」［我了解，仍要復原］，取消後批次仍在；不帶確認刪除該出金 → 200（DEF-092 修正後不再引用 2026-01-12 的既有負值）；再復原同一批 → DELETE 200、不詢問；分段逐字相同（首跑同 I-07 的等待問題，批次 #54 由測後清理復原，重跑通過）</t>
        </is>
      </c>
    </row>
    <row r="121" ht="29.25" customHeight="1" s="43">
      <c r="A121" s="57" t="inlineStr">
        <is>
          <t>I-09</t>
        </is>
      </c>
      <c r="B121" s="58" t="inlineStr">
        <is>
          <t>I</t>
        </is>
      </c>
      <c r="C121" s="59" t="inlineStr">
        <is>
          <t>重複匯入偵測</t>
        </is>
      </c>
      <c r="D121" s="59" t="inlineStr">
        <is>
          <t>承 I-07</t>
        </is>
      </c>
      <c r="E121" s="59" t="inlineStr">
        <is>
          <t>把同一份檔案再匯入一次</t>
        </is>
      </c>
      <c r="F121" s="59" t="inlineStr">
        <is>
          <t>系統應偵測重複並提示（或明確說明會重複寫入）；不得靜默產生兩份相同帳本列</t>
        </is>
      </c>
      <c r="G121" s="59" t="inlineStr">
        <is>
          <t>若寫入需復原</t>
        </is>
      </c>
      <c r="H121" s="59" t="inlineStr">
        <is>
          <t>否</t>
        </is>
      </c>
      <c r="I121" s="60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1" t="inlineStr">
        <is>
          <t>PASS</t>
        </is>
      </c>
      <c r="K121" s="61" t="n"/>
      <c r="L121" s="60" t="inlineStr">
        <is>
          <t>PASS</t>
        </is>
      </c>
      <c r="M121" s="61" t="inlineStr">
        <is>
          <t>PASS</t>
        </is>
      </c>
      <c r="N121" s="60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
R13（830056c 上 prod 前整份 one shot 重跑；Owner 6B：寫入留在 demo、不還原）：PASS — demo 真實瀏覽器（頁首 v0.1.28 · 830056c），demo 4／4 項檢查全過：承 I-07 的格式先寫入 2 列（批次 #53，依 6B 留下）→ 同檔再匯入：警示框「#1 2884…#2 1155… 相同交易已存在（同帳戶、標的、買賣別、交易日、股數、價格），確認要再次寫入？」、預設不寫；結果「寫入完成：成功 0 筆・已匯入過 2 筆」，交易仍 74 列</t>
        </is>
      </c>
    </row>
    <row r="122" ht="43.5" customHeight="1" s="43">
      <c r="A122" s="57" t="inlineStr">
        <is>
          <t>I-10</t>
        </is>
      </c>
      <c r="B122" s="58" t="inlineStr">
        <is>
          <t>I</t>
        </is>
      </c>
      <c r="C122" s="59" t="inlineStr">
        <is>
          <t>券商對帳單匯入（Schwab）</t>
        </is>
      </c>
      <c r="D122" s="59" t="inlineStr">
        <is>
          <t>取得一份 Schwab 匯出 CSV；記錄基準</t>
        </is>
      </c>
      <c r="E122" s="59" t="inlineStr">
        <is>
          <t>交易帳本 › CSV 匯入 › 券商對帳單 → 選券商與匯入到帳戶 → 上傳 → 轉換</t>
        </is>
      </c>
      <c r="F122" s="59" t="inlineStr">
        <is>
          <t>① 轉換報告逐列可檢視；② 無法對應的交易類型**不得用猜的**（應回 `broker_row_unmapped` 並說明）；③ 確認後寫入、可復原</t>
        </is>
      </c>
      <c r="G122" s="58" t="inlineStr">
        <is>
          <t>**會寫入帳本**；務必復原</t>
        </is>
      </c>
      <c r="H122" s="59" t="inlineStr">
        <is>
          <t>否</t>
        </is>
      </c>
      <c r="I122" s="60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1" t="inlineStr">
        <is>
          <t>FAIL</t>
        </is>
      </c>
      <c r="K122" s="61" t="inlineStr">
        <is>
          <t>DEF-027, DEF-028, DEF-039</t>
        </is>
      </c>
      <c r="L122" s="60" t="inlineStr">
        <is>
          <t>結案</t>
        </is>
      </c>
      <c r="M122" s="61" t="inlineStr">
        <is>
          <t>PASS</t>
        </is>
      </c>
      <c r="N122" s="60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
R13（830056c 上 prod 前整份 one shot 重跑；Owner 6B：寫入留在 demo、不還原）：PASS — demo 真實瀏覽器（頁首 v0.1.28 · 830056c），demo 5／5 項檢查全過：嘉信對帳單轉換 200：逐列轉換報告（rows_in 2、cash_total −150.00）；未對應類型（Journaled Shares）→ 422 broker_row_unmapped、不猜；寫入轉換後 2 列（批次 #54、#55，依 6B 留下）：AAPL 2026-09-23 買 1 股，其後有 D-02b 依 6B 留下的 1:2 分割，持股 +2</t>
        </is>
      </c>
    </row>
    <row r="123" ht="29.25" customHeight="1" s="43">
      <c r="A123" s="57" t="inlineStr">
        <is>
          <t>I-11</t>
        </is>
      </c>
      <c r="B123" s="58" t="inlineStr">
        <is>
          <t>I</t>
        </is>
      </c>
      <c r="C123" s="59" t="inlineStr">
        <is>
          <t>匯入到錯誤帳戶的防護</t>
        </is>
      </c>
      <c r="D123" s="59" t="inlineStr">
        <is>
          <t>同上</t>
        </is>
      </c>
      <c r="E123" s="59" t="inlineStr">
        <is>
          <t>故意選一個與對帳單幣別／市場不符的帳戶</t>
        </is>
      </c>
      <c r="F123" s="59" t="inlineStr">
        <is>
          <t>系統需警告或阻擋（例如把美股對帳單匯入馬股帳戶）</t>
        </is>
      </c>
      <c r="G123" s="59" t="inlineStr">
        <is>
          <t>不寫入</t>
        </is>
      </c>
      <c r="H123" s="59" t="inlineStr">
        <is>
          <t>否</t>
        </is>
      </c>
      <c r="I123" s="60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1" t="inlineStr">
        <is>
          <t>FAIL</t>
        </is>
      </c>
      <c r="K123" s="61" t="inlineStr">
        <is>
          <t>DEF-029</t>
        </is>
      </c>
      <c r="L123" s="60" t="inlineStr">
        <is>
          <t>結案</t>
        </is>
      </c>
      <c r="M123" s="61" t="inlineStr">
        <is>
          <t>PASS</t>
        </is>
      </c>
      <c r="N123" s="61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
R13（830056c 上 prod 前整份 one shot 重跑；Owner 6B：寫入留在 demo、不還原）：PASS — demo 真實瀏覽器（頁首 v0.1.28 · 830056c），demo 2／2 項檢查全過：嘉信對帳單匯入台灣券商 → 200 ok:false、blocking account_broker_mismatch（「…不屬於券商 schwab（對帳單格式），一列都不會轉換」）、0 列轉換；匯入 Moomoo MY 同樣被擋（DEF-029）</t>
        </is>
      </c>
    </row>
    <row r="124" ht="29.25" customHeight="1" s="43">
      <c r="A124" s="57" t="inlineStr">
        <is>
          <t>I-12</t>
        </is>
      </c>
      <c r="B124" s="58" t="inlineStr">
        <is>
          <t>I</t>
        </is>
      </c>
      <c r="C124" s="59" t="inlineStr">
        <is>
          <t>匯入的費用與稅重算</t>
        </is>
      </c>
      <c r="D124" s="59" t="inlineStr">
        <is>
          <t>承 I-07</t>
        </is>
      </c>
      <c r="E124" s="59" t="inlineStr">
        <is>
          <t>匯入含手續費欄位的列，以及不含費用欄位的列</t>
        </is>
      </c>
      <c r="F124" s="59" t="inlineStr">
        <is>
          <t>① 有填的照用；② 沒填的依該帳戶費率規則重算；③ 與手動輸入同一路徑的結果一致</t>
        </is>
      </c>
      <c r="G124" s="59" t="inlineStr">
        <is>
          <t>同 I-07</t>
        </is>
      </c>
      <c r="H124" s="59" t="inlineStr">
        <is>
          <t>否</t>
        </is>
      </c>
      <c r="I124" s="60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1" t="inlineStr">
        <is>
          <t>PASS</t>
        </is>
      </c>
      <c r="K124" s="61" t="n"/>
      <c r="L124" s="60" t="inlineStr">
        <is>
          <t>PASS</t>
        </is>
      </c>
      <c r="M124" s="61" t="inlineStr">
        <is>
          <t>PASS</t>
        </is>
      </c>
      <c r="N124" s="60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
R13（830056c 上 prod 前整份 one shot 重跑；Owner 6B：寫入留在 demo、不還原）：PASS — demo 真實瀏覽器（頁首 v0.1.28 · 830056c），demo 3／3 項檢查全過：① 有填的費用照用（50；依規則應為 64）；② 沒填的依帳戶規則重算（2884 20／0、1155 3.91／2.00）；③ 與手動輸入同一路徑結果相同（20、3.91／2.00）</t>
        </is>
      </c>
    </row>
    <row r="125" ht="29.25" customHeight="1" s="43">
      <c r="A125" s="57" t="inlineStr">
        <is>
          <t>I-13</t>
        </is>
      </c>
      <c r="B125" s="58" t="inlineStr">
        <is>
          <t>I</t>
        </is>
      </c>
      <c r="C125" s="59" t="inlineStr">
        <is>
          <t>匯出→匯入往返一致</t>
        </is>
      </c>
      <c r="D125" s="58" t="inlineStr">
        <is>
          <t>—</t>
        </is>
      </c>
      <c r="E125" s="59" t="inlineStr">
        <is>
          <t>把交易帳本匯出成 CSV，於測試帳戶原樣匯入</t>
        </is>
      </c>
      <c r="F125" s="59" t="inlineStr">
        <is>
          <t>往返後的列內容與原列一致（此案用於驗證匯出欄位足以重建帳本）</t>
        </is>
      </c>
      <c r="G125" s="58" t="inlineStr">
        <is>
          <t>**會寫入**；務必復原</t>
        </is>
      </c>
      <c r="H125" s="59" t="inlineStr">
        <is>
          <t>否</t>
        </is>
      </c>
      <c r="I125" s="60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1" t="inlineStr">
        <is>
          <t>FAIL</t>
        </is>
      </c>
      <c r="K125" s="61" t="inlineStr">
        <is>
          <t>DEF-026</t>
        </is>
      </c>
      <c r="L125" s="60" t="inlineStr">
        <is>
          <t>結案</t>
        </is>
      </c>
      <c r="M125" s="61" t="inlineStr">
        <is>
          <t>PASS</t>
        </is>
      </c>
      <c r="N125" s="60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
R13（830056c 上 prod 前整份 one shot 重跑；Owner 6B：寫入留在 demo、不還原）：PASS — demo 真實瀏覽器（頁首 v0.1.28 · 830056c），demo 4／4 項檢查全過：交易帳本匯出 CSV 原樣作為匯入解析：無缺欄錯誤、75 列，75／75 列皆被辨識為相同交易（duplicate_trade）；確認寫回 2 列（批次 #56：#264 2330 買 2,000 @600 2026-01-06、#265 0056 買 5,000 @38 2026-02-10），逐欄與原列相同（帳戶／代號／買賣／股數／價格／費用／稅／日期）；依 6B 留在 demo——#264 補足 2330 07-01 的持股，B-11 留下的賣出不再是賣超，E-04、E-07、E-08、I-01～I-03 等因此得以重跑</t>
        </is>
      </c>
    </row>
    <row r="126" ht="16.5" customHeight="1" s="43">
      <c r="A126" s="54" t="inlineStr">
        <is>
          <t>J. 回歸快篩（每次改版後跑一次）</t>
        </is>
      </c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6" t="n"/>
    </row>
    <row r="127" ht="29.25" customHeight="1" s="43">
      <c r="A127" s="57" t="inlineStr">
        <is>
          <t>J-01</t>
        </is>
      </c>
      <c r="B127" s="58" t="inlineStr">
        <is>
          <t>J</t>
        </is>
      </c>
      <c r="C127" s="59" t="inlineStr">
        <is>
          <t>金額恆等式</t>
        </is>
      </c>
      <c r="D127" s="58" t="inlineStr">
        <is>
          <t>—</t>
        </is>
      </c>
      <c r="E127" s="59" t="inlineStr">
        <is>
          <t>以 `/api/dashboard` 原始 Decimal 字串重算 94 項恆等式（14 檔 × 6 ＋ 10 組總表）</t>
        </is>
      </c>
      <c r="F127" s="58" t="inlineStr">
        <is>
          <t>94 / 94 全過；任何一項不過都必須查到原因</t>
        </is>
      </c>
      <c r="G127" s="59" t="inlineStr">
        <is>
          <t>唯讀</t>
        </is>
      </c>
      <c r="H127" s="59" t="inlineStr">
        <is>
          <t>✅ 已驗（三輪）</t>
        </is>
      </c>
      <c r="I127" s="60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1" t="inlineStr">
        <is>
          <t>PASS</t>
        </is>
      </c>
      <c r="K127" s="61" t="inlineStr">
        <is>
          <t>DEF-077</t>
        </is>
      </c>
      <c r="L127" s="60" t="inlineStr">
        <is>
          <t>PASS</t>
        </is>
      </c>
      <c r="M127" s="61" t="inlineStr">
        <is>
          <t>PASS</t>
        </is>
      </c>
      <c r="N127" s="60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
R13（830056c 上 prod 前整份 one shot 重跑；Owner 6B：寫入留在 demo、不還原）：PASS — demo 真實瀏覽器（頁首 v0.1.28 · 830056c），demo 3／3 項檢查全過：以 /api/dashboard 原始 Decimal 字串重算恆等式 106／106 全過（持倉 16 檔×6＋10 組總表，最大誤差 1e−20）；三幣別市值加總 3／3；匯率三角一致（31.909998 vs 31.910000，2026-10-01）
R14（c9a44ac 複驗 DEF-087～091；手冊 §9 第 2 條，各題測完還原並比對）：PASS — demo 真實瀏覽器（頁首 v0.1.28 · c9a44ac），demo 3／3 項：以 /api/dashboard 原始 Decimal 字串重算恆等式 94／94 全過（14 檔×6＋10 組總表，最大誤差 1.04e−20）；三幣別市值加總 3／3；匯率三角一致（31.932000 vs 31.931999，2026-10-01）
R15（d8efc07 複驗 DEF-092；手冊 §9 第 2 條，各題測完還原並比對）：PASS — demo 真實瀏覽器（頁首 v0.1.28 · d8efc07），demo 3／3 項：以 /api/dashboard 原始 Decimal 字串重算恆等式 94／94 全過（14 檔×6＋10 組總表，最大誤差 1e−20）；三幣別市值加總 3／3；匯率三角一致（31.912002 vs 31.912001，2026-10-01）</t>
        </is>
      </c>
    </row>
    <row r="128" ht="29.25" customHeight="1" s="43">
      <c r="A128" s="57" t="inlineStr">
        <is>
          <t>J-02</t>
        </is>
      </c>
      <c r="B128" s="58" t="inlineStr">
        <is>
          <t>J</t>
        </is>
      </c>
      <c r="C128" s="59" t="inlineStr">
        <is>
          <t>費稅四情境手算</t>
        </is>
      </c>
      <c r="D128" s="58" t="inlineStr">
        <is>
          <t>—</t>
        </is>
      </c>
      <c r="E128" s="59" t="inlineStr">
        <is>
          <t>以試算重跑：台股買／台股賣／當沖賣／零股最低手續費</t>
        </is>
      </c>
      <c r="F128" s="59" t="inlineStr">
        <is>
          <t>與手算相符（0.1425%／最低 20／0.3%／0.15%／無條件捨去）</t>
        </is>
      </c>
      <c r="G128" s="59" t="inlineStr">
        <is>
          <t>唯讀</t>
        </is>
      </c>
      <c r="H128" s="59" t="inlineStr">
        <is>
          <t>✅ 已驗</t>
        </is>
      </c>
      <c r="I128" s="60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1" t="inlineStr">
        <is>
          <t>PASS</t>
        </is>
      </c>
      <c r="K128" s="61" t="n"/>
      <c r="L128" s="60" t="inlineStr">
        <is>
          <t>PASS</t>
        </is>
      </c>
      <c r="M128" s="61" t="inlineStr">
        <is>
          <t>PASS</t>
        </is>
      </c>
      <c r="N128" s="6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
R13（830056c 上 prod 前整份 one shot 重跑；Owner 6B：寫入留在 demo、不還原）：PASS — demo 真實瀏覽器（頁首 v0.1.28 · 830056c），demo 5／5 項檢查全過：試算（未寫入）：買 1,000 @1,005 手續費 floor(1,005,000×0.1425%)＝1,432；賣 1,432／稅 0.3% 3,015；當沖賣稅 0.15% 1,507；零股 1 @1,005 最低 20；帳本不變
R14（c9a44ac 複驗 DEF-087～091；手冊 §9 第 2 條，各題測完還原並比對）：PASS — demo 真實瀏覽器（頁首 v0.1.28 · c9a44ac），demo 5／5 項：試算（未寫入）買 1,000 @1,005 手續費 1,432；賣 1,432／稅 0.3% 3,015；當沖賣稅 0.15% 1,507；零股 1 @1,005 最低 20；交易帳本 56 列不變
R15（d8efc07 複驗 DEF-092；手冊 §9 第 2 條，各題測完還原並比對）：PASS — demo 真實瀏覽器（頁首 v0.1.28 · d8efc07），demo 5／5 項：試算（未寫入）買 1,000 @1,005 手續費 1,432；賣 1,432／稅 0.3% 3,015；當沖賣稅 0.15% 1,507；零股 1 @1,005 最低 20；交易帳本 56 列不變</t>
        </is>
      </c>
    </row>
    <row r="129" ht="29.25" customHeight="1" s="43">
      <c r="A129" s="57" t="inlineStr">
        <is>
          <t>J-03</t>
        </is>
      </c>
      <c r="B129" s="58" t="inlineStr">
        <is>
          <t>J</t>
        </is>
      </c>
      <c r="C129" s="59" t="inlineStr">
        <is>
          <t>寫入→編輯→刪除還原</t>
        </is>
      </c>
      <c r="D129" s="59" t="inlineStr">
        <is>
          <t>記錄基準</t>
        </is>
      </c>
      <c r="E129" s="59" t="inlineStr">
        <is>
          <t>建一筆交易 → 編輯 → 刪除 → 開資料中心 › 帳本操作稽核</t>
        </is>
      </c>
      <c r="F129" s="59" t="inlineStr">
        <is>
          <t>① 四組 JSON 與基準**字串完全相同**；② 帳本操作稽核最新兩筆依序是這次的刪除與編輯，帳本、動作正確，並列出變更前的內容（刪除列為刪除前、編輯列為編輯前）；I-01 ㉑ 的 CSV 同樣有這兩筆（Owner 2026-10-01 新增：帳本操作稽核為結案後新增）</t>
        </is>
      </c>
      <c r="G129" s="59" t="inlineStr">
        <is>
          <t>會寫入，步驟本身含還原</t>
        </is>
      </c>
      <c r="H129" s="59" t="inlineStr">
        <is>
          <t>✅ 已驗（三輪）</t>
        </is>
      </c>
      <c r="I129" s="60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1" t="inlineStr">
        <is>
          <t>PASS</t>
        </is>
      </c>
      <c r="K129" s="61" t="n"/>
      <c r="L129" s="60" t="inlineStr">
        <is>
          <t>PASS</t>
        </is>
      </c>
      <c r="M129" s="61" t="inlineStr">
        <is>
          <t>PASS</t>
        </is>
      </c>
      <c r="N129" s="6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
R13（830056c 上 prod 前整份 one shot 重跑；Owner 6B：寫入留在 demo、不還原）：PASS — demo 真實瀏覽器（頁首 v0.1.28 · 830056c），demo 9／9 項檢查全過：寫入 #266（2330 買 7 @1,003）→ 編輯價格 1,004（PUT 200）→ 刪除（DELETE 200）→ 各段 JSON 與寫入前逐字相同；帳本操作稽核最新兩筆依序為 #445 交易帳本 266 刪除（列出刪除前 成交價 1004、股數 7）、#444 編輯（列出編輯前 1003）；資料中心 › 帳本操作稽核畫面最上兩列相同；I-01 ㉑ 稽核 CSV 同樣有這兩筆（共 445 列）（本題本身測刪除）
R14（c9a44ac 複驗 DEF-087～091；手冊 §9 第 2 條，各題測完還原並比對）：PASS — demo 真實瀏覽器（頁首 v0.1.28 · c9a44ac），demo 9／9 項：寫入 #241（2330 買 7 @1,003）→ 編輯價格 1,004（PUT 200）→ 刪除（DELETE 200）→ 各段 JSON 與寫入前逐字相同；帳本操作稽核最新兩筆依序為 #434 交易帳本 241 刪除（列出刪除前 成交價 1004、股數 7）、#433 編輯（列出編輯前 1003）；資料中心 › 帳本操作稽核畫面最上兩列相同；I-01 ㉑ 稽核 CSV 同樣有這兩筆（共 434 列）
R15（d8efc07 複驗 DEF-092；手冊 §9 第 2 條，各題測完還原並比對）：PASS — demo 真實瀏覽器（頁首 v0.1.28 · d8efc07），demo 9／9 項：寫入 #247（2330 買 7 @1,003）→ 編輯價格 1,004（PUT 200）→ 刪除（DELETE 200）→ 各段 JSON 與寫入前逐字相同；帳本操作稽核最新兩筆依序為 #486 交易帳本 247 刪除（列出刪除前 成交價 1004、股數 7）、#485 編輯（列出編輯前 1003）；資料中心 › 帳本操作稽核畫面最上兩列相同；I-01 ㉑ 稽核 CSV 同樣有這兩筆（共 486 列）。首跑橫跨台北午夜（23:59:53 開始），寫入前後快照只差 xirr_window_days 269→270、xirr 與 spark_30d 視窗後移一天（日期換日），換日後重跑通過</t>
        </is>
      </c>
    </row>
    <row r="130" ht="29.25" customHeight="1" s="43">
      <c r="A130" s="57" t="inlineStr">
        <is>
          <t>J-04</t>
        </is>
      </c>
      <c r="B130" s="58" t="inlineStr">
        <is>
          <t>J</t>
        </is>
      </c>
      <c r="C130" s="59" t="inlineStr">
        <is>
          <t>匯出全端點</t>
        </is>
      </c>
      <c r="D130" s="58" t="inlineStr">
        <is>
          <t>—</t>
        </is>
      </c>
      <c r="E130" s="59" t="inlineStr">
        <is>
          <t>逐一觸發 I-01 清單上的 21 個匯出</t>
        </is>
      </c>
      <c r="F130" s="59" t="inlineStr">
        <is>
          <t>全部 200、檔名正確（清單只在 I-01 維護）</t>
        </is>
      </c>
      <c r="G130" s="59" t="inlineStr">
        <is>
          <t>唯讀</t>
        </is>
      </c>
      <c r="H130" s="59" t="inlineStr">
        <is>
          <t>✅ 已驗（三輪）</t>
        </is>
      </c>
      <c r="I130" s="60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1" t="inlineStr">
        <is>
          <t>PASS</t>
        </is>
      </c>
      <c r="K130" s="61" t="inlineStr">
        <is>
          <t>DEF-045</t>
        </is>
      </c>
      <c r="L130" s="60" t="inlineStr">
        <is>
          <t>PASS</t>
        </is>
      </c>
      <c r="M130" s="61" t="inlineStr">
        <is>
          <t>PASS</t>
        </is>
      </c>
      <c r="N130" s="60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
R13（830056c 上 prod 前整份 one shot 重跑；Owner 6B：寫入留在 demo、不還原）：PASS — demo 真實瀏覽器（頁首 v0.1.28 · 830056c），demo 2／2 項檢查全過：I-01 清單 21 個匯出全部 200、檔名正確（頁內取得、不存檔）；匯出中心「帳本操作稽核 CSV › 產生並下載」：POST /api/export/ledger-audit 200、ledger_audit_all_all.csv 202,076 bytes（攔截、不存檔）
R14（c9a44ac 複驗 DEF-087～091；手冊 §9 第 2 條，各題測完還原並比對）：PASS — demo 真實瀏覽器（頁首 v0.1.28 · c9a44ac），demo 2／2 項：I-01 清單 21 個匯出全部 200、檔名正確（頁內取得、不存檔）；匯出中心「帳本操作稽核 CSV › 產生並下載」：POST /api/export/ledger-audit 200、ledger_audit_all_all.csv 196,036 bytes（攔截、不存檔）
R15（d8efc07 複驗 DEF-092；手冊 §9 第 2 條，各題測完還原並比對）：PASS — demo 真實瀏覽器（頁首 v0.1.28 · d8efc07），demo 2／2 項：I-01 清單 21 個匯出全部 200、檔名正確（頁內取得、不存檔）；匯出中心「帳本操作稽核 CSV › 產生並下載」：POST /api/export/ledger-audit 200、ledger_audit_all_all.csv 208,218 bytes（攔截、不存檔）</t>
        </is>
      </c>
    </row>
    <row r="131" ht="29.25" customHeight="1" s="43">
      <c r="A131" s="57" t="inlineStr">
        <is>
          <t>J-05</t>
        </is>
      </c>
      <c r="B131" s="58" t="inlineStr">
        <is>
          <t>J</t>
        </is>
      </c>
      <c r="C131" s="58" t="inlineStr">
        <is>
          <t>RWD 與 console</t>
        </is>
      </c>
      <c r="D131" s="58" t="inlineStr">
        <is>
          <t>—</t>
        </is>
      </c>
      <c r="E131" s="58" t="inlineStr">
        <is>
          <t>390px 走訪 10 個分頁 ＋ 設定 8 個子分頁；全新分頁連續走訪讀 console</t>
        </is>
      </c>
      <c r="F131" s="58" t="inlineStr">
        <is>
          <t>0 處橫向溢位；0 則 console 訊息</t>
        </is>
      </c>
      <c r="G131" s="59" t="inlineStr">
        <is>
          <t>唯讀</t>
        </is>
      </c>
      <c r="H131" s="59" t="inlineStr">
        <is>
          <t>✅ 已驗（三輪）</t>
        </is>
      </c>
      <c r="I131" s="6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1" t="inlineStr">
        <is>
          <t>FAIL</t>
        </is>
      </c>
      <c r="K131" s="61" t="inlineStr">
        <is>
          <t>DEF-002, DEF-050</t>
        </is>
      </c>
      <c r="L131" s="60" t="inlineStr">
        <is>
          <t>結案</t>
        </is>
      </c>
      <c r="M131" s="61" t="inlineStr">
        <is>
          <t>PASS</t>
        </is>
      </c>
      <c r="N131" s="60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
R13（830056c 上 prod 前整份 one shot 重跑；Owner 6B：寫入留在 demo、不還原）：PASS — demo 真實瀏覽器（頁首 v0.1.28 · 830056c），demo 2／2 項檢查全過：390×844 走訪 18 頁（10 個分頁＋設定 8 個子分頁）：scrollWidth ≤ 視窗、溢位元素 0、頁面錯誤 0；設定子分頁以 hash 開啟正確
R14（c9a44ac 複驗 DEF-087～091；手冊 §9 第 2 條，各題測完還原並比對）：PASS — demo 真實瀏覽器（頁首 v0.1.28 · c9a44ac），demo 2／2 項：390×844 走訪 18 頁（10 個分頁＋設定 8 個子分頁）：scrollWidth ≤ 視窗、溢位元素 0、頁面錯誤 0；設定子分頁以 hash 開啟正確
R15（d8efc07 複驗 DEF-092；手冊 §9 第 2 條，各題測完還原並比對）：PASS — demo 真實瀏覽器（頁首 v0.1.28 · d8efc07），demo 2／2 項：390×844 走訪 18 頁（10 個分頁＋設定 8 個子分頁）：scrollWidth ≤ 視窗、溢位元素 0、頁面錯誤 0；設定子分頁以 hash 開啟正確</t>
        </is>
      </c>
    </row>
    <row r="132" ht="29.25" customHeight="1" s="43">
      <c r="A132" s="57" t="inlineStr">
        <is>
          <t>J-06</t>
        </is>
      </c>
      <c r="B132" s="58" t="inlineStr">
        <is>
          <t>J</t>
        </is>
      </c>
      <c r="C132" s="59" t="inlineStr">
        <is>
          <t>守門測試</t>
        </is>
      </c>
      <c r="D132" s="59" t="inlineStr">
        <is>
          <t>開發機</t>
        </is>
      </c>
      <c r="E132" s="58" t="inlineStr">
        <is>
          <t>`pytest`（非 e2e 全套）＋ `mypy --strict` ＋ `ruff`</t>
        </is>
      </c>
      <c r="F132" s="59" t="inlineStr">
        <is>
          <t>全綠；帳戶名稱與中文標點兩支守門測試需包含變異測試（把修復前的寫法放回去會失敗）</t>
        </is>
      </c>
      <c r="G132" s="59" t="inlineStr">
        <is>
          <t>唯讀</t>
        </is>
      </c>
      <c r="H132" s="59" t="inlineStr">
        <is>
          <t>✅ 已驗（變異測試）</t>
        </is>
      </c>
      <c r="I132" s="60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1" t="inlineStr">
        <is>
          <t>PASS</t>
        </is>
      </c>
      <c r="K132" s="61" t="inlineStr">
        <is>
          <t>DEF-065, DEF-087</t>
        </is>
      </c>
      <c r="L132" s="60" t="inlineStr">
        <is>
          <t>結案</t>
        </is>
      </c>
      <c r="M132" s="61" t="inlineStr">
        <is>
          <t>PASS</t>
        </is>
      </c>
      <c r="N132" s="60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
R13（830056c 上 prod 前整份 one shot 重跑；Owner 6B：寫入留在 demo、不還原）：FAIL — 本機乾淨 worktree（git worktree 830056c，無未提交變更），本機 5／6 項：ruff 全過；mypy --strict 983 檔 0；pytest 非 e2e 1 failed／6,851 passed／5 skipped ✗——tests/contract/test_exports_never_print_scientific_notation.py::test_every_bare_str_in_the_export_package_is_listed：export 套件多出一個未列入白名單的裸 str()（ledger_audit.py `_display`，e8bcf53 的別名欄顯示）；e2e 322／322（211 個伺服器行程 traceback 0、5xx 0）；守門變異 3 組皆被攔（帳戶名稱 → 2 failed、全形標點 → 1、inline 狀態色 → 1）。手冊要求全綠 → FAIL，開 DEF-087（低）。註：本機檢查程式比對 pytest 摘要時大小寫寫錯（「FAILED」與「failed」），自動判讀誤記 PASS；驗證者讀原始紀錄（pytest.log「1 failed, 6851 passed, 5 skipped」、rc=1）改判，並在 830056c、e8bcf53、2fe60ce 三個乾淨 worktree 單獨重跑該測試（前兩者各兩次皆 failed，2fe60ce 10 passed）
R14（c9a44ac 複驗 DEF-087～091；手冊 §9 第 2 條，各題測完還原並比對）：PASS — 本機乾淨 worktree（git worktree c9a44ac，無未提交變更），本機 6／6 項：ruff 全過；mypy --strict 985 檔 0；pytest 非 e2e 6,875 passed／5 skipped／0 failed（含 R13 失敗的 test_every_bare_str_in_the_export_package_is_listed）；e2e 322／322（211 個伺服器行程 traceback 0、5xx 0）；守門變異 3 組皆被攔（帳戶名稱 → 2 failed、全形標點 → 1、inline 狀態色 → 1）。本機檢查程式改以摘要列的 failed 數與 rc 判讀（R13 的大小寫錯誤已修正）
R15（d8efc07 複驗 DEF-092；手冊 §9 第 2 條，各題測完還原並比對）：PASS — 本機乾淨 worktree（git worktree d8efc07，無未提交變更），本機 6／6 項：ruff 全過；mypy --strict 986 檔 0；pytest 非 e2e 6,878 passed／5 skipped／0 failed；e2e 322／322（211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2"/>
    <col width="34" customWidth="1" style="42" min="3" max="3"/>
    <col width="9" customWidth="1" style="42" min="4" max="4"/>
    <col width="11" customWidth="1" style="42" min="5" max="5"/>
    <col width="10" customWidth="1" style="42" min="6" max="6"/>
    <col width="44" customWidth="1" style="42" min="7" max="7"/>
    <col width="40" customWidth="1" style="42" min="8" max="8"/>
    <col width="11" customWidth="1" style="42" min="9" max="9"/>
    <col width="10" customWidth="1" style="42" min="10" max="10"/>
    <col width="22" customWidth="1" style="42" min="11" max="11"/>
  </cols>
  <sheetData>
    <row r="1" ht="31.5" customHeight="1" s="43">
      <c r="A1" s="51" t="inlineStr">
        <is>
          <t>缺陷 ID</t>
        </is>
      </c>
      <c r="B1" s="51" t="inlineStr">
        <is>
          <t>關聯案例</t>
        </is>
      </c>
      <c r="C1" s="51" t="inlineStr">
        <is>
          <t>標題</t>
        </is>
      </c>
      <c r="D1" s="51" t="inlineStr">
        <is>
          <t>嚴重度</t>
        </is>
      </c>
      <c r="E1" s="51" t="inlineStr">
        <is>
          <t>分類</t>
        </is>
      </c>
      <c r="F1" s="51" t="inlineStr">
        <is>
          <t>發現輪次</t>
        </is>
      </c>
      <c r="G1" s="51" t="inlineStr">
        <is>
          <t>重現步驟</t>
        </is>
      </c>
      <c r="H1" s="51" t="inlineStr">
        <is>
          <t>根因（檔案:行）</t>
        </is>
      </c>
      <c r="I1" s="51" t="inlineStr">
        <is>
          <t>目前狀態</t>
        </is>
      </c>
      <c r="J1" s="51" t="inlineStr">
        <is>
          <t>結案輪次</t>
        </is>
      </c>
      <c r="K1" s="51" t="inlineStr">
        <is>
          <t>備註</t>
        </is>
      </c>
    </row>
    <row r="2" ht="43.5" customHeight="1" s="43">
      <c r="A2" s="53" t="inlineStr">
        <is>
          <t>DEF-範例</t>
        </is>
      </c>
      <c r="B2" s="53" t="inlineStr">
        <is>
          <t>B-15（範例，非實際案例）</t>
        </is>
      </c>
      <c r="C2" s="52" t="inlineStr">
        <is>
          <t>券商對帳單匯入的「匯入到帳戶」下拉顯示英文帳戶名＋原始 id</t>
        </is>
      </c>
      <c r="D2" s="52" t="inlineStr">
        <is>
          <t>低</t>
        </is>
      </c>
      <c r="E2" s="52" t="inlineStr">
        <is>
          <t>程式缺陷</t>
        </is>
      </c>
      <c r="F2" s="53" t="inlineStr">
        <is>
          <t>R1</t>
        </is>
      </c>
      <c r="G2" s="52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3" t="inlineStr">
        <is>
          <t>web/broker-import.js:498 `el('option', null, a.name + '（' + a.id + '）')` — 直接用 API 原始 a.name 併原始 id，全檔未引用 pdNames</t>
        </is>
      </c>
      <c r="I2" s="52" t="inlineStr">
        <is>
          <t>結案</t>
        </is>
      </c>
      <c r="J2" s="53" t="inlineStr">
        <is>
          <t>R2</t>
        </is>
      </c>
      <c r="K2" s="52" t="inlineStr">
        <is>
          <t>（填寫範例，取自本次稽核真實缺陷 M5-b）</t>
        </is>
      </c>
    </row>
    <row r="3" ht="15" customHeight="1" s="43">
      <c r="A3" s="61" t="inlineStr">
        <is>
          <t>DEF-001</t>
        </is>
      </c>
      <c r="B3" s="61" t="inlineStr">
        <is>
          <t>I-03</t>
        </is>
      </c>
      <c r="C3" s="60" t="inlineStr">
        <is>
          <t>稅務包 summary.md「對帳用：績效基礎已實現」與儀表板已實現對不上（TWD 差 5,200，未說明）</t>
        </is>
      </c>
      <c r="D3" s="60" t="inlineStr">
        <is>
          <t>中</t>
        </is>
      </c>
      <c r="E3" s="60" t="inlineStr">
        <is>
          <t>程式缺陷</t>
        </is>
      </c>
      <c r="F3" s="61" t="inlineStr">
        <is>
          <t>R1</t>
        </is>
      </c>
      <c r="G3" s="60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60" t="inlineStr">
        <is>
          <t>結案</t>
        </is>
      </c>
      <c r="J3" s="61" t="inlineStr">
        <is>
          <t>R2</t>
        </is>
      </c>
      <c r="K3" s="61" t="n"/>
    </row>
    <row r="4" ht="15" customHeight="1" s="43">
      <c r="A4" s="61" t="inlineStr">
        <is>
          <t>DEF-002</t>
        </is>
      </c>
      <c r="B4" s="61" t="inlineStr">
        <is>
          <t>J-05</t>
        </is>
      </c>
      <c r="C4" s="61" t="inlineStr">
        <is>
          <t>390px 寬度下展開「設定 › AI 提示詞 › 數據變數總表」，11 張變數表撐破頁面，整頁橫向捲動（scrollWidth 3,673px）</t>
        </is>
      </c>
      <c r="D4" s="60" t="inlineStr">
        <is>
          <t>低</t>
        </is>
      </c>
      <c r="E4" s="60" t="inlineStr">
        <is>
          <t>程式缺陷</t>
        </is>
      </c>
      <c r="F4" s="61" t="inlineStr">
        <is>
          <t>R1</t>
        </is>
      </c>
      <c r="G4" s="60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60" t="inlineStr">
        <is>
          <t>結案</t>
        </is>
      </c>
      <c r="J4" s="61" t="inlineStr">
        <is>
          <t>R2</t>
        </is>
      </c>
      <c r="K4" s="6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3">
      <c r="A5" s="61" t="inlineStr">
        <is>
          <t>DEF-003</t>
        </is>
      </c>
      <c r="B5" s="61" t="inlineStr">
        <is>
          <t>G-06</t>
        </is>
      </c>
      <c r="C5" s="60" t="inlineStr">
        <is>
          <t>沒有預測（prediction=null）但有信心值的洞察卡顯示「信心 N%」，不顯示「純描述・無預測」（25 張）</t>
        </is>
      </c>
      <c r="D5" s="60" t="inlineStr">
        <is>
          <t>低</t>
        </is>
      </c>
      <c r="E5" s="60" t="inlineStr">
        <is>
          <t>規格未定</t>
        </is>
      </c>
      <c r="F5" s="61" t="inlineStr">
        <is>
          <t>R1</t>
        </is>
      </c>
      <c r="G5" s="6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60" t="inlineStr">
        <is>
          <t>結案</t>
        </is>
      </c>
      <c r="J5" s="61" t="inlineStr">
        <is>
          <t>R3</t>
        </is>
      </c>
      <c r="K5" s="6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3">
      <c r="A6" s="61" t="inlineStr">
        <is>
          <t>DEF-004</t>
        </is>
      </c>
      <c r="B6" s="61" t="inlineStr">
        <is>
          <t>I-04（附帶發現）</t>
        </is>
      </c>
      <c r="C6" s="6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60" t="inlineStr">
        <is>
          <t>低</t>
        </is>
      </c>
      <c r="E6" s="60" t="inlineStr">
        <is>
          <t>程式缺陷</t>
        </is>
      </c>
      <c r="F6" s="61" t="inlineStr">
        <is>
          <t>R1</t>
        </is>
      </c>
      <c r="G6" s="60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60" t="inlineStr">
        <is>
          <t>結案</t>
        </is>
      </c>
      <c r="J6" s="61" t="inlineStr">
        <is>
          <t>R2</t>
        </is>
      </c>
      <c r="K6" s="6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3">
      <c r="A7" s="61" t="inlineStr">
        <is>
          <t>DEF-005</t>
        </is>
      </c>
      <c r="B7" s="61" t="inlineStr">
        <is>
          <t>D-02</t>
        </is>
      </c>
      <c r="C7" s="60" t="inlineStr">
        <is>
          <t>公司行動比例欄輸入小數不會被擋，小數點被前端直接刪掉：輸入 1.5 變成 15，試算與登錄都用 15</t>
        </is>
      </c>
      <c r="D7" s="60" t="inlineStr">
        <is>
          <t>中</t>
        </is>
      </c>
      <c r="E7" s="60" t="inlineStr">
        <is>
          <t>程式缺陷</t>
        </is>
      </c>
      <c r="F7" s="61" t="inlineStr">
        <is>
          <t>R1</t>
        </is>
      </c>
      <c r="G7" s="60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60" t="inlineStr">
        <is>
          <t>結案</t>
        </is>
      </c>
      <c r="J7" s="61" t="inlineStr">
        <is>
          <t>R2</t>
        </is>
      </c>
      <c r="K7" s="61" t="n"/>
    </row>
    <row r="8" ht="15" customHeight="1" s="43">
      <c r="A8" s="61" t="inlineStr">
        <is>
          <t>DEF-006</t>
        </is>
      </c>
      <c r="B8" s="61" t="inlineStr">
        <is>
          <t>A-01（亦影響 A-04、A-09 的 chip 判準）</t>
        </is>
      </c>
      <c r="C8" s="60" t="inlineStr">
        <is>
          <t>資金收支方向 chip 為中性灰（入金實心、出金外框），與手冊「入金綠色／出金扣款色」不符</t>
        </is>
      </c>
      <c r="D8" s="60" t="inlineStr">
        <is>
          <t>低</t>
        </is>
      </c>
      <c r="E8" s="60" t="inlineStr">
        <is>
          <t>規格未定</t>
        </is>
      </c>
      <c r="F8" s="61" t="inlineStr">
        <is>
          <t>R1</t>
        </is>
      </c>
      <c r="G8" s="60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1" t="n"/>
      <c r="I8" s="60" t="inlineStr">
        <is>
          <t>非缺陷</t>
        </is>
      </c>
      <c r="J8" s="61" t="inlineStr">
        <is>
          <t>R2</t>
        </is>
      </c>
      <c r="K8" s="6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3">
      <c r="A9" s="61" t="inlineStr">
        <is>
          <t>DEF-007</t>
        </is>
      </c>
      <c r="B9" s="61" t="inlineStr">
        <is>
          <t>A-02</t>
        </is>
      </c>
      <c r="C9" s="60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60" t="inlineStr">
        <is>
          <t>中</t>
        </is>
      </c>
      <c r="E9" s="60" t="inlineStr">
        <is>
          <t>程式缺陷</t>
        </is>
      </c>
      <c r="F9" s="61" t="inlineStr">
        <is>
          <t>R1</t>
        </is>
      </c>
      <c r="G9" s="60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60" t="inlineStr">
        <is>
          <t>結案</t>
        </is>
      </c>
      <c r="J9" s="61" t="inlineStr">
        <is>
          <t>R2</t>
        </is>
      </c>
      <c r="K9" s="61" t="n"/>
    </row>
    <row r="10" ht="15" customHeight="1" s="43">
      <c r="A10" s="61" t="inlineStr">
        <is>
          <t>DEF-008</t>
        </is>
      </c>
      <c r="B10" s="61" t="inlineStr">
        <is>
          <t>A-05（附帶 A-06）</t>
        </is>
      </c>
      <c r="C10" s="60" t="inlineStr">
        <is>
          <t>出金透支的後端訊息：當日透支不指出日期；帳戶名用 API 英文原名「TW Broker」；toast 帶原始錯誤碼與 4 位小數原值</t>
        </is>
      </c>
      <c r="D10" s="60" t="inlineStr">
        <is>
          <t>低</t>
        </is>
      </c>
      <c r="E10" s="60" t="inlineStr">
        <is>
          <t>程式缺陷</t>
        </is>
      </c>
      <c r="F10" s="61" t="inlineStr">
        <is>
          <t>R1</t>
        </is>
      </c>
      <c r="G10" s="60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60" t="inlineStr">
        <is>
          <t>結案</t>
        </is>
      </c>
      <c r="J10" s="61" t="inlineStr">
        <is>
          <t>R2</t>
        </is>
      </c>
      <c r="K10" s="61" t="n"/>
    </row>
    <row r="11" ht="15" customHeight="1" s="43">
      <c r="A11" s="61" t="inlineStr">
        <is>
          <t>DEF-009</t>
        </is>
      </c>
      <c r="B11" s="61" t="inlineStr">
        <is>
          <t>A-11</t>
        </is>
      </c>
      <c r="C11" s="60" t="inlineStr">
        <is>
          <t>折讓款列可以編輯金額（日期／類型／備註鎖定），手冊期望整列鎖定不可編輯</t>
        </is>
      </c>
      <c r="D11" s="60" t="inlineStr">
        <is>
          <t>低</t>
        </is>
      </c>
      <c r="E11" s="60" t="inlineStr">
        <is>
          <t>規格未定</t>
        </is>
      </c>
      <c r="F11" s="61" t="inlineStr">
        <is>
          <t>R1</t>
        </is>
      </c>
      <c r="G11" s="60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60" t="inlineStr">
        <is>
          <t>結案</t>
        </is>
      </c>
      <c r="J11" s="61" t="inlineStr">
        <is>
          <t>R3</t>
        </is>
      </c>
      <c r="K11" s="6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3">
      <c r="A12" s="61" t="inlineStr">
        <is>
          <t>DEF-010</t>
        </is>
      </c>
      <c r="B12" s="61" t="inlineStr">
        <is>
          <t>B-16（附帶發現）</t>
        </is>
      </c>
      <c r="C12" s="60" t="inlineStr">
        <is>
          <t>折讓款預估對「費率快照 discount=0.23（下單已打折）」的交易仍預估 77% 退款，同一優惠被算兩次</t>
        </is>
      </c>
      <c r="D12" s="60" t="inlineStr">
        <is>
          <t>低</t>
        </is>
      </c>
      <c r="E12" s="60" t="inlineStr">
        <is>
          <t>資料殘留</t>
        </is>
      </c>
      <c r="F12" s="61" t="inlineStr">
        <is>
          <t>R1</t>
        </is>
      </c>
      <c r="G12" s="6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60" t="inlineStr">
        <is>
          <t>結案</t>
        </is>
      </c>
      <c r="J12" s="61" t="inlineStr">
        <is>
          <t>R3</t>
        </is>
      </c>
      <c r="K12" s="6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3">
      <c r="A13" s="61" t="inlineStr">
        <is>
          <t>DEF-011</t>
        </is>
      </c>
      <c r="B13" s="61" t="inlineStr">
        <is>
          <t>A-16（附帶發現）</t>
        </is>
      </c>
      <c r="C13" s="60" t="inlineStr">
        <is>
          <t>收件匣折讓款文案寫「不計入成本／損益／XIRR」，但確認入帳後 XIRR 與「含匯兌總損益」都會變動</t>
        </is>
      </c>
      <c r="D13" s="60" t="inlineStr">
        <is>
          <t>中</t>
        </is>
      </c>
      <c r="E13" s="60" t="inlineStr">
        <is>
          <t>程式缺陷</t>
        </is>
      </c>
      <c r="F13" s="61" t="inlineStr">
        <is>
          <t>R1</t>
        </is>
      </c>
      <c r="G13" s="60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60" t="inlineStr">
        <is>
          <t>結案</t>
        </is>
      </c>
      <c r="J13" s="61" t="inlineStr">
        <is>
          <t>R2</t>
        </is>
      </c>
      <c r="K13" s="61" t="n"/>
    </row>
    <row r="14" ht="15" customHeight="1" s="43">
      <c r="A14" s="61" t="inlineStr">
        <is>
          <t>DEF-012</t>
        </is>
      </c>
      <c r="B14" s="61" t="inlineStr">
        <is>
          <t>B-18</t>
        </is>
      </c>
      <c r="C14" s="60" t="inlineStr">
        <is>
          <t>同日多筆買賣不依輸入（時間）順序重播：當日所有買進先於賣出套用，賣出的已實現損益與成本移除用到之後才輸入的買進</t>
        </is>
      </c>
      <c r="D14" s="60" t="inlineStr">
        <is>
          <t>高</t>
        </is>
      </c>
      <c r="E14" s="60" t="inlineStr">
        <is>
          <t>程式缺陷</t>
        </is>
      </c>
      <c r="F14" s="61" t="inlineStr">
        <is>
          <t>R1</t>
        </is>
      </c>
      <c r="G14" s="60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60" t="inlineStr">
        <is>
          <t>結案</t>
        </is>
      </c>
      <c r="J14" s="61" t="inlineStr">
        <is>
          <t>R2</t>
        </is>
      </c>
      <c r="K14" s="61" t="n"/>
    </row>
    <row r="15" ht="15" customHeight="1" s="43">
      <c r="A15" s="61" t="inlineStr">
        <is>
          <t>DEF-013</t>
        </is>
      </c>
      <c r="B15" s="61" t="inlineStr">
        <is>
          <t>B-10</t>
        </is>
      </c>
      <c r="C15" s="60" t="inlineStr">
        <is>
          <t>「當沖」與「放空」可同時勾選，沒有互斥或組合說明；交易帳本列也不標示放空</t>
        </is>
      </c>
      <c r="D15" s="60" t="inlineStr">
        <is>
          <t>低</t>
        </is>
      </c>
      <c r="E15" s="60" t="inlineStr">
        <is>
          <t>規格未定</t>
        </is>
      </c>
      <c r="F15" s="61" t="inlineStr">
        <is>
          <t>R1</t>
        </is>
      </c>
      <c r="G15" s="60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60" t="inlineStr">
        <is>
          <t>結案</t>
        </is>
      </c>
      <c r="J15" s="61" t="inlineStr">
        <is>
          <t>R3</t>
        </is>
      </c>
      <c r="K15" s="6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3">
      <c r="A16" s="61" t="inlineStr">
        <is>
          <t>DEF-014</t>
        </is>
      </c>
      <c r="B16" s="61" t="inlineStr">
        <is>
          <t>B-17</t>
        </is>
      </c>
      <c r="C16" s="60" t="inlineStr">
        <is>
          <t>交易日期早於期初庫存建檔日（或早於帳本所有紀錄）時，草稿與寫入皆無任何提示，靜默接受</t>
        </is>
      </c>
      <c r="D16" s="60" t="inlineStr">
        <is>
          <t>中</t>
        </is>
      </c>
      <c r="E16" s="60" t="inlineStr">
        <is>
          <t>程式缺陷</t>
        </is>
      </c>
      <c r="F16" s="61" t="inlineStr">
        <is>
          <t>R1</t>
        </is>
      </c>
      <c r="G16" s="60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60" t="inlineStr">
        <is>
          <t>結案</t>
        </is>
      </c>
      <c r="J16" s="61" t="inlineStr">
        <is>
          <t>R2</t>
        </is>
      </c>
      <c r="K16" s="6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3">
      <c r="A17" s="61" t="inlineStr">
        <is>
          <t>DEF-015</t>
        </is>
      </c>
      <c r="B17" s="61" t="inlineStr">
        <is>
          <t>C-01</t>
        </is>
      </c>
      <c r="C17" s="60" t="inlineStr">
        <is>
          <t>配息「重新偵測」只回報「1 檔失敗」，不說明是哪一檔、失敗原因</t>
        </is>
      </c>
      <c r="D17" s="60" t="inlineStr">
        <is>
          <t>低</t>
        </is>
      </c>
      <c r="E17" s="60" t="inlineStr">
        <is>
          <t>程式缺陷</t>
        </is>
      </c>
      <c r="F17" s="61" t="inlineStr">
        <is>
          <t>R1</t>
        </is>
      </c>
      <c r="G17" s="60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60" t="inlineStr">
        <is>
          <t>結案</t>
        </is>
      </c>
      <c r="J17" s="61" t="inlineStr">
        <is>
          <t>R2</t>
        </is>
      </c>
      <c r="K17" s="6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3">
      <c r="A18" s="61" t="inlineStr">
        <is>
          <t>DEF-016</t>
        </is>
      </c>
      <c r="B18" s="61" t="inlineStr">
        <is>
          <t>C-02（附帶發現）</t>
        </is>
      </c>
      <c r="C18" s="60" t="inlineStr">
        <is>
          <t>已確認但入帳日（pay_date）在未來的股利，被放進 XIRR 現金流且日期晚於期末估值日</t>
        </is>
      </c>
      <c r="D18" s="60" t="inlineStr">
        <is>
          <t>低</t>
        </is>
      </c>
      <c r="E18" s="60" t="inlineStr">
        <is>
          <t>規格未定</t>
        </is>
      </c>
      <c r="F18" s="61" t="inlineStr">
        <is>
          <t>R1</t>
        </is>
      </c>
      <c r="G18" s="60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60" t="inlineStr">
        <is>
          <t>結案</t>
        </is>
      </c>
      <c r="J18" s="61" t="inlineStr">
        <is>
          <t>R3</t>
        </is>
      </c>
      <c r="K18" s="6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3">
      <c r="A19" s="61" t="inlineStr">
        <is>
          <t>DEF-017</t>
        </is>
      </c>
      <c r="B19" s="61" t="inlineStr">
        <is>
          <t>C-04（附帶發現）</t>
        </is>
      </c>
      <c r="C19" s="60" t="inlineStr">
        <is>
          <t>手動「股利」表單以 CSV 匯入路徑寫入，會在「最近匯入」產生一筆批次；從帳本刪除該股利後批次仍殘留（row_count 1、committed）</t>
        </is>
      </c>
      <c r="D19" s="60" t="inlineStr">
        <is>
          <t>低</t>
        </is>
      </c>
      <c r="E19" s="60" t="inlineStr">
        <is>
          <t>程式缺陷</t>
        </is>
      </c>
      <c r="F19" s="61" t="inlineStr">
        <is>
          <t>R1</t>
        </is>
      </c>
      <c r="G19" s="60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60" t="inlineStr">
        <is>
          <t>結案</t>
        </is>
      </c>
      <c r="J19" s="61" t="inlineStr">
        <is>
          <t>R3</t>
        </is>
      </c>
      <c r="K19" s="6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3">
      <c r="A20" s="61" t="inlineStr">
        <is>
          <t>DEF-018</t>
        </is>
      </c>
      <c r="B20" s="61" t="inlineStr">
        <is>
          <t>C-04b</t>
        </is>
      </c>
      <c r="C20" s="61" t="inlineStr">
        <is>
          <t>DRIP 再投資股數以 $0 成本入帳（原始成本不變），手冊期望「股數與成本同時增加」</t>
        </is>
      </c>
      <c r="D20" s="60" t="inlineStr">
        <is>
          <t>中</t>
        </is>
      </c>
      <c r="E20" s="60" t="inlineStr">
        <is>
          <t>規格未定</t>
        </is>
      </c>
      <c r="F20" s="61" t="inlineStr">
        <is>
          <t>R1</t>
        </is>
      </c>
      <c r="G20" s="60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1" t="n"/>
      <c r="I20" s="60" t="inlineStr">
        <is>
          <t>非缺陷</t>
        </is>
      </c>
      <c r="J20" s="61" t="inlineStr">
        <is>
          <t>R2</t>
        </is>
      </c>
      <c r="K20" s="6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3">
      <c r="A21" s="61" t="inlineStr">
        <is>
          <t>DEF-019</t>
        </is>
      </c>
      <c r="B21" s="61" t="inlineStr">
        <is>
          <t>C-04b／C-05（附帶發現，影響 I-08）</t>
        </is>
      </c>
      <c r="C21" s="60" t="inlineStr">
        <is>
          <t>「最近匯入 › 復原」後，交易輸入表單的代號挑選清單沒有重新載入，仍顯示復原前的股數／均價</t>
        </is>
      </c>
      <c r="D21" s="60" t="inlineStr">
        <is>
          <t>低</t>
        </is>
      </c>
      <c r="E21" s="60" t="inlineStr">
        <is>
          <t>程式缺陷</t>
        </is>
      </c>
      <c r="F21" s="61" t="inlineStr">
        <is>
          <t>R1</t>
        </is>
      </c>
      <c r="G21" s="60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60" t="inlineStr">
        <is>
          <t>結案</t>
        </is>
      </c>
      <c r="J21" s="61" t="inlineStr">
        <is>
          <t>R2</t>
        </is>
      </c>
      <c r="K21" s="61" t="n"/>
    </row>
    <row r="22" ht="15" customHeight="1" s="43">
      <c r="A22" s="61" t="inlineStr">
        <is>
          <t>DEF-020</t>
        </is>
      </c>
      <c r="B22" s="61" t="inlineStr">
        <is>
          <t>D-10（D-02c／D-07 路徑）</t>
        </is>
      </c>
      <c r="C22" s="60" t="inlineStr">
        <is>
          <t>刪除含重組費用的公司行動時，連帶寫出的「重組費用」出金不會一起刪除，現金停在行動前不存在的扣款；兩者寫入也非原子</t>
        </is>
      </c>
      <c r="D22" s="60" t="inlineStr">
        <is>
          <t>中</t>
        </is>
      </c>
      <c r="E22" s="60" t="inlineStr">
        <is>
          <t>程式缺陷</t>
        </is>
      </c>
      <c r="F22" s="61" t="inlineStr">
        <is>
          <t>R1</t>
        </is>
      </c>
      <c r="G22" s="60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60" t="inlineStr">
        <is>
          <t>結案</t>
        </is>
      </c>
      <c r="J22" s="61" t="inlineStr">
        <is>
          <t>R2</t>
        </is>
      </c>
      <c r="K22" s="6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3">
      <c r="A23" s="61" t="inlineStr">
        <is>
          <t>DEF-021</t>
        </is>
      </c>
      <c r="B23" s="61" t="inlineStr">
        <is>
          <t>D-10（D-06 路徑）</t>
        </is>
      </c>
      <c r="C23" s="60" t="inlineStr">
        <is>
          <t>刪除換股（EXCHANGE）後，隨行動移到新代號的目標價不會移回原代號；試算與刪除確認框都沒有告知這一點</t>
        </is>
      </c>
      <c r="D23" s="60" t="inlineStr">
        <is>
          <t>中</t>
        </is>
      </c>
      <c r="E23" s="60" t="inlineStr">
        <is>
          <t>程式缺陷</t>
        </is>
      </c>
      <c r="F23" s="61" t="inlineStr">
        <is>
          <t>R1</t>
        </is>
      </c>
      <c r="G23" s="60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60" t="inlineStr">
        <is>
          <t>結案</t>
        </is>
      </c>
      <c r="J23" s="61" t="inlineStr">
        <is>
          <t>R2</t>
        </is>
      </c>
      <c r="K23" s="6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3">
      <c r="A24" s="61" t="inlineStr">
        <is>
          <t>DEF-022</t>
        </is>
      </c>
      <c r="B24" s="61" t="inlineStr">
        <is>
          <t>D-11（前置 D-06）</t>
        </is>
      </c>
      <c r="C24" s="60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60" t="inlineStr">
        <is>
          <t>低</t>
        </is>
      </c>
      <c r="E24" s="60" t="inlineStr">
        <is>
          <t>程式缺陷</t>
        </is>
      </c>
      <c r="F24" s="61" t="inlineStr">
        <is>
          <t>R1</t>
        </is>
      </c>
      <c r="G24" s="60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60" t="inlineStr">
        <is>
          <t>結案</t>
        </is>
      </c>
      <c r="J24" s="61" t="inlineStr">
        <is>
          <t>R2</t>
        </is>
      </c>
      <c r="K24" s="61" t="n"/>
    </row>
    <row r="25" ht="15" customHeight="1" s="43">
      <c r="A25" s="61" t="inlineStr">
        <is>
          <t>DEF-023</t>
        </is>
      </c>
      <c r="B25" s="61" t="inlineStr">
        <is>
          <t>D-11</t>
        </is>
      </c>
      <c r="C25" s="60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60" t="inlineStr">
        <is>
          <t>中</t>
        </is>
      </c>
      <c r="E25" s="60" t="inlineStr">
        <is>
          <t>程式缺陷</t>
        </is>
      </c>
      <c r="F25" s="61" t="inlineStr">
        <is>
          <t>R1</t>
        </is>
      </c>
      <c r="G25" s="60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60" t="inlineStr">
        <is>
          <t>結案</t>
        </is>
      </c>
      <c r="J25" s="61" t="inlineStr">
        <is>
          <t>R3</t>
        </is>
      </c>
      <c r="K25" s="6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3">
      <c r="A26" s="61" t="inlineStr">
        <is>
          <t>DEF-024</t>
        </is>
      </c>
      <c r="B26" s="61" t="inlineStr">
        <is>
          <t>I-06</t>
        </is>
      </c>
      <c r="C26" s="6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60" t="inlineStr">
        <is>
          <t>中</t>
        </is>
      </c>
      <c r="E26" s="60" t="inlineStr">
        <is>
          <t>程式缺陷</t>
        </is>
      </c>
      <c r="F26" s="61" t="inlineStr">
        <is>
          <t>R1</t>
        </is>
      </c>
      <c r="G26" s="60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60" t="inlineStr">
        <is>
          <t>結案</t>
        </is>
      </c>
      <c r="J26" s="61" t="inlineStr">
        <is>
          <t>R2</t>
        </is>
      </c>
      <c r="K26" s="61" t="inlineStr">
        <is>
          <t>R2 複驗通過。附註：小瑕疵（不另開）：toast 顯示「! ⚠」雙符號</t>
        </is>
      </c>
    </row>
    <row r="27" ht="15" customHeight="1" s="43">
      <c r="A27" s="61" t="inlineStr">
        <is>
          <t>DEF-025</t>
        </is>
      </c>
      <c r="B27" s="61" t="inlineStr">
        <is>
          <t>I-06</t>
        </is>
      </c>
      <c r="C27" s="6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60" t="inlineStr">
        <is>
          <t>中</t>
        </is>
      </c>
      <c r="E27" s="60" t="inlineStr">
        <is>
          <t>規格未定</t>
        </is>
      </c>
      <c r="F27" s="61" t="inlineStr">
        <is>
          <t>R1</t>
        </is>
      </c>
      <c r="G27" s="60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60" t="inlineStr">
        <is>
          <t>結案</t>
        </is>
      </c>
      <c r="J27" s="61" t="inlineStr">
        <is>
          <t>R3</t>
        </is>
      </c>
      <c r="K27" s="6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3">
      <c r="A28" s="61" t="inlineStr">
        <is>
          <t>DEF-026</t>
        </is>
      </c>
      <c r="B28" s="61" t="inlineStr">
        <is>
          <t>I-13</t>
        </is>
      </c>
      <c r="C28" s="60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60" t="inlineStr">
        <is>
          <t>中</t>
        </is>
      </c>
      <c r="E28" s="60" t="inlineStr">
        <is>
          <t>程式缺陷</t>
        </is>
      </c>
      <c r="F28" s="61" t="inlineStr">
        <is>
          <t>R1</t>
        </is>
      </c>
      <c r="G28" s="60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60" t="inlineStr">
        <is>
          <t>結案</t>
        </is>
      </c>
      <c r="J28" s="61" t="inlineStr">
        <is>
          <t>R2</t>
        </is>
      </c>
      <c r="K28" s="6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3">
      <c r="A29" s="61" t="inlineStr">
        <is>
          <t>DEF-027</t>
        </is>
      </c>
      <c r="B29" s="61" t="inlineStr">
        <is>
          <t>I-10</t>
        </is>
      </c>
      <c r="C29" s="60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60" t="inlineStr">
        <is>
          <t>高</t>
        </is>
      </c>
      <c r="E29" s="60" t="inlineStr">
        <is>
          <t>程式缺陷</t>
        </is>
      </c>
      <c r="F29" s="61" t="inlineStr">
        <is>
          <t>R1</t>
        </is>
      </c>
      <c r="G29" s="60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60" t="inlineStr">
        <is>
          <t>結案</t>
        </is>
      </c>
      <c r="J29" s="61" t="inlineStr">
        <is>
          <t>R2</t>
        </is>
      </c>
      <c r="K29" s="6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3">
      <c r="A30" s="61" t="inlineStr">
        <is>
          <t>DEF-028</t>
        </is>
      </c>
      <c r="B30" s="61" t="inlineStr">
        <is>
          <t>I-10</t>
        </is>
      </c>
      <c r="C30" s="60" t="inlineStr">
        <is>
          <t>券商對帳單轉換結果只顯示筆數，轉出的每一列與被合併／抵銷的原始列都看不到，寫入前無法逐列檢視，也不能挑選</t>
        </is>
      </c>
      <c r="D30" s="60" t="inlineStr">
        <is>
          <t>中</t>
        </is>
      </c>
      <c r="E30" s="60" t="inlineStr">
        <is>
          <t>程式缺陷</t>
        </is>
      </c>
      <c r="F30" s="61" t="inlineStr">
        <is>
          <t>R1</t>
        </is>
      </c>
      <c r="G30" s="60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60" t="inlineStr">
        <is>
          <t>結案</t>
        </is>
      </c>
      <c r="J30" s="61" t="inlineStr">
        <is>
          <t>R2</t>
        </is>
      </c>
      <c r="K30" s="61" t="n"/>
    </row>
    <row r="31" ht="15" customHeight="1" s="43">
      <c r="A31" s="61" t="inlineStr">
        <is>
          <t>DEF-029</t>
        </is>
      </c>
      <c r="B31" s="61" t="inlineStr">
        <is>
          <t>I-11</t>
        </is>
      </c>
      <c r="C31" s="60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60" t="inlineStr">
        <is>
          <t>中</t>
        </is>
      </c>
      <c r="E31" s="60" t="inlineStr">
        <is>
          <t>程式缺陷</t>
        </is>
      </c>
      <c r="F31" s="61" t="inlineStr">
        <is>
          <t>R1</t>
        </is>
      </c>
      <c r="G31" s="60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60" t="inlineStr">
        <is>
          <t>結案</t>
        </is>
      </c>
      <c r="J31" s="61" t="inlineStr">
        <is>
          <t>R2</t>
        </is>
      </c>
      <c r="K31" s="61" t="n"/>
    </row>
    <row r="32" ht="15" customHeight="1" s="43">
      <c r="A32" s="61" t="inlineStr">
        <is>
          <t>DEF-030</t>
        </is>
      </c>
      <c r="B32" s="61" t="inlineStr">
        <is>
          <t>H-04</t>
        </is>
      </c>
      <c r="C32" s="60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60" t="inlineStr">
        <is>
          <t>中</t>
        </is>
      </c>
      <c r="E32" s="60" t="inlineStr">
        <is>
          <t>程式缺陷</t>
        </is>
      </c>
      <c r="F32" s="61" t="inlineStr">
        <is>
          <t>R1</t>
        </is>
      </c>
      <c r="G32" s="60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60" t="inlineStr">
        <is>
          <t>結案</t>
        </is>
      </c>
      <c r="J32" s="61" t="inlineStr">
        <is>
          <t>R2</t>
        </is>
      </c>
      <c r="K32" s="6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3">
      <c r="A33" s="61" t="inlineStr">
        <is>
          <t>DEF-031</t>
        </is>
      </c>
      <c r="B33" s="61" t="inlineStr">
        <is>
          <t>H-04／H-05</t>
        </is>
      </c>
      <c r="C33" s="60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60" t="inlineStr">
        <is>
          <t>中</t>
        </is>
      </c>
      <c r="E33" s="60" t="inlineStr">
        <is>
          <t>程式缺陷</t>
        </is>
      </c>
      <c r="F33" s="61" t="inlineStr">
        <is>
          <t>R1</t>
        </is>
      </c>
      <c r="G33" s="60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60" t="inlineStr">
        <is>
          <t>結案</t>
        </is>
      </c>
      <c r="J33" s="61" t="inlineStr">
        <is>
          <t>R2</t>
        </is>
      </c>
      <c r="K33" s="61" t="n"/>
    </row>
    <row r="34" ht="15" customHeight="1" s="43">
      <c r="A34" s="61" t="inlineStr">
        <is>
          <t>DEF-032</t>
        </is>
      </c>
      <c r="B34" s="61" t="inlineStr">
        <is>
          <t>H-04</t>
        </is>
      </c>
      <c r="C34" s="60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60" t="inlineStr">
        <is>
          <t>低</t>
        </is>
      </c>
      <c r="E34" s="60" t="inlineStr">
        <is>
          <t>程式缺陷</t>
        </is>
      </c>
      <c r="F34" s="61" t="inlineStr">
        <is>
          <t>R1</t>
        </is>
      </c>
      <c r="G34" s="60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60" t="inlineStr">
        <is>
          <t>結案</t>
        </is>
      </c>
      <c r="J34" s="61" t="inlineStr">
        <is>
          <t>R2</t>
        </is>
      </c>
      <c r="K34" s="6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3">
      <c r="A35" s="61" t="inlineStr">
        <is>
          <t>DEF-033</t>
        </is>
      </c>
      <c r="B35" s="61" t="inlineStr">
        <is>
          <t>H-03</t>
        </is>
      </c>
      <c r="C35" s="60" t="inlineStr">
        <is>
          <t>策略提示詞（分析模板）沒有版本記錄，也不能回復上一版；儲存直接覆寫，唯一的回復是「同步官方」</t>
        </is>
      </c>
      <c r="D35" s="60" t="inlineStr">
        <is>
          <t>中</t>
        </is>
      </c>
      <c r="E35" s="60" t="inlineStr">
        <is>
          <t>規格未定</t>
        </is>
      </c>
      <c r="F35" s="61" t="inlineStr">
        <is>
          <t>R1</t>
        </is>
      </c>
      <c r="G35" s="60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60" t="inlineStr">
        <is>
          <t>結案</t>
        </is>
      </c>
      <c r="J35" s="61" t="inlineStr">
        <is>
          <t>R3</t>
        </is>
      </c>
      <c r="K35" s="6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3">
      <c r="A36" s="61" t="inlineStr">
        <is>
          <t>DEF-034</t>
        </is>
      </c>
      <c r="B36" s="61" t="inlineStr">
        <is>
          <t>F-03</t>
        </is>
      </c>
      <c r="C36" s="60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60" t="inlineStr">
        <is>
          <t>低</t>
        </is>
      </c>
      <c r="E36" s="60" t="inlineStr">
        <is>
          <t>程式缺陷</t>
        </is>
      </c>
      <c r="F36" s="61" t="inlineStr">
        <is>
          <t>R1</t>
        </is>
      </c>
      <c r="G36" s="60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60" t="inlineStr">
        <is>
          <t>結案</t>
        </is>
      </c>
      <c r="J36" s="61" t="inlineStr">
        <is>
          <t>R2</t>
        </is>
      </c>
      <c r="K36" s="61" t="n"/>
    </row>
    <row r="37" ht="15" customHeight="1" s="43">
      <c r="A37" s="61" t="inlineStr">
        <is>
          <t>DEF-035</t>
        </is>
      </c>
      <c r="B37" s="61" t="inlineStr">
        <is>
          <t>F-04</t>
        </is>
      </c>
      <c r="C37" s="61" t="inlineStr">
        <is>
          <t>AI 輸入的解析草稿不能逐列編輯（每格都是純文字，只能勾選），帳戶欄顯示 API 原名「tw_broker」「schwab」</t>
        </is>
      </c>
      <c r="D37" s="60" t="inlineStr">
        <is>
          <t>中</t>
        </is>
      </c>
      <c r="E37" s="60" t="inlineStr">
        <is>
          <t>程式缺陷</t>
        </is>
      </c>
      <c r="F37" s="61" t="inlineStr">
        <is>
          <t>R1</t>
        </is>
      </c>
      <c r="G37" s="60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60" t="inlineStr">
        <is>
          <t>結案</t>
        </is>
      </c>
      <c r="J37" s="61" t="inlineStr">
        <is>
          <t>R2</t>
        </is>
      </c>
      <c r="K37" s="61" t="n"/>
    </row>
    <row r="38" ht="15" customHeight="1" s="43">
      <c r="A38" s="61" t="inlineStr">
        <is>
          <t>DEF-036</t>
        </is>
      </c>
      <c r="B38" s="61" t="inlineStr">
        <is>
          <t>F-05</t>
        </is>
      </c>
      <c r="C38" s="61" t="inlineStr">
        <is>
          <t>AI 輸入不檢查文字中的金額矛盾：「100股 成交價 46 成交金額 50,000 元」被判「✓ 解析完整」（實際 4,600 元），50,000 只放進備註、沒有標示</t>
        </is>
      </c>
      <c r="D38" s="60" t="inlineStr">
        <is>
          <t>中</t>
        </is>
      </c>
      <c r="E38" s="60" t="inlineStr">
        <is>
          <t>程式缺陷</t>
        </is>
      </c>
      <c r="F38" s="61" t="inlineStr">
        <is>
          <t>R1</t>
        </is>
      </c>
      <c r="G38" s="60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60" t="inlineStr">
        <is>
          <t>結案</t>
        </is>
      </c>
      <c r="J38" s="61" t="inlineStr">
        <is>
          <t>R2</t>
        </is>
      </c>
      <c r="K38" s="61" t="n"/>
    </row>
    <row r="39" ht="15" customHeight="1" s="43">
      <c r="A39" s="61" t="inlineStr">
        <is>
          <t>DEF-037</t>
        </is>
      </c>
      <c r="B39" s="61" t="inlineStr">
        <is>
          <t>G-09</t>
        </is>
      </c>
      <c r="C39" s="60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60" t="inlineStr">
        <is>
          <t>中</t>
        </is>
      </c>
      <c r="E39" s="60" t="inlineStr">
        <is>
          <t>程式缺陷</t>
        </is>
      </c>
      <c r="F39" s="61" t="inlineStr">
        <is>
          <t>R1</t>
        </is>
      </c>
      <c r="G39" s="60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60" t="inlineStr">
        <is>
          <t>結案</t>
        </is>
      </c>
      <c r="J39" s="61" t="inlineStr">
        <is>
          <t>R2</t>
        </is>
      </c>
      <c r="K39" s="6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3">
      <c r="A40" s="61" t="inlineStr">
        <is>
          <t>DEF-038</t>
        </is>
      </c>
      <c r="B40" s="61" t="inlineStr">
        <is>
          <t>E-01（附帶）</t>
        </is>
      </c>
      <c r="C40" s="60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60" t="inlineStr">
        <is>
          <t>低</t>
        </is>
      </c>
      <c r="E40" s="60" t="inlineStr">
        <is>
          <t>程式缺陷</t>
        </is>
      </c>
      <c r="F40" s="61" t="inlineStr">
        <is>
          <t>R1</t>
        </is>
      </c>
      <c r="G40" s="60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60" t="inlineStr">
        <is>
          <t>結案</t>
        </is>
      </c>
      <c r="J40" s="61" t="inlineStr">
        <is>
          <t>R2</t>
        </is>
      </c>
      <c r="K40" s="61" t="n"/>
    </row>
    <row r="41" ht="15" customHeight="1" s="43">
      <c r="A41" s="61" t="inlineStr">
        <is>
          <t>DEF-039</t>
        </is>
      </c>
      <c r="B41" s="61" t="inlineStr">
        <is>
          <t>I-10（附帶）</t>
        </is>
      </c>
      <c r="C41" s="60" t="inlineStr">
        <is>
          <t>券商對帳單（Schwab）轉換頁的期初缺口／帳本持股提示直接印出後端 Decimal 原文（小數 28 位），未依股數格式化</t>
        </is>
      </c>
      <c r="D41" s="60" t="inlineStr">
        <is>
          <t>低</t>
        </is>
      </c>
      <c r="E41" s="60" t="inlineStr">
        <is>
          <t>程式缺陷</t>
        </is>
      </c>
      <c r="F41" s="61" t="inlineStr">
        <is>
          <t>R2</t>
        </is>
      </c>
      <c r="G41" s="60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60" t="inlineStr">
        <is>
          <t>結案</t>
        </is>
      </c>
      <c r="J41" s="61" t="inlineStr">
        <is>
          <t>R3</t>
        </is>
      </c>
      <c r="K41" s="6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3">
      <c r="A42" s="61" t="inlineStr">
        <is>
          <t>DEF-040</t>
        </is>
      </c>
      <c r="B42" s="61" t="inlineStr">
        <is>
          <t>D-10（OBS-1 裁定）</t>
        </is>
      </c>
      <c r="C42" s="60" t="inlineStr">
        <is>
          <t>分拆（SPINOFF）登錄時寫入的子公司起始價（_seed_child_price）在刪除該公司行動時不會移除</t>
        </is>
      </c>
      <c r="D42" s="60" t="inlineStr">
        <is>
          <t>低</t>
        </is>
      </c>
      <c r="E42" s="60" t="inlineStr">
        <is>
          <t>規格未定</t>
        </is>
      </c>
      <c r="F42" s="61" t="inlineStr">
        <is>
          <t>R2</t>
        </is>
      </c>
      <c r="G42" s="60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60" t="inlineStr">
        <is>
          <t>結案</t>
        </is>
      </c>
      <c r="J42" s="61" t="inlineStr">
        <is>
          <t>R4</t>
        </is>
      </c>
      <c r="K42" s="6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3">
      <c r="A43" s="61" t="inlineStr">
        <is>
          <t>DEF-041</t>
        </is>
      </c>
      <c r="B43" s="61" t="inlineStr">
        <is>
          <t>G-09（OBS-2 裁定）</t>
        </is>
      </c>
      <c r="C43" s="60" t="inlineStr">
        <is>
          <t>預警觸發的「持倉提點」會替只在觀察清單、未持有的標的產卡（drawdown_from_peak）</t>
        </is>
      </c>
      <c r="D43" s="60" t="inlineStr">
        <is>
          <t>低</t>
        </is>
      </c>
      <c r="E43" s="60" t="inlineStr">
        <is>
          <t>規格未定</t>
        </is>
      </c>
      <c r="F43" s="61" t="inlineStr">
        <is>
          <t>R2</t>
        </is>
      </c>
      <c r="G43" s="60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1" t="inlineStr">
        <is>
          <t>portfolio_dash/llm_insight/alerts_bridge.py:375 `for it in subscribers:`（緊接 :368 `scope, fired_symbol = card_target(event)`，中間沒有「是否持有」的判斷）</t>
        </is>
      </c>
      <c r="I43" s="60" t="inlineStr">
        <is>
          <t>結案</t>
        </is>
      </c>
      <c r="J43" s="61" t="inlineStr">
        <is>
          <t>R3</t>
        </is>
      </c>
      <c r="K43" s="6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3">
      <c r="A44" s="61" t="inlineStr">
        <is>
          <t>DEF-042</t>
        </is>
      </c>
      <c r="B44" s="61" t="inlineStr">
        <is>
          <t>B-17（OBS-3 裁定）</t>
        </is>
      </c>
      <c r="C44" s="60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60" t="inlineStr">
        <is>
          <t>中</t>
        </is>
      </c>
      <c r="E44" s="60" t="inlineStr">
        <is>
          <t>規格未定</t>
        </is>
      </c>
      <c r="F44" s="61" t="inlineStr">
        <is>
          <t>R2</t>
        </is>
      </c>
      <c r="G44" s="60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60" t="inlineStr">
        <is>
          <t>結案</t>
        </is>
      </c>
      <c r="J44" s="61" t="inlineStr">
        <is>
          <t>R3</t>
        </is>
      </c>
      <c r="K44" s="6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3">
      <c r="A45" s="61" t="inlineStr">
        <is>
          <t>DEF-043</t>
        </is>
      </c>
      <c r="B45" s="61" t="inlineStr">
        <is>
          <t>H-05（附帶）</t>
        </is>
      </c>
      <c r="C45" s="60" t="inlineStr">
        <is>
          <t>預警觸發（on_alert）任務的觸發節點與乾跑預檢 G1 顯示「未排程（手動）不會自動執行」並列為需注意，實際上它會在預警命中時自動執行</t>
        </is>
      </c>
      <c r="D45" s="60" t="inlineStr">
        <is>
          <t>低</t>
        </is>
      </c>
      <c r="E45" s="60" t="inlineStr">
        <is>
          <t>程式缺陷</t>
        </is>
      </c>
      <c r="F45" s="61" t="inlineStr">
        <is>
          <t>R2</t>
        </is>
      </c>
      <c r="G45" s="60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60" t="inlineStr">
        <is>
          <t>結案</t>
        </is>
      </c>
      <c r="J45" s="61" t="inlineStr">
        <is>
          <t>R3</t>
        </is>
      </c>
      <c r="K45" s="60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3">
      <c r="A46" s="61" t="inlineStr">
        <is>
          <t>DEF-044</t>
        </is>
      </c>
      <c r="B46" s="61" t="inlineStr">
        <is>
          <t>G-09（附帶）／J-06</t>
        </is>
      </c>
      <c r="C46" s="60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60" t="inlineStr">
        <is>
          <t>低</t>
        </is>
      </c>
      <c r="E46" s="60" t="inlineStr">
        <is>
          <t>程式缺陷</t>
        </is>
      </c>
      <c r="F46" s="61" t="inlineStr">
        <is>
          <t>R2</t>
        </is>
      </c>
      <c r="G46" s="60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60" t="inlineStr">
        <is>
          <t>結案</t>
        </is>
      </c>
      <c r="J46" s="61" t="inlineStr">
        <is>
          <t>R3</t>
        </is>
      </c>
      <c r="K46" s="60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3">
      <c r="A47" s="61" t="inlineStr">
        <is>
          <t>DEF-045</t>
        </is>
      </c>
      <c r="B47" s="61" t="inlineStr">
        <is>
          <t>J-04（附帶）／J-06</t>
        </is>
      </c>
      <c r="C47" s="60" t="inlineStr">
        <is>
          <t>帳本報告（可列印 HTML）的帳戶欄用 API 英文名「TW Broker」「Charles Schwab」，與畫面的中文顯示名（台灣券商、嘉信 Schwab）不一致</t>
        </is>
      </c>
      <c r="D47" s="60" t="inlineStr">
        <is>
          <t>低</t>
        </is>
      </c>
      <c r="E47" s="60" t="inlineStr">
        <is>
          <t>程式缺陷</t>
        </is>
      </c>
      <c r="F47" s="61" t="inlineStr">
        <is>
          <t>R2</t>
        </is>
      </c>
      <c r="G47" s="60" t="inlineStr">
        <is>
          <t>交易帳本 › ⎙匯出報告 → ledger-report-20260924-0259.html 各帳本表的帳戶欄為「TW Broker」「Charles Schwab」</t>
        </is>
      </c>
      <c r="H47" s="6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60" t="inlineStr">
        <is>
          <t>結案</t>
        </is>
      </c>
      <c r="J47" s="61" t="inlineStr">
        <is>
          <t>R3</t>
        </is>
      </c>
      <c r="K47" s="60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3">
      <c r="A48" s="61" t="inlineStr">
        <is>
          <t>DEF-046</t>
        </is>
      </c>
      <c r="B48" s="61" t="inlineStr">
        <is>
          <t>G-09（資料殘留）</t>
        </is>
      </c>
      <c r="C48" s="61" t="inlineStr">
        <is>
          <t>R1 的 DEF-037 缺陷產生的錯誤洞察卡 #207（symbol＝moomoo_my，內容為模型臆測的「Moomoo 交易商警示」）仍列在 AI 洞察 › 持倉健診</t>
        </is>
      </c>
      <c r="D48" s="60" t="inlineStr">
        <is>
          <t>低</t>
        </is>
      </c>
      <c r="E48" s="60" t="inlineStr">
        <is>
          <t>資料殘留</t>
        </is>
      </c>
      <c r="F48" s="61" t="inlineStr">
        <is>
          <t>R2</t>
        </is>
      </c>
      <c r="G48" s="61" t="inlineStr">
        <is>
          <t>AI 洞察 › 持倉健診 → 仍可看到 moomoo_my 卡；開發者交接備註：卡片表只增不改所以保留，舊卡 trigger=null</t>
        </is>
      </c>
      <c r="H48" s="60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60" t="inlineStr">
        <is>
          <t>結案</t>
        </is>
      </c>
      <c r="J48" s="61" t="inlineStr">
        <is>
          <t>R3</t>
        </is>
      </c>
      <c r="K48" s="6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3">
      <c r="A49" s="61" t="inlineStr">
        <is>
          <t>DEF-047</t>
        </is>
      </c>
      <c r="B49" s="61" t="inlineStr">
        <is>
          <t>C-01（附帶）</t>
        </is>
      </c>
      <c r="C49" s="60" t="inlineStr">
        <is>
          <t>收件匣「重新偵測」把本來就不配息的標的（TSLA：yfinance 無配息資料）算成「失敗」，整次偵測以警告色顯示「部分標的失敗」</t>
        </is>
      </c>
      <c r="D49" s="60" t="inlineStr">
        <is>
          <t>低</t>
        </is>
      </c>
      <c r="E49" s="60" t="inlineStr">
        <is>
          <t>規格未定</t>
        </is>
      </c>
      <c r="F49" s="61" t="inlineStr">
        <is>
          <t>R2</t>
        </is>
      </c>
      <c r="G49" s="60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60" t="inlineStr">
        <is>
          <t>結案</t>
        </is>
      </c>
      <c r="J49" s="61" t="inlineStr">
        <is>
          <t>R3</t>
        </is>
      </c>
      <c r="K49" s="6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3">
      <c r="A50" s="61" t="inlineStr">
        <is>
          <t>DEF-048</t>
        </is>
      </c>
      <c r="B50" s="61" t="inlineStr">
        <is>
          <t>B-17（附帶）</t>
        </is>
      </c>
      <c r="C50" s="60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60" t="inlineStr">
        <is>
          <t>低</t>
        </is>
      </c>
      <c r="E50" s="60" t="inlineStr">
        <is>
          <t>規格未定</t>
        </is>
      </c>
      <c r="F50" s="61" t="inlineStr">
        <is>
          <t>R2</t>
        </is>
      </c>
      <c r="G50" s="60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60" t="inlineStr">
        <is>
          <t>結案</t>
        </is>
      </c>
      <c r="J50" s="61" t="inlineStr">
        <is>
          <t>R3</t>
        </is>
      </c>
      <c r="K50" s="6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3">
      <c r="A51" s="61" t="inlineStr">
        <is>
          <t>DEF-049</t>
        </is>
      </c>
      <c r="B51" s="61" t="inlineStr">
        <is>
          <t>I-08（附帶）</t>
        </is>
      </c>
      <c r="C51" s="60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60" t="inlineStr">
        <is>
          <t>中</t>
        </is>
      </c>
      <c r="E51" s="60" t="inlineStr">
        <is>
          <t>程式缺陷</t>
        </is>
      </c>
      <c r="F51" s="61" t="inlineStr">
        <is>
          <t>R3</t>
        </is>
      </c>
      <c r="G51" s="6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60" t="inlineStr">
        <is>
          <t>結案</t>
        </is>
      </c>
      <c r="J51" s="61" t="inlineStr">
        <is>
          <t>R4</t>
        </is>
      </c>
      <c r="K51" s="6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3">
      <c r="A52" s="61" t="inlineStr">
        <is>
          <t>DEF-050</t>
        </is>
      </c>
      <c r="B52" s="61" t="inlineStr">
        <is>
          <t>J-05（附帶）／A-16</t>
        </is>
      </c>
      <c r="C52" s="60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60" t="inlineStr">
        <is>
          <t>低</t>
        </is>
      </c>
      <c r="E52" s="60" t="inlineStr">
        <is>
          <t>程式缺陷</t>
        </is>
      </c>
      <c r="F52" s="61" t="inlineStr">
        <is>
          <t>R3</t>
        </is>
      </c>
      <c r="G52" s="60" t="inlineStr">
        <is>
          <t>視窗 390×844 → 收件匣 → 待確認退款（折讓款）副標題：scrollWidth 849、clientWidth 349，句尾被省略號截掉（卡片內文與頁尾仍完整）</t>
        </is>
      </c>
      <c r="H52" s="6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60" t="inlineStr">
        <is>
          <t>結案</t>
        </is>
      </c>
      <c r="J52" s="61" t="inlineStr">
        <is>
          <t>R4</t>
        </is>
      </c>
      <c r="K52" s="60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3">
      <c r="A53" s="61" t="inlineStr">
        <is>
          <t>DEF-051</t>
        </is>
      </c>
      <c r="B53" s="61" t="inlineStr">
        <is>
          <t>H-04（附帶）</t>
        </is>
      </c>
      <c r="C53" s="60" t="inlineStr">
        <is>
          <t>排程中心「立即執行」的 toast 顯示機器 id（「已排入執行 insight:7 #180」「alert_scan #185」），不是列上已顯示的名稱</t>
        </is>
      </c>
      <c r="D53" s="60" t="inlineStr">
        <is>
          <t>低</t>
        </is>
      </c>
      <c r="E53" s="60" t="inlineStr">
        <is>
          <t>程式缺陷</t>
        </is>
      </c>
      <c r="F53" s="61" t="inlineStr">
        <is>
          <t>R3</t>
        </is>
      </c>
      <c r="G53" s="60" t="inlineStr">
        <is>
          <t>系統設定 › 排程中心 → 市場週報列「立即執行」→ toast「✓ 已排入執行 insight:7 #180」；alert_scan 列 → 「✓ 已排入執行 alert_scan #185」</t>
        </is>
      </c>
      <c r="H53" s="61" t="inlineStr">
        <is>
          <t>web/settings-scheduler.js:548 `_toast('已排入執行', 'ok', j.id + ' #' + ((resp &amp;&amp; resp.run_id) || '?'));`</t>
        </is>
      </c>
      <c r="I53" s="60" t="inlineStr">
        <is>
          <t>結案</t>
        </is>
      </c>
      <c r="J53" s="61" t="inlineStr">
        <is>
          <t>R4</t>
        </is>
      </c>
      <c r="K53" s="60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3">
      <c r="A54" s="61" t="inlineStr">
        <is>
          <t>DEF-052</t>
        </is>
      </c>
      <c r="B54" s="61" t="inlineStr">
        <is>
          <t>D-10（附帶）</t>
        </is>
      </c>
      <c r="C54" s="60" t="inlineStr">
        <is>
          <t>公司行動帳本列不顯示該筆連帶的重組費用，只有刪除確認框與編輯框看得到</t>
        </is>
      </c>
      <c r="D54" s="60" t="inlineStr">
        <is>
          <t>低</t>
        </is>
      </c>
      <c r="E54" s="60" t="inlineStr">
        <is>
          <t>程式缺陷</t>
        </is>
      </c>
      <c r="F54" s="61" t="inlineStr">
        <is>
          <t>R3</t>
        </is>
      </c>
      <c r="G54" s="60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60" t="inlineStr">
        <is>
          <t>結案</t>
        </is>
      </c>
      <c r="J54" s="61" t="inlineStr">
        <is>
          <t>R4</t>
        </is>
      </c>
      <c r="K54" s="60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3">
      <c r="A55" s="61" t="inlineStr">
        <is>
          <t>DEF-053</t>
        </is>
      </c>
      <c r="B55" s="61" t="inlineStr">
        <is>
          <t>H-04（附帶）</t>
        </is>
      </c>
      <c r="C55" s="60" t="inlineStr">
        <is>
          <t>新增洞察任務精靈建立預警觸發任務時，toast 直接顯示識別字「on_alert」（「：on_alert 任務預設停用，確認監聽規則後再啟用」）</t>
        </is>
      </c>
      <c r="D55" s="60" t="inlineStr">
        <is>
          <t>低</t>
        </is>
      </c>
      <c r="E55" s="60" t="inlineStr">
        <is>
          <t>程式缺陷</t>
        </is>
      </c>
      <c r="F55" s="61" t="inlineStr">
        <is>
          <t>R3</t>
        </is>
      </c>
      <c r="G55" s="60" t="inlineStr">
        <is>
          <t>洞察管線 › 新增洞察任務 → 觸發選「預警觸發」→ 建立 → toast 副行含「on_alert」</t>
        </is>
      </c>
      <c r="H55" s="61" t="inlineStr">
        <is>
          <t>web/pipeline-wizard.js:374 `payload.name + (payload.enabled ? '' : '：on_alert 任務預設停用，確認監聽規則後再啟用'));`</t>
        </is>
      </c>
      <c r="I55" s="60" t="inlineStr">
        <is>
          <t>結案</t>
        </is>
      </c>
      <c r="J55" s="61" t="inlineStr">
        <is>
          <t>R4</t>
        </is>
      </c>
      <c r="K55" s="60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3">
      <c r="A56" s="61" t="inlineStr">
        <is>
          <t>DEF-054</t>
        </is>
      </c>
      <c r="B56" s="61" t="inlineStr">
        <is>
          <t>G-09（資料殘留）</t>
        </is>
      </c>
      <c r="C56" s="60" t="inlineStr">
        <is>
          <t>與 DEF-046 同根因的錯卡 #97（symbol＝moomoo_my、2026-08-23「moomoo.com 交易暫停」）仍在持倉健診</t>
        </is>
      </c>
      <c r="D56" s="60" t="inlineStr">
        <is>
          <t>低</t>
        </is>
      </c>
      <c r="E56" s="60" t="inlineStr">
        <is>
          <t>資料殘留</t>
        </is>
      </c>
      <c r="F56" s="61" t="inlineStr">
        <is>
          <t>R3</t>
        </is>
      </c>
      <c r="G56" s="60" t="inlineStr">
        <is>
          <t>讀 /api/insights 全部卡片：symbol 含 moomoo 的只剩 #97</t>
        </is>
      </c>
      <c r="H56" s="60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60" t="inlineStr">
        <is>
          <t>結案</t>
        </is>
      </c>
      <c r="J56" s="61" t="inlineStr">
        <is>
          <t>R4</t>
        </is>
      </c>
      <c r="K56" s="6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3">
      <c r="A57" s="61" t="inlineStr">
        <is>
          <t>DEF-055</t>
        </is>
      </c>
      <c r="B57" s="61" t="inlineStr">
        <is>
          <t>B-16（附帶）</t>
        </is>
      </c>
      <c r="C57" s="61" t="inlineStr">
        <is>
          <t>2026-01 的費率快照 #33、#44（discount 0.23、rebate_rate 0.77）未清理；另編輯已清理交易時，預覽回應仍以 fee×0.77 給出 rebate_estimate（#29 → 219）</t>
        </is>
      </c>
      <c r="D57" s="60" t="inlineStr">
        <is>
          <t>低</t>
        </is>
      </c>
      <c r="E57" s="60" t="inlineStr">
        <is>
          <t>資料殘留</t>
        </is>
      </c>
      <c r="F57" s="61" t="inlineStr">
        <is>
          <t>R3</t>
        </is>
      </c>
      <c r="G57" s="60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60" t="inlineStr">
        <is>
          <t>結案</t>
        </is>
      </c>
      <c r="J57" s="61" t="inlineStr">
        <is>
          <t>R4</t>
        </is>
      </c>
      <c r="K57" s="6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3">
      <c r="A58" s="61" t="inlineStr">
        <is>
          <t>DEF-056</t>
        </is>
      </c>
      <c r="B58" s="61" t="inlineStr">
        <is>
          <t>B-17（附帶）</t>
        </is>
      </c>
      <c r="C58" s="60" t="inlineStr">
        <is>
          <t>未來日期的交易／期初庫存／換匯會立即計入持股與 XIRR（只有股利依 DEF-016 到入帳日才計入）；各帳本列也沒有「未來日期」標示</t>
        </is>
      </c>
      <c r="D58" s="60" t="inlineStr">
        <is>
          <t>低</t>
        </is>
      </c>
      <c r="E58" s="60" t="inlineStr">
        <is>
          <t>規格未定</t>
        </is>
      </c>
      <c r="F58" s="61" t="inlineStr">
        <is>
          <t>R3</t>
        </is>
      </c>
      <c r="G58" s="60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60" t="inlineStr">
        <is>
          <t>結案</t>
        </is>
      </c>
      <c r="J58" s="61" t="inlineStr">
        <is>
          <t>R5</t>
        </is>
      </c>
      <c r="K58" s="6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3">
      <c r="A59" s="61" t="inlineStr">
        <is>
          <t>DEF-057</t>
        </is>
      </c>
      <c r="B59" s="61" t="inlineStr">
        <is>
          <t>H-03（附帶）</t>
        </is>
      </c>
      <c r="C59" s="60" t="inlineStr">
        <is>
          <t>系統提示詞與新聞整理提示詞沒有版本記錄（策略提示詞已依 DEF-033 做完整版本）</t>
        </is>
      </c>
      <c r="D59" s="60" t="inlineStr">
        <is>
          <t>中</t>
        </is>
      </c>
      <c r="E59" s="60" t="inlineStr">
        <is>
          <t>規格未定</t>
        </is>
      </c>
      <c r="F59" s="61" t="inlineStr">
        <is>
          <t>R3</t>
        </is>
      </c>
      <c r="G59" s="60" t="inlineStr">
        <is>
          <t>開發者 R3 決策項 ④；PUT /api/system-prompt、POST /api/system-prompt/reset、PUT /api/news-prompt 皆直接覆寫</t>
        </is>
      </c>
      <c r="H59" s="6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60" t="inlineStr">
        <is>
          <t>結案</t>
        </is>
      </c>
      <c r="J59" s="61" t="inlineStr">
        <is>
          <t>R4</t>
        </is>
      </c>
      <c r="K59" s="6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2026-10-01 補驗（結案後，依 Owner 2026-09-30 第 18 題；唯讀、不改程式、不另開一輪）——新聞彈窗「整理提示詞 vN」通過：demo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</t>
        </is>
      </c>
    </row>
    <row r="60" ht="15" customHeight="1" s="43">
      <c r="A60" s="61" t="inlineStr">
        <is>
          <t>DEF-058</t>
        </is>
      </c>
      <c r="B60" s="61" t="inlineStr">
        <is>
          <t>H-04（附帶）</t>
        </is>
      </c>
      <c r="C60" s="60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60" t="inlineStr">
        <is>
          <t>低</t>
        </is>
      </c>
      <c r="E60" s="60" t="inlineStr">
        <is>
          <t>程式缺陷</t>
        </is>
      </c>
      <c r="F60" s="61" t="inlineStr">
        <is>
          <t>R3</t>
        </is>
      </c>
      <c r="G60" s="60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60" t="inlineStr">
        <is>
          <t>結案</t>
        </is>
      </c>
      <c r="J60" s="61" t="inlineStr">
        <is>
          <t>R4</t>
        </is>
      </c>
      <c r="K60" s="60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3">
      <c r="A61" s="61" t="inlineStr">
        <is>
          <t>DEF-059</t>
        </is>
      </c>
      <c r="B61" s="61" t="inlineStr">
        <is>
          <t>H-04（附帶）</t>
        </is>
      </c>
      <c r="C61" s="60" t="inlineStr">
        <is>
          <t>「全部已註冊標的」（mode:all_registered）任務會把已封存標的也納入產卡</t>
        </is>
      </c>
      <c r="D61" s="60" t="inlineStr">
        <is>
          <t>低</t>
        </is>
      </c>
      <c r="E61" s="60" t="inlineStr">
        <is>
          <t>規格未定</t>
        </is>
      </c>
      <c r="F61" s="61" t="inlineStr">
        <is>
          <t>R3</t>
        </is>
      </c>
      <c r="G61" s="60" t="inlineStr">
        <is>
          <t>開發者 R3 決策項 ⑤；api/insight_service.py:148 _all_registered_symbols 回傳 list_instruments 全部</t>
        </is>
      </c>
      <c r="H61" s="6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60" t="inlineStr">
        <is>
          <t>結案</t>
        </is>
      </c>
      <c r="J61" s="61" t="inlineStr">
        <is>
          <t>R4</t>
        </is>
      </c>
      <c r="K61" s="6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3">
      <c r="A62" s="61" t="inlineStr">
        <is>
          <t>DEF-060</t>
        </is>
      </c>
      <c r="B62" s="61" t="inlineStr">
        <is>
          <t>D-10（附帶）</t>
        </is>
      </c>
      <c r="C62" s="60" t="inlineStr">
        <is>
          <t>分拆存檔後再改日期，子公司起始價仍留在舊日期</t>
        </is>
      </c>
      <c r="D62" s="60" t="inlineStr">
        <is>
          <t>低</t>
        </is>
      </c>
      <c r="E62" s="60" t="inlineStr">
        <is>
          <t>規格未定</t>
        </is>
      </c>
      <c r="F62" s="61" t="inlineStr">
        <is>
          <t>R3</t>
        </is>
      </c>
      <c r="G62" s="60" t="inlineStr">
        <is>
          <t>開發者 R3 決策項 ⑩；PUT /api/ledgers/corporate-actions/{id} 改日期時未處理種子價</t>
        </is>
      </c>
      <c r="H62" s="6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60" t="inlineStr">
        <is>
          <t>結案</t>
        </is>
      </c>
      <c r="J62" s="61" t="inlineStr">
        <is>
          <t>R4</t>
        </is>
      </c>
      <c r="K62" s="6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3">
      <c r="A63" s="61" t="inlineStr">
        <is>
          <t>DEF-061</t>
        </is>
      </c>
      <c r="B63" s="61" t="inlineStr">
        <is>
          <t>C-02（附帶）</t>
        </is>
      </c>
      <c r="C63" s="60" t="inlineStr">
        <is>
          <t>股利帳本「編輯更正」未走新增路徑的驗證器，缺 4 種股利型別的檢查</t>
        </is>
      </c>
      <c r="D63" s="60" t="inlineStr">
        <is>
          <t>低</t>
        </is>
      </c>
      <c r="E63" s="60" t="inlineStr">
        <is>
          <t>程式缺陷</t>
        </is>
      </c>
      <c r="F63" s="61" t="inlineStr">
        <is>
          <t>R3</t>
        </is>
      </c>
      <c r="G63" s="60" t="inlineStr">
        <is>
          <t>開發者 R3 決策項 ⑪；ledgers.py:778 edit_dividend 只檢查型別字串與金額守恆（check_amounts）</t>
        </is>
      </c>
      <c r="H63" s="6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60" t="inlineStr">
        <is>
          <t>結案</t>
        </is>
      </c>
      <c r="J63" s="61" t="inlineStr">
        <is>
          <t>R4</t>
        </is>
      </c>
      <c r="K63" s="6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3">
      <c r="A64" s="61" t="inlineStr">
        <is>
          <t>DEF-062</t>
        </is>
      </c>
      <c r="B64" s="61" t="inlineStr">
        <is>
          <t>H-04（附帶）</t>
        </is>
      </c>
      <c r="C64" s="60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60" t="inlineStr">
        <is>
          <t>低</t>
        </is>
      </c>
      <c r="E64" s="60" t="inlineStr">
        <is>
          <t>程式缺陷</t>
        </is>
      </c>
      <c r="F64" s="61" t="inlineStr">
        <is>
          <t>R4</t>
        </is>
      </c>
      <c r="G64" s="60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60" t="inlineStr">
        <is>
          <t>結案</t>
        </is>
      </c>
      <c r="J64" s="61" t="inlineStr">
        <is>
          <t>R5</t>
        </is>
      </c>
      <c r="K64" s="60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3">
      <c r="A65" s="61" t="inlineStr">
        <is>
          <t>DEF-063</t>
        </is>
      </c>
      <c r="B65" s="61" t="inlineStr">
        <is>
          <t>D-10（附帶）</t>
        </is>
      </c>
      <c r="C65" s="61" t="inlineStr">
        <is>
          <t>demo 上 R2／R3 期間留下的孤兒起始價（source manual、簽章完整、沒有任何分拆擁有），R4 起不會再被覆蓋或刪除，畫面上也沒有地方能移除</t>
        </is>
      </c>
      <c r="D65" s="60" t="inlineStr">
        <is>
          <t>低</t>
        </is>
      </c>
      <c r="E65" s="60" t="inlineStr">
        <is>
          <t>資料殘留</t>
        </is>
      </c>
      <c r="F65" s="61" t="inlineStr">
        <is>
          <t>R4</t>
        </is>
      </c>
      <c r="G65" s="60" t="inlineStr">
        <is>
          <t>開發者 R4 決策項 ④；R4 的 write_seed_price 只寫空白日期、刪除只收回 child_seed_json 記錄的列，舊孤兒因此永久留下</t>
        </is>
      </c>
      <c r="H65" s="60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60" t="inlineStr">
        <is>
          <t>結案</t>
        </is>
      </c>
      <c r="J65" s="61" t="inlineStr">
        <is>
          <t>R5</t>
        </is>
      </c>
      <c r="K65" s="6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3">
      <c r="A66" s="61" t="inlineStr">
        <is>
          <t>DEF-064</t>
        </is>
      </c>
      <c r="B66" s="61" t="inlineStr">
        <is>
          <t>H-04（附帶）</t>
        </is>
      </c>
      <c r="C66" s="60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60" t="inlineStr">
        <is>
          <t>低</t>
        </is>
      </c>
      <c r="E66" s="60" t="inlineStr">
        <is>
          <t>規格未定</t>
        </is>
      </c>
      <c r="F66" s="61" t="inlineStr">
        <is>
          <t>R4</t>
        </is>
      </c>
      <c r="G66" s="60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60" t="inlineStr">
        <is>
          <t>結案</t>
        </is>
      </c>
      <c r="J66" s="61" t="inlineStr">
        <is>
          <t>R5</t>
        </is>
      </c>
      <c r="K66" s="6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3">
      <c r="A67" s="61" t="inlineStr">
        <is>
          <t>DEF-065</t>
        </is>
      </c>
      <c r="B67" s="61" t="inlineStr">
        <is>
          <t>J-06（附帶）</t>
        </is>
      </c>
      <c r="C67" s="61" t="inlineStr">
        <is>
          <t>GET /api/ui-prefs 間歇性回 500 internal_error，使 e2e 全套不穩定（驗證者 3 次全套中 2 次各有 1～2 則失敗，都只因 console 出現 500）</t>
        </is>
      </c>
      <c r="D67" s="60" t="inlineStr">
        <is>
          <t>低</t>
        </is>
      </c>
      <c r="E67" s="60" t="inlineStr">
        <is>
          <t>程式缺陷</t>
        </is>
      </c>
      <c r="F67" s="61" t="inlineStr">
        <is>
          <t>R4</t>
        </is>
      </c>
      <c r="G67" s="6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60" t="inlineStr">
        <is>
          <t>結案</t>
        </is>
      </c>
      <c r="J67" s="61" t="inlineStr">
        <is>
          <t>R5</t>
        </is>
      </c>
      <c r="K67" s="60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3">
      <c r="A68" s="61" t="inlineStr">
        <is>
          <t>DEF-066</t>
        </is>
      </c>
      <c r="B68" s="61" t="inlineStr">
        <is>
          <t>G-09（附帶）</t>
        </is>
      </c>
      <c r="C68" s="6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60" t="inlineStr">
        <is>
          <t>中</t>
        </is>
      </c>
      <c r="E68" s="60" t="inlineStr">
        <is>
          <t>程式缺陷</t>
        </is>
      </c>
      <c r="F68" s="61" t="inlineStr">
        <is>
          <t>R5</t>
        </is>
      </c>
      <c r="G68" s="6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60" t="inlineStr">
        <is>
          <t>結案</t>
        </is>
      </c>
      <c r="J68" s="61" t="inlineStr">
        <is>
          <t>R6</t>
        </is>
      </c>
      <c r="K68" s="60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3">
      <c r="A69" s="61" t="inlineStr">
        <is>
          <t>DEF-067</t>
        </is>
      </c>
      <c r="B69" s="61" t="inlineStr">
        <is>
          <t>E-05</t>
        </is>
      </c>
      <c r="C69" s="61" t="inlineStr">
        <is>
          <t>dividends_daily 全部標的失敗仍記為「成功」：排程中心顯示「成功　0 檔事件已更新，10 檔失敗（…）」，狀態與明細互相矛盾（E-05 ③）</t>
        </is>
      </c>
      <c r="D69" s="60" t="inlineStr">
        <is>
          <t>中</t>
        </is>
      </c>
      <c r="E69" s="60" t="inlineStr">
        <is>
          <t>程式缺陷</t>
        </is>
      </c>
      <c r="F69" s="61" t="inlineStr">
        <is>
          <t>R5</t>
        </is>
      </c>
      <c r="G69" s="60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60" t="inlineStr">
        <is>
          <t>結案</t>
        </is>
      </c>
      <c r="J69" s="61" t="inlineStr">
        <is>
          <t>R6</t>
        </is>
      </c>
      <c r="K69" s="60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3">
      <c r="A70" s="61" t="inlineStr">
        <is>
          <t>DEF-068</t>
        </is>
      </c>
      <c r="B70" s="61" t="inlineStr">
        <is>
          <t>E-11</t>
        </is>
      </c>
      <c r="C70" s="60" t="inlineStr">
        <is>
          <t>更新報價全部失敗時，提示仍說「其餘已更新，重新整理頁面即可看到新價」，且不提匯率失敗（E-11）</t>
        </is>
      </c>
      <c r="D70" s="60" t="inlineStr">
        <is>
          <t>低</t>
        </is>
      </c>
      <c r="E70" s="60" t="inlineStr">
        <is>
          <t>程式缺陷</t>
        </is>
      </c>
      <c r="F70" s="61" t="inlineStr">
        <is>
          <t>R5</t>
        </is>
      </c>
      <c r="G70" s="60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60" t="inlineStr">
        <is>
          <t>結案</t>
        </is>
      </c>
      <c r="J70" s="61" t="inlineStr">
        <is>
          <t>R6</t>
        </is>
      </c>
      <c r="K70" s="60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3">
      <c r="A71" s="61" t="inlineStr">
        <is>
          <t>DEF-069</t>
        </is>
      </c>
      <c r="B71" s="61" t="inlineStr">
        <is>
          <t>G-08</t>
        </is>
      </c>
      <c r="C71" s="60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60" t="inlineStr">
        <is>
          <t>中</t>
        </is>
      </c>
      <c r="E71" s="60" t="inlineStr">
        <is>
          <t>程式缺陷</t>
        </is>
      </c>
      <c r="F71" s="61" t="inlineStr">
        <is>
          <t>R5</t>
        </is>
      </c>
      <c r="G71" s="60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60" t="inlineStr">
        <is>
          <t>結案</t>
        </is>
      </c>
      <c r="J71" s="61" t="inlineStr">
        <is>
          <t>R6</t>
        </is>
      </c>
      <c r="K71" s="60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3">
      <c r="A72" s="61" t="inlineStr">
        <is>
          <t>DEF-070</t>
        </is>
      </c>
      <c r="B72" s="61" t="inlineStr">
        <is>
          <t>G-08</t>
        </is>
      </c>
      <c r="C72" s="60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60" t="inlineStr">
        <is>
          <t>中</t>
        </is>
      </c>
      <c r="E72" s="60" t="inlineStr">
        <is>
          <t>程式缺陷</t>
        </is>
      </c>
      <c r="F72" s="61" t="inlineStr">
        <is>
          <t>R5</t>
        </is>
      </c>
      <c r="G72" s="60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60" t="inlineStr">
        <is>
          <t>結案</t>
        </is>
      </c>
      <c r="J72" s="61" t="inlineStr">
        <is>
          <t>R6</t>
        </is>
      </c>
      <c r="K72" s="60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3">
      <c r="A73" s="61" t="inlineStr">
        <is>
          <t>DEF-071</t>
        </is>
      </c>
      <c r="B73" s="61" t="inlineStr">
        <is>
          <t>G-08</t>
        </is>
      </c>
      <c r="C73" s="60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60" t="inlineStr">
        <is>
          <t>中</t>
        </is>
      </c>
      <c r="E73" s="60" t="inlineStr">
        <is>
          <t>程式缺陷</t>
        </is>
      </c>
      <c r="F73" s="61" t="inlineStr">
        <is>
          <t>R5</t>
        </is>
      </c>
      <c r="G73" s="60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60" t="inlineStr">
        <is>
          <t>結案</t>
        </is>
      </c>
      <c r="J73" s="61" t="inlineStr">
        <is>
          <t>R6</t>
        </is>
      </c>
      <c r="K73" s="60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3">
      <c r="A74" s="61" t="inlineStr">
        <is>
          <t>DEF-072</t>
        </is>
      </c>
      <c r="B74" s="61" t="inlineStr">
        <is>
          <t>D-00</t>
        </is>
      </c>
      <c r="C74" s="60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60" t="inlineStr">
        <is>
          <t>低</t>
        </is>
      </c>
      <c r="E74" s="60" t="inlineStr">
        <is>
          <t>程式缺陷</t>
        </is>
      </c>
      <c r="F74" s="61" t="inlineStr">
        <is>
          <t>R5</t>
        </is>
      </c>
      <c r="G74" s="60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60" t="inlineStr">
        <is>
          <t>結案</t>
        </is>
      </c>
      <c r="J74" s="61" t="inlineStr">
        <is>
          <t>R6</t>
        </is>
      </c>
      <c r="K74" s="60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3">
      <c r="A75" s="61" t="inlineStr">
        <is>
          <t>DEF-073</t>
        </is>
      </c>
      <c r="B75" s="61" t="inlineStr">
        <is>
          <t>E-05</t>
        </is>
      </c>
      <c r="C75" s="60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60" t="inlineStr">
        <is>
          <t>低</t>
        </is>
      </c>
      <c r="E75" s="60" t="inlineStr">
        <is>
          <t>程式缺陷</t>
        </is>
      </c>
      <c r="F75" s="61" t="inlineStr">
        <is>
          <t>R5</t>
        </is>
      </c>
      <c r="G75" s="6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60" t="inlineStr">
        <is>
          <t>結案</t>
        </is>
      </c>
      <c r="J75" s="61" t="inlineStr">
        <is>
          <t>R6</t>
        </is>
      </c>
      <c r="K75" s="60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3">
      <c r="A76" s="61" t="inlineStr">
        <is>
          <t>DEF-074</t>
        </is>
      </c>
      <c r="B76" s="61" t="inlineStr">
        <is>
          <t>H-04（附帶）</t>
        </is>
      </c>
      <c r="C76" s="60" t="inlineStr">
        <is>
          <t>股利收件匣的掃描宇宙（api/dividend_inbox.py:216-222）仍含已封存但有買入歷史的標的，同一排程的後備路徑卻已排除封存——同一工作兩套口徑</t>
        </is>
      </c>
      <c r="D76" s="60" t="inlineStr">
        <is>
          <t>低</t>
        </is>
      </c>
      <c r="E76" s="60" t="inlineStr">
        <is>
          <t>規格未定</t>
        </is>
      </c>
      <c r="F76" s="61" t="inlineStr">
        <is>
          <t>R5</t>
        </is>
      </c>
      <c r="G76" s="60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60" t="inlineStr">
        <is>
          <t>結案</t>
        </is>
      </c>
      <c r="J76" s="61" t="inlineStr">
        <is>
          <t>R6</t>
        </is>
      </c>
      <c r="K76" s="6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3">
      <c r="A77" s="61" t="inlineStr">
        <is>
          <t>DEF-075</t>
        </is>
      </c>
      <c r="B77" s="61" t="inlineStr">
        <is>
          <t>H-04（附帶）</t>
        </is>
      </c>
      <c r="C77" s="60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60" t="inlineStr">
        <is>
          <t>低</t>
        </is>
      </c>
      <c r="E77" s="60" t="inlineStr">
        <is>
          <t>程式缺陷</t>
        </is>
      </c>
      <c r="F77" s="61" t="inlineStr">
        <is>
          <t>R5</t>
        </is>
      </c>
      <c r="G77" s="60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60" t="inlineStr">
        <is>
          <t>結案</t>
        </is>
      </c>
      <c r="J77" s="61" t="inlineStr">
        <is>
          <t>R6</t>
        </is>
      </c>
      <c r="K77" s="60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3">
      <c r="A78" s="61" t="inlineStr">
        <is>
          <t>DEF-076</t>
        </is>
      </c>
      <c r="B78" s="61" t="inlineStr">
        <is>
          <t>H-04（附帶）</t>
        </is>
      </c>
      <c r="C78" s="61" t="inlineStr">
        <is>
          <t>quota_low 的事件標題是「LLM 額度偏低」（strategy/alerts.py:357），規則名是「AI 額度偏低」——同一條預警兩種名稱</t>
        </is>
      </c>
      <c r="D78" s="60" t="inlineStr">
        <is>
          <t>低</t>
        </is>
      </c>
      <c r="E78" s="60" t="inlineStr">
        <is>
          <t>規格未定</t>
        </is>
      </c>
      <c r="F78" s="61" t="inlineStr">
        <is>
          <t>R5</t>
        </is>
      </c>
      <c r="G78" s="60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60" t="inlineStr">
        <is>
          <t>結案</t>
        </is>
      </c>
      <c r="J78" s="61" t="inlineStr">
        <is>
          <t>R6</t>
        </is>
      </c>
      <c r="K78" s="6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3">
      <c r="A79" s="61" t="inlineStr">
        <is>
          <t>DEF-077</t>
        </is>
      </c>
      <c r="B79" s="61" t="inlineStr">
        <is>
          <t>J-01（附帶）</t>
        </is>
      </c>
      <c r="C79" s="60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60" t="inlineStr">
        <is>
          <t>低</t>
        </is>
      </c>
      <c r="E79" s="60" t="inlineStr">
        <is>
          <t>程式缺陷</t>
        </is>
      </c>
      <c r="F79" s="61" t="inlineStr">
        <is>
          <t>R5</t>
        </is>
      </c>
      <c r="G79" s="61" t="inlineStr">
        <is>
          <t>demo：GET /api/dashboard 的 fx_triangulation；USD/TWD 已更新到新日期、USD/MYR 尚未更新時，推導值只到兩腿都有的舊日期，與直接值不同日相比而判紅</t>
        </is>
      </c>
      <c r="H79" s="6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60" t="inlineStr">
        <is>
          <t>結案</t>
        </is>
      </c>
      <c r="J79" s="61" t="inlineStr">
        <is>
          <t>R7</t>
        </is>
      </c>
      <c r="K79" s="60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3">
      <c r="A80" s="61" t="inlineStr">
        <is>
          <t>DEF-078</t>
        </is>
      </c>
      <c r="B80" s="61" t="inlineStr">
        <is>
          <t>H-01（附帶）</t>
        </is>
      </c>
      <c r="C80" s="6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60" t="inlineStr">
        <is>
          <t>低</t>
        </is>
      </c>
      <c r="E80" s="60" t="inlineStr">
        <is>
          <t>規格未定</t>
        </is>
      </c>
      <c r="F80" s="61" t="inlineStr">
        <is>
          <t>R5</t>
        </is>
      </c>
      <c r="G80" s="60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60" t="inlineStr">
        <is>
          <t>結案</t>
        </is>
      </c>
      <c r="J80" s="61" t="inlineStr">
        <is>
          <t>R6</t>
        </is>
      </c>
      <c r="K80" s="60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3">
      <c r="A81" s="61" t="inlineStr">
        <is>
          <t>DEF-079</t>
        </is>
      </c>
      <c r="B81" s="61" t="inlineStr">
        <is>
          <t>G-08（附帶）</t>
        </is>
      </c>
      <c r="C81" s="60" t="inlineStr">
        <is>
          <t>校正版本以錯誤依據產生：沒有生效版時第一版的失誤樣本為 0 筆，之後的版本以最新版而非生效版的內文為底</t>
        </is>
      </c>
      <c r="D81" s="60" t="inlineStr">
        <is>
          <t>中</t>
        </is>
      </c>
      <c r="E81" s="60" t="inlineStr">
        <is>
          <t>程式缺陷</t>
        </is>
      </c>
      <c r="F81" s="61" t="inlineStr">
        <is>
          <t>R6</t>
        </is>
      </c>
      <c r="G81" s="60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60" t="inlineStr">
        <is>
          <t>結案</t>
        </is>
      </c>
      <c r="J81" s="61" t="inlineStr">
        <is>
          <t>R6</t>
        </is>
      </c>
      <c r="K81" s="60" t="inlineStr">
        <is>
          <t>開發者 R6 修 DEF-070 時發現；owner 2026-09-26 在對話中裁定本輪一起修。
R6 複驗通過（黑箱重放＋驗證者變異）</t>
        </is>
      </c>
    </row>
    <row r="82" ht="15" customHeight="1" s="43">
      <c r="A82" s="61" t="inlineStr">
        <is>
          <t>DEF-080</t>
        </is>
      </c>
      <c r="B82" s="61" t="inlineStr">
        <is>
          <t>G-08（附帶）</t>
        </is>
      </c>
      <c r="C82" s="60" t="inlineStr">
        <is>
          <t>校正產生的觸發條件讀取任務全部歷史，同一批舊失誤每週重複觸發產生新版本</t>
        </is>
      </c>
      <c r="D82" s="60" t="inlineStr">
        <is>
          <t>低</t>
        </is>
      </c>
      <c r="E82" s="60" t="inlineStr">
        <is>
          <t>程式缺陷</t>
        </is>
      </c>
      <c r="F82" s="61" t="inlineStr">
        <is>
          <t>R6</t>
        </is>
      </c>
      <c r="G82" s="60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60" t="inlineStr">
        <is>
          <t>結案</t>
        </is>
      </c>
      <c r="J82" s="61" t="inlineStr">
        <is>
          <t>R6</t>
        </is>
      </c>
      <c r="K82" s="60" t="inlineStr">
        <is>
          <t>開發者 R6 修 DEF-070 時發現；owner 2026-09-26 在對話中裁定本輪一起修。
R6 複驗通過（黑箱重放＋驗證者變異）</t>
        </is>
      </c>
    </row>
    <row r="83" ht="15" customHeight="1" s="43">
      <c r="A83" s="61" t="inlineStr">
        <is>
          <t>DEF-081</t>
        </is>
      </c>
      <c r="B83" s="61" t="inlineStr">
        <is>
          <t>H-07（附帶）</t>
        </is>
      </c>
      <c r="C83" s="61" t="inlineStr">
        <is>
          <t>AI 戰績「各洞察任務命中率」與「預測明細」以「任務 #2」稱呼洞察任務，不是任務名稱</t>
        </is>
      </c>
      <c r="D83" s="60" t="inlineStr">
        <is>
          <t>低</t>
        </is>
      </c>
      <c r="E83" s="60" t="inlineStr">
        <is>
          <t>程式缺陷</t>
        </is>
      </c>
      <c r="F83" s="61" t="inlineStr">
        <is>
          <t>R7</t>
        </is>
      </c>
      <c r="G83" s="60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60" t="inlineStr">
        <is>
          <t>結案</t>
        </is>
      </c>
      <c r="J83" s="61" t="inlineStr">
        <is>
          <t>R7</t>
        </is>
      </c>
      <c r="K83" s="60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3">
      <c r="A84" s="61" t="inlineStr">
        <is>
          <t>DEF-082</t>
        </is>
      </c>
      <c r="B84" s="61" t="inlineStr">
        <is>
          <t>G-04</t>
        </is>
      </c>
      <c r="C84" s="61" t="inlineStr">
        <is>
          <t>AI 洞察卡的代號檢核把括號內「已註冊標的的英文名稱」當成未知代號：#209 寫「3008 (LARGAN)」即標「未知代碼：LARGAN…可能是模型幻覺」</t>
        </is>
      </c>
      <c r="D84" s="60" t="inlineStr">
        <is>
          <t>低</t>
        </is>
      </c>
      <c r="E84" s="60" t="inlineStr">
        <is>
          <t>程式缺陷</t>
        </is>
      </c>
      <c r="F84" s="61" t="inlineStr">
        <is>
          <t>R8</t>
        </is>
      </c>
      <c r="G84" s="6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60" t="inlineStr">
        <is>
          <t>結案</t>
        </is>
      </c>
      <c r="J84" s="61" t="inlineStr">
        <is>
          <t>R9</t>
        </is>
      </c>
      <c r="K84" s="60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3">
      <c r="A85" s="61" t="inlineStr">
        <is>
          <t>DEF-083</t>
        </is>
      </c>
      <c r="B85" s="61" t="inlineStr">
        <is>
          <t>G-09</t>
        </is>
      </c>
      <c r="C85" s="60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60" t="inlineStr">
        <is>
          <t>中</t>
        </is>
      </c>
      <c r="E85" s="60" t="inlineStr">
        <is>
          <t>程式缺陷</t>
        </is>
      </c>
      <c r="F85" s="61" t="inlineStr">
        <is>
          <t>R10</t>
        </is>
      </c>
      <c r="G85" s="61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1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60" t="inlineStr">
        <is>
          <t>結案</t>
        </is>
      </c>
      <c r="J85" s="61" t="inlineStr">
        <is>
          <t>R11</t>
        </is>
      </c>
      <c r="K85" s="60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3">
      <c r="A86" s="61" t="inlineStr">
        <is>
          <t>DEF-084</t>
        </is>
      </c>
      <c r="B86" s="61" t="inlineStr">
        <is>
          <t>F-08</t>
        </is>
      </c>
      <c r="C86" s="61" t="inlineStr">
        <is>
          <t>AI 抽取失敗記錄中「模型坦承無法歸類」（unparsed_rows）的紀錄不記模型：model 空白、usage_id null，下載的 .jsonl 無從得知是哪個模型的回覆</t>
        </is>
      </c>
      <c r="D86" s="60" t="inlineStr">
        <is>
          <t>低</t>
        </is>
      </c>
      <c r="E86" s="60" t="inlineStr">
        <is>
          <t>程式缺陷</t>
        </is>
      </c>
      <c r="F86" s="61" t="inlineStr">
        <is>
          <t>R10</t>
        </is>
      </c>
      <c r="G86" s="61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1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60" t="inlineStr">
        <is>
          <t>結案</t>
        </is>
      </c>
      <c r="J86" s="61" t="inlineStr">
        <is>
          <t>R11</t>
        </is>
      </c>
      <c r="K86" s="60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3">
      <c r="A87" s="61" t="inlineStr">
        <is>
          <t>DEF-085</t>
        </is>
      </c>
      <c r="B87" s="61" t="inlineStr">
        <is>
          <t>H-05</t>
        </is>
      </c>
      <c r="C87" s="60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60" t="inlineStr">
        <is>
          <t>低</t>
        </is>
      </c>
      <c r="E87" s="60" t="inlineStr">
        <is>
          <t>程式缺陷</t>
        </is>
      </c>
      <c r="F87" s="61" t="inlineStr">
        <is>
          <t>R10</t>
        </is>
      </c>
      <c r="G87" s="60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1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60" t="inlineStr">
        <is>
          <t>結案</t>
        </is>
      </c>
      <c r="J87" s="61" t="inlineStr">
        <is>
          <t>R11</t>
        </is>
      </c>
      <c r="K87" s="60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3">
      <c r="A88" s="61" t="inlineStr">
        <is>
          <t>DEF-086</t>
        </is>
      </c>
      <c r="B88" s="61" t="inlineStr">
        <is>
          <t>G-01, H-02</t>
        </is>
      </c>
      <c r="C88" s="60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60" t="inlineStr">
        <is>
          <t>低</t>
        </is>
      </c>
      <c r="E88" s="60" t="inlineStr">
        <is>
          <t>規格未定</t>
        </is>
      </c>
      <c r="F88" s="61" t="inlineStr">
        <is>
          <t>R12</t>
        </is>
      </c>
      <c r="G88" s="60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1" t="n"/>
      <c r="I88" s="60" t="inlineStr">
        <is>
          <t>非缺陷</t>
        </is>
      </c>
      <c r="J88" s="61" t="inlineStr">
        <is>
          <t>R12</t>
        </is>
      </c>
      <c r="K88" s="60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  <row r="89" ht="15" customHeight="1" s="43">
      <c r="A89" s="61" t="inlineStr">
        <is>
          <t>DEF-087</t>
        </is>
      </c>
      <c r="B89" s="61" t="inlineStr">
        <is>
          <t>J-06</t>
        </is>
      </c>
      <c r="C89" s="60" t="inlineStr">
        <is>
          <t>守門測試 pytest 1 failed：export 套件出現未列入白名單的裸 str()（ledger_audit.py `_display` 的別名合併），J-06「全綠」不成立</t>
        </is>
      </c>
      <c r="D89" s="60" t="inlineStr">
        <is>
          <t>低</t>
        </is>
      </c>
      <c r="E89" s="60" t="inlineStr">
        <is>
          <t>程式缺陷</t>
        </is>
      </c>
      <c r="F89" s="61" t="inlineStr">
        <is>
          <t>R13</t>
        </is>
      </c>
      <c r="G89" s="60" t="inlineStr">
        <is>
          <t>本機乾淨 worktree（830056c，無未提交變更）：`pytest`（非 e2e 全套）→ 1 failed／6,851 passed／5 skipped，失敗的是 tests/contract/test_exports_never_print_scientific_notation.py::test_every_bare_str_in_the_export_package_is_listed，AssertionError「Left contains 1 more item: {('ledger_audit.py', '_display'): 1}」。單獨重跑該測試：830056c、e8bcf53 各兩次皆 failed，2fe60ce 10 passed。同一環境 ruff 全過、mypy --strict 983 檔 0、e2e 322／322（211 個伺服器行程 traceback 0、5xx 0）、守門變異 3 組皆攔</t>
        </is>
      </c>
      <c r="H89" s="61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I89" s="60" t="inlineStr">
        <is>
          <t>結案</t>
        </is>
      </c>
      <c r="J89" s="61" t="inlineStr">
        <is>
          <t>R14</t>
        </is>
      </c>
      <c r="K89" s="60" t="inlineStr">
        <is>
          <t>驗證者 R13 發現。讀碼定位（根因欄留給修復方）：portfolio_dash/export/ledger_audit.py:209 `"、".join(str(a) for a in items)`（e8bcf53 item 8 新增的 aliases 欄顯示）；該守門測試（2fe60ce 新增）要求 export 套件內每個裸 str() 都列在 _ALLOWED_STR（tests/contract/test_exports_never_print_scientific_notation.py:87-99），e8bcf53 未補列 → 自 e8bcf53 起紅燈，R12（d2e5e08）時 J-06 全綠，屬回歸。別名皆為文字，demo 的帳本操作稽核匯出（J-03／J-04，445 列）未見科學記號；影響是閘門不綠、J-06 不成立。修法由修復方決定（列入白名單並註明理由，或改走既有的文字格式化），請附變異測試
開發者 R14：已修並部署 demo（c9a44ac），待複驗。
驗證者 R14（2026-10-02，c9a44ac）複驗通過結案——①根因到行（ledger_audit.py:209，H 欄）；②同類：該守門測試以 AST 列舉 export 套件全部裸 str()（開發者修後 18 處皆在白名單），驗證者以 J-06 全套確認綠；③變異（驗證者自做，乾淨 worktree）：把 :209 改回 str(a) → test_every_bare_str_in_the_export_package_is_listed 1 failed，改回即過；④黑箱：J-03 帳本操作稽核 CSV 434 列、J-04 21 個匯出＋稽核 CSV 196,036 bytes 皆 200；J-06 全綠（ruff 0、mypy 985 檔 0、pytest 6,875 passed／5 skipped／0 failed、e2e 322／322、211 個伺服器行程 traceback 0、5xx 0、守門變異 3 組皆攔）。開發者自檢收集 6,859 則、驗證者環境 6,880 則，兩邊 0 failed，差異來自環境的略過條件</t>
        </is>
      </c>
    </row>
    <row r="90" ht="15" customHeight="1" s="43">
      <c r="A90" s="61" t="inlineStr">
        <is>
          <t>DEF-088</t>
        </is>
      </c>
      <c r="B90" s="61" t="inlineStr">
        <is>
          <t>F-01</t>
        </is>
      </c>
      <c r="C90" s="60" t="inlineStr">
        <is>
          <t>AI 代號辨識對台股中文名稱回傳的別名一律為空：「別名」欄未預填，登錄後也沒有別名（F-01 ②③）</t>
        </is>
      </c>
      <c r="D90" s="60" t="inlineStr">
        <is>
          <t>低</t>
        </is>
      </c>
      <c r="E90" s="60" t="inlineStr">
        <is>
          <t>程式缺陷</t>
        </is>
      </c>
      <c r="F90" s="61" t="inlineStr">
        <is>
          <t>R13</t>
        </is>
      </c>
      <c r="G90" s="60" t="inlineStr">
        <is>
          <t>demo（830056c）觀察清單 › 加入 → 輸入「長榮航」→ 自動 ai-resolve 1 次 → 回 2618／TW／長榮航／Industrials、confidence high、verified、aliases []；「別名」欄空白；確認後 POST /api/instruments 201（aliases []），標的管理顯示 2618 長榮航、沒有別名。同日以同一端點重放 6 次：長榮航、長榮航空 → 2618 長榮航 []；華航 → 2610 []；聯電、聯華電子 → 2303 聯電 []；對照「英特爾」（市場 US）→ INTC Intel Corporation ["英特爾"]</t>
        </is>
      </c>
      <c r="H90" s="61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I90" s="60" t="inlineStr">
        <is>
          <t>結案</t>
        </is>
      </c>
      <c r="J90" s="61" t="inlineStr">
        <is>
          <t>R14</t>
        </is>
      </c>
      <c r="K90" s="60" t="inlineStr">
        <is>
          <t>驗證者 R13 發現。讀碼推定（根因欄留給修復方）：portfolio_dash/api/routers/instruments.py:413 以報價來源的名稱取代模型回的 name（台股為交易所簡稱，如「長榮航」「聯電」），:420-421 只把 reply.aliases 交給 auto_aliases（portfolio_dash/api/instrument_service.py:149-174，經 normalize_aliases 去掉與 name 相同者）；而提示詞 v3（portfolio_dash/llm_insight/official_templates.py 的範例：name「聯華電子」、aliases「聯電」）引導模型把正式名放 name、簡稱放 aliases——簡稱在 name 被換成來源簡稱後與 name 相同而被濾掉，模型給的正式名又不在候選內，結果為空。美股因來源名為英文全名（Intel Corporation），中文別名得以保留。模型原始回覆未留存，此為依程式與提示詞的推定，請修復方以實際回覆確認。花費：F-01 三列 0.0005196；驗證者重放 6 列 0.0010429
開發者 R14：已修並部署 demo（c9a44ac），待複驗。
驗證者 R14（2026-10-02，c9a44ac）複驗通過結案——①根因到行（instruments.py:413、:421）；②同類：開發者列自動填別名入口 3 個；驗證者另以 ai-resolve 重放 華航 → 2610 ["中華航空"]、聯電 → 2303 ["聯華電子"]、英特爾（US）→ INTC ["英特爾"]；③變異（驗證者自做）：候選改回只有 reply.aliases → test_ai_resolve_keeps_a_chinese_model_name_the_exchange_name_replaced 1 failed；④黑箱：F-01 重放（demo 真實瀏覽器、真實模型）長榮航 → 別名欄預填「長榮航空」、登錄後「2618 長榮航 亦稱 長榮航空」，F-01 12／12；測後 purge 2618 還原</t>
        </is>
      </c>
    </row>
    <row r="91" ht="15" customHeight="1" s="43">
      <c r="A91" s="61" t="inlineStr">
        <is>
          <t>DEF-089</t>
        </is>
      </c>
      <c r="B91" s="61" t="inlineStr">
        <is>
          <t>G-01</t>
        </is>
      </c>
      <c r="C91" s="60" t="inlineStr">
        <is>
          <t>洞察卡以中文名稱的前段稱呼標的（如「玉山金 (2884)」），名稱檢核刻意接受，但手冊 G-01 ⑤ 要求名稱須為標的管理登錄的名稱或別名之一 → G-01 ⑤ 不成立</t>
        </is>
      </c>
      <c r="D91" s="60" t="inlineStr">
        <is>
          <t>低</t>
        </is>
      </c>
      <c r="E91" s="60" t="inlineStr">
        <is>
          <t>規格未定</t>
        </is>
      </c>
      <c r="F91" s="61" t="inlineStr">
        <is>
          <t>R13</t>
        </is>
      </c>
      <c r="G91" s="60" t="inlineStr">
        <is>
          <t>demo（830056c）G-01：以與精靈相同的 POST 建立 per_symbol 任務 #32（2884）→ run #257 ok「產生 1 張卡」；卡 #264（haiku-4.5）兩處寫「玉山金 (2884)」，2884 登錄名稱「玉山金控」、別名「E.SUN」「玉山」；執行明細沒有名稱不符，卡片未標記。同類：demo 全部 225 張卡的名稱／代號配對一致 87 種，另有中文名稱前段 9 處，皆由同一規則放行</t>
        </is>
      </c>
      <c r="H91" s="61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I91" s="60" t="inlineStr">
        <is>
          <t>結案</t>
        </is>
      </c>
      <c r="J91" s="61" t="inlineStr">
        <is>
          <t>R14</t>
        </is>
      </c>
      <c r="K91" s="60" t="inlineStr">
        <is>
          <t>驗證者 R13 發現。讀碼定位：portfolio_dash/llm_insight/name_check.py:19-22（模組說明：中文名稱「任何兩字以上的開頭」皆可，例「玉山金」for 玉山金控、「群聯」for 群聯電子）、:57 _MIN_CJK_PREFIX = 2、:90-97 _ends_with_name。程式刻意接受簡稱前段；手冊 G-01 ⑤（Owner 2026-10-01 改寫）寫「名稱都是該代號在標的管理登錄的名稱或別名之一」，兩者衝突 → 規格未定、OBSERVE。請 Owner 裁定：A 改期望、程式不改——⑤ 改為「登錄名稱、別名，或中文名稱兩字以上的開頭」，G-01 改判 PASS、本張改判非缺陷（手冊期望由開發者依裁定改寫）；B 改程式、期望不變——取消前段放行，常見簡稱需登錄為別名（例 2884 加「玉山金」），需再一輪修復與複驗。驗證者看法：A 與 830056c 的設計一致、不必改程式；B 較嚴格，但未登錄的常見簡稱會觸發重問或不存卡，宜先補別名
開發者 R14：Owner 2026-10-01 裁定 1C（中文簡稱不限字數，只放行只指向這一檔的簡稱）。已修並部署 demo（c9a44ac），待複驗。
驗證者 R14（2026-10-02，c9a44ac）依 Owner 2026-10-01 裁定 1C 複驗通過結案——①根因到行（name_check.py:91-97、:106-110、:57）；②同類：接受名稱的規則只有一處、三個使用處全改；驗證者以 1C 規則獨立掃描 demo 224 張卡：一致 87 種、只指向單一標的的開頭簡稱 7 處、不符 0；③變異（驗證者自做）：取消「他檔共用」檢查 → 4 failed；只查「等於他檔名稱」、不查「他檔名稱以它開頭」→ 2 failed；④黑箱：G-01 重跑（demo 真實 AI）卡 #264「玉山金 (2884)」為只指向 2884 的簡稱 → ⑤ 通過；G-04 ② (d) 本機：2618 長榮航（別名 長榮航空）＋2603 別名「長榮」→ 兩次「長榮 (2618)」不存卡、「部分」；同腳本在 830056c 存下卡 #22（舊規則放行），c9a44ac 已擋</t>
        </is>
      </c>
    </row>
    <row r="92" ht="15" customHeight="1" s="43">
      <c r="A92" s="61" t="inlineStr">
        <is>
          <t>DEF-090</t>
        </is>
      </c>
      <c r="B92" s="61" t="inlineStr">
        <is>
          <t>A-06</t>
        </is>
      </c>
      <c r="C92" s="60" t="inlineStr">
        <is>
          <t>倒填出金使之後某幾天轉負卻被寫入：資金池更早已有一段負餘額時，後端只比對整段時間的最低點，新產生的負段只要不比既有最低點深就放行（A-06）</t>
        </is>
      </c>
      <c r="D92" s="60" t="inlineStr">
        <is>
          <t>中</t>
        </is>
      </c>
      <c r="E92" s="60" t="inlineStr">
        <is>
          <t>程式缺陷</t>
        </is>
      </c>
      <c r="F92" s="61" t="inlineStr">
        <is>
          <t>R13</t>
        </is>
      </c>
      <c r="G92" s="60" t="inlineStr">
        <is>
          <t>demo（830056c）：嘉信 Schwab TWD 池的資金對帳單——2026-01-12 換匯出 −220,000（demo 既有資料，至 07-01 入金前為負）、2026-07-17 日終 501,000、07-19 200,000、07-20 195,000、07-21 入金後 2,195,000、目前 800,000。資金收支 › 出金 2026-07-17 348,000 TWD（不超過當日與目前餘額，表單不擋）→ POST /api/cash/movements 201（#140），toast「✓ 寫入成功 出金 348000」；寫入後 07-19／07-20 為 −148,000／−153,000。依題目「若寫入成功需刪除」，檢查程式隨即刪除 #140（帳本操作稽核 #446），分段與案例開始時逐字相同。對照：全期間無負值的 Moomoo MY MYR 池倒填出金 423,806（2026-01-05）→ 422 被擋</t>
        </is>
      </c>
      <c r="H92" s="61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I92" s="60" t="inlineStr">
        <is>
          <t>結案</t>
        </is>
      </c>
      <c r="J92" s="61" t="inlineStr">
        <is>
          <t>R14</t>
        </is>
      </c>
      <c r="K92" s="60" t="inlineStr">
        <is>
          <t>驗證者 R13 發現（6B 下台灣券商 TWD 池已無倒填空間，改用另一個符合前置條件的池才遇到；R12 以前 A-06 用的池沒有既有負值）。讀碼定位：portfolio_dash/data_ingestion/validate.py:1990 `if after.low &lt; min(before.low, _ZERO)`——before／after 只取整段時間的最低點；本例前後皆為 −220,000（2026-01-12），新出現的 07-19～07-20 負段不被視為「加深」。同函式說明（:1963-1967）寫「a withdrawal that INTRODUCES or DEEPENS a below-zero dip … is blocked」「A PRE-EXISTING dip it does not worsen never blocks it」——新產生的負段屬 introduces，實作未擋。換匯的同一檢查 portfolio_dash/data_ingestion/fx_import.py:190 同型，請一併做同類掃描。該段程式自 e6fd9f4（R2）未改，不是回歸。嚴重度中：結果與「出金不可透支」互相矛盾，使用者需自行檢查。修法由修復方決定（例：逐日比較，原本 ≥0 的日子變負、或原本為負的日子更負即擋）
開發者 R14：已修並部署 demo（c9a44ac），待複驗。
驗證者 R14（2026-10-02，c9a44ac）複驗通過結案——①根因到行（validate.py:1990、fx_import.py:190、replay_guard.py:343）；②同類：驗證者自行掃描全部以最低點比較的地方，修後只剩 validate.pool_dip 給測試替身的備援；另黑箱驗開發者未點名的出金編輯門（自我排除路徑）：先寫 1,000 再改成 348,000 → 422 同句；交易買進的現金不足提示以今日餘額判斷（M5-06 設計），不屬同類；③變異（驗證者自做 4 組）：出金＋換匯改回比最低點 → 2 failed、只換匯 → 1、批次復原改回只看「低於舊最低點」→ 2、硬擋只看原本不負的日子 → 1；④黑箱：A-06 重放嘉信 TWD 倒填 2026-07-17 出金 348,000 → 422「自 2026-07-19 起為負，最低於 2026-07-20 降至 −153,000（出金日早於資金到位）」（R13 為 201）；換匯同情境（A-13X）→ 422；批次復原（I-08X）新負段 −205,000 淺於既有 −220,000 → 要求確認，移除相依出金後同一批不再詢問（audit H3 範圍保留）</t>
        </is>
      </c>
    </row>
    <row r="93" ht="15" customHeight="1" s="43">
      <c r="A93" s="61" t="inlineStr">
        <is>
          <t>DEF-091</t>
        </is>
      </c>
      <c r="B93" s="61" t="inlineStr">
        <is>
          <t>A-06</t>
        </is>
      </c>
      <c r="C93" s="60" t="inlineStr">
        <is>
          <t>倒填出金被擋時，訊息點名的是資金池最低點的日期（M5-07 設計），不是第一個轉負的日期；手冊 A-06 要求指出「哪一天開始為負」</t>
        </is>
      </c>
      <c r="D93" s="60" t="inlineStr">
        <is>
          <t>低</t>
        </is>
      </c>
      <c r="E93" s="60" t="inlineStr">
        <is>
          <t>規格未定</t>
        </is>
      </c>
      <c r="F93" s="61" t="inlineStr">
        <is>
          <t>R13</t>
        </is>
      </c>
      <c r="G93" s="60" t="inlineStr">
        <is>
          <t>demo（830056c）A-06M：Moomoo MY MYR 池全期間無負值（31 列，日終最低 345,200.17 於 2026-07-19，目前 502,412.62）；資金收支 › 出金 2026-01-05 423,806 MYR（不超過當日日終 600,000 與目前餘額）→ 422 withdraw_insufficient_balance「此筆出金會使 Moomoo MY 的 MYR 現金於 2026-07-19 降至 −78,605.83（出金日早於資金到位）— 出金不可透支，請先補登入金或換匯」；資金對帳單：2026-01-07 四筆換匯出後日終 420,000 → 加上這筆為 −3,806，是第一個轉負的日子（之後持續為負到 07-21 入金），07-19 為最低點 −78,605.83；資金收支仍 48 列、分段逐字相同</t>
        </is>
      </c>
      <c r="H93" s="61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I93" s="60" t="inlineStr">
        <is>
          <t>結案</t>
        </is>
      </c>
      <c r="J93" s="61" t="inlineStr">
        <is>
          <t>R14</t>
        </is>
      </c>
      <c r="K93" s="60" t="inlineStr">
        <is>
          <t>驗證者 R13 發現。擋下正確，只有點名的日期與手冊不同。讀碼定位：portfolio_dash/data_ingestion/validate.py:1995 `on=after.low_date`，low_date 為最低點首次出現的日子（:1819-1821，M5-07「naming THE DAY the pool bottoms」）、:178 dip_phrase。R12 以前的 A-06 剛好轉負日＝最低點日（2026-07-17），所以沒遇過。請 Owner 裁定：A 改期望、程式不改——A-06 改為「指出餘額最低的那一天與金額」（M5-07 現行設計），本張改判非缺陷；B 改程式、期望不變——訊息改點名第一個轉負的日子（可並列最低點），需再一輪修復與複驗。驗證者看法：B 對使用者較直接（要在第一個轉負日前補資金）；A 不需改程式
開發者 R14：Owner 2026-10-01 裁定 2B（訊息寫第一個轉負日與最低點）。已修並部署 demo（c9a44ac），待複驗。
驗證者 R14（2026-10-02，c9a44ac）依 Owner 2026-10-01 裁定 2B 複驗通過結案——①根因到行（validate.py:1995、:177；fx_import.py:195；cash._negative_response）；②同類：四種門逐一黑箱——出金（A-06）、換匯（A-13X）、編輯／刪除門（A-11X：入金改小 →「自 2026-07-16 起為負，最低於 2026-07-17 降至 −653,820」、刪入金 →「…−753,820」）、批次復原（I-08X：「自 2026-07-19 起為負，最低於 2026-07-20 降至 −205,000」）；轉負日與最低點同日時維持一天（A-06 手冊步驟「於 2026-07-17 降至 −253,820」、A-05「於 2026-10-02 降至 −1（出金當日）」）；開發者重錄的 2 則錄製回應只改日期句，狀態碼與數字不變；③變異（驗證者自做）：改回只寫最低點日 → 5 failed；④黑箱：A-06 重放 Moomoo MY MYR 倒填 2026-01-05 出金 423,806 → 422「自 2026-01-07 起為負，最低於 2026-07-19 降至 −78,605.83（出金日早於資金到位）」，與對帳單逐日推算相同</t>
        </is>
      </c>
    </row>
    <row r="94" ht="15" customHeight="1" s="43">
      <c r="A94" s="61" t="inlineStr">
        <is>
          <t>DEF-092</t>
        </is>
      </c>
      <c r="B94" s="61" t="inlineStr">
        <is>
          <t>A-11、A-13</t>
        </is>
      </c>
      <c r="C94" s="60" t="inlineStr">
        <is>
          <t>單筆資金紀錄的編輯／刪除與換匯刪除，池中任何負值都要求確認並寫「此筆會使…」——負值與這筆無關時句子不實（例：刪除一筆出金也被說成會使池降至 −220,000）；匯入批次復原只問這次造成的負值</t>
        </is>
      </c>
      <c r="D94" s="60" t="inlineStr">
        <is>
          <t>低</t>
        </is>
      </c>
      <c r="E94" s="60" t="inlineStr">
        <is>
          <t>規格未定</t>
        </is>
      </c>
      <c r="F94" s="61" t="inlineStr">
        <is>
          <t>R14</t>
        </is>
      </c>
      <c r="G94" s="60" t="inlineStr">
        <is>
          <t>demo（c9a44ac）嘉信 Schwab TWD 池在 2026-01-12 已有 −220,000（與以下操作無關的既有負值）。資金收支 › 刪除 2026-07-19 的一筆出金（刪除只會讓餘額變高）→ 422 negative_cash「此筆會使 嘉信 Schwab 的 TWD 現金於 2026-01-12 降至 −220,000 — 通常代表漏記入金或換匯；確認無誤可強制寫入」。匯入批次復原則只問這次造成的負值（caused_dip），兩邊不一致。830056c 已如此，非回歸。</t>
        </is>
      </c>
      <c r="H94" s="61" t="inlineStr">
        <is>
          <t>portfolio_dash/api/routers/cash.py:125-147 `_pool_dip` 回傳 `first_dip(running_eod(lines))`——只看變更後的池有沒有任何負值，不比對變更前；三個可確認的門共用它：資金紀錄編輯（PUT /api/cash/movements/{id}，:700-712）、刪除（DELETE /api/cash/movements/{id}，:730-734）、換匯刪除（fx_delete_guard，:349-353）</t>
        </is>
      </c>
      <c r="I94" s="60" t="inlineStr">
        <is>
          <t>結案</t>
        </is>
      </c>
      <c r="J94" s="61" t="inlineStr">
        <is>
          <t>R15</t>
        </is>
      </c>
      <c r="K94" s="60" t="inlineStr">
        <is>
          <t>驗證者 R14 觀察（交接紀錄第 37 列附註①，未開單）。Owner 2026-10-02 在對話中裁定 A：三個可確認的門改用與匯入批次復原相同的規則（只有這次讓某一天新轉負、或跌破原本最低點才要求確認）。開發者依裁定開立本張並於 R15 修正（d8efc07），待複驗。
驗證者 R15（2026-10-03，d8efc07）依 Owner 2026-10-02 裁定 A 複驗通過結案——①根因到行（cash.py:125-147 _pool_dip，H 欄；修後 :126-156 改為 caused_dip(目前帳本的逐日餘額, 變更後的逐日餘額)）；②同類：驗證者 grep 全部 negative_cash 產生處——cash.py _negative_response 的三個門（資金紀錄編輯 :717／:719、刪除 :741、換匯刪除 fx_delete_guard :360）與 replay_guard._pool_refusal :342（批次復原、公司行動費用刪除）皆為 caused_dip；出金與換匯寫入的硬擋為 new_dip（validate.py:1860、fx_import.py:184），本就只看這筆讓哪幾天變差；first_dip 已無呼叫者。黑箱另驗開發者 3 則新測試未涵蓋的兩種：跌破原本最低點仍詢問（刪 2026-01-05 入金 →「於 2026-01-12 降至 −220,000」）、刪除會擱淺後面出金的換匯仍詢問（→「自 2026-07-19 起為負，最低於 2026-07-20 降至 −205,000」）；③變異（驗證者自做 7 組，乾淨 worktree，基準 92 passed）：三門改回回報任何負值 → 10 failed、改用硬擋的 new_dip → 1、caused_dip 只留「低於舊最低點」→ 5、只留「新轉負」→ 3、只改換匯刪除門 → 1、只改刪除門 → 3、只改編輯門 → 6；④黑箱：A-11C 29／29（刪除嘉信 TWD 出金 → 只跳一般刪除確認、DELETE 200；入金改小到 07-19 起轉負 → 422「自 2026-07-19 起為負，最低於 2026-07-20 降至 −105,000」，不提 2026-01-12）；本機（demo 嘉信 TWD 池逐列複製）同一組情境在修正前 c9a44ac 重現原缺陷 10 處、d8efc07 17／17 符合逐日推算；J 組全過</t>
        </is>
      </c>
    </row>
    <row r="95" ht="15" customHeight="1" s="43">
      <c r="A95" s="61" t="inlineStr">
        <is>
          <t>DEF-093</t>
        </is>
      </c>
      <c r="B95" s="61" t="inlineStr">
        <is>
          <t>A-13</t>
        </is>
      </c>
      <c r="C95" s="60" t="inlineStr">
        <is>
          <t>換匯的編輯門只檢查換出池（硬擋），換入池因編輯而減少時完全不檢查——把換入金額改小可讓之後某幾天轉負而不經任何確認；同一筆的刪除則會要求確認</t>
        </is>
      </c>
      <c r="D95" s="60" t="inlineStr">
        <is>
          <t>低</t>
        </is>
      </c>
      <c r="E95" s="60" t="inlineStr">
        <is>
          <t>規格未定</t>
        </is>
      </c>
      <c r="F95" s="61" t="inlineStr">
        <is>
          <t>R15</t>
        </is>
      </c>
      <c r="G95" s="60" t="inlineStr">
        <is>
          <t>demo（d8efc07）嘉信 2026-07-18 換匯 USD 10,000 → TWD 319,000，07-19 出金 400,000。交易帳本 › 換匯 › 編輯，把換入金額改成 1,000 → PUT 200、沒有任何對話框，嘉信 TWD 07-19／07-20 變成 −199,000／−204,000（驗證者已改回並刪除）；同一筆按刪除則 422「自 2026-07-19 起為負，最低於 2026-07-20 降至 −205,000」。c9a44ac 同樣如此，非回歸。</t>
        </is>
      </c>
      <c r="H95" s="61" t="inlineStr">
        <is>
          <t>portfolio_dash/api/routers/ledgers.py:825 edit_fx 只在 :854 呼叫 `fx_change_guard`，而 portfolio_dash/api/routers/cash.py:283 fx_change_guard 的餘額檢查（:331 fx_balance_issues）只看換出池（硬擋，FU-D34）；換入池因編輯而減少（換入金額改小、日期延後、換帳戶或幣別）沒有任何檢查，:860 直接 update_fx_conversion。同一筆的刪除門 fx_delete_guard 則兩池都查</t>
        </is>
      </c>
      <c r="I95" s="60" t="inlineStr">
        <is>
          <t>待複驗</t>
        </is>
      </c>
      <c r="J95" s="61" t="n"/>
      <c r="K95" s="60" t="inlineStr">
        <is>
          <t>驗證者 R15 觀察（交接紀錄第 39 列附註①，未開單）。Owner 2026-10-03 在對話中裁定 A：比照刪除，編輯換匯時對受影響的每個池用相同的可確認規則（這次讓某一天新轉負、或跌破原本最低點才要求確認，確認後可強制寫入）；換出池維持硬擋。開發者依裁定開立本張並於 R16 修正（d9f1c68），待複驗。</t>
        </is>
      </c>
    </row>
  </sheetData>
  <dataValidations count="4">
    <dataValidation sqref="D3:D200" showDropDown="0" showInputMessage="0" showErrorMessage="0" allowBlank="1" type="list" errorStyle="stop" operator="between">
      <formula1>"高,中,低"</formula1>
      <formula2>0</formula2>
    </dataValidation>
    <dataValidation sqref="E3:E20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20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200 J3:J200" showDropDown="0" showInputMessage="0" showErrorMessage="0" allowBlank="1" type="list" errorStyle="stop" operator="between">
      <formula1>"R1,R2,R3,R4,R5,R6,R7,R8,R9,R10,R11,R12,R13,R14,R15,R16"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1" customWidth="1" style="42" min="3" max="4"/>
    <col width="16" customWidth="1" style="42" min="5" max="5"/>
    <col width="32" customWidth="1" style="42" min="6" max="6"/>
    <col width="34" customWidth="1" style="42" min="7" max="7"/>
    <col width="40" customWidth="1" style="42" min="8" max="8"/>
    <col width="22" customWidth="1" style="42" min="9" max="9"/>
    <col width="32" customWidth="1" style="42" min="10" max="10"/>
    <col width="18" customWidth="1" style="42" min="11" max="11"/>
    <col width="26" customWidth="1" style="42" min="12" max="12"/>
    <col width="32" customWidth="1" style="42" min="13" max="13"/>
    <col width="46" customWidth="1" style="42" min="14" max="14"/>
    <col width="38" customWidth="1" style="42" min="15" max="15"/>
    <col width="12" customWidth="1" style="42" min="16" max="16"/>
    <col width="26" customWidth="1" style="42" min="17" max="17"/>
    <col width="16" customWidth="1" style="42" min="18" max="18"/>
  </cols>
  <sheetData>
    <row r="1" ht="15" customHeight="1" s="43">
      <c r="A1" s="62" t="inlineStr">
        <is>
          <t>左半（橘）由修復方填，右半（藍）由檢驗方填。一列 = 一輪；複驗未過就再加一列，輪次 +1</t>
        </is>
      </c>
    </row>
    <row r="2" ht="31.5" customHeight="1" s="43">
      <c r="A2" s="51" t="inlineStr">
        <is>
          <t>輪次</t>
        </is>
      </c>
      <c r="B2" s="51" t="inlineStr">
        <is>
          <t>缺陷 ID</t>
        </is>
      </c>
      <c r="C2" s="51" t="inlineStr">
        <is>
          <t>關聯案例</t>
        </is>
      </c>
      <c r="D2" s="51" t="inlineStr">
        <is>
          <t>日期</t>
        </is>
      </c>
      <c r="E2" s="63" t="inlineStr">
        <is>
          <t>【修】問題判定</t>
        </is>
      </c>
      <c r="F2" s="63" t="inlineStr">
        <is>
          <t>【修】根因（檔案:行）</t>
        </is>
      </c>
      <c r="G2" s="63" t="inlineStr">
        <is>
          <t>【修】為何沒被攔到（防線盲點）</t>
        </is>
      </c>
      <c r="H2" s="63" t="inlineStr">
        <is>
          <t>【修】修法（含同類掃描結果）</t>
        </is>
      </c>
      <c r="I2" s="63" t="inlineStr">
        <is>
          <t>【修】同類掃描數字（共N／修M／白名單K）</t>
        </is>
      </c>
      <c r="J2" s="63" t="inlineStr">
        <is>
          <t>【修】測試與變異測試</t>
        </is>
      </c>
      <c r="K2" s="63" t="inlineStr">
        <is>
          <t>【修】commit・部署版本</t>
        </is>
      </c>
      <c r="L2" s="63" t="inlineStr">
        <is>
          <t>【修】自檢證據</t>
        </is>
      </c>
      <c r="M2" s="64" t="inlineStr">
        <is>
          <t>【驗】複驗方式（真實瀏覽器黑箱）</t>
        </is>
      </c>
      <c r="N2" s="64" t="inlineStr">
        <is>
          <t>【驗】判讀邏輯（觀察→假設→排除→定位→判定）</t>
        </is>
      </c>
      <c r="O2" s="64" t="inlineStr">
        <is>
          <t>【驗】實測結果（含數字）</t>
        </is>
      </c>
      <c r="P2" s="64" t="inlineStr">
        <is>
          <t>【驗】判定</t>
        </is>
      </c>
      <c r="Q2" s="64" t="inlineStr">
        <is>
          <t>【驗】未解／新增問題</t>
        </is>
      </c>
      <c r="R2" s="64" t="inlineStr">
        <is>
          <t>【驗】執行人・日期</t>
        </is>
      </c>
    </row>
    <row r="3" ht="86.25" customHeight="1" s="43">
      <c r="A3" s="53" t="inlineStr">
        <is>
          <t>R1</t>
        </is>
      </c>
      <c r="B3" s="53" t="inlineStr">
        <is>
          <t>DEF-範例</t>
        </is>
      </c>
      <c r="C3" s="53" t="inlineStr">
        <is>
          <t>B-15</t>
        </is>
      </c>
      <c r="D3" s="53" t="inlineStr">
        <is>
          <t>2026-09-22</t>
        </is>
      </c>
      <c r="E3" s="52" t="inlineStr">
        <is>
          <t>—（本輪由檢驗方發現）</t>
        </is>
      </c>
      <c r="F3" s="53" t="inlineStr">
        <is>
          <t>—</t>
        </is>
      </c>
      <c r="G3" s="53" t="inlineStr">
        <is>
          <t>—</t>
        </is>
      </c>
      <c r="H3" s="53" t="inlineStr">
        <is>
          <t>—</t>
        </is>
      </c>
      <c r="I3" s="53" t="inlineStr">
        <is>
          <t>—</t>
        </is>
      </c>
      <c r="J3" s="53" t="inlineStr">
        <is>
          <t>—</t>
        </is>
      </c>
      <c r="K3" s="53" t="inlineStr">
        <is>
          <t>—</t>
        </is>
      </c>
      <c r="L3" s="53" t="inlineStr">
        <is>
          <t>—</t>
        </is>
      </c>
      <c r="M3" s="52" t="inlineStr">
        <is>
          <t>真實瀏覽器走到該下拉，讀 option 文字；同頁六個帳戶下拉一起比對</t>
        </is>
      </c>
      <c r="N3" s="52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3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3" t="inlineStr">
        <is>
          <t>FAIL</t>
        </is>
      </c>
      <c r="Q3" s="52" t="inlineStr">
        <is>
          <t>開 DEF-範例；同時要問：守門測試為何是綠的</t>
        </is>
      </c>
      <c r="R3" s="52" t="inlineStr">
        <is>
          <t>檢驗方 2026-09-22</t>
        </is>
      </c>
    </row>
    <row r="4" ht="86.25" customHeight="1" s="43">
      <c r="A4" s="53" t="inlineStr">
        <is>
          <t>R2</t>
        </is>
      </c>
      <c r="B4" s="53" t="inlineStr">
        <is>
          <t>DEF-範例</t>
        </is>
      </c>
      <c r="C4" s="53" t="inlineStr">
        <is>
          <t>B-15</t>
        </is>
      </c>
      <c r="D4" s="53" t="inlineStr">
        <is>
          <t>2026-09-22</t>
        </is>
      </c>
      <c r="E4" s="52" t="inlineStr">
        <is>
          <t>同意根因</t>
        </is>
      </c>
      <c r="F4" s="53" t="inlineStr">
        <is>
          <t>web/broker-import.js:498（帳戶下拉）、:492（券商下拉硬編碼＋raw id fallback）</t>
        </is>
      </c>
      <c r="G4" s="52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3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2" t="inlineStr">
        <is>
          <t>全 web/*.js 共 6 個帳戶下拉；1 處違規已修，其餘 5 處本來就合規；白名單 0</t>
        </is>
      </c>
      <c r="J4" s="52" t="inlineStr">
        <is>
          <t>變異測試：把 :498 改回舊寫法 → 3 則測試失敗並點名 broker-import.js；改回來 → 全過</t>
        </is>
      </c>
      <c r="K4" s="53" t="inlineStr">
        <is>
          <t>755c88a（已部署 demo）</t>
        </is>
      </c>
      <c r="L4" s="53" t="inlineStr">
        <is>
          <t>ruff clean・mypy --strict 798 檔 0 問題・pytest 非 e2e 5,217 passed／2 skipped</t>
        </is>
      </c>
      <c r="M4" s="52" t="inlineStr">
        <is>
          <t>重放 R1 的原始步驟（同一條使用者路徑），再把六個帳戶下拉逐字比對；另把兩支守門測試取回獨立執行並自行做一次變異測試</t>
        </is>
      </c>
      <c r="N4" s="52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2" t="inlineStr">
        <is>
          <t>六個下拉逐字一致（含 bk-account）；券商下拉為「嘉信 Schwab」；變異測試重現：改回舊寫法 → 3 則失敗、訊息點名該檔</t>
        </is>
      </c>
      <c r="P4" s="52" t="inlineStr">
        <is>
          <t>複驗通過 → 結案</t>
        </is>
      </c>
      <c r="Q4" s="52" t="inlineStr">
        <is>
          <t>無</t>
        </is>
      </c>
      <c r="R4" s="52" t="inlineStr">
        <is>
          <t>檢驗方 2026-09-22</t>
        </is>
      </c>
    </row>
    <row r="5" ht="15" customHeight="1" s="43">
      <c r="A5" s="61" t="inlineStr">
        <is>
          <t>R1</t>
        </is>
      </c>
      <c r="B5" s="61" t="inlineStr">
        <is>
          <t>DEF-001</t>
        </is>
      </c>
      <c r="C5" s="61" t="inlineStr">
        <is>
          <t>I-03</t>
        </is>
      </c>
      <c r="D5" s="61" t="inlineStr">
        <is>
          <t>2026-09-23</t>
        </is>
      </c>
      <c r="E5" s="65" t="inlineStr">
        <is>
          <t>—（本輪由檢驗方發現）</t>
        </is>
      </c>
      <c r="F5" s="66" t="inlineStr">
        <is>
          <t>—</t>
        </is>
      </c>
      <c r="G5" s="66" t="inlineStr">
        <is>
          <t>—</t>
        </is>
      </c>
      <c r="H5" s="66" t="inlineStr">
        <is>
          <t>—</t>
        </is>
      </c>
      <c r="I5" s="66" t="inlineStr">
        <is>
          <t>—</t>
        </is>
      </c>
      <c r="J5" s="66" t="inlineStr">
        <is>
          <t>—</t>
        </is>
      </c>
      <c r="K5" s="66" t="inlineStr">
        <is>
          <t>—</t>
        </is>
      </c>
      <c r="L5" s="66" t="inlineStr">
        <is>
          <t>—</t>
        </is>
      </c>
      <c r="M5" s="6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7" t="inlineStr">
        <is>
          <t>對帳欄 TWD 36804.55597014925373134328360 vs 儀表板 42004.55597014925373134328360（差 5200.0000）；USD 兩邊皆 97.300573928633231474982722（相符）</t>
        </is>
      </c>
      <c r="P5" s="68" t="inlineStr">
        <is>
          <t>FAIL</t>
        </is>
      </c>
      <c r="Q5" s="6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7" t="inlineStr">
        <is>
          <t>檢驗方 2026-09-23</t>
        </is>
      </c>
    </row>
    <row r="6" ht="15" customHeight="1" s="43">
      <c r="A6" s="61" t="inlineStr">
        <is>
          <t>R1</t>
        </is>
      </c>
      <c r="B6" s="61" t="inlineStr">
        <is>
          <t>DEF-002</t>
        </is>
      </c>
      <c r="C6" s="61" t="inlineStr">
        <is>
          <t>J-05</t>
        </is>
      </c>
      <c r="D6" s="61" t="inlineStr">
        <is>
          <t>2026-09-23</t>
        </is>
      </c>
      <c r="E6" s="65" t="inlineStr">
        <is>
          <t>—（本輪由檢驗方發現）</t>
        </is>
      </c>
      <c r="F6" s="66" t="inlineStr">
        <is>
          <t>—</t>
        </is>
      </c>
      <c r="G6" s="66" t="inlineStr">
        <is>
          <t>—</t>
        </is>
      </c>
      <c r="H6" s="66" t="inlineStr">
        <is>
          <t>—</t>
        </is>
      </c>
      <c r="I6" s="66" t="inlineStr">
        <is>
          <t>—</t>
        </is>
      </c>
      <c r="J6" s="66" t="inlineStr">
        <is>
          <t>—</t>
        </is>
      </c>
      <c r="K6" s="66" t="inlineStr">
        <is>
          <t>—</t>
        </is>
      </c>
      <c r="L6" s="66" t="inlineStr">
        <is>
          <t>—</t>
        </is>
      </c>
      <c r="M6" s="6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7" t="inlineStr">
        <is>
          <t>展開前 scrollWidth 390；展開後 3,673（viewport 390）；11 張表寬 1780／3073／660／707／617／986／1510／747／768／3652／775 px</t>
        </is>
      </c>
      <c r="P6" s="68" t="inlineStr">
        <is>
          <t>FAIL</t>
        </is>
      </c>
      <c r="Q6" s="67" t="inlineStr">
        <is>
          <t>開 DEF-002；請一併掃描其他未包 .table-wrap 的 table（同類），不要只修這一處</t>
        </is>
      </c>
      <c r="R6" s="67" t="inlineStr">
        <is>
          <t>檢驗方 2026-09-23</t>
        </is>
      </c>
    </row>
    <row r="7" ht="15" customHeight="1" s="43">
      <c r="A7" s="61" t="inlineStr">
        <is>
          <t>R1</t>
        </is>
      </c>
      <c r="B7" s="61" t="inlineStr">
        <is>
          <t>DEF-003</t>
        </is>
      </c>
      <c r="C7" s="61" t="inlineStr">
        <is>
          <t>G-06</t>
        </is>
      </c>
      <c r="D7" s="61" t="inlineStr">
        <is>
          <t>2026-09-23</t>
        </is>
      </c>
      <c r="E7" s="65" t="inlineStr">
        <is>
          <t>—（本輪由檢驗方發現）</t>
        </is>
      </c>
      <c r="F7" s="66" t="inlineStr">
        <is>
          <t>—</t>
        </is>
      </c>
      <c r="G7" s="66" t="inlineStr">
        <is>
          <t>—</t>
        </is>
      </c>
      <c r="H7" s="66" t="inlineStr">
        <is>
          <t>—</t>
        </is>
      </c>
      <c r="I7" s="66" t="inlineStr">
        <is>
          <t>—</t>
        </is>
      </c>
      <c r="J7" s="66" t="inlineStr">
        <is>
          <t>—</t>
        </is>
      </c>
      <c r="K7" s="66" t="inlineStr">
        <is>
          <t>—</t>
        </is>
      </c>
      <c r="L7" s="66" t="inlineStr">
        <is>
          <t>—</t>
        </is>
      </c>
      <c r="M7" s="67" t="inlineStr">
        <is>
          <t>真實瀏覽器讀 AI 洞察各分頁卡片的信心 chip 文字與 title；以 GET /api/insights?limit=500 逐卡比對 prediction／confidence 欄位</t>
        </is>
      </c>
      <c r="N7" s="6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8" t="inlineStr">
        <is>
          <t>prediction=null 40 張：confidence=null 15 張（顯示純描述）、confidence 有值 25 張（顯示信心 N%）；prediction 有值但 confidence=null 0 張</t>
        </is>
      </c>
      <c r="P7" s="67" t="inlineStr">
        <is>
          <t>待裁定</t>
        </is>
      </c>
      <c r="Q7" s="67" t="inlineStr">
        <is>
          <t>開 DEF-003；請 owner 裁定：無 prediction 的卡是否仍顯示信心值</t>
        </is>
      </c>
      <c r="R7" s="67" t="inlineStr">
        <is>
          <t>檢驗方 2026-09-23</t>
        </is>
      </c>
    </row>
    <row r="8" ht="15" customHeight="1" s="43">
      <c r="A8" s="61" t="inlineStr">
        <is>
          <t>R1</t>
        </is>
      </c>
      <c r="B8" s="61" t="inlineStr">
        <is>
          <t>DEF-004</t>
        </is>
      </c>
      <c r="C8" s="61" t="inlineStr">
        <is>
          <t>I-04</t>
        </is>
      </c>
      <c r="D8" s="61" t="inlineStr">
        <is>
          <t>2026-09-23</t>
        </is>
      </c>
      <c r="E8" s="65" t="inlineStr">
        <is>
          <t>—（本輪由檢驗方發現）</t>
        </is>
      </c>
      <c r="F8" s="66" t="inlineStr">
        <is>
          <t>—</t>
        </is>
      </c>
      <c r="G8" s="66" t="inlineStr">
        <is>
          <t>—</t>
        </is>
      </c>
      <c r="H8" s="66" t="inlineStr">
        <is>
          <t>—</t>
        </is>
      </c>
      <c r="I8" s="66" t="inlineStr">
        <is>
          <t>—</t>
        </is>
      </c>
      <c r="J8" s="66" t="inlineStr">
        <is>
          <t>—</t>
        </is>
      </c>
      <c r="K8" s="66" t="inlineStr">
        <is>
          <t>—</t>
        </is>
      </c>
      <c r="L8" s="66" t="inlineStr">
        <is>
          <t>—</t>
        </is>
      </c>
      <c r="M8" s="67" t="inlineStr">
        <is>
          <t>真實瀏覽器 CSV 匯入頁，六類範本逐一下載後原文貼回，讀預覽表 &lt;tr&gt; 文字，並對照 POST /api/import/preview 回應 rows[].data</t>
        </is>
      </c>
      <c r="N8" s="6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7" t="inlineStr">
        <is>
          <t>資金 7 列、股利 2 列、換匯 2 列、期初 2 列、公司行動 3 列：金額／比例欄 0 列有顯示；期初列日期 2/2 顯示「—」</t>
        </is>
      </c>
      <c r="P8" s="68" t="inlineStr">
        <is>
          <t>FAIL</t>
        </is>
      </c>
      <c r="Q8" s="67" t="inlineStr">
        <is>
          <t>開 DEF-004；請一併檢查券商對帳單轉換報告的預覽欄位是否同樣只為交易設計</t>
        </is>
      </c>
      <c r="R8" s="67" t="inlineStr">
        <is>
          <t>檢驗方 2026-09-23</t>
        </is>
      </c>
    </row>
    <row r="9" ht="15" customHeight="1" s="43">
      <c r="A9" s="61" t="inlineStr">
        <is>
          <t>R1</t>
        </is>
      </c>
      <c r="B9" s="61" t="inlineStr">
        <is>
          <t>DEF-005</t>
        </is>
      </c>
      <c r="C9" s="61" t="inlineStr">
        <is>
          <t>D-02</t>
        </is>
      </c>
      <c r="D9" s="61" t="inlineStr">
        <is>
          <t>2026-09-23</t>
        </is>
      </c>
      <c r="E9" s="65" t="inlineStr">
        <is>
          <t>—（本輪由檢驗方發現）</t>
        </is>
      </c>
      <c r="F9" s="66" t="inlineStr">
        <is>
          <t>—</t>
        </is>
      </c>
      <c r="G9" s="66" t="inlineStr">
        <is>
          <t>—</t>
        </is>
      </c>
      <c r="H9" s="66" t="inlineStr">
        <is>
          <t>—</t>
        </is>
      </c>
      <c r="I9" s="66" t="inlineStr">
        <is>
          <t>—</t>
        </is>
      </c>
      <c r="J9" s="66" t="inlineStr">
        <is>
          <t>—</t>
        </is>
      </c>
      <c r="K9" s="66" t="inlineStr">
        <is>
          <t>—</t>
        </is>
      </c>
      <c r="L9" s="66" t="inlineStr">
        <is>
          <t>—</t>
        </is>
      </c>
      <c r="M9" s="6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7" t="inlineStr">
        <is>
          <t>輸入 1.5 → 欄位 15；試算 100 股→20 股、均價 93.20→466.00；登錄鈕 enabled；0 筆寫入（測畢取消）</t>
        </is>
      </c>
      <c r="P9" s="68" t="inlineStr">
        <is>
          <t>FAIL</t>
        </is>
      </c>
      <c r="Q9" s="67" t="inlineStr">
        <is>
          <t>開 DEF-005；請掃描所有會「清洗」數字輸入的欄位（同類：replace(/[^0-9]/g) 等），確認沒有其他把小數悄悄改成整數的地方</t>
        </is>
      </c>
      <c r="R9" s="67" t="inlineStr">
        <is>
          <t>檢驗方 2026-09-23</t>
        </is>
      </c>
    </row>
    <row r="10" ht="15" customHeight="1" s="43">
      <c r="A10" s="61" t="inlineStr">
        <is>
          <t>R1</t>
        </is>
      </c>
      <c r="B10" s="61" t="inlineStr">
        <is>
          <t>DEF-006</t>
        </is>
      </c>
      <c r="C10" s="61" t="inlineStr">
        <is>
          <t>A-01</t>
        </is>
      </c>
      <c r="D10" s="61" t="inlineStr">
        <is>
          <t>2026-09-23</t>
        </is>
      </c>
      <c r="E10" s="65" t="inlineStr">
        <is>
          <t>—（本輪由檢驗方發現）</t>
        </is>
      </c>
      <c r="F10" s="66" t="inlineStr">
        <is>
          <t>—</t>
        </is>
      </c>
      <c r="G10" s="66" t="inlineStr">
        <is>
          <t>—</t>
        </is>
      </c>
      <c r="H10" s="66" t="inlineStr">
        <is>
          <t>—</t>
        </is>
      </c>
      <c r="I10" s="66" t="inlineStr">
        <is>
          <t>—</t>
        </is>
      </c>
      <c r="J10" s="66" t="inlineStr">
        <is>
          <t>—</t>
        </is>
      </c>
      <c r="K10" s="66" t="inlineStr">
        <is>
          <t>—</t>
        </is>
      </c>
      <c r="L10" s="66" t="inlineStr">
        <is>
          <t>—</t>
        </is>
      </c>
      <c r="M10" s="67" t="inlineStr">
        <is>
          <t>真實瀏覽器讀每種方向 chip 的 className 與 getComputedStyle 背景／文字色</t>
        </is>
      </c>
      <c r="N10" s="6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7" t="inlineStr">
        <is>
          <t>入金／折讓款：實心灰；出金：外框灰；無綠／紅色</t>
        </is>
      </c>
      <c r="P10" s="67" t="inlineStr">
        <is>
          <t>待裁定</t>
        </is>
      </c>
      <c r="Q10" s="67" t="inlineStr">
        <is>
          <t>開 DEF-006；請 owner 裁定：改手冊期望（中性色）或改 CSS（綠／扣款色）</t>
        </is>
      </c>
      <c r="R10" s="67" t="inlineStr">
        <is>
          <t>檢驗方 2026-09-23</t>
        </is>
      </c>
    </row>
    <row r="11" ht="15" customHeight="1" s="43">
      <c r="A11" s="61" t="inlineStr">
        <is>
          <t>R1</t>
        </is>
      </c>
      <c r="B11" s="61" t="inlineStr">
        <is>
          <t>DEF-007</t>
        </is>
      </c>
      <c r="C11" s="61" t="inlineStr">
        <is>
          <t>A-02</t>
        </is>
      </c>
      <c r="D11" s="61" t="inlineStr">
        <is>
          <t>2026-09-23</t>
        </is>
      </c>
      <c r="E11" s="65" t="inlineStr">
        <is>
          <t>—（本輪由檢驗方發現）</t>
        </is>
      </c>
      <c r="F11" s="66" t="inlineStr">
        <is>
          <t>—</t>
        </is>
      </c>
      <c r="G11" s="66" t="inlineStr">
        <is>
          <t>—</t>
        </is>
      </c>
      <c r="H11" s="66" t="inlineStr">
        <is>
          <t>—</t>
        </is>
      </c>
      <c r="I11" s="66" t="inlineStr">
        <is>
          <t>—</t>
        </is>
      </c>
      <c r="J11" s="66" t="inlineStr">
        <is>
          <t>—</t>
        </is>
      </c>
      <c r="K11" s="66" t="inlineStr">
        <is>
          <t>—</t>
        </is>
      </c>
      <c r="L11" s="66" t="inlineStr">
        <is>
          <t>—</t>
        </is>
      </c>
      <c r="M11" s="6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7" t="inlineStr">
        <is>
          <t>快速：acq_home_amount 31699（錯）；放慢：31500（對）；提示「參考值：2026-09-23 收盤」vs API as_of 2026-09-22</t>
        </is>
      </c>
      <c r="P11" s="68" t="inlineStr">
        <is>
          <t>FAIL</t>
        </is>
      </c>
      <c r="Q11" s="67" t="inlineStr">
        <is>
          <t>開 DEF-007；同類：換匯中心 fx-estimate 自動回填（web/cash.js:1172 起）是否也會蓋掉使用者手動輸入，請一併掃描</t>
        </is>
      </c>
      <c r="R11" s="67" t="inlineStr">
        <is>
          <t>檢驗方 2026-09-23</t>
        </is>
      </c>
    </row>
    <row r="12" ht="15" customHeight="1" s="43">
      <c r="A12" s="61" t="inlineStr">
        <is>
          <t>R1</t>
        </is>
      </c>
      <c r="B12" s="61" t="inlineStr">
        <is>
          <t>DEF-008</t>
        </is>
      </c>
      <c r="C12" s="61" t="inlineStr">
        <is>
          <t>A-05</t>
        </is>
      </c>
      <c r="D12" s="61" t="inlineStr">
        <is>
          <t>2026-09-23</t>
        </is>
      </c>
      <c r="E12" s="65" t="inlineStr">
        <is>
          <t>—（本輪由檢驗方發現）</t>
        </is>
      </c>
      <c r="F12" s="66" t="inlineStr">
        <is>
          <t>—</t>
        </is>
      </c>
      <c r="G12" s="66" t="inlineStr">
        <is>
          <t>—</t>
        </is>
      </c>
      <c r="H12" s="66" t="inlineStr">
        <is>
          <t>—</t>
        </is>
      </c>
      <c r="I12" s="66" t="inlineStr">
        <is>
          <t>—</t>
        </is>
      </c>
      <c r="J12" s="66" t="inlineStr">
        <is>
          <t>—</t>
        </is>
      </c>
      <c r="K12" s="66" t="inlineStr">
        <is>
          <t>—</t>
        </is>
      </c>
      <c r="L12" s="66" t="inlineStr">
        <is>
          <t>—</t>
        </is>
      </c>
      <c r="M12" s="67" t="inlineStr">
        <is>
          <t>真實瀏覽器操作出金表單（A-06 路徑）＋對當日透支以相同本文直送 API（前端已擋，只用來看後端訊息），讀 422 回應與 toast 文字</t>
        </is>
      </c>
      <c r="N12" s="6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7" t="inlineStr">
        <is>
          <t>當日分支：無日期；兩分支皆「TW Broker」；toast 附 withdraw_insufficient_balance／validation_error</t>
        </is>
      </c>
      <c r="P12" s="68" t="inlineStr">
        <is>
          <t>FAIL</t>
        </is>
      </c>
      <c r="Q12" s="67" t="inlineStr">
        <is>
          <t>開 DEF-008；同類掃描：後端所有使用者可見訊息中直接引用 accounts.name 的地方；toast 是否應顯示錯誤碼</t>
        </is>
      </c>
      <c r="R12" s="67" t="inlineStr">
        <is>
          <t>檢驗方 2026-09-23</t>
        </is>
      </c>
    </row>
    <row r="13" ht="15" customHeight="1" s="43">
      <c r="A13" s="61" t="inlineStr">
        <is>
          <t>R1</t>
        </is>
      </c>
      <c r="B13" s="61" t="inlineStr">
        <is>
          <t>DEF-009</t>
        </is>
      </c>
      <c r="C13" s="61" t="inlineStr">
        <is>
          <t>A-11</t>
        </is>
      </c>
      <c r="D13" s="61" t="inlineStr">
        <is>
          <t>2026-09-23</t>
        </is>
      </c>
      <c r="E13" s="65" t="inlineStr">
        <is>
          <t>—（本輪由檢驗方發現）</t>
        </is>
      </c>
      <c r="F13" s="66" t="inlineStr">
        <is>
          <t>—</t>
        </is>
      </c>
      <c r="G13" s="66" t="inlineStr">
        <is>
          <t>—</t>
        </is>
      </c>
      <c r="H13" s="66" t="inlineStr">
        <is>
          <t>—</t>
        </is>
      </c>
      <c r="I13" s="66" t="inlineStr">
        <is>
          <t>—</t>
        </is>
      </c>
      <c r="J13" s="66" t="inlineStr">
        <is>
          <t>—</t>
        </is>
      </c>
      <c r="K13" s="66" t="inlineStr">
        <is>
          <t>—</t>
        </is>
      </c>
      <c r="L13" s="66" t="inlineStr">
        <is>
          <t>—</t>
        </is>
      </c>
      <c r="M13" s="67" t="inlineStr">
        <is>
          <t>真實瀏覽器點折讓款列的編輯，讀對話框欄位 disabled 狀態與說明文字（未儲存）</t>
        </is>
      </c>
      <c r="N13" s="6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7" t="inlineStr">
        <is>
          <t>日期／類型／備註 disabled；金額 enabled；儲存鈕可按</t>
        </is>
      </c>
      <c r="P13" s="67" t="inlineStr">
        <is>
          <t>待裁定</t>
        </is>
      </c>
      <c r="Q13" s="67" t="inlineStr">
        <is>
          <t>開 DEF-009；請 owner 裁定：折讓款金額能否在資金收支直接修改，或只能從收件匣復原後重新確認</t>
        </is>
      </c>
      <c r="R13" s="67" t="inlineStr">
        <is>
          <t>檢驗方 2026-09-23</t>
        </is>
      </c>
    </row>
    <row r="14" ht="15" customHeight="1" s="43">
      <c r="A14" s="61" t="inlineStr">
        <is>
          <t>R1</t>
        </is>
      </c>
      <c r="B14" s="61" t="inlineStr">
        <is>
          <t>DEF-010</t>
        </is>
      </c>
      <c r="C14" s="61" t="inlineStr">
        <is>
          <t>B-16</t>
        </is>
      </c>
      <c r="D14" s="61" t="inlineStr">
        <is>
          <t>2026-09-23</t>
        </is>
      </c>
      <c r="E14" s="65" t="inlineStr">
        <is>
          <t>—（本輪由檢驗方發現）</t>
        </is>
      </c>
      <c r="F14" s="66" t="inlineStr">
        <is>
          <t>—</t>
        </is>
      </c>
      <c r="G14" s="66" t="inlineStr">
        <is>
          <t>—</t>
        </is>
      </c>
      <c r="H14" s="66" t="inlineStr">
        <is>
          <t>—</t>
        </is>
      </c>
      <c r="I14" s="66" t="inlineStr">
        <is>
          <t>—</t>
        </is>
      </c>
      <c r="J14" s="66" t="inlineStr">
        <is>
          <t>—</t>
        </is>
      </c>
      <c r="K14" s="66" t="inlineStr">
        <is>
          <t>—</t>
        </is>
      </c>
      <c r="L14" s="66" t="inlineStr">
        <is>
          <t>—</t>
        </is>
      </c>
      <c r="M14" s="67" t="inlineStr">
        <is>
          <t>以 GET /api/ledgers/transactions 讀每筆 fee_snapshot，對照 GET /api/rebates 各月 trades 的 expected</t>
        </is>
      </c>
      <c r="N14" s="6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8" t="inlineStr">
        <is>
          <t>8 筆 discount=0.23 交易計入預估：2026-02 月 2×153、2026-06 月 2×30、2026-07 月 322＋219＋32＋341</t>
        </is>
      </c>
      <c r="P14" s="67" t="inlineStr">
        <is>
          <t>待裁定</t>
        </is>
      </c>
      <c r="Q14" s="67" t="inlineStr">
        <is>
          <t>開 DEF-010；請 owner 裁定：清理這批快照，或讓預估器略過 discount&lt;1 的交易</t>
        </is>
      </c>
      <c r="R14" s="67" t="inlineStr">
        <is>
          <t>檢驗方 2026-09-23</t>
        </is>
      </c>
    </row>
    <row r="15" ht="15" customHeight="1" s="43">
      <c r="A15" s="61" t="inlineStr">
        <is>
          <t>R1</t>
        </is>
      </c>
      <c r="B15" s="61" t="inlineStr">
        <is>
          <t>DEF-011</t>
        </is>
      </c>
      <c r="C15" s="61" t="inlineStr">
        <is>
          <t>A-16</t>
        </is>
      </c>
      <c r="D15" s="61" t="inlineStr">
        <is>
          <t>2026-09-23</t>
        </is>
      </c>
      <c r="E15" s="65" t="inlineStr">
        <is>
          <t>—（本輪由檢驗方發現）</t>
        </is>
      </c>
      <c r="F15" s="66" t="inlineStr">
        <is>
          <t>—</t>
        </is>
      </c>
      <c r="G15" s="66" t="inlineStr">
        <is>
          <t>—</t>
        </is>
      </c>
      <c r="H15" s="66" t="inlineStr">
        <is>
          <t>—</t>
        </is>
      </c>
      <c r="I15" s="66" t="inlineStr">
        <is>
          <t>—</t>
        </is>
      </c>
      <c r="J15" s="66" t="inlineStr">
        <is>
          <t>—</t>
        </is>
      </c>
      <c r="K15" s="66" t="inlineStr">
        <is>
          <t>—</t>
        </is>
      </c>
      <c r="L15" s="66" t="inlineStr">
        <is>
          <t>—</t>
        </is>
      </c>
      <c r="M15" s="67" t="inlineStr">
        <is>
          <t>真實瀏覽器確認折讓款入帳前後各取一次 /api/dashboard kpis 逐欄比對；讀收件匣文案；測畢刪除該筆還原</t>
        </is>
      </c>
      <c r="N15" s="6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8" t="inlineStr">
        <is>
          <t>xirr +0.000657、total_return_fx_complete +620、trading_financing_cost +620；total_return 不變；文案仍寫不計入 XIRR／損益</t>
        </is>
      </c>
      <c r="P15" s="68" t="inlineStr">
        <is>
          <t>FAIL</t>
        </is>
      </c>
      <c r="Q15" s="67" t="inlineStr">
        <is>
          <t>開 DEF-011；同類：其他提到「不計入 XIRR」的文案（如 AI-D42 前寫的說明、tooltip）請一併掃描</t>
        </is>
      </c>
      <c r="R15" s="67" t="inlineStr">
        <is>
          <t>檢驗方 2026-09-23</t>
        </is>
      </c>
    </row>
    <row r="16" ht="15" customHeight="1" s="43">
      <c r="A16" s="61" t="inlineStr">
        <is>
          <t>R1</t>
        </is>
      </c>
      <c r="B16" s="61" t="inlineStr">
        <is>
          <t>DEF-012</t>
        </is>
      </c>
      <c r="C16" s="61" t="inlineStr">
        <is>
          <t>B-18</t>
        </is>
      </c>
      <c r="D16" s="61" t="inlineStr">
        <is>
          <t>2026-09-23</t>
        </is>
      </c>
      <c r="E16" s="65" t="inlineStr">
        <is>
          <t>—（本輪由檢驗方發現）</t>
        </is>
      </c>
      <c r="F16" s="66" t="inlineStr">
        <is>
          <t>—</t>
        </is>
      </c>
      <c r="G16" s="66" t="inlineStr">
        <is>
          <t>—</t>
        </is>
      </c>
      <c r="H16" s="66" t="inlineStr">
        <is>
          <t>—</t>
        </is>
      </c>
      <c r="I16" s="66" t="inlineStr">
        <is>
          <t>—</t>
        </is>
      </c>
      <c r="J16" s="66" t="inlineStr">
        <is>
          <t>—</t>
        </is>
      </c>
      <c r="K16" s="66" t="inlineStr">
        <is>
          <t>—</t>
        </is>
      </c>
      <c r="L16" s="66" t="inlineStr">
        <is>
          <t>—</t>
        </is>
      </c>
      <c r="M16" s="6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7" t="inlineStr">
        <is>
          <t>系統：cost_removed 5,690.00／realized −1,223.00／期末成本 17,070.00／均價 56.90；時間順序：6,046.67／−1,579.67／16,713.33／55.7111；差額 356.67 TWD</t>
        </is>
      </c>
      <c r="P16" s="68" t="inlineStr">
        <is>
          <t>FAIL</t>
        </is>
      </c>
      <c r="Q16" s="6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7" t="inlineStr">
        <is>
          <t>檢驗方 2026-09-23</t>
        </is>
      </c>
    </row>
    <row r="17" ht="15" customHeight="1" s="43">
      <c r="A17" s="61" t="inlineStr">
        <is>
          <t>R1</t>
        </is>
      </c>
      <c r="B17" s="61" t="inlineStr">
        <is>
          <t>DEF-013</t>
        </is>
      </c>
      <c r="C17" s="61" t="inlineStr">
        <is>
          <t>B-10</t>
        </is>
      </c>
      <c r="D17" s="61" t="inlineStr">
        <is>
          <t>2026-09-23</t>
        </is>
      </c>
      <c r="E17" s="65" t="inlineStr">
        <is>
          <t>—（本輪由檢驗方發現）</t>
        </is>
      </c>
      <c r="F17" s="66" t="inlineStr">
        <is>
          <t>—</t>
        </is>
      </c>
      <c r="G17" s="66" t="inlineStr">
        <is>
          <t>—</t>
        </is>
      </c>
      <c r="H17" s="66" t="inlineStr">
        <is>
          <t>—</t>
        </is>
      </c>
      <c r="I17" s="66" t="inlineStr">
        <is>
          <t>—</t>
        </is>
      </c>
      <c r="J17" s="66" t="inlineStr">
        <is>
          <t>—</t>
        </is>
      </c>
      <c r="K17" s="66" t="inlineStr">
        <is>
          <t>—</t>
        </is>
      </c>
      <c r="L17" s="66" t="inlineStr">
        <is>
          <t>—</t>
        </is>
      </c>
      <c r="M17" s="67" t="inlineStr">
        <is>
          <t>真實瀏覽器切換兩個 checkbox，讀 checked／disabled 狀態與 POST /api/input/manual/preview 本文與回應；檢視 web/input.js 相關邏輯</t>
        </is>
      </c>
      <c r="N17" s="6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8" t="inlineStr">
        <is>
          <t>daytrade＋short 同時送出；tax 679；0 issues；帳本列只有「賣」chip</t>
        </is>
      </c>
      <c r="P17" s="67" t="inlineStr">
        <is>
          <t>待裁定</t>
        </is>
      </c>
      <c r="Q17" s="67" t="inlineStr">
        <is>
          <t>開 DEF-013；請 owner 裁定當沖＋放空的組合規則</t>
        </is>
      </c>
      <c r="R17" s="67" t="inlineStr">
        <is>
          <t>檢驗方 2026-09-23</t>
        </is>
      </c>
    </row>
    <row r="18" ht="15" customHeight="1" s="43">
      <c r="A18" s="61" t="inlineStr">
        <is>
          <t>R1</t>
        </is>
      </c>
      <c r="B18" s="61" t="inlineStr">
        <is>
          <t>DEF-014</t>
        </is>
      </c>
      <c r="C18" s="61" t="inlineStr">
        <is>
          <t>B-17</t>
        </is>
      </c>
      <c r="D18" s="61" t="inlineStr">
        <is>
          <t>2026-09-23</t>
        </is>
      </c>
      <c r="E18" s="65" t="inlineStr">
        <is>
          <t>—（本輪由檢驗方發現）</t>
        </is>
      </c>
      <c r="F18" s="66" t="inlineStr">
        <is>
          <t>—</t>
        </is>
      </c>
      <c r="G18" s="66" t="inlineStr">
        <is>
          <t>—</t>
        </is>
      </c>
      <c r="H18" s="66" t="inlineStr">
        <is>
          <t>—</t>
        </is>
      </c>
      <c r="I18" s="66" t="inlineStr">
        <is>
          <t>—</t>
        </is>
      </c>
      <c r="J18" s="66" t="inlineStr">
        <is>
          <t>—</t>
        </is>
      </c>
      <c r="K18" s="66" t="inlineStr">
        <is>
          <t>—</t>
        </is>
      </c>
      <c r="L18" s="66" t="inlineStr">
        <is>
          <t>—</t>
        </is>
      </c>
      <c r="M18" s="67" t="inlineStr">
        <is>
          <t>真實瀏覽器手動交易表單，讀 POST /api/input/manual/preview issues 與草稿文字，實際寫入一次確認後端也接受，再刪除還原</t>
        </is>
      </c>
      <c r="N18" s="6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7" t="inlineStr">
        <is>
          <t>早於期初庫存日：issues=[]、201 寫入；未來日期：warn 並擋確認鍵</t>
        </is>
      </c>
      <c r="P18" s="68" t="inlineStr">
        <is>
          <t>FAIL</t>
        </is>
      </c>
      <c r="Q18" s="67" t="inlineStr">
        <is>
          <t>開 DEF-014；期初庫存與其建檔日之前的交易如何共存需先定規格；同類：CSV 匯入與券商對帳單匯入的日期檢核是否一致</t>
        </is>
      </c>
      <c r="R18" s="67" t="inlineStr">
        <is>
          <t>檢驗方 2026-09-23</t>
        </is>
      </c>
    </row>
    <row r="19" ht="15" customHeight="1" s="43">
      <c r="A19" s="61" t="inlineStr">
        <is>
          <t>R1</t>
        </is>
      </c>
      <c r="B19" s="61" t="inlineStr">
        <is>
          <t>DEF-015</t>
        </is>
      </c>
      <c r="C19" s="61" t="inlineStr">
        <is>
          <t>C-01</t>
        </is>
      </c>
      <c r="D19" s="61" t="inlineStr">
        <is>
          <t>2026-09-23</t>
        </is>
      </c>
      <c r="E19" s="65" t="inlineStr">
        <is>
          <t>—（本輪由檢驗方發現）</t>
        </is>
      </c>
      <c r="F19" s="66" t="inlineStr">
        <is>
          <t>—</t>
        </is>
      </c>
      <c r="G19" s="66" t="inlineStr">
        <is>
          <t>—</t>
        </is>
      </c>
      <c r="H19" s="66" t="inlineStr">
        <is>
          <t>—</t>
        </is>
      </c>
      <c r="I19" s="66" t="inlineStr">
        <is>
          <t>—</t>
        </is>
      </c>
      <c r="J19" s="66" t="inlineStr">
        <is>
          <t>—</t>
        </is>
      </c>
      <c r="K19" s="66" t="inlineStr">
        <is>
          <t>—</t>
        </is>
      </c>
      <c r="L19" s="66" t="inlineStr">
        <is>
          <t>—</t>
        </is>
      </c>
      <c r="M19" s="67" t="inlineStr">
        <is>
          <t>真實瀏覽器按「重新偵測」，讀 toast（MutationObserver 紀錄）、狀態列文字與 API 回應全文；搜尋頁面上是否有 tooltip 或展開明細</t>
        </is>
      </c>
      <c r="N19" s="6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8" t="inlineStr">
        <is>
          <t>refreshed="14 檔事件已更新，1 檔失敗"；無代號、無原因</t>
        </is>
      </c>
      <c r="P19" s="68" t="inlineStr">
        <is>
          <t>FAIL</t>
        </is>
      </c>
      <c r="Q19" s="67" t="inlineStr">
        <is>
          <t>開 DEF-015；對照 dividends_daily 的訊息會列出失敗代號（「failed: SPCX, TSLA」），兩條路徑口徑不一致</t>
        </is>
      </c>
      <c r="R19" s="67" t="inlineStr">
        <is>
          <t>檢驗方 2026-09-23</t>
        </is>
      </c>
    </row>
    <row r="20" ht="15" customHeight="1" s="43">
      <c r="A20" s="61" t="inlineStr">
        <is>
          <t>R1</t>
        </is>
      </c>
      <c r="B20" s="61" t="inlineStr">
        <is>
          <t>DEF-016</t>
        </is>
      </c>
      <c r="C20" s="61" t="inlineStr">
        <is>
          <t>C-02</t>
        </is>
      </c>
      <c r="D20" s="61" t="inlineStr">
        <is>
          <t>2026-09-23</t>
        </is>
      </c>
      <c r="E20" s="65" t="inlineStr">
        <is>
          <t>—（本輪由檢驗方發現）</t>
        </is>
      </c>
      <c r="F20" s="66" t="inlineStr">
        <is>
          <t>—</t>
        </is>
      </c>
      <c r="G20" s="66" t="inlineStr">
        <is>
          <t>—</t>
        </is>
      </c>
      <c r="H20" s="66" t="inlineStr">
        <is>
          <t>—</t>
        </is>
      </c>
      <c r="I20" s="66" t="inlineStr">
        <is>
          <t>—</t>
        </is>
      </c>
      <c r="J20" s="66" t="inlineStr">
        <is>
          <t>—</t>
        </is>
      </c>
      <c r="K20" s="66" t="inlineStr">
        <is>
          <t>—</t>
        </is>
      </c>
      <c r="L20" s="66" t="inlineStr">
        <is>
          <t>—</t>
        </is>
      </c>
      <c r="M20" s="67" t="inlineStr">
        <is>
          <t>確認前後各讀一次 /api/dashboard kpis 與 trend、/api/cash 與對帳單；再對照 portfolio_dash/portfolio/returns.py xirr_reporting 的現金流組法</t>
        </is>
      </c>
      <c r="N20" s="6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8" t="inlineStr">
        <is>
          <t>xirr 差 +0.0100；該現金流日期晚於估值日 15 天</t>
        </is>
      </c>
      <c r="P20" s="67" t="inlineStr">
        <is>
          <t>待裁定</t>
        </is>
      </c>
      <c r="Q20" s="67" t="inlineStr">
        <is>
          <t>開 DEF-016；同類：總報酬已即時認列這筆股利（調整成本已沖減），現金池要到 10-08 才入帳，三個口徑（損益／現金／XIRR）請一併定義</t>
        </is>
      </c>
      <c r="R20" s="67" t="inlineStr">
        <is>
          <t>檢驗方 2026-09-23</t>
        </is>
      </c>
    </row>
    <row r="21" ht="15" customHeight="1" s="43">
      <c r="A21" s="61" t="inlineStr">
        <is>
          <t>R1</t>
        </is>
      </c>
      <c r="B21" s="61" t="inlineStr">
        <is>
          <t>DEF-017</t>
        </is>
      </c>
      <c r="C21" s="61" t="inlineStr">
        <is>
          <t>C-04</t>
        </is>
      </c>
      <c r="D21" s="61" t="inlineStr">
        <is>
          <t>2026-09-23</t>
        </is>
      </c>
      <c r="E21" s="65" t="inlineStr">
        <is>
          <t>—（本輪由檢驗方發現）</t>
        </is>
      </c>
      <c r="F21" s="66" t="inlineStr">
        <is>
          <t>—</t>
        </is>
      </c>
      <c r="G21" s="66" t="inlineStr">
        <is>
          <t>—</t>
        </is>
      </c>
      <c r="H21" s="66" t="inlineStr">
        <is>
          <t>—</t>
        </is>
      </c>
      <c r="I21" s="66" t="inlineStr">
        <is>
          <t>—</t>
        </is>
      </c>
      <c r="J21" s="66" t="inlineStr">
        <is>
          <t>—</t>
        </is>
      </c>
      <c r="K21" s="66" t="inlineStr">
        <is>
          <t>—</t>
        </is>
      </c>
      <c r="L21" s="66" t="inlineStr">
        <is>
          <t>—</t>
        </is>
      </c>
      <c r="M21" s="67" t="inlineStr">
        <is>
          <t>真實瀏覽器股利表單寫入，記錄網路請求；刪除後讀 /api/import/batches 與畫面「最近匯入」；再以批次復原清除</t>
        </is>
      </c>
      <c r="N21" s="6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7" t="inlineStr">
        <is>
          <t>寫入後 batches 0→1；刪帳本列後仍 1；批次復原 deleted:0 後 0</t>
        </is>
      </c>
      <c r="P21" s="68" t="inlineStr">
        <is>
          <t>FAIL</t>
        </is>
      </c>
      <c r="Q21" s="67" t="inlineStr">
        <is>
          <t>開 DEF-017；同類：期初庫存表單等其他「手動」表單是否也走匯入管線</t>
        </is>
      </c>
      <c r="R21" s="67" t="inlineStr">
        <is>
          <t>檢驗方 2026-09-23</t>
        </is>
      </c>
    </row>
    <row r="22" ht="15" customHeight="1" s="43">
      <c r="A22" s="61" t="inlineStr">
        <is>
          <t>R1</t>
        </is>
      </c>
      <c r="B22" s="61" t="inlineStr">
        <is>
          <t>DEF-018</t>
        </is>
      </c>
      <c r="C22" s="61" t="inlineStr">
        <is>
          <t>C-04b</t>
        </is>
      </c>
      <c r="D22" s="61" t="inlineStr">
        <is>
          <t>2026-09-23</t>
        </is>
      </c>
      <c r="E22" s="65" t="inlineStr">
        <is>
          <t>—（本輪由檢驗方發現）</t>
        </is>
      </c>
      <c r="F22" s="66" t="inlineStr">
        <is>
          <t>—</t>
        </is>
      </c>
      <c r="G22" s="66" t="inlineStr">
        <is>
          <t>—</t>
        </is>
      </c>
      <c r="H22" s="66" t="inlineStr">
        <is>
          <t>—</t>
        </is>
      </c>
      <c r="I22" s="66" t="inlineStr">
        <is>
          <t>—</t>
        </is>
      </c>
      <c r="J22" s="66" t="inlineStr">
        <is>
          <t>—</t>
        </is>
      </c>
      <c r="K22" s="66" t="inlineStr">
        <is>
          <t>—</t>
        </is>
      </c>
      <c r="L22" s="66" t="inlineStr">
        <is>
          <t>—</t>
        </is>
      </c>
      <c r="M22" s="67" t="inlineStr">
        <is>
          <t>真實瀏覽器股利表單寫入，前後讀 /api/dashboard holdings 與 /api/cash；讀表單「套用模式」說明</t>
        </is>
      </c>
      <c r="N22" s="6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8" t="inlineStr">
        <is>
          <t>shares +0.028；original_cost 13,515→13,515；USD 池 0；total_return +296.74 TWD</t>
        </is>
      </c>
      <c r="P22" s="67" t="inlineStr">
        <is>
          <t>待裁定</t>
        </is>
      </c>
      <c r="Q22" s="67" t="inlineStr">
        <is>
          <t>開 DEF-018；若維持 $0 成本模型，請同步修訂手冊 C-04b 期望；若改為計入成本，影響既有 DRIP 列與稅務包</t>
        </is>
      </c>
      <c r="R22" s="67" t="inlineStr">
        <is>
          <t>檢驗方 2026-09-23</t>
        </is>
      </c>
    </row>
    <row r="23" ht="15" customHeight="1" s="43">
      <c r="A23" s="61" t="inlineStr">
        <is>
          <t>R1</t>
        </is>
      </c>
      <c r="B23" s="61" t="inlineStr">
        <is>
          <t>DEF-019</t>
        </is>
      </c>
      <c r="C23" s="61" t="inlineStr">
        <is>
          <t>C-04b／C-05</t>
        </is>
      </c>
      <c r="D23" s="61" t="inlineStr">
        <is>
          <t>2026-09-23</t>
        </is>
      </c>
      <c r="E23" s="65" t="inlineStr">
        <is>
          <t>—（本輪由檢驗方發現）</t>
        </is>
      </c>
      <c r="F23" s="66" t="inlineStr">
        <is>
          <t>—</t>
        </is>
      </c>
      <c r="G23" s="66" t="inlineStr">
        <is>
          <t>—</t>
        </is>
      </c>
      <c r="H23" s="66" t="inlineStr">
        <is>
          <t>—</t>
        </is>
      </c>
      <c r="I23" s="66" t="inlineStr">
        <is>
          <t>—</t>
        </is>
      </c>
      <c r="J23" s="66" t="inlineStr">
        <is>
          <t>—</t>
        </is>
      </c>
      <c r="K23" s="66" t="inlineStr">
        <is>
          <t>—</t>
        </is>
      </c>
      <c r="L23" s="66" t="inlineStr">
        <is>
          <t>—</t>
        </is>
      </c>
      <c r="M23" s="67" t="inlineStr">
        <is>
          <t>真實瀏覽器，復原後讀 .sym-picker 按鈕文字，並同時讀 /api/input/holdings、/api/dashboard 對照；記錄復原後前端重新抓取的端點</t>
        </is>
      </c>
      <c r="N23" s="6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7" t="inlineStr">
        <is>
          <t>復原後挑選清單 85.067255／158.87（應 85.039255／158.93）；重新整理頁面後正確</t>
        </is>
      </c>
      <c r="P23" s="68" t="inlineStr">
        <is>
          <t>FAIL</t>
        </is>
      </c>
      <c r="Q23" s="67" t="inlineStr">
        <is>
          <t>開 DEF-019</t>
        </is>
      </c>
      <c r="R23" s="67" t="inlineStr">
        <is>
          <t>檢驗方 2026-09-23</t>
        </is>
      </c>
    </row>
    <row r="24" ht="15" customHeight="1" s="43">
      <c r="A24" s="61" t="inlineStr">
        <is>
          <t>R1</t>
        </is>
      </c>
      <c r="B24" s="61" t="inlineStr">
        <is>
          <t>DEF-020</t>
        </is>
      </c>
      <c r="C24" s="61" t="inlineStr">
        <is>
          <t>D-10</t>
        </is>
      </c>
      <c r="D24" s="61" t="inlineStr">
        <is>
          <t>2026-09-23</t>
        </is>
      </c>
      <c r="E24" s="65" t="inlineStr">
        <is>
          <t>—（本輪由檢驗方發現）</t>
        </is>
      </c>
      <c r="F24" s="66" t="inlineStr">
        <is>
          <t>—</t>
        </is>
      </c>
      <c r="G24" s="66" t="inlineStr">
        <is>
          <t>—</t>
        </is>
      </c>
      <c r="H24" s="66" t="inlineStr">
        <is>
          <t>—</t>
        </is>
      </c>
      <c r="I24" s="66" t="inlineStr">
        <is>
          <t>—</t>
        </is>
      </c>
      <c r="J24" s="66" t="inlineStr">
        <is>
          <t>—</t>
        </is>
      </c>
      <c r="K24" s="66" t="inlineStr">
        <is>
          <t>—</t>
        </is>
      </c>
      <c r="L24" s="66" t="inlineStr">
        <is>
          <t>—</t>
        </is>
      </c>
      <c r="M24" s="67" t="inlineStr">
        <is>
          <t>真實瀏覽器登錄→刪除，前後以 /api/cash、/api/ledgers/cash 與四段 JSON 比對（持倉還原、現金未還原）</t>
        </is>
      </c>
      <c r="N24" s="6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7" t="inlineStr">
        <is>
          <t>刪行動後 TWD 池 6,067,545（應 6,067,595），出金 #46 殘留</t>
        </is>
      </c>
      <c r="P24" s="68" t="inlineStr">
        <is>
          <t>FAIL</t>
        </is>
      </c>
      <c r="Q24" s="67" t="inlineStr">
        <is>
          <t>開 DEF-020；D-07（EXCHANGE 2 換 1、重組費 30）已再現：刪除行動 id 9 後出金 #47 殘留。編輯行動改費用時是否同步未測</t>
        </is>
      </c>
      <c r="R24" s="67" t="inlineStr">
        <is>
          <t>檢驗方 2026-09-23</t>
        </is>
      </c>
    </row>
    <row r="25" ht="15" customHeight="1" s="43">
      <c r="A25" s="61" t="inlineStr">
        <is>
          <t>R1</t>
        </is>
      </c>
      <c r="B25" s="61" t="inlineStr">
        <is>
          <t>DEF-021</t>
        </is>
      </c>
      <c r="C25" s="61" t="inlineStr">
        <is>
          <t>D-10</t>
        </is>
      </c>
      <c r="D25" s="61" t="inlineStr">
        <is>
          <t>2026-09-23</t>
        </is>
      </c>
      <c r="E25" s="65" t="inlineStr">
        <is>
          <t>—（本輪由檢驗方發現）</t>
        </is>
      </c>
      <c r="F25" s="66" t="inlineStr">
        <is>
          <t>—</t>
        </is>
      </c>
      <c r="G25" s="66" t="inlineStr">
        <is>
          <t>—</t>
        </is>
      </c>
      <c r="H25" s="66" t="inlineStr">
        <is>
          <t>—</t>
        </is>
      </c>
      <c r="I25" s="66" t="inlineStr">
        <is>
          <t>—</t>
        </is>
      </c>
      <c r="J25" s="66" t="inlineStr">
        <is>
          <t>—</t>
        </is>
      </c>
      <c r="K25" s="66" t="inlineStr">
        <is>
          <t>—</t>
        </is>
      </c>
      <c r="L25" s="66" t="inlineStr">
        <is>
          <t>—</t>
        </is>
      </c>
      <c r="M25" s="67" t="inlineStr">
        <is>
          <t>真實瀏覽器登錄→刪除；前後以 /api/instruments 列表與四段 JSON 比對（持倉／成本／現金還原，目標價未還原）</t>
        </is>
      </c>
      <c r="N25" s="6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7" t="inlineStr">
        <is>
          <t>刪除換股後 2882 目標價 40／55 殘留、2884 目標價消失（應為 2884＝40／55、2882＝空）</t>
        </is>
      </c>
      <c r="P25" s="68" t="inlineStr">
        <is>
          <t>FAIL</t>
        </is>
      </c>
      <c r="Q25" s="67" t="inlineStr">
        <is>
          <t>開 DEF-021；若 owner 維持「不可逆」設計，至少要在試算提示與刪除確認框說明；是否改為可逆請 owner 裁定</t>
        </is>
      </c>
      <c r="R25" s="67" t="inlineStr">
        <is>
          <t>檢驗方 2026-09-23</t>
        </is>
      </c>
    </row>
    <row r="26" ht="15" customHeight="1" s="43">
      <c r="A26" s="61" t="inlineStr">
        <is>
          <t>R1</t>
        </is>
      </c>
      <c r="B26" s="61" t="inlineStr">
        <is>
          <t>DEF-022</t>
        </is>
      </c>
      <c r="C26" s="61" t="inlineStr">
        <is>
          <t>D-11</t>
        </is>
      </c>
      <c r="D26" s="61" t="inlineStr">
        <is>
          <t>2026-09-23</t>
        </is>
      </c>
      <c r="E26" s="65" t="inlineStr">
        <is>
          <t>—（本輪由檢驗方發現）</t>
        </is>
      </c>
      <c r="F26" s="66" t="inlineStr">
        <is>
          <t>—</t>
        </is>
      </c>
      <c r="G26" s="66" t="inlineStr">
        <is>
          <t>—</t>
        </is>
      </c>
      <c r="H26" s="66" t="inlineStr">
        <is>
          <t>—</t>
        </is>
      </c>
      <c r="I26" s="66" t="inlineStr">
        <is>
          <t>—</t>
        </is>
      </c>
      <c r="J26" s="66" t="inlineStr">
        <is>
          <t>—</t>
        </is>
      </c>
      <c r="K26" s="66" t="inlineStr">
        <is>
          <t>—</t>
        </is>
      </c>
      <c r="L26" s="66" t="inlineStr">
        <is>
          <t>—</t>
        </is>
      </c>
      <c r="M26" s="67" t="inlineStr">
        <is>
          <t>真實瀏覽器操作，比對瀏覽器本地時間（Wed Sep 23 2026 04:40 GMT+0800）與 API 回應的 set_at；以原始碼確認時區</t>
        </is>
      </c>
      <c r="N26" s="6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7" t="inlineStr">
        <is>
          <t>台北 9/23 設定的目標價被記為 2026-09-22；同日分割誤報「早於這筆分割」</t>
        </is>
      </c>
      <c r="P26" s="68" t="inlineStr">
        <is>
          <t>FAIL</t>
        </is>
      </c>
      <c r="Q26" s="67" t="inlineStr">
        <is>
          <t>開 DEF-022；其他以 datetime.now(UTC).date() 產生「業務日期」的地方未逐一清查</t>
        </is>
      </c>
      <c r="R26" s="67" t="inlineStr">
        <is>
          <t>檢驗方 2026-09-23</t>
        </is>
      </c>
    </row>
    <row r="27" ht="15" customHeight="1" s="43">
      <c r="A27" s="61" t="inlineStr">
        <is>
          <t>R1</t>
        </is>
      </c>
      <c r="B27" s="61" t="inlineStr">
        <is>
          <t>DEF-023</t>
        </is>
      </c>
      <c r="C27" s="61" t="inlineStr">
        <is>
          <t>D-11</t>
        </is>
      </c>
      <c r="D27" s="61" t="inlineStr">
        <is>
          <t>2026-09-23</t>
        </is>
      </c>
      <c r="E27" s="65" t="inlineStr">
        <is>
          <t>—（本輪由檢驗方發現）</t>
        </is>
      </c>
      <c r="F27" s="66" t="inlineStr">
        <is>
          <t>—</t>
        </is>
      </c>
      <c r="G27" s="66" t="inlineStr">
        <is>
          <t>—</t>
        </is>
      </c>
      <c r="H27" s="66" t="inlineStr">
        <is>
          <t>—</t>
        </is>
      </c>
      <c r="I27" s="66" t="inlineStr">
        <is>
          <t>—</t>
        </is>
      </c>
      <c r="J27" s="66" t="inlineStr">
        <is>
          <t>—</t>
        </is>
      </c>
      <c r="K27" s="66" t="inlineStr">
        <is>
          <t>—</t>
        </is>
      </c>
      <c r="L27" s="66" t="inlineStr">
        <is>
          <t>—</t>
        </is>
      </c>
      <c r="M27" s="67" t="inlineStr">
        <is>
          <t>真實瀏覽器製造情境，讀 /api/dashboard.unapplied_actions、儀表板 DOM（含 title 屬性）、公司行動帳本列與個股抽屜</t>
        </is>
      </c>
      <c r="N27" s="6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7" t="inlineStr">
        <is>
          <t>有未套用行動時儀表板無入口；原因句顯示 tw_broker</t>
        </is>
      </c>
      <c r="P27" s="68" t="inlineStr">
        <is>
          <t>FAIL</t>
        </is>
      </c>
      <c r="Q27" s="67" t="inlineStr">
        <is>
          <t>開 DEF-023；刪除交易會讓既有公司行動失去依據時，刪除確認框是否該先警告（目前直接刪除）</t>
        </is>
      </c>
      <c r="R27" s="67" t="inlineStr">
        <is>
          <t>檢驗方 2026-09-23</t>
        </is>
      </c>
    </row>
    <row r="28" ht="15" customHeight="1" s="43">
      <c r="A28" s="61" t="inlineStr">
        <is>
          <t>R1</t>
        </is>
      </c>
      <c r="B28" s="61" t="inlineStr">
        <is>
          <t>DEF-024</t>
        </is>
      </c>
      <c r="C28" s="61" t="inlineStr">
        <is>
          <t>I-06</t>
        </is>
      </c>
      <c r="D28" s="61" t="inlineStr">
        <is>
          <t>2026-09-23</t>
        </is>
      </c>
      <c r="E28" s="65" t="inlineStr">
        <is>
          <t>—（本輪由檢驗方發現）</t>
        </is>
      </c>
      <c r="F28" s="66" t="inlineStr">
        <is>
          <t>—</t>
        </is>
      </c>
      <c r="G28" s="66" t="inlineStr">
        <is>
          <t>—</t>
        </is>
      </c>
      <c r="H28" s="66" t="inlineStr">
        <is>
          <t>—</t>
        </is>
      </c>
      <c r="I28" s="66" t="inlineStr">
        <is>
          <t>—</t>
        </is>
      </c>
      <c r="J28" s="66" t="inlineStr">
        <is>
          <t>—</t>
        </is>
      </c>
      <c r="K28" s="66" t="inlineStr">
        <is>
          <t>—</t>
        </is>
      </c>
      <c r="L28" s="66" t="inlineStr">
        <is>
          <t>—</t>
        </is>
      </c>
      <c r="M28" s="67" t="inlineStr">
        <is>
          <t>真實瀏覽器貼上 CSV → 讀 /api/import/preview 與 /api/import/commit 原始回應；每次寫入後以六段 JSON＋計數比對確認帳本未變</t>
        </is>
      </c>
      <c r="N28" s="6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7" t="inlineStr">
        <is>
          <t>預覽「✓ 可寫入」→ 寫入 0 筆，被勾選的列只顯示「跳過」；賣超訊息的持股數含錯誤列（200.5）</t>
        </is>
      </c>
      <c r="P28" s="68" t="inlineStr">
        <is>
          <t>FAIL</t>
        </is>
      </c>
      <c r="Q28" s="67" t="inlineStr">
        <is>
          <t>開 DEF-024；其他「一定寫不進去」但不在 structural 名單的錯誤（例如日期早於期初、帳戶市場不符）是否也被算進批次持股，未逐一測</t>
        </is>
      </c>
      <c r="R28" s="67" t="inlineStr">
        <is>
          <t>檢驗方 2026-09-23</t>
        </is>
      </c>
    </row>
    <row r="29" ht="15" customHeight="1" s="43">
      <c r="A29" s="61" t="inlineStr">
        <is>
          <t>R1</t>
        </is>
      </c>
      <c r="B29" s="61" t="inlineStr">
        <is>
          <t>DEF-025</t>
        </is>
      </c>
      <c r="C29" s="61" t="inlineStr">
        <is>
          <t>I-06</t>
        </is>
      </c>
      <c r="D29" s="61" t="inlineStr">
        <is>
          <t>2026-09-23</t>
        </is>
      </c>
      <c r="E29" s="65" t="inlineStr">
        <is>
          <t>—（本輪由檢驗方發現）</t>
        </is>
      </c>
      <c r="F29" s="66" t="inlineStr">
        <is>
          <t>—</t>
        </is>
      </c>
      <c r="G29" s="66" t="inlineStr">
        <is>
          <t>—</t>
        </is>
      </c>
      <c r="H29" s="66" t="inlineStr">
        <is>
          <t>—</t>
        </is>
      </c>
      <c r="I29" s="66" t="inlineStr">
        <is>
          <t>—</t>
        </is>
      </c>
      <c r="J29" s="66" t="inlineStr">
        <is>
          <t>—</t>
        </is>
      </c>
      <c r="K29" s="66" t="inlineStr">
        <is>
          <t>—</t>
        </is>
      </c>
      <c r="L29" s="66" t="inlineStr">
        <is>
          <t>—</t>
        </is>
      </c>
      <c r="M29" s="67" t="inlineStr">
        <is>
          <t>真實瀏覽器；讀 preview／commit 回應與對話框文字；與 B-11 手動賣超的確認流程對照</t>
        </is>
      </c>
      <c r="N29" s="6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7" t="inlineStr">
        <is>
          <t>賣超列可經一次通用確認寫入</t>
        </is>
      </c>
      <c r="P29" s="67" t="inlineStr">
        <is>
          <t>待裁定</t>
        </is>
      </c>
      <c r="Q29" s="67" t="inlineStr">
        <is>
          <t>開 DEF-025；若維持可寫入：確認框至少要點名是哪幾列、說明成本基礎歸零的後果，且預設不勾選</t>
        </is>
      </c>
      <c r="R29" s="67" t="inlineStr">
        <is>
          <t>檢驗方 2026-09-23</t>
        </is>
      </c>
    </row>
    <row r="30" ht="15" customHeight="1" s="43">
      <c r="A30" s="61" t="inlineStr">
        <is>
          <t>R1</t>
        </is>
      </c>
      <c r="B30" s="61" t="inlineStr">
        <is>
          <t>DEF-026</t>
        </is>
      </c>
      <c r="C30" s="61" t="inlineStr">
        <is>
          <t>I-13</t>
        </is>
      </c>
      <c r="D30" s="61" t="inlineStr">
        <is>
          <t>2026-09-23</t>
        </is>
      </c>
      <c r="E30" s="65" t="inlineStr">
        <is>
          <t>—（本輪由檢驗方發現）</t>
        </is>
      </c>
      <c r="F30" s="66" t="inlineStr">
        <is>
          <t>—</t>
        </is>
      </c>
      <c r="G30" s="66" t="inlineStr">
        <is>
          <t>—</t>
        </is>
      </c>
      <c r="H30" s="66" t="inlineStr">
        <is>
          <t>—</t>
        </is>
      </c>
      <c r="I30" s="66" t="inlineStr">
        <is>
          <t>—</t>
        </is>
      </c>
      <c r="J30" s="66" t="inlineStr">
        <is>
          <t>—</t>
        </is>
      </c>
      <c r="K30" s="66" t="inlineStr">
        <is>
          <t>—</t>
        </is>
      </c>
      <c r="L30" s="66" t="inlineStr">
        <is>
          <t>—</t>
        </is>
      </c>
      <c r="M30" s="67" t="inlineStr">
        <is>
          <t>真實瀏覽器匯出→貼上預覽；人工改表頭後寫入 2 列，再以匯出檔比對新舊列，最後批次復原並逐位元比對</t>
        </is>
      </c>
      <c r="N30" s="6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7" t="inlineStr">
        <is>
          <t>原樣匯回 0/56 列可寫入；改表頭後 fee_rule_snapshot 遺失</t>
        </is>
      </c>
      <c r="P30" s="68" t="inlineStr">
        <is>
          <t>FAIL</t>
        </is>
      </c>
      <c r="Q30" s="67" t="inlineStr">
        <is>
          <t>開 DEF-026；股利／換匯／期初／公司行動／資金 5 類帳本的匯出→匯回未逐一測（公司行動匯出欄為 ratio_to／ratio_from／from_symbol，推測同類）</t>
        </is>
      </c>
      <c r="R30" s="67" t="inlineStr">
        <is>
          <t>檢驗方 2026-09-23</t>
        </is>
      </c>
    </row>
    <row r="31" ht="15" customHeight="1" s="43">
      <c r="A31" s="61" t="inlineStr">
        <is>
          <t>R1</t>
        </is>
      </c>
      <c r="B31" s="61" t="inlineStr">
        <is>
          <t>DEF-027</t>
        </is>
      </c>
      <c r="C31" s="61" t="inlineStr">
        <is>
          <t>I-10</t>
        </is>
      </c>
      <c r="D31" s="61" t="inlineStr">
        <is>
          <t>2026-09-23</t>
        </is>
      </c>
      <c r="E31" s="65" t="inlineStr">
        <is>
          <t>—（本輪由檢驗方發現）</t>
        </is>
      </c>
      <c r="F31" s="66" t="inlineStr">
        <is>
          <t>—</t>
        </is>
      </c>
      <c r="G31" s="66" t="inlineStr">
        <is>
          <t>—</t>
        </is>
      </c>
      <c r="H31" s="66" t="inlineStr">
        <is>
          <t>—</t>
        </is>
      </c>
      <c r="I31" s="66" t="inlineStr">
        <is>
          <t>—</t>
        </is>
      </c>
      <c r="J31" s="66" t="inlineStr">
        <is>
          <t>—</t>
        </is>
      </c>
      <c r="K31" s="66" t="inlineStr">
        <is>
          <t>—</t>
        </is>
      </c>
      <c r="L31" s="66" t="inlineStr">
        <is>
          <t>—</t>
        </is>
      </c>
      <c r="M31" s="67" t="inlineStr">
        <is>
          <t>真實瀏覽器上傳檔案→全部寫入；讀 /api/import/commit 請求本文與 /api/dashboard；之後以最近匯入 › 復原（批次 8）並逐位元比對</t>
        </is>
      </c>
      <c r="N31" s="6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7" t="inlineStr">
        <is>
          <t>賣超列被自動確認寫入：AAPL −914.96 股、成本 0、XIRR 空白</t>
        </is>
      </c>
      <c r="P31" s="68" t="inlineStr">
        <is>
          <t>FAIL</t>
        </is>
      </c>
      <c r="Q31" s="67" t="inlineStr">
        <is>
          <t>開 DEF-027；同一機制對其他 needs_confirm 類警告（重複交易、日期早於期初等）也一律自動確認，未逐一測</t>
        </is>
      </c>
      <c r="R31" s="67" t="inlineStr">
        <is>
          <t>檢驗方 2026-09-23</t>
        </is>
      </c>
    </row>
    <row r="32" ht="15" customHeight="1" s="43">
      <c r="A32" s="61" t="inlineStr">
        <is>
          <t>R1</t>
        </is>
      </c>
      <c r="B32" s="61" t="inlineStr">
        <is>
          <t>DEF-028</t>
        </is>
      </c>
      <c r="C32" s="61" t="inlineStr">
        <is>
          <t>I-10</t>
        </is>
      </c>
      <c r="D32" s="61" t="inlineStr">
        <is>
          <t>2026-09-23</t>
        </is>
      </c>
      <c r="E32" s="65" t="inlineStr">
        <is>
          <t>—（本輪由檢驗方發現）</t>
        </is>
      </c>
      <c r="F32" s="66" t="inlineStr">
        <is>
          <t>—</t>
        </is>
      </c>
      <c r="G32" s="66" t="inlineStr">
        <is>
          <t>—</t>
        </is>
      </c>
      <c r="H32" s="66" t="inlineStr">
        <is>
          <t>—</t>
        </is>
      </c>
      <c r="I32" s="66" t="inlineStr">
        <is>
          <t>—</t>
        </is>
      </c>
      <c r="J32" s="66" t="inlineStr">
        <is>
          <t>—</t>
        </is>
      </c>
      <c r="K32" s="66" t="inlineStr">
        <is>
          <t>—</t>
        </is>
      </c>
      <c r="L32" s="66" t="inlineStr">
        <is>
          <t>—</t>
        </is>
      </c>
      <c r="M32" s="67" t="inlineStr">
        <is>
          <t>真實瀏覽器上傳，搜尋整頁 DOM（含隱藏元素）是否出現轉出列內容（例如代號 ALFA）；對照 /api/broker/convert 回應</t>
        </is>
      </c>
      <c r="N32" s="6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7" t="inlineStr">
        <is>
          <t>轉換報告只有筆數，無逐列明細</t>
        </is>
      </c>
      <c r="P32" s="68" t="inlineStr">
        <is>
          <t>FAIL</t>
        </is>
      </c>
      <c r="Q32" s="67" t="inlineStr">
        <is>
          <t>開 DEF-028</t>
        </is>
      </c>
      <c r="R32" s="67" t="inlineStr">
        <is>
          <t>檢驗方 2026-09-23</t>
        </is>
      </c>
    </row>
    <row r="33" ht="15" customHeight="1" s="43">
      <c r="A33" s="61" t="inlineStr">
        <is>
          <t>R1</t>
        </is>
      </c>
      <c r="B33" s="61" t="inlineStr">
        <is>
          <t>DEF-029</t>
        </is>
      </c>
      <c r="C33" s="61" t="inlineStr">
        <is>
          <t>I-11</t>
        </is>
      </c>
      <c r="D33" s="61" t="inlineStr">
        <is>
          <t>2026-09-23</t>
        </is>
      </c>
      <c r="E33" s="65" t="inlineStr">
        <is>
          <t>—（本輪由檢驗方發現）</t>
        </is>
      </c>
      <c r="F33" s="66" t="inlineStr">
        <is>
          <t>—</t>
        </is>
      </c>
      <c r="G33" s="66" t="inlineStr">
        <is>
          <t>—</t>
        </is>
      </c>
      <c r="H33" s="66" t="inlineStr">
        <is>
          <t>—</t>
        </is>
      </c>
      <c r="I33" s="66" t="inlineStr">
        <is>
          <t>—</t>
        </is>
      </c>
      <c r="J33" s="66" t="inlineStr">
        <is>
          <t>—</t>
        </is>
      </c>
      <c r="K33" s="66" t="inlineStr">
        <is>
          <t>—</t>
        </is>
      </c>
      <c r="L33" s="66" t="inlineStr">
        <is>
          <t>—</t>
        </is>
      </c>
      <c r="M33" s="67" t="inlineStr">
        <is>
          <t>真實瀏覽器；讀 /api/broker/convert 請求與回應（blocking／advisory 皆為空）；寫入後以批次復原並逐位元比對</t>
        </is>
      </c>
      <c r="N33" s="6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7" t="inlineStr">
        <is>
          <t>嘉信對帳單寫進 Moomoo MY 帳戶無任何警告</t>
        </is>
      </c>
      <c r="P33" s="68" t="inlineStr">
        <is>
          <t>FAIL</t>
        </is>
      </c>
      <c r="Q33" s="67" t="inlineStr">
        <is>
          <t>開 DEF-029；帳戶是否該記錄所屬券商（目前 account 與 broker 沒有對應欄位）由 owner 決定</t>
        </is>
      </c>
      <c r="R33" s="67" t="inlineStr">
        <is>
          <t>檢驗方 2026-09-23</t>
        </is>
      </c>
    </row>
    <row r="34" ht="15" customHeight="1" s="43">
      <c r="A34" s="61" t="inlineStr">
        <is>
          <t>R1</t>
        </is>
      </c>
      <c r="B34" s="61" t="inlineStr">
        <is>
          <t>DEF-030</t>
        </is>
      </c>
      <c r="C34" s="61" t="inlineStr">
        <is>
          <t>H-04</t>
        </is>
      </c>
      <c r="D34" s="61" t="inlineStr">
        <is>
          <t>2026-09-23</t>
        </is>
      </c>
      <c r="E34" s="65" t="inlineStr">
        <is>
          <t>—（本輪由檢驗方發現）</t>
        </is>
      </c>
      <c r="F34" s="66" t="inlineStr">
        <is>
          <t>—</t>
        </is>
      </c>
      <c r="G34" s="66" t="inlineStr">
        <is>
          <t>—</t>
        </is>
      </c>
      <c r="H34" s="66" t="inlineStr">
        <is>
          <t>—</t>
        </is>
      </c>
      <c r="I34" s="66" t="inlineStr">
        <is>
          <t>—</t>
        </is>
      </c>
      <c r="J34" s="66" t="inlineStr">
        <is>
          <t>—</t>
        </is>
      </c>
      <c r="K34" s="66" t="inlineStr">
        <is>
          <t>—</t>
        </is>
      </c>
      <c r="L34" s="66" t="inlineStr">
        <is>
          <t>—</t>
        </is>
      </c>
      <c r="M34" s="67" t="inlineStr">
        <is>
          <t>真實瀏覽器按鈕；讀 /api/scheduler/runs 與 /api/scheduler/jobs；對照 AI 洞察 › 產生洞察（POST /api/insight-types/10/run）同一任務可成功（#156）</t>
        </is>
      </c>
      <c r="N34" s="6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8" t="inlineStr">
        <is>
          <t>insight:7／insight:10 立即執行皆失敗（KeyError）</t>
        </is>
      </c>
      <c r="P34" s="68" t="inlineStr">
        <is>
          <t>FAIL</t>
        </is>
      </c>
      <c r="Q34" s="67" t="inlineStr">
        <is>
          <t>開 DEF-030；排程觸發（cron）走 insight runner，demo 排程器關閉未能實測</t>
        </is>
      </c>
      <c r="R34" s="67" t="inlineStr">
        <is>
          <t>檢驗方 2026-09-23</t>
        </is>
      </c>
    </row>
    <row r="35" ht="15" customHeight="1" s="43">
      <c r="A35" s="61" t="inlineStr">
        <is>
          <t>R1</t>
        </is>
      </c>
      <c r="B35" s="61" t="inlineStr">
        <is>
          <t>DEF-031</t>
        </is>
      </c>
      <c r="C35" s="61" t="inlineStr">
        <is>
          <t>H-04／H-05</t>
        </is>
      </c>
      <c r="D35" s="61" t="inlineStr">
        <is>
          <t>2026-09-23</t>
        </is>
      </c>
      <c r="E35" s="65" t="inlineStr">
        <is>
          <t>—（本輪由檢驗方發現）</t>
        </is>
      </c>
      <c r="F35" s="66" t="inlineStr">
        <is>
          <t>—</t>
        </is>
      </c>
      <c r="G35" s="66" t="inlineStr">
        <is>
          <t>—</t>
        </is>
      </c>
      <c r="H35" s="66" t="inlineStr">
        <is>
          <t>—</t>
        </is>
      </c>
      <c r="I35" s="66" t="inlineStr">
        <is>
          <t>—</t>
        </is>
      </c>
      <c r="J35" s="66" t="inlineStr">
        <is>
          <t>—</t>
        </is>
      </c>
      <c r="K35" s="66" t="inlineStr">
        <is>
          <t>—</t>
        </is>
      </c>
      <c r="L35" s="66" t="inlineStr">
        <is>
          <t>—</t>
        </is>
      </c>
      <c r="M35" s="67" t="inlineStr">
        <is>
          <t>真實瀏覽器點擊兩次，攔截網路請求（0 支）與對話框（0 個）；讀原始碼確認</t>
        </is>
      </c>
      <c r="N35" s="6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7" t="inlineStr">
        <is>
          <t>編輯標的無作用</t>
        </is>
      </c>
      <c r="P35" s="68" t="inlineStr">
        <is>
          <t>FAIL</t>
        </is>
      </c>
      <c r="Q35" s="67" t="inlineStr">
        <is>
          <t>開 DEF-031</t>
        </is>
      </c>
      <c r="R35" s="67" t="inlineStr">
        <is>
          <t>檢驗方 2026-09-23</t>
        </is>
      </c>
    </row>
    <row r="36" ht="15" customHeight="1" s="43">
      <c r="A36" s="61" t="inlineStr">
        <is>
          <t>R1</t>
        </is>
      </c>
      <c r="B36" s="61" t="inlineStr">
        <is>
          <t>DEF-032</t>
        </is>
      </c>
      <c r="C36" s="61" t="inlineStr">
        <is>
          <t>H-04</t>
        </is>
      </c>
      <c r="D36" s="61" t="inlineStr">
        <is>
          <t>2026-09-23</t>
        </is>
      </c>
      <c r="E36" s="65" t="inlineStr">
        <is>
          <t>—（本輪由檢驗方發現）</t>
        </is>
      </c>
      <c r="F36" s="66" t="inlineStr">
        <is>
          <t>—</t>
        </is>
      </c>
      <c r="G36" s="66" t="inlineStr">
        <is>
          <t>—</t>
        </is>
      </c>
      <c r="H36" s="66" t="inlineStr">
        <is>
          <t>—</t>
        </is>
      </c>
      <c r="I36" s="66" t="inlineStr">
        <is>
          <t>—</t>
        </is>
      </c>
      <c r="J36" s="66" t="inlineStr">
        <is>
          <t>—</t>
        </is>
      </c>
      <c r="K36" s="66" t="inlineStr">
        <is>
          <t>—</t>
        </is>
      </c>
      <c r="L36" s="66" t="inlineStr">
        <is>
          <t>—</t>
        </is>
      </c>
      <c r="M36" s="67" t="inlineStr">
        <is>
          <t>真實瀏覽器讀精靈文字與勾選框；對照 /api/insight-tasks/status 的 13 檔與 /api/dashboard holdings 14 列</t>
        </is>
      </c>
      <c r="N36" s="6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7" t="inlineStr">
        <is>
          <t>精靈顯示 14 檔／14 卡，實際 13</t>
        </is>
      </c>
      <c r="P36" s="68" t="inlineStr">
        <is>
          <t>FAIL</t>
        </is>
      </c>
      <c r="Q36" s="67" t="inlineStr">
        <is>
          <t>開 DEF-032</t>
        </is>
      </c>
      <c r="R36" s="67" t="inlineStr">
        <is>
          <t>檢驗方 2026-09-23</t>
        </is>
      </c>
    </row>
    <row r="37" ht="15" customHeight="1" s="43">
      <c r="A37" s="61" t="inlineStr">
        <is>
          <t>R1</t>
        </is>
      </c>
      <c r="B37" s="61" t="inlineStr">
        <is>
          <t>DEF-033</t>
        </is>
      </c>
      <c r="C37" s="61" t="inlineStr">
        <is>
          <t>H-03</t>
        </is>
      </c>
      <c r="D37" s="61" t="inlineStr">
        <is>
          <t>2026-09-23</t>
        </is>
      </c>
      <c r="E37" s="65" t="inlineStr">
        <is>
          <t>—（本輪由檢驗方發現）</t>
        </is>
      </c>
      <c r="F37" s="66" t="inlineStr">
        <is>
          <t>—</t>
        </is>
      </c>
      <c r="G37" s="66" t="inlineStr">
        <is>
          <t>—</t>
        </is>
      </c>
      <c r="H37" s="66" t="inlineStr">
        <is>
          <t>—</t>
        </is>
      </c>
      <c r="I37" s="66" t="inlineStr">
        <is>
          <t>—</t>
        </is>
      </c>
      <c r="J37" s="66" t="inlineStr">
        <is>
          <t>—</t>
        </is>
      </c>
      <c r="K37" s="66" t="inlineStr">
        <is>
          <t>—</t>
        </is>
      </c>
      <c r="L37" s="66" t="inlineStr">
        <is>
          <t>—</t>
        </is>
      </c>
      <c r="M37" s="67" t="inlineStr">
        <is>
          <t>真實瀏覽器檢視策略卡所有控制項；讀 API 回應欄位（id, name, body, enabled, archived, created_at, updated_at, scope）</t>
        </is>
      </c>
      <c r="N37" s="6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7" t="inlineStr">
        <is>
          <t>無版本記錄／回復</t>
        </is>
      </c>
      <c r="P37" s="67" t="inlineStr">
        <is>
          <t>待裁定</t>
        </is>
      </c>
      <c r="Q37" s="67" t="inlineStr">
        <is>
          <t>開 DEF-033</t>
        </is>
      </c>
      <c r="R37" s="67" t="inlineStr">
        <is>
          <t>檢驗方 2026-09-23</t>
        </is>
      </c>
    </row>
    <row r="38" ht="15" customHeight="1" s="43">
      <c r="A38" s="61" t="inlineStr">
        <is>
          <t>R1</t>
        </is>
      </c>
      <c r="B38" s="61" t="inlineStr">
        <is>
          <t>DEF-034</t>
        </is>
      </c>
      <c r="C38" s="61" t="inlineStr">
        <is>
          <t>F-03</t>
        </is>
      </c>
      <c r="D38" s="61" t="inlineStr">
        <is>
          <t>2026-09-23</t>
        </is>
      </c>
      <c r="E38" s="65" t="inlineStr">
        <is>
          <t>—（本輪由檢驗方發現）</t>
        </is>
      </c>
      <c r="F38" s="66" t="inlineStr">
        <is>
          <t>—</t>
        </is>
      </c>
      <c r="G38" s="66" t="inlineStr">
        <is>
          <t>—</t>
        </is>
      </c>
      <c r="H38" s="66" t="inlineStr">
        <is>
          <t>—</t>
        </is>
      </c>
      <c r="I38" s="66" t="inlineStr">
        <is>
          <t>—</t>
        </is>
      </c>
      <c r="J38" s="66" t="inlineStr">
        <is>
          <t>—</t>
        </is>
      </c>
      <c r="K38" s="66" t="inlineStr">
        <is>
          <t>—</t>
        </is>
      </c>
      <c r="L38" s="66" t="inlineStr">
        <is>
          <t>—</t>
        </is>
      </c>
      <c r="M38" s="67" t="inlineStr">
        <is>
          <t>真實瀏覽器；一次用座標實點、一次用 DOM click，攔截 PUT 數量與 toast 數量；在乾淨頁面與切換分頁後各對照一次</t>
        </is>
      </c>
      <c r="N38" s="6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7" t="inlineStr">
        <is>
          <t>一次點擊 3 次 PUT／3 個 toast</t>
        </is>
      </c>
      <c r="P38" s="68" t="inlineStr">
        <is>
          <t>FAIL</t>
        </is>
      </c>
      <c r="Q38" s="67" t="inlineStr">
        <is>
          <t>開 DEF-034；同頁其他在 boot() 內綁定的控制項是否同樣累積監聽，未逐一測</t>
        </is>
      </c>
      <c r="R38" s="67" t="inlineStr">
        <is>
          <t>檢驗方 2026-09-23</t>
        </is>
      </c>
    </row>
    <row r="39" ht="15" customHeight="1" s="43">
      <c r="A39" s="61" t="inlineStr">
        <is>
          <t>R1</t>
        </is>
      </c>
      <c r="B39" s="61" t="inlineStr">
        <is>
          <t>DEF-035</t>
        </is>
      </c>
      <c r="C39" s="61" t="inlineStr">
        <is>
          <t>F-04</t>
        </is>
      </c>
      <c r="D39" s="61" t="inlineStr">
        <is>
          <t>2026-09-23</t>
        </is>
      </c>
      <c r="E39" s="65" t="inlineStr">
        <is>
          <t>—（本輪由檢驗方發現）</t>
        </is>
      </c>
      <c r="F39" s="66" t="inlineStr">
        <is>
          <t>—</t>
        </is>
      </c>
      <c r="G39" s="66" t="inlineStr">
        <is>
          <t>—</t>
        </is>
      </c>
      <c r="H39" s="66" t="inlineStr">
        <is>
          <t>—</t>
        </is>
      </c>
      <c r="I39" s="66" t="inlineStr">
        <is>
          <t>—</t>
        </is>
      </c>
      <c r="J39" s="66" t="inlineStr">
        <is>
          <t>—</t>
        </is>
      </c>
      <c r="K39" s="66" t="inlineStr">
        <is>
          <t>—</t>
        </is>
      </c>
      <c r="L39" s="66" t="inlineStr">
        <is>
          <t>—</t>
        </is>
      </c>
      <c r="M39" s="67" t="inlineStr">
        <is>
          <t>真實瀏覽器解析兩次；檢查每個 td 的子元素與 contenteditable，並模擬點擊／雙擊價格格</t>
        </is>
      </c>
      <c r="N39" s="6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7" t="inlineStr">
        <is>
          <t>草稿不可編輯；帳戶顯示原名</t>
        </is>
      </c>
      <c r="P39" s="68" t="inlineStr">
        <is>
          <t>FAIL</t>
        </is>
      </c>
      <c r="Q39" s="67" t="inlineStr">
        <is>
          <t>開 DEF-035；股利／資金等其他 AI 草稿表格（1808、1825 行）同樣以原名輸出</t>
        </is>
      </c>
      <c r="R39" s="67" t="inlineStr">
        <is>
          <t>檢驗方 2026-09-23</t>
        </is>
      </c>
    </row>
    <row r="40" ht="15" customHeight="1" s="43">
      <c r="A40" s="61" t="inlineStr">
        <is>
          <t>R1</t>
        </is>
      </c>
      <c r="B40" s="61" t="inlineStr">
        <is>
          <t>DEF-036</t>
        </is>
      </c>
      <c r="C40" s="61" t="inlineStr">
        <is>
          <t>F-05</t>
        </is>
      </c>
      <c r="D40" s="61" t="inlineStr">
        <is>
          <t>2026-09-23</t>
        </is>
      </c>
      <c r="E40" s="65" t="inlineStr">
        <is>
          <t>—（本輪由檢驗方發現）</t>
        </is>
      </c>
      <c r="F40" s="66" t="inlineStr">
        <is>
          <t>—</t>
        </is>
      </c>
      <c r="G40" s="66" t="inlineStr">
        <is>
          <t>—</t>
        </is>
      </c>
      <c r="H40" s="66" t="inlineStr">
        <is>
          <t>—</t>
        </is>
      </c>
      <c r="I40" s="66" t="inlineStr">
        <is>
          <t>—</t>
        </is>
      </c>
      <c r="J40" s="66" t="inlineStr">
        <is>
          <t>—</t>
        </is>
      </c>
      <c r="K40" s="66" t="inlineStr">
        <is>
          <t>—</t>
        </is>
      </c>
      <c r="L40" s="66" t="inlineStr">
        <is>
          <t>—</t>
        </is>
      </c>
      <c r="M40" s="67" t="inlineStr">
        <is>
          <t>真實瀏覽器解析；讀 POST /api/input/ai/preview 回應 rows[].status／data</t>
        </is>
      </c>
      <c r="N40" s="6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7" t="inlineStr">
        <is>
          <t>矛盾金額未被標示</t>
        </is>
      </c>
      <c r="P40" s="68" t="inlineStr">
        <is>
          <t>FAIL</t>
        </is>
      </c>
      <c r="Q40" s="67" t="inlineStr">
        <is>
          <t>開 DEF-036</t>
        </is>
      </c>
      <c r="R40" s="67" t="inlineStr">
        <is>
          <t>檢驗方 2026-09-23</t>
        </is>
      </c>
    </row>
    <row r="41" ht="15" customHeight="1" s="43">
      <c r="A41" s="61" t="inlineStr">
        <is>
          <t>R1</t>
        </is>
      </c>
      <c r="B41" s="61" t="inlineStr">
        <is>
          <t>DEF-037</t>
        </is>
      </c>
      <c r="C41" s="61" t="inlineStr">
        <is>
          <t>G-09</t>
        </is>
      </c>
      <c r="D41" s="61" t="inlineStr">
        <is>
          <t>2026-09-23</t>
        </is>
      </c>
      <c r="E41" s="65" t="inlineStr">
        <is>
          <t>—（本輪由檢驗方發現）</t>
        </is>
      </c>
      <c r="F41" s="66" t="inlineStr">
        <is>
          <t>—</t>
        </is>
      </c>
      <c r="G41" s="66" t="inlineStr">
        <is>
          <t>—</t>
        </is>
      </c>
      <c r="H41" s="66" t="inlineStr">
        <is>
          <t>—</t>
        </is>
      </c>
      <c r="I41" s="66" t="inlineStr">
        <is>
          <t>—</t>
        </is>
      </c>
      <c r="J41" s="66" t="inlineStr">
        <is>
          <t>—</t>
        </is>
      </c>
      <c r="K41" s="66" t="inlineStr">
        <is>
          <t>—</t>
        </is>
      </c>
      <c r="L41" s="66" t="inlineStr">
        <is>
          <t>—</t>
        </is>
      </c>
      <c r="M41" s="67" t="inlineStr">
        <is>
          <t>真實瀏覽器設定目標價並觸發排程；比對 /api/alerts 36 條預警、/api/scheduler/runs 18 次派發與 /api/insights 17 張新卡</t>
        </is>
      </c>
      <c r="N41" s="6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7" t="inlineStr">
        <is>
          <t>產生 symbol=moomoo_my 的卡；卡片無觸發預警紀錄</t>
        </is>
      </c>
      <c r="P41" s="68" t="inlineStr">
        <is>
          <t>FAIL</t>
        </is>
      </c>
      <c r="Q41" s="67" t="inlineStr">
        <is>
          <t>開 DEF-037；只持有於觀察清單的標的（1234、2308、AMD…）也因 drawdown_from_peak 產生「持倉提點」卡，是否應派發由 owner 決定</t>
        </is>
      </c>
      <c r="R41" s="67" t="inlineStr">
        <is>
          <t>檢驗方 2026-09-23</t>
        </is>
      </c>
    </row>
    <row r="42" ht="15" customHeight="1" s="43">
      <c r="A42" s="61" t="inlineStr">
        <is>
          <t>R1</t>
        </is>
      </c>
      <c r="B42" s="61" t="inlineStr">
        <is>
          <t>DEF-038</t>
        </is>
      </c>
      <c r="C42" s="61" t="inlineStr">
        <is>
          <t>E-01</t>
        </is>
      </c>
      <c r="D42" s="61" t="inlineStr">
        <is>
          <t>2026-09-23</t>
        </is>
      </c>
      <c r="E42" s="65" t="inlineStr">
        <is>
          <t>—（本輪由檢驗方發現）</t>
        </is>
      </c>
      <c r="F42" s="66" t="inlineStr">
        <is>
          <t>—</t>
        </is>
      </c>
      <c r="G42" s="66" t="inlineStr">
        <is>
          <t>—</t>
        </is>
      </c>
      <c r="H42" s="66" t="inlineStr">
        <is>
          <t>—</t>
        </is>
      </c>
      <c r="I42" s="66" t="inlineStr">
        <is>
          <t>—</t>
        </is>
      </c>
      <c r="J42" s="66" t="inlineStr">
        <is>
          <t>—</t>
        </is>
      </c>
      <c r="K42" s="66" t="inlineStr">
        <is>
          <t>—</t>
        </is>
      </c>
      <c r="L42" s="66" t="inlineStr">
        <is>
          <t>—</t>
        </is>
      </c>
      <c r="M42" s="67" t="inlineStr">
        <is>
          <t>真實瀏覽器讀 button.title 與點擊連結後的 URL／可見內容</t>
        </is>
      </c>
      <c r="N42" s="6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8" t="inlineStr">
        <is>
          <t>tooltip 與功能矛盾；連結落點錯誤</t>
        </is>
      </c>
      <c r="P42" s="68" t="inlineStr">
        <is>
          <t>FAIL</t>
        </is>
      </c>
      <c r="Q42" s="67" t="inlineStr">
        <is>
          <t>開 DEF-038</t>
        </is>
      </c>
      <c r="R42" s="67" t="inlineStr">
        <is>
          <t>檢驗方 2026-09-23</t>
        </is>
      </c>
    </row>
    <row r="43" ht="219.75" customHeight="1" s="43">
      <c r="A43" s="61" t="inlineStr">
        <is>
          <t>R2</t>
        </is>
      </c>
      <c r="B43" s="61" t="inlineStr">
        <is>
          <t>DEF-012</t>
        </is>
      </c>
      <c r="C43" s="61" t="inlineStr">
        <is>
          <t>B-18</t>
        </is>
      </c>
      <c r="D43" s="61" t="inlineStr">
        <is>
          <t>2026-09-23</t>
        </is>
      </c>
      <c r="E43" s="65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5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5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5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5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6" t="inlineStr">
        <is>
          <t>e6fd9f4（已部署 demo）</t>
        </is>
      </c>
      <c r="L4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7" t="inlineStr">
        <is>
          <t>複驗通過 → 結案</t>
        </is>
      </c>
      <c r="Q43" s="67" t="inlineStr">
        <is>
          <t>無</t>
        </is>
      </c>
      <c r="R43" s="67" t="inlineStr">
        <is>
          <t>檢驗方 2026-09-24</t>
        </is>
      </c>
    </row>
    <row r="44" ht="219.75" customHeight="1" s="43">
      <c r="A44" s="61" t="inlineStr">
        <is>
          <t>R2</t>
        </is>
      </c>
      <c r="B44" s="61" t="inlineStr">
        <is>
          <t>DEF-014</t>
        </is>
      </c>
      <c r="C44" s="61" t="inlineStr">
        <is>
          <t>B-17</t>
        </is>
      </c>
      <c r="D44" s="61" t="inlineStr">
        <is>
          <t>2026-09-23</t>
        </is>
      </c>
      <c r="E44" s="65" t="inlineStr">
        <is>
          <t>同意驗證者。validate_transaction 沒讀 opening_inventory.build_date，也沒有「早於帳戶最早紀錄」的提示。</t>
        </is>
      </c>
      <c r="F44" s="66" t="inlineStr">
        <is>
          <t>portfolio_dash/data_ingestion/validate.py:516 `if today is not None and inp.trade_date &gt; today:`</t>
        </is>
      </c>
      <c r="G44" s="65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5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5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5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6" t="inlineStr">
        <is>
          <t>e6fd9f4（已部署 demo）</t>
        </is>
      </c>
      <c r="L4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7" t="inlineStr">
        <is>
          <t>真實瀏覽器：交易帳本 › 手動交易草稿兩例＋一次實際寫入後刪除；讀 POST /api/input/manual/preview 的 issues</t>
        </is>
      </c>
      <c r="N44" s="6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7" t="inlineStr">
        <is>
          <t>兩種提示依設計出現；勾選確認後寫入 #102 201，刪除後 cmp D014 same:true</t>
        </is>
      </c>
      <c r="P44" s="67" t="inlineStr">
        <is>
          <t>複驗通過 → 結案</t>
        </is>
      </c>
      <c r="Q44" s="6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7" t="inlineStr">
        <is>
          <t>檢驗方 2026-09-24</t>
        </is>
      </c>
    </row>
    <row r="45" ht="219.75" customHeight="1" s="43">
      <c r="A45" s="61" t="inlineStr">
        <is>
          <t>R2</t>
        </is>
      </c>
      <c r="B45" s="61" t="inlineStr">
        <is>
          <t>DEF-024</t>
        </is>
      </c>
      <c r="C45" s="61" t="inlineStr">
        <is>
          <t>I-06</t>
        </is>
      </c>
      <c r="D45" s="61" t="inlineStr">
        <is>
          <t>2026-09-23</t>
        </is>
      </c>
      <c r="E45" s="65" t="inlineStr">
        <is>
          <t>同意驗證者，兩個根因：預覽把錯誤列的股數算成持股；commit 把被擋下的列算成「跳過」且前端顯示成功。</t>
        </is>
      </c>
      <c r="F45" s="6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5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5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5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6" t="inlineStr">
        <is>
          <t>e6fd9f4（已部署 demo）</t>
        </is>
      </c>
      <c r="L4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7" t="inlineStr">
        <is>
          <t>真實瀏覽器：交易帳本 › 貼上 CSV 預覽＋寫入；讀 POST /api/import/preview、/commit 回應 skipped_rows</t>
        </is>
      </c>
      <c r="N45" s="6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8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7" t="inlineStr">
        <is>
          <t>複驗通過 → 結案</t>
        </is>
      </c>
      <c r="Q45" s="67" t="inlineStr">
        <is>
          <t>小瑕疵（不另開）：toast 顯示「! ⚠」雙符號</t>
        </is>
      </c>
      <c r="R45" s="67" t="inlineStr">
        <is>
          <t>檢驗方 2026-09-24</t>
        </is>
      </c>
    </row>
    <row r="46" ht="219.75" customHeight="1" s="43">
      <c r="A46" s="61" t="inlineStr">
        <is>
          <t>R2</t>
        </is>
      </c>
      <c r="B46" s="61" t="inlineStr">
        <is>
          <t>DEF-023</t>
        </is>
      </c>
      <c r="C46" s="61" t="inlineStr">
        <is>
          <t>D-11</t>
        </is>
      </c>
      <c r="D46" s="61" t="inlineStr">
        <is>
          <t>2026-09-23</t>
        </is>
      </c>
      <c r="E46" s="65" t="inlineStr">
        <is>
          <t>同意驗證者：提示可見但沒有入口，原因句嵌後端裸 id。</t>
        </is>
      </c>
      <c r="F46" s="6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5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5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5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6" t="inlineStr">
        <is>
          <t>e6fd9f4（已部署 demo）</t>
        </is>
      </c>
      <c r="L4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8" t="inlineStr">
        <is>
          <t>badge、刪除警告、深連結、中文名皆 OK；儀表板區塊因提前 return 永不顯示；cmp D023 same:true</t>
        </is>
      </c>
      <c r="P46" s="67" t="inlineStr">
        <is>
          <t>複驗未過</t>
        </is>
      </c>
      <c r="Q46" s="6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7" t="inlineStr">
        <is>
          <t>檢驗方 2026-09-24</t>
        </is>
      </c>
    </row>
    <row r="47" ht="219.75" customHeight="1" s="43">
      <c r="A47" s="61" t="inlineStr">
        <is>
          <t>R2</t>
        </is>
      </c>
      <c r="B47" s="61" t="inlineStr">
        <is>
          <t>DEF-005</t>
        </is>
      </c>
      <c r="C47" s="61" t="inlineStr">
        <is>
          <t>D-02</t>
        </is>
      </c>
      <c r="D47" s="61" t="inlineStr">
        <is>
          <t>2026-09-23</t>
        </is>
      </c>
      <c r="E47" s="65" t="inlineStr">
        <is>
          <t>同意驗證者。1.5 被洗成 15，試算與登錄鈕照常可用。</t>
        </is>
      </c>
      <c r="F47" s="66" t="inlineStr">
        <is>
          <t>web/corp-action-form.js:158 `const cleaned = n.value.replace(/[^0-9]/g, '');`</t>
        </is>
      </c>
      <c r="G47" s="65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5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6" t="inlineStr">
        <is>
          <t>e6fd9f4（已部署 demo）</t>
        </is>
      </c>
      <c r="L4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7" t="inlineStr">
        <is>
          <t>真實瀏覽器：交易帳本 › 公司行動 › ＋補登 → 分割，以鍵盤在「每持有」欄鍵入 1.5、「變成」欄鍵入 3</t>
        </is>
      </c>
      <c r="N47" s="6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8" t="inlineStr">
        <is>
          <t>1.5 不再被改寫；紅框＋行內錯誤＋試算不送＋登錄鈕停用</t>
        </is>
      </c>
      <c r="P47" s="67" t="inlineStr">
        <is>
          <t>複驗通過 → 結案</t>
        </is>
      </c>
      <c r="Q47" s="67" t="inlineStr">
        <is>
          <t>無</t>
        </is>
      </c>
      <c r="R47" s="67" t="inlineStr">
        <is>
          <t>檢驗方 2026-09-24</t>
        </is>
      </c>
    </row>
    <row r="48" ht="219.75" customHeight="1" s="43">
      <c r="A48" s="61" t="inlineStr">
        <is>
          <t>R2</t>
        </is>
      </c>
      <c r="B48" s="61" t="inlineStr">
        <is>
          <t>DEF-020</t>
        </is>
      </c>
      <c r="C48" s="61" t="inlineStr">
        <is>
          <t>D-10</t>
        </is>
      </c>
      <c r="D48" s="61" t="inlineStr">
        <is>
          <t>2026-09-23</t>
        </is>
      </c>
      <c r="E48" s="65" t="inlineStr">
        <is>
          <t>同意驗證者。兩支請求非原子；刪除只刪行動列，出金留在資金收支。</t>
        </is>
      </c>
      <c r="F48" s="66" t="inlineStr">
        <is>
          <t>web/corp-action-form.js:713 `await bookReorgFee(body, fFee.value.trim(), …)`；data_ingestion/store.py:1111 `conn.execute("DELETE FROM corporate_actions WHERE id=?", (action_id,))`</t>
        </is>
      </c>
      <c r="G48" s="65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5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5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6" t="inlineStr">
        <is>
          <t>e6fd9f4（已部署 demo）</t>
        </is>
      </c>
      <c r="L4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7" t="inlineStr">
        <is>
          <t>真實瀏覽器：公司行動 2884 每 1 股→2 股＋重組費用 50 登錄 → 刪除；另以重組費用 99,999,999 測原子性</t>
        </is>
      </c>
      <c r="N48" s="6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7" t="inlineStr">
        <is>
          <t>單一請求、刪除連帶刪出金、費用被拒時整筆不寫；cmp D020 same:true</t>
        </is>
      </c>
      <c r="P48" s="67" t="inlineStr">
        <is>
          <t>複驗通過 → 結案</t>
        </is>
      </c>
      <c r="Q48" s="67" t="inlineStr">
        <is>
          <t>觀察（不另開）：公司行動帳本列未顯示該筆的重組費用（只有編輯框有），使用者要到刪除框才知道有連帶出金</t>
        </is>
      </c>
      <c r="R48" s="67" t="inlineStr">
        <is>
          <t>檢驗方 2026-09-24</t>
        </is>
      </c>
    </row>
    <row r="49" ht="219.75" customHeight="1" s="43">
      <c r="A49" s="61" t="inlineStr">
        <is>
          <t>R2</t>
        </is>
      </c>
      <c r="B49" s="61" t="inlineStr">
        <is>
          <t>DEF-021</t>
        </is>
      </c>
      <c r="C49" s="61" t="inlineStr">
        <is>
          <t>D-10</t>
        </is>
      </c>
      <c r="D49" s="61" t="inlineStr">
        <is>
          <t>2026-09-23</t>
        </is>
      </c>
      <c r="E49" s="65" t="inlineStr">
        <is>
          <t>同意驗證者。docstring 宣稱「入口會說明」，入口從未說；刪除不回搬。</t>
        </is>
      </c>
      <c r="F49" s="66" t="inlineStr">
        <is>
          <t>store.py:220 `⚠ **Not reversible.** Deleting the EXCHANGE does not move the band back.`；ledgers.py:1899 `delete_corporate_action(conn, action_id)`；corp-action-form.js:263-265</t>
        </is>
      </c>
      <c r="G49" s="6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5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5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6" t="inlineStr">
        <is>
          <t>e6fd9f4（已部署 demo）</t>
        </is>
      </c>
      <c r="L4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7" t="inlineStr">
        <is>
          <t>可逆與不可逆兩條路徑的試算、刪除框、API、toast 皆一致；測畢 26 檔目標價全為空，cmp D021 same:true</t>
        </is>
      </c>
      <c r="P49" s="67" t="inlineStr">
        <is>
          <t>複驗通過 → 結案</t>
        </is>
      </c>
      <c r="Q49" s="6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7" t="inlineStr">
        <is>
          <t>檢驗方 2026-09-24</t>
        </is>
      </c>
    </row>
    <row r="50" ht="219.75" customHeight="1" s="43">
      <c r="A50" s="61" t="inlineStr">
        <is>
          <t>R2</t>
        </is>
      </c>
      <c r="B50" s="61" t="inlineStr">
        <is>
          <t>DEF-022</t>
        </is>
      </c>
      <c r="C50" s="61" t="inlineStr">
        <is>
          <t>D-11</t>
        </is>
      </c>
      <c r="D50" s="61" t="inlineStr">
        <is>
          <t>2026-09-23</t>
        </is>
      </c>
      <c r="E50" s="65" t="inlineStr">
        <is>
          <t>同意驗證者，且是一類：業務日期用非 app 時鐘產生。</t>
        </is>
      </c>
      <c r="F50" s="66" t="inlineStr">
        <is>
          <t>store.py:122 `stamp = (today or datetime.now(UTC).date()).isoformat()`</t>
        </is>
      </c>
      <c r="G50" s="6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5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5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6" t="inlineStr">
        <is>
          <t>e6fd9f4（已部署 demo）</t>
        </is>
      </c>
      <c r="L5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7" t="inlineStr">
        <is>
          <t>真實瀏覽器：UTC 2026-09-23T18:32Z（台北 2026-09-24 02:32）於觀察清單設 2884 目標價，再以換股試算／登錄讀 band_move.set_at</t>
        </is>
      </c>
      <c r="N50" s="6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8" t="inlineStr">
        <is>
          <t>set_at＝台北日期 2026-09-24（UTC 仍是 09-23）</t>
        </is>
      </c>
      <c r="P50" s="67" t="inlineStr">
        <is>
          <t>複驗通過 → 結案</t>
        </is>
      </c>
      <c r="Q50" s="67" t="inlineStr">
        <is>
          <t>無</t>
        </is>
      </c>
      <c r="R50" s="67" t="inlineStr">
        <is>
          <t>檢驗方 2026-09-24</t>
        </is>
      </c>
    </row>
    <row r="51" ht="219.75" customHeight="1" s="43">
      <c r="A51" s="61" t="inlineStr">
        <is>
          <t>R2</t>
        </is>
      </c>
      <c r="B51" s="61" t="inlineStr">
        <is>
          <t>DEF-027</t>
        </is>
      </c>
      <c r="C51" s="61" t="inlineStr">
        <is>
          <t>I-10</t>
        </is>
      </c>
      <c r="D51" s="61" t="inlineStr">
        <is>
          <t>2026-09-23</t>
        </is>
      </c>
      <c r="E51" s="65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5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5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6" t="inlineStr">
        <is>
          <t>e6fd9f4（已部署 demo）</t>
        </is>
      </c>
      <c r="L5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7" t="inlineStr">
        <is>
          <t>複驗通過 → 結案</t>
        </is>
      </c>
      <c r="Q51" s="6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7" t="inlineStr">
        <is>
          <t>檢驗方 2026-09-24</t>
        </is>
      </c>
    </row>
    <row r="52" ht="219.75" customHeight="1" s="43">
      <c r="A52" s="61" t="inlineStr">
        <is>
          <t>R2</t>
        </is>
      </c>
      <c r="B52" s="61" t="inlineStr">
        <is>
          <t>DEF-028</t>
        </is>
      </c>
      <c r="C52" s="61" t="inlineStr">
        <is>
          <t>I-10</t>
        </is>
      </c>
      <c r="D52" s="61" t="inlineStr">
        <is>
          <t>2026-09-23</t>
        </is>
      </c>
      <c r="E52" s="65" t="inlineStr">
        <is>
          <t>同意驗證者。</t>
        </is>
      </c>
      <c r="F52" s="66" t="inlineStr">
        <is>
          <t>web/broker-import.js:264-266 `const counts = (c.commit_order||[]).map((k) =&gt; KIND_ZH[k] + ' ' + c.counts[k]).join(' · ')`</t>
        </is>
      </c>
      <c r="G52" s="6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5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5" t="inlineStr">
        <is>
          <t>報告只出筆數的轉換結果面 共 1／修 1／白名單 0。</t>
        </is>
      </c>
      <c r="J52" s="6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6" t="inlineStr">
        <is>
          <t>e6fd9f4（已部署 demo）</t>
        </is>
      </c>
      <c r="L52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8" t="inlineStr">
        <is>
          <t>15 列來源全部可見（9 列可勾選寫入＋3 組被合併／抵銷含去向）；變異 1 failed</t>
        </is>
      </c>
      <c r="P52" s="67" t="inlineStr">
        <is>
          <t>複驗通過 → 結案</t>
        </is>
      </c>
      <c r="Q52" s="67" t="inlineStr">
        <is>
          <t>無</t>
        </is>
      </c>
      <c r="R52" s="67" t="inlineStr">
        <is>
          <t>檢驗方 2026-09-24</t>
        </is>
      </c>
    </row>
    <row r="53" ht="219.75" customHeight="1" s="43">
      <c r="A53" s="61" t="inlineStr">
        <is>
          <t>R2</t>
        </is>
      </c>
      <c r="B53" s="61" t="inlineStr">
        <is>
          <t>DEF-029</t>
        </is>
      </c>
      <c r="C53" s="61" t="inlineStr">
        <is>
          <t>I-11</t>
        </is>
      </c>
      <c r="D53" s="61" t="inlineStr">
        <is>
          <t>2026-09-23</t>
        </is>
      </c>
      <c r="E53" s="65" t="inlineStr">
        <is>
          <t>同意驗證者。</t>
        </is>
      </c>
      <c r="F53" s="6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5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6" t="inlineStr">
        <is>
          <t>e6fd9f4（已部署 demo）</t>
        </is>
      </c>
      <c r="L5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7" t="inlineStr">
        <is>
          <t>下拉只列嘉信帳戶；API 錯配回 blocking account_broker_mismatch；變異 2 failed</t>
        </is>
      </c>
      <c r="P53" s="67" t="inlineStr">
        <is>
          <t>複驗通過 → 結案</t>
        </is>
      </c>
      <c r="Q53" s="67" t="inlineStr">
        <is>
          <t>無</t>
        </is>
      </c>
      <c r="R53" s="67" t="inlineStr">
        <is>
          <t>檢驗方 2026-09-24</t>
        </is>
      </c>
    </row>
    <row r="54" ht="219.75" customHeight="1" s="43">
      <c r="A54" s="61" t="inlineStr">
        <is>
          <t>R2</t>
        </is>
      </c>
      <c r="B54" s="61" t="inlineStr">
        <is>
          <t>DEF-001</t>
        </is>
      </c>
      <c r="C54" s="61" t="inlineStr">
        <is>
          <t>I-03</t>
        </is>
      </c>
      <c r="D54" s="61" t="inlineStr">
        <is>
          <t>2026-09-23</t>
        </is>
      </c>
      <c r="E54" s="65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6" t="inlineStr">
        <is>
          <t>export/tax.py:89 `if r.kind not in ("sale", "short_cover"): continue`（位於 :103 `adjusted_subtotal[r.quote_ccy] += r.realized` 之前）</t>
        </is>
      </c>
      <c r="G54" s="6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5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5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5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6" t="inlineStr">
        <is>
          <t>e6fd9f4（已部署 demo）</t>
        </is>
      </c>
      <c r="L5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7" t="inlineStr">
        <is>
          <t>真實瀏覽器：交易帳本 › 稅務包（2026 年度）→ 攔截下載的 ZIP 於頁內解壓讀 summary.md，與 GET /api/dashboard returns.by_currency 比對</t>
        </is>
      </c>
      <c r="N54" s="6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7" t="inlineStr">
        <is>
          <t>對帳欄與儀表板逐字一致，差額 5,200 有具名拆分</t>
        </is>
      </c>
      <c r="P54" s="67" t="inlineStr">
        <is>
          <t>複驗通過 → 結案</t>
        </is>
      </c>
      <c r="Q54" s="67" t="inlineStr">
        <is>
          <t>無</t>
        </is>
      </c>
      <c r="R54" s="67" t="inlineStr">
        <is>
          <t>檢驗方 2026-09-24</t>
        </is>
      </c>
    </row>
    <row r="55" ht="219.75" customHeight="1" s="43">
      <c r="A55" s="61" t="inlineStr">
        <is>
          <t>R2</t>
        </is>
      </c>
      <c r="B55" s="61" t="inlineStr">
        <is>
          <t>DEF-026</t>
        </is>
      </c>
      <c r="C55" s="61" t="inlineStr">
        <is>
          <t>I-13</t>
        </is>
      </c>
      <c r="D55" s="61" t="inlineStr">
        <is>
          <t>2026-09-23</t>
        </is>
      </c>
      <c r="E55" s="65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5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5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6" t="inlineStr">
        <is>
          <t>e6fd9f4（已部署 demo）</t>
        </is>
      </c>
      <c r="L5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7" t="inlineStr">
        <is>
          <t>真實瀏覽器：交易帳本 › 匯出 CSV 原檔直接貼回「貼上 CSV」預覽並寫入 2 列，再以批次復原</t>
        </is>
      </c>
      <c r="N55" s="6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7" t="inlineStr">
        <is>
          <t>匯出→貼回可無損往返；復原後 cmp D026 same:true</t>
        </is>
      </c>
      <c r="P55" s="67" t="inlineStr">
        <is>
          <t>複驗通過 → 結案</t>
        </is>
      </c>
      <c r="Q55" s="68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7" t="inlineStr">
        <is>
          <t>檢驗方 2026-09-24</t>
        </is>
      </c>
    </row>
    <row r="56" ht="219.75" customHeight="1" s="43">
      <c r="A56" s="61" t="inlineStr">
        <is>
          <t>R2</t>
        </is>
      </c>
      <c r="B56" s="61" t="inlineStr">
        <is>
          <t>DEF-004</t>
        </is>
      </c>
      <c r="C56" s="61" t="inlineStr">
        <is>
          <t>I-04</t>
        </is>
      </c>
      <c r="D56" s="61" t="inlineStr">
        <is>
          <t>2026-09-23</t>
        </is>
      </c>
      <c r="E56" s="65" t="inlineStr">
        <is>
          <t>同意驗證者。後端預覽已送出所有值，是前端只有一張交易用的表。</t>
        </is>
      </c>
      <c r="F56" s="66" t="inlineStr">
        <is>
          <t>web/trades.html:205 固定表頭；web/input.js:1256 `tr.appendChild(el('td', 'num', f.shares(d.quantity !== undefined ? d.quantity : d.shares)));`</t>
        </is>
      </c>
      <c r="G56" s="6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5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6" t="inlineStr">
        <is>
          <t>e6fd9f4（已部署 demo）</t>
        </is>
      </c>
      <c r="L5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7" t="inlineStr">
        <is>
          <t>真實瀏覽器：交易帳本 › 貼上 CSV，逐一選 5 種範本（交易／股利／資金／換匯／公司行動）→ 預覽</t>
        </is>
      </c>
      <c r="N56" s="6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8" t="inlineStr">
        <is>
          <t>5/5 範本預覽使用各自表頭與值</t>
        </is>
      </c>
      <c r="P56" s="67" t="inlineStr">
        <is>
          <t>複驗通過 → 結案</t>
        </is>
      </c>
      <c r="Q56" s="6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7" t="inlineStr">
        <is>
          <t>檢驗方 2026-09-24</t>
        </is>
      </c>
    </row>
    <row r="57" ht="219.75" customHeight="1" s="43">
      <c r="A57" s="61" t="inlineStr">
        <is>
          <t>R2</t>
        </is>
      </c>
      <c r="B57" s="61" t="inlineStr">
        <is>
          <t>DEF-019</t>
        </is>
      </c>
      <c r="C57" s="61" t="inlineStr">
        <is>
          <t>C-04b／C-05</t>
        </is>
      </c>
      <c r="D57" s="61" t="inlineStr">
        <is>
          <t>2026-09-23</t>
        </is>
      </c>
      <c r="E57" s="65" t="inlineStr">
        <is>
          <t>同意驗證者。復原是 broker-import.js 做的，它只重抓批次清單和帳本表格；交易輸入頁的持倉快取只有 input.js 自己寫入時才會清掉。</t>
        </is>
      </c>
      <c r="F57" s="6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5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5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5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6" t="inlineStr">
        <is>
          <t>e6fd9f4（已部署 demo）</t>
        </is>
      </c>
      <c r="L5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7" t="inlineStr">
        <is>
          <t>真實瀏覽器：手動輸入「賣出 2603」草稿開著時，於同頁復原匯入批次 11；讀網路請求與草稿持股提示</t>
        </is>
      </c>
      <c r="N57" s="6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7" t="inlineStr">
        <is>
          <t>復原後草稿持股即時更新；復原對話框文案已改為「將刪除這批匯入寫進帳本的 2 筆交易紀錄（來源：貼上 CSV）…」；cmp 相同</t>
        </is>
      </c>
      <c r="P57" s="67" t="inlineStr">
        <is>
          <t>複驗通過 → 結案</t>
        </is>
      </c>
      <c r="Q57" s="67" t="inlineStr">
        <is>
          <t>無</t>
        </is>
      </c>
      <c r="R57" s="67" t="inlineStr">
        <is>
          <t>檢驗方 2026-09-24</t>
        </is>
      </c>
    </row>
    <row r="58" ht="219.75" customHeight="1" s="43">
      <c r="A58" s="61" t="inlineStr">
        <is>
          <t>R2</t>
        </is>
      </c>
      <c r="B58" s="61" t="inlineStr">
        <is>
          <t>DEF-035</t>
        </is>
      </c>
      <c r="C58" s="61" t="inlineStr">
        <is>
          <t>F-04</t>
        </is>
      </c>
      <c r="D58" s="61" t="inlineStr">
        <is>
          <t>2026-09-23</t>
        </is>
      </c>
      <c r="E58" s="65" t="inlineStr">
        <is>
          <t>同意驗證者。</t>
        </is>
      </c>
      <c r="F58" s="66" t="inlineStr">
        <is>
          <t>web/input.js:1773/1808/1825 `tr.appendChild(el('td', 'col-text', d.account_id || ''));`；api/routers/input_center.py:1554 `if not body.text.strip() and not images:`</t>
        </is>
      </c>
      <c r="G58" s="6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5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5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6" t="inlineStr">
        <is>
          <t>e6fd9f4（已部署 demo）</t>
        </is>
      </c>
      <c r="L5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7" t="inlineStr">
        <is>
          <t>草稿可逐欄編輯、編輯後重驗不花費、中文帳戶名；未寫入，cmp D035 只差額度 0.0005936（本次解析花費）</t>
        </is>
      </c>
      <c r="P58" s="67" t="inlineStr">
        <is>
          <t>複驗通過 → 結案</t>
        </is>
      </c>
      <c r="Q58" s="67" t="inlineStr">
        <is>
          <t>無</t>
        </is>
      </c>
      <c r="R58" s="67" t="inlineStr">
        <is>
          <t>檢驗方 2026-09-24</t>
        </is>
      </c>
    </row>
    <row r="59" ht="219.75" customHeight="1" s="43">
      <c r="A59" s="61" t="inlineStr">
        <is>
          <t>R2</t>
        </is>
      </c>
      <c r="B59" s="61" t="inlineStr">
        <is>
          <t>DEF-036</t>
        </is>
      </c>
      <c r="C59" s="61" t="inlineStr">
        <is>
          <t>F-05</t>
        </is>
      </c>
      <c r="D59" s="61" t="inlineStr">
        <is>
          <t>2026-09-23</t>
        </is>
      </c>
      <c r="E59" s="65" t="inlineStr">
        <is>
          <t>同意驗證者。</t>
        </is>
      </c>
      <c r="F59" s="66" t="inlineStr">
        <is>
          <t>agents.py:92 `note: str | None = None`</t>
        </is>
      </c>
      <c r="G59" s="65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5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5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6" t="inlineStr">
        <is>
          <t>e6fd9f4（已部署 demo）</t>
        </is>
      </c>
      <c r="L5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7" t="inlineStr">
        <is>
          <t>同上一次 AI 解析：「2026/09/22 台灣券商 買進 玉山金 2884 100股 成交價 46 成交金額 50,000 元」</t>
        </is>
      </c>
      <c r="N59" s="6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7" t="inlineStr">
        <is>
          <t>矛盾被標示 warn、預設不勾；修正後即解除</t>
        </is>
      </c>
      <c r="P59" s="67" t="inlineStr">
        <is>
          <t>複驗通過 → 結案</t>
        </is>
      </c>
      <c r="Q59" s="67" t="inlineStr">
        <is>
          <t>無</t>
        </is>
      </c>
      <c r="R59" s="67" t="inlineStr">
        <is>
          <t>檢驗方 2026-09-24</t>
        </is>
      </c>
    </row>
    <row r="60" ht="219.75" customHeight="1" s="43">
      <c r="A60" s="61" t="inlineStr">
        <is>
          <t>R2</t>
        </is>
      </c>
      <c r="B60" s="61" t="inlineStr">
        <is>
          <t>DEF-007</t>
        </is>
      </c>
      <c r="C60" s="61" t="inlineStr">
        <is>
          <t>A-02</t>
        </is>
      </c>
      <c r="D60" s="61" t="inlineStr">
        <is>
          <t>2026-09-23</t>
        </is>
      </c>
      <c r="E60" s="65" t="inlineStr">
        <is>
          <t>同意驗證者。攔住 acq-rate 回應、使用者填 31.5 後放行：舊碼欄位變成 33、模式被切回「匯率」；提示句標輸入日。</t>
        </is>
      </c>
      <c r="F60" s="66" t="inlineStr">
        <is>
          <t>web/cash.js:936-939 `if (seq !== acqPrefillSeq) return; … $('#cm-acq-mode').value = 'rate'; $('#cm-acq').value = r.rate;`；:941</t>
        </is>
      </c>
      <c r="G60" s="65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5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6" t="inlineStr">
        <is>
          <t>e6fd9f4（已部署 demo）</t>
        </is>
      </c>
      <c r="L6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7" t="inlineStr">
        <is>
          <t>延遲回應不覆寫；提示日期＝匯率實際日；寫入 31,500；刪除後 cmp D007 same:true</t>
        </is>
      </c>
      <c r="P60" s="67" t="inlineStr">
        <is>
          <t>複驗通過 → 結案</t>
        </is>
      </c>
      <c r="Q60" s="67" t="inlineStr">
        <is>
          <t>無</t>
        </is>
      </c>
      <c r="R60" s="67" t="inlineStr">
        <is>
          <t>檢驗方 2026-09-24</t>
        </is>
      </c>
    </row>
    <row r="61" ht="219.75" customHeight="1" s="43">
      <c r="A61" s="61" t="inlineStr">
        <is>
          <t>R2</t>
        </is>
      </c>
      <c r="B61" s="61" t="inlineStr">
        <is>
          <t>DEF-008</t>
        </is>
      </c>
      <c r="C61" s="61" t="inlineStr">
        <is>
          <t>A-05／A-06</t>
        </is>
      </c>
      <c r="D61" s="61" t="inlineStr">
        <is>
          <t>2026-09-23</t>
        </is>
      </c>
      <c r="E61" s="65" t="inlineStr">
        <is>
          <t>同意驗證者。透支訊息有五個出處三種寫法；toast 副行印出錯誤碼。</t>
        </is>
      </c>
      <c r="F61" s="6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5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5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5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6" t="inlineStr">
        <is>
          <t>e6fd9f4（已部署 demo）</t>
        </is>
      </c>
      <c r="L6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7" t="inlineStr">
        <is>
          <t>真實瀏覽器：資金管理 › 台灣券商 2026-07-14 出金 4,000,000（前端放行、後端擋）；另以 API 送今日出金 6,067,596（餘額 6,067,595）</t>
        </is>
      </c>
      <c r="N61" s="6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7" t="inlineStr">
        <is>
          <t>兩條分支句型一致，無英文名、無原始碼、有日期；未寫入任何列（資金 34 列不變）</t>
        </is>
      </c>
      <c r="P61" s="67" t="inlineStr">
        <is>
          <t>複驗通過 → 結案</t>
        </is>
      </c>
      <c r="Q61" s="67" t="inlineStr">
        <is>
          <t>無</t>
        </is>
      </c>
      <c r="R61" s="67" t="inlineStr">
        <is>
          <t>檢驗方 2026-09-24</t>
        </is>
      </c>
    </row>
    <row r="62" ht="219.75" customHeight="1" s="43">
      <c r="A62" s="61" t="inlineStr">
        <is>
          <t>R2</t>
        </is>
      </c>
      <c r="B62" s="61" t="inlineStr">
        <is>
          <t>DEF-011</t>
        </is>
      </c>
      <c r="C62" s="61" t="inlineStr">
        <is>
          <t>A-16</t>
        </is>
      </c>
      <c r="D62" s="61" t="inlineStr">
        <is>
          <t>2026-09-23</t>
        </is>
      </c>
      <c r="E62" s="65" t="inlineStr">
        <is>
          <t>同意驗證者：是文案錯，行為符合 AI-D42（returns.py XIRR_CASH_KINDS 明列 REBATE）。</t>
        </is>
      </c>
      <c r="F62" s="66" t="inlineStr">
        <is>
          <t>web/dividend-inbox.html:69 `…&lt;b&gt;不計入成本／損益／XIRR&lt;/b&gt;`</t>
        </is>
      </c>
      <c r="G62" s="65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5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5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5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6" t="inlineStr">
        <is>
          <t>e6fd9f4（已部署 demo）</t>
        </is>
      </c>
      <c r="L62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7" t="inlineStr">
        <is>
          <t>真實瀏覽器：收件匣 › 待確認退款（折讓款）區塊標題、每張卡與頁尾說明文字</t>
        </is>
      </c>
      <c r="N62" s="6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7" t="inlineStr">
        <is>
          <t>三處文案與實際影響一致</t>
        </is>
      </c>
      <c r="P62" s="67" t="inlineStr">
        <is>
          <t>複驗通過 → 結案</t>
        </is>
      </c>
      <c r="Q62" s="67" t="inlineStr">
        <is>
          <t>無</t>
        </is>
      </c>
      <c r="R62" s="67" t="inlineStr">
        <is>
          <t>檢驗方 2026-09-24</t>
        </is>
      </c>
    </row>
    <row r="63" ht="219.75" customHeight="1" s="43">
      <c r="A63" s="61" t="inlineStr">
        <is>
          <t>R2</t>
        </is>
      </c>
      <c r="B63" s="61" t="inlineStr">
        <is>
          <t>DEF-015</t>
        </is>
      </c>
      <c r="C63" s="61" t="inlineStr">
        <is>
          <t>C-01</t>
        </is>
      </c>
      <c r="D63" s="61" t="inlineStr">
        <is>
          <t>2026-09-23</t>
        </is>
      </c>
      <c r="E63" s="65" t="inlineStr">
        <is>
          <t>同意驗證者。</t>
        </is>
      </c>
      <c r="F63" s="66" t="inlineStr">
        <is>
          <t>api/dividend_inbox.py:208 `return f"{len(summary.ok)} 檔事件已更新，{len(summary.failed)} 檔失敗"`；pricing/registry.py:101 `except Exception:  # noqa: BLE001 … continue`</t>
        </is>
      </c>
      <c r="G63" s="6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5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5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6" t="inlineStr">
        <is>
          <t>e6fd9f4（已部署 demo）</t>
        </is>
      </c>
      <c r="L63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7" t="inlineStr">
        <is>
          <t>真實瀏覽器：收件匣 › 待確認匯入 › 重新偵測（外部來源 yfinance）</t>
        </is>
      </c>
      <c r="N63" s="6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8" t="inlineStr">
        <is>
          <t>toast 與狀態列點名 TSLA 與原因；收件匣仍 7 筆</t>
        </is>
      </c>
      <c r="P63" s="67" t="inlineStr">
        <is>
          <t>複驗通過 → 結案</t>
        </is>
      </c>
      <c r="Q63" s="6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7" t="inlineStr">
        <is>
          <t>檢驗方 2026-09-24</t>
        </is>
      </c>
    </row>
    <row r="64" ht="219.75" customHeight="1" s="43">
      <c r="A64" s="61" t="inlineStr">
        <is>
          <t>R2</t>
        </is>
      </c>
      <c r="B64" s="61" t="inlineStr">
        <is>
          <t>DEF-017</t>
        </is>
      </c>
      <c r="C64" s="61" t="inlineStr">
        <is>
          <t>C-04</t>
        </is>
      </c>
      <c r="D64" s="61" t="inlineStr">
        <is>
          <t>2026-09-23</t>
        </is>
      </c>
      <c r="E64" s="65" t="inlineStr">
        <is>
          <t>同意驗證者。手動股利表單走匯入管線（刻意的單一驗證門），但批次計數與帳本脫節。</t>
        </is>
      </c>
      <c r="F64" s="6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5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5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5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6" t="inlineStr">
        <is>
          <t>e6fd9f4（已部署 demo）</t>
        </is>
      </c>
      <c r="L64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7" t="inlineStr">
        <is>
          <t>真實瀏覽器：交易帳本 › 股利表單寫入 2884 現金股利 100（2026-09-23）→ 於帳本股利分頁刪除 → 同頁回 CSV 匯入看「最近匯入」並按復原</t>
        </is>
      </c>
      <c r="N64" s="6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8" t="inlineStr">
        <is>
          <t>API 正確；同頁清單與復原對話框未刷新，仍寫「將刪除 1 筆」而實刪 0 筆；cmp D017 same:true</t>
        </is>
      </c>
      <c r="P64" s="67" t="inlineStr">
        <is>
          <t>部分通過</t>
        </is>
      </c>
      <c r="Q64" s="6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7" t="inlineStr">
        <is>
          <t>檢驗方 2026-09-24</t>
        </is>
      </c>
    </row>
    <row r="65" ht="219.75" customHeight="1" s="43">
      <c r="A65" s="61" t="inlineStr">
        <is>
          <t>R2</t>
        </is>
      </c>
      <c r="B65" s="61" t="inlineStr">
        <is>
          <t>DEF-002</t>
        </is>
      </c>
      <c r="C65" s="61" t="inlineStr">
        <is>
          <t>J-05</t>
        </is>
      </c>
      <c r="D65" s="61" t="inlineStr">
        <is>
          <t>2026-09-23</t>
        </is>
      </c>
      <c r="E65" s="65" t="inlineStr">
        <is>
          <t>同意驗證者。修前實測 1,440px 時 scrollWidth 3,874、390px 時 3,673；兩層原因：變數表沒包捲動容器＋td nowrap。</t>
        </is>
      </c>
      <c r="F65" s="66" t="inlineStr">
        <is>
          <t>web/settings-prompts.js:724 `const table = el('table', 'data vars-table');`；:777 `sec.appendChild(table);`；web/styles.css:866 `table.data td { white-space: nowrap; }`</t>
        </is>
      </c>
      <c r="G65" s="65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5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5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5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6" t="inlineStr">
        <is>
          <t>e6fd9f4（已部署 demo）</t>
        </is>
      </c>
      <c r="L65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8" t="inlineStr">
        <is>
          <t>390px 展開後 scrollWidth 390；13 頁皆無整頁橫捲</t>
        </is>
      </c>
      <c r="P65" s="67" t="inlineStr">
        <is>
          <t>複驗通過 → 結案</t>
        </is>
      </c>
      <c r="Q65" s="6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7" t="inlineStr">
        <is>
          <t>檢驗方 2026-09-24</t>
        </is>
      </c>
    </row>
    <row r="66" ht="219.75" customHeight="1" s="43">
      <c r="A66" s="61" t="inlineStr">
        <is>
          <t>R2</t>
        </is>
      </c>
      <c r="B66" s="61" t="inlineStr">
        <is>
          <t>DEF-031</t>
        </is>
      </c>
      <c r="C66" s="61" t="inlineStr">
        <is>
          <t>H-04／H-05</t>
        </is>
      </c>
      <c r="D66" s="61" t="inlineStr">
        <is>
          <t>2026-09-23</t>
        </is>
      </c>
      <c r="E66" s="65" t="inlineStr">
        <is>
          <t>同意驗證者。按鈕只有 toast；乾跑預檢 R2/R4 的 edit_universe 修正動作導向的也是這顆按鈕。</t>
        </is>
      </c>
      <c r="F66" s="6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5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5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6" t="inlineStr">
        <is>
          <t>e6fd9f4（已部署 demo）</t>
        </is>
      </c>
      <c r="L66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7" t="inlineStr">
        <is>
          <t>編輯標的可用且寫回；暫存任務已刪除、無花費</t>
        </is>
      </c>
      <c r="P66" s="67" t="inlineStr">
        <is>
          <t>複驗通過 → 結案</t>
        </is>
      </c>
      <c r="Q66" s="67" t="inlineStr">
        <is>
          <t>無</t>
        </is>
      </c>
      <c r="R66" s="67" t="inlineStr">
        <is>
          <t>檢驗方 2026-09-24</t>
        </is>
      </c>
    </row>
    <row r="67" ht="219.75" customHeight="1" s="43">
      <c r="A67" s="61" t="inlineStr">
        <is>
          <t>R2</t>
        </is>
      </c>
      <c r="B67" s="61" t="inlineStr">
        <is>
          <t>DEF-032</t>
        </is>
      </c>
      <c r="C67" s="61" t="inlineStr">
        <is>
          <t>H-04</t>
        </is>
      </c>
      <c r="D67" s="61" t="inlineStr">
        <is>
          <t>2026-09-23</t>
        </is>
      </c>
      <c r="E67" s="65" t="inlineStr">
        <is>
          <t>同意驗證者，並發現延伸後果：兩個 AAPL 都勾會存成 ["AAPL","AAPL"]，後端自選模式沒去重 → 同一代號產生 2 張卡、收 2 次費用。</t>
        </is>
      </c>
      <c r="F67" s="66" t="inlineStr">
        <is>
          <t>web/pipeline-wizard.js:82 `REF.held = (…holdings…).map(function (h) { return h.symbol; });`；insight_service.py:142 `return list(syms) if isinstance(syms, list) else []`</t>
        </is>
      </c>
      <c r="G67" s="6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5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5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6" t="inlineStr">
        <is>
          <t>e6fd9f4（已部署 demo）</t>
        </is>
      </c>
      <c r="L67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7" t="inlineStr">
        <is>
          <t>真實瀏覽器：洞察管線 › ＋新增洞察任務 → 先不排程 → 單一標的 → 看範圍計數與管線預覽 → 自選標的清單</t>
        </is>
      </c>
      <c r="N67" s="6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8" t="inlineStr">
        <is>
          <t>13 檔／26 檔，AAPL 單一勾選框</t>
        </is>
      </c>
      <c r="P67" s="67" t="inlineStr">
        <is>
          <t>複驗通過 → 結案</t>
        </is>
      </c>
      <c r="Q67" s="67" t="inlineStr">
        <is>
          <t>防護提醒：後端去重的變異測試 5 passed（沒有測試抓到後端回傳重複列），目前靠前端彙整；建議補後端契約測試</t>
        </is>
      </c>
      <c r="R67" s="67" t="inlineStr">
        <is>
          <t>檢驗方 2026-09-24</t>
        </is>
      </c>
    </row>
    <row r="68" ht="219.75" customHeight="1" s="43">
      <c r="A68" s="61" t="inlineStr">
        <is>
          <t>R2</t>
        </is>
      </c>
      <c r="B68" s="61" t="inlineStr">
        <is>
          <t>DEF-034</t>
        </is>
      </c>
      <c r="C68" s="61" t="inlineStr">
        <is>
          <t>F-03</t>
        </is>
      </c>
      <c r="D68" s="61" t="inlineStr">
        <is>
          <t>2026-09-23</t>
        </is>
      </c>
      <c r="E68" s="65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6" t="inlineStr">
        <is>
          <t>web/settings-llm.js:611 `initAutoAiToggle();`；:627 `t.addEventListener('click', async () =&gt; {`</t>
        </is>
      </c>
      <c r="G68" s="65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5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5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5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6" t="inlineStr">
        <is>
          <t>e6fd9f4（已部署 demo）</t>
        </is>
      </c>
      <c r="L68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7" t="inlineStr">
        <is>
          <t>兩次儲存後點一下＝1 次 PUT；閾值與開關皆已還原（1.00、true）</t>
        </is>
      </c>
      <c r="P68" s="67" t="inlineStr">
        <is>
          <t>複驗通過 → 結案</t>
        </is>
      </c>
      <c r="Q68" s="67" t="inlineStr">
        <is>
          <t>無</t>
        </is>
      </c>
      <c r="R68" s="67" t="inlineStr">
        <is>
          <t>檢驗方 2026-09-24</t>
        </is>
      </c>
    </row>
    <row r="69" ht="219.75" customHeight="1" s="43">
      <c r="A69" s="61" t="inlineStr">
        <is>
          <t>R2</t>
        </is>
      </c>
      <c r="B69" s="61" t="inlineStr">
        <is>
          <t>DEF-038</t>
        </is>
      </c>
      <c r="C69" s="61" t="inlineStr">
        <is>
          <t>E-01</t>
        </is>
      </c>
      <c r="D69" s="61" t="inlineStr">
        <is>
          <t>2026-09-23</t>
        </is>
      </c>
      <c r="E69" s="65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6" t="inlineStr">
        <is>
          <t>web/shell.js:425 `btn.title = '更新報價或重建統計（後端接線後生效）';`；web/pipeline-hub.html:47 `&lt;a class="pp-asset" href="settings.html"&gt;`</t>
        </is>
      </c>
      <c r="G69" s="65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5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5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6" t="inlineStr">
        <is>
          <t>e6fd9f4（已部署 demo）</t>
        </is>
      </c>
      <c r="L69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7" t="inlineStr">
        <is>
          <t>真實瀏覽器：儀表板「⟳重新整理」tooltip；洞察管線 › 點「進化設定 5 項安全邊界」</t>
        </is>
      </c>
      <c r="N69" s="6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8" t="inlineStr">
        <is>
          <t>tooltip 已改；深連結落在自我進化設定</t>
        </is>
      </c>
      <c r="P69" s="67" t="inlineStr">
        <is>
          <t>複驗通過 → 結案</t>
        </is>
      </c>
      <c r="Q69" s="67" t="inlineStr">
        <is>
          <t>無</t>
        </is>
      </c>
      <c r="R69" s="67" t="inlineStr">
        <is>
          <t>檢驗方 2026-09-24</t>
        </is>
      </c>
    </row>
    <row r="70" ht="219.75" customHeight="1" s="43">
      <c r="A70" s="61" t="inlineStr">
        <is>
          <t>R2</t>
        </is>
      </c>
      <c r="B70" s="61" t="inlineStr">
        <is>
          <t>DEF-030</t>
        </is>
      </c>
      <c r="C70" s="61" t="inlineStr">
        <is>
          <t>H-04</t>
        </is>
      </c>
      <c r="D70" s="61" t="inlineStr">
        <is>
          <t>2026-09-23</t>
        </is>
      </c>
      <c r="E70" s="65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5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5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6" t="inlineStr">
        <is>
          <t>e6fd9f4（已部署 demo）</t>
        </is>
      </c>
      <c r="L70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7" t="inlineStr">
        <is>
          <t>立即執行成功、名稱顯示、暫停狀態同步；任務已重新啟用</t>
        </is>
      </c>
      <c r="P70" s="67" t="inlineStr">
        <is>
          <t>複驗通過 → 結案</t>
        </is>
      </c>
      <c r="Q70" s="67" t="inlineStr">
        <is>
          <t>小瑕疵（不另開）：立即執行的 toast 仍寫「✓ 已排入執行 insight:7 #180」（job id 而非任務名）。本案花費 $0.0023063</t>
        </is>
      </c>
      <c r="R70" s="67" t="inlineStr">
        <is>
          <t>檢驗方 2026-09-24</t>
        </is>
      </c>
    </row>
    <row r="71" ht="219.75" customHeight="1" s="43">
      <c r="A71" s="61" t="inlineStr">
        <is>
          <t>R2</t>
        </is>
      </c>
      <c r="B71" s="61" t="inlineStr">
        <is>
          <t>DEF-037</t>
        </is>
      </c>
      <c r="C71" s="61" t="inlineStr">
        <is>
          <t>G-09</t>
        </is>
      </c>
      <c r="D71" s="61" t="inlineStr">
        <is>
          <t>2026-09-23</t>
        </is>
      </c>
      <c r="E71" s="65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5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5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5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6" t="inlineStr">
        <is>
          <t>e6fd9f4（已部署 demo）</t>
        </is>
      </c>
      <c r="L71" s="65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7" t="inlineStr">
        <is>
          <t>帳戶層級預警不再產卡；卡片可追溯觸發預警；本案花費 $0.0007319；26 檔目標價皆已改回空白</t>
        </is>
      </c>
      <c r="P71" s="67" t="inlineStr">
        <is>
          <t>複驗通過 → 結案</t>
        </is>
      </c>
      <c r="Q71" s="68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7" t="inlineStr">
        <is>
          <t>檢驗方 2026-09-24</t>
        </is>
      </c>
    </row>
    <row r="72" ht="15" customHeight="1" s="43">
      <c r="A72" s="61" t="inlineStr">
        <is>
          <t>R2</t>
        </is>
      </c>
      <c r="B72" s="61" t="inlineStr">
        <is>
          <t>DEF-003</t>
        </is>
      </c>
      <c r="C72" s="61" t="inlineStr">
        <is>
          <t>G-06</t>
        </is>
      </c>
      <c r="D72" s="61" t="inlineStr">
        <is>
          <t>2026-09-24</t>
        </is>
      </c>
      <c r="E72" s="65" t="inlineStr">
        <is>
          <t>—（Owner 裁定列，本輪未修）</t>
        </is>
      </c>
      <c r="F72" s="66" t="inlineStr">
        <is>
          <t>—</t>
        </is>
      </c>
      <c r="G72" s="66" t="inlineStr">
        <is>
          <t>—</t>
        </is>
      </c>
      <c r="H72" s="66" t="inlineStr">
        <is>
          <t>—</t>
        </is>
      </c>
      <c r="I72" s="66" t="inlineStr">
        <is>
          <t>—</t>
        </is>
      </c>
      <c r="J72" s="66" t="inlineStr">
        <is>
          <t>—</t>
        </is>
      </c>
      <c r="K72" s="66" t="inlineStr">
        <is>
          <t>—</t>
        </is>
      </c>
      <c r="L72" s="66" t="inlineStr">
        <is>
          <t>—</t>
        </is>
      </c>
      <c r="M72" s="67" t="inlineStr">
        <is>
          <t>非複驗：Owner 裁定（驗證者整理 2～3 個方案供選，Owner 選定）</t>
        </is>
      </c>
      <c r="N72" s="67" t="inlineStr">
        <is>
          <t>裁定：以 prediction 為準：prediction 為空的卡一律顯示「純描述・無預測」，不顯示信心值，也不進校準曲線。</t>
        </is>
      </c>
      <c r="O72" s="67" t="inlineStr">
        <is>
          <t>改程式；G-06 期望不變（現行行為不符 → 交開發者）</t>
        </is>
      </c>
      <c r="P72" s="68" t="inlineStr">
        <is>
          <t>FAIL</t>
        </is>
      </c>
      <c r="Q72" s="67" t="inlineStr">
        <is>
          <t>依裁定現行行為不符 → 狀態改「新開」交開發者</t>
        </is>
      </c>
      <c r="R72" s="67" t="inlineStr">
        <is>
          <t>檢驗方 2026-09-24</t>
        </is>
      </c>
    </row>
    <row r="73" ht="15" customHeight="1" s="43">
      <c r="A73" s="61" t="inlineStr">
        <is>
          <t>R2</t>
        </is>
      </c>
      <c r="B73" s="61" t="inlineStr">
        <is>
          <t>DEF-006</t>
        </is>
      </c>
      <c r="C73" s="61" t="inlineStr">
        <is>
          <t>A-01</t>
        </is>
      </c>
      <c r="D73" s="61" t="inlineStr">
        <is>
          <t>2026-09-24</t>
        </is>
      </c>
      <c r="E73" s="65" t="inlineStr">
        <is>
          <t>—（Owner 裁定列，本輪未修）</t>
        </is>
      </c>
      <c r="F73" s="66" t="inlineStr">
        <is>
          <t>—</t>
        </is>
      </c>
      <c r="G73" s="66" t="inlineStr">
        <is>
          <t>—</t>
        </is>
      </c>
      <c r="H73" s="66" t="inlineStr">
        <is>
          <t>—</t>
        </is>
      </c>
      <c r="I73" s="66" t="inlineStr">
        <is>
          <t>—</t>
        </is>
      </c>
      <c r="J73" s="66" t="inlineStr">
        <is>
          <t>—</t>
        </is>
      </c>
      <c r="K73" s="66" t="inlineStr">
        <is>
          <t>—</t>
        </is>
      </c>
      <c r="L73" s="66" t="inlineStr">
        <is>
          <t>—</t>
        </is>
      </c>
      <c r="M73" s="67" t="inlineStr">
        <is>
          <t>非複驗：Owner 裁定（驗證者整理 2～3 個方案供選，Owner 選定）</t>
        </is>
      </c>
      <c r="N73" s="67" t="inlineStr">
        <is>
          <t>裁定：維持中性色：入金實心、出金外框（方向不是損益，不用紅綠），不改 CSS。</t>
        </is>
      </c>
      <c r="O73" s="67" t="inlineStr">
        <is>
          <t>改手冊：A-01／A-04／A-09 期望改為「方向 chip 為中性色：入金實心、出金外框」。依 §5 驗證者不改 .md 與 F 欄，請 owner／開發者下一輪同步</t>
        </is>
      </c>
      <c r="P73" s="67" t="inlineStr">
        <is>
          <t>複驗通過 → 結案</t>
        </is>
      </c>
      <c r="Q73" s="67" t="inlineStr">
        <is>
          <t>依裁定改判非缺陷；手冊期望待同步</t>
        </is>
      </c>
      <c r="R73" s="67" t="inlineStr">
        <is>
          <t>檢驗方 2026-09-24</t>
        </is>
      </c>
    </row>
    <row r="74" ht="15" customHeight="1" s="43">
      <c r="A74" s="61" t="inlineStr">
        <is>
          <t>R2</t>
        </is>
      </c>
      <c r="B74" s="61" t="inlineStr">
        <is>
          <t>DEF-009</t>
        </is>
      </c>
      <c r="C74" s="61" t="inlineStr">
        <is>
          <t>A-11</t>
        </is>
      </c>
      <c r="D74" s="61" t="inlineStr">
        <is>
          <t>2026-09-24</t>
        </is>
      </c>
      <c r="E74" s="65" t="inlineStr">
        <is>
          <t>—（Owner 裁定列，本輪未修）</t>
        </is>
      </c>
      <c r="F74" s="66" t="inlineStr">
        <is>
          <t>—</t>
        </is>
      </c>
      <c r="G74" s="66" t="inlineStr">
        <is>
          <t>—</t>
        </is>
      </c>
      <c r="H74" s="66" t="inlineStr">
        <is>
          <t>—</t>
        </is>
      </c>
      <c r="I74" s="66" t="inlineStr">
        <is>
          <t>—</t>
        </is>
      </c>
      <c r="J74" s="66" t="inlineStr">
        <is>
          <t>—</t>
        </is>
      </c>
      <c r="K74" s="66" t="inlineStr">
        <is>
          <t>—</t>
        </is>
      </c>
      <c r="L74" s="66" t="inlineStr">
        <is>
          <t>—</t>
        </is>
      </c>
      <c r="M74" s="67" t="inlineStr">
        <is>
          <t>非複驗：Owner 裁定（驗證者整理 2～3 個方案供選，Owner 選定）</t>
        </is>
      </c>
      <c r="N74" s="6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7" t="inlineStr">
        <is>
          <t>改程式＋改手冊：A-11② 期望改為「折讓款列整列可編輯（與手動輸入的資金列相同），編輯寫入稽核軌跡」</t>
        </is>
      </c>
      <c r="P74" s="68" t="inlineStr">
        <is>
          <t>FAIL</t>
        </is>
      </c>
      <c r="Q74" s="67" t="inlineStr">
        <is>
          <t>依裁定現行行為不符 → 狀態改「新開」交開發者</t>
        </is>
      </c>
      <c r="R74" s="67" t="inlineStr">
        <is>
          <t>檢驗方 2026-09-24</t>
        </is>
      </c>
    </row>
    <row r="75" ht="15" customHeight="1" s="43">
      <c r="A75" s="61" t="inlineStr">
        <is>
          <t>R2</t>
        </is>
      </c>
      <c r="B75" s="61" t="inlineStr">
        <is>
          <t>DEF-010</t>
        </is>
      </c>
      <c r="C75" s="61" t="inlineStr">
        <is>
          <t>B-16</t>
        </is>
      </c>
      <c r="D75" s="61" t="inlineStr">
        <is>
          <t>2026-09-24</t>
        </is>
      </c>
      <c r="E75" s="65" t="inlineStr">
        <is>
          <t>—（Owner 裁定列，本輪未修）</t>
        </is>
      </c>
      <c r="F75" s="66" t="inlineStr">
        <is>
          <t>—</t>
        </is>
      </c>
      <c r="G75" s="66" t="inlineStr">
        <is>
          <t>—</t>
        </is>
      </c>
      <c r="H75" s="66" t="inlineStr">
        <is>
          <t>—</t>
        </is>
      </c>
      <c r="I75" s="66" t="inlineStr">
        <is>
          <t>—</t>
        </is>
      </c>
      <c r="J75" s="66" t="inlineStr">
        <is>
          <t>—</t>
        </is>
      </c>
      <c r="K75" s="66" t="inlineStr">
        <is>
          <t>—</t>
        </is>
      </c>
      <c r="L75" s="66" t="inlineStr">
        <is>
          <t>—</t>
        </is>
      </c>
      <c r="M75" s="67" t="inlineStr">
        <is>
          <t>非複驗：Owner 裁定（驗證者整理 2～3 個方案供選，Owner 選定）</t>
        </is>
      </c>
      <c r="N75" s="6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7" t="inlineStr">
        <is>
          <t>改程式＋資料清理；B-16 補「快照已打折（discount&lt;1）的交易不列入退款預估」</t>
        </is>
      </c>
      <c r="P75" s="68" t="inlineStr">
        <is>
          <t>FAIL</t>
        </is>
      </c>
      <c r="Q75" s="67" t="inlineStr">
        <is>
          <t>依裁定現行行為不符 → 狀態改「新開」交開發者</t>
        </is>
      </c>
      <c r="R75" s="67" t="inlineStr">
        <is>
          <t>檢驗方 2026-09-24</t>
        </is>
      </c>
    </row>
    <row r="76" ht="15" customHeight="1" s="43">
      <c r="A76" s="61" t="inlineStr">
        <is>
          <t>R2</t>
        </is>
      </c>
      <c r="B76" s="61" t="inlineStr">
        <is>
          <t>DEF-013</t>
        </is>
      </c>
      <c r="C76" s="61" t="inlineStr">
        <is>
          <t>B-10</t>
        </is>
      </c>
      <c r="D76" s="61" t="inlineStr">
        <is>
          <t>2026-09-24</t>
        </is>
      </c>
      <c r="E76" s="65" t="inlineStr">
        <is>
          <t>—（Owner 裁定列，本輪未修）</t>
        </is>
      </c>
      <c r="F76" s="66" t="inlineStr">
        <is>
          <t>—</t>
        </is>
      </c>
      <c r="G76" s="66" t="inlineStr">
        <is>
          <t>—</t>
        </is>
      </c>
      <c r="H76" s="66" t="inlineStr">
        <is>
          <t>—</t>
        </is>
      </c>
      <c r="I76" s="66" t="inlineStr">
        <is>
          <t>—</t>
        </is>
      </c>
      <c r="J76" s="66" t="inlineStr">
        <is>
          <t>—</t>
        </is>
      </c>
      <c r="K76" s="66" t="inlineStr">
        <is>
          <t>—</t>
        </is>
      </c>
      <c r="L76" s="66" t="inlineStr">
        <is>
          <t>—</t>
        </is>
      </c>
      <c r="M76" s="67" t="inlineStr">
        <is>
          <t>非複驗：Owner 裁定（驗證者整理 2～3 個方案供選，Owner 選定）</t>
        </is>
      </c>
      <c r="N76" s="67" t="inlineStr">
        <is>
          <t>裁定：允許「當沖＋放空」組合（台股現股當沖可先賣後買）；表單加組合說明，交易帳本列標示「當沖」「放空」。</t>
        </is>
      </c>
      <c r="O76" s="67" t="inlineStr">
        <is>
          <t>改程式；B-10③ 期望改為「允許組合，表單有組合說明，帳本列可見兩個標示」</t>
        </is>
      </c>
      <c r="P76" s="68" t="inlineStr">
        <is>
          <t>FAIL</t>
        </is>
      </c>
      <c r="Q76" s="67" t="inlineStr">
        <is>
          <t>依裁定現行行為不符 → 狀態改「新開」交開發者</t>
        </is>
      </c>
      <c r="R76" s="67" t="inlineStr">
        <is>
          <t>檢驗方 2026-09-24</t>
        </is>
      </c>
    </row>
    <row r="77" ht="15" customHeight="1" s="43">
      <c r="A77" s="61" t="inlineStr">
        <is>
          <t>R2</t>
        </is>
      </c>
      <c r="B77" s="61" t="inlineStr">
        <is>
          <t>DEF-016</t>
        </is>
      </c>
      <c r="C77" s="61" t="inlineStr">
        <is>
          <t>C-02</t>
        </is>
      </c>
      <c r="D77" s="61" t="inlineStr">
        <is>
          <t>2026-09-24</t>
        </is>
      </c>
      <c r="E77" s="65" t="inlineStr">
        <is>
          <t>—（Owner 裁定列，本輪未修）</t>
        </is>
      </c>
      <c r="F77" s="66" t="inlineStr">
        <is>
          <t>—</t>
        </is>
      </c>
      <c r="G77" s="66" t="inlineStr">
        <is>
          <t>—</t>
        </is>
      </c>
      <c r="H77" s="66" t="inlineStr">
        <is>
          <t>—</t>
        </is>
      </c>
      <c r="I77" s="66" t="inlineStr">
        <is>
          <t>—</t>
        </is>
      </c>
      <c r="J77" s="66" t="inlineStr">
        <is>
          <t>—</t>
        </is>
      </c>
      <c r="K77" s="66" t="inlineStr">
        <is>
          <t>—</t>
        </is>
      </c>
      <c r="L77" s="66" t="inlineStr">
        <is>
          <t>—</t>
        </is>
      </c>
      <c r="M77" s="67" t="inlineStr">
        <is>
          <t>非複驗：Owner 裁定（驗證者整理 2～3 個方案供選，Owner 選定）</t>
        </is>
      </c>
      <c r="N77" s="67" t="inlineStr">
        <is>
          <t>裁定：入帳日（pay_date）晚於估值日的股利不進 XIRR；總報酬、現金池、XIRR 三個口徑都以實際入帳為準。</t>
        </is>
      </c>
      <c r="O77" s="67" t="inlineStr">
        <is>
          <t>改程式；C-02 補「pay_date 在未來的股利：入帳日前不計入 XIRR 與總報酬」</t>
        </is>
      </c>
      <c r="P77" s="68" t="inlineStr">
        <is>
          <t>FAIL</t>
        </is>
      </c>
      <c r="Q77" s="67" t="inlineStr">
        <is>
          <t>依裁定現行行為不符 → 狀態改「新開」交開發者</t>
        </is>
      </c>
      <c r="R77" s="67" t="inlineStr">
        <is>
          <t>檢驗方 2026-09-24</t>
        </is>
      </c>
    </row>
    <row r="78" ht="15" customHeight="1" s="43">
      <c r="A78" s="61" t="inlineStr">
        <is>
          <t>R2</t>
        </is>
      </c>
      <c r="B78" s="61" t="inlineStr">
        <is>
          <t>DEF-018</t>
        </is>
      </c>
      <c r="C78" s="61" t="inlineStr">
        <is>
          <t>C-04b</t>
        </is>
      </c>
      <c r="D78" s="61" t="inlineStr">
        <is>
          <t>2026-09-24</t>
        </is>
      </c>
      <c r="E78" s="65" t="inlineStr">
        <is>
          <t>—（Owner 裁定列，本輪未修）</t>
        </is>
      </c>
      <c r="F78" s="66" t="inlineStr">
        <is>
          <t>—</t>
        </is>
      </c>
      <c r="G78" s="66" t="inlineStr">
        <is>
          <t>—</t>
        </is>
      </c>
      <c r="H78" s="66" t="inlineStr">
        <is>
          <t>—</t>
        </is>
      </c>
      <c r="I78" s="66" t="inlineStr">
        <is>
          <t>—</t>
        </is>
      </c>
      <c r="J78" s="66" t="inlineStr">
        <is>
          <t>—</t>
        </is>
      </c>
      <c r="K78" s="66" t="inlineStr">
        <is>
          <t>—</t>
        </is>
      </c>
      <c r="L78" s="66" t="inlineStr">
        <is>
          <t>—</t>
        </is>
      </c>
      <c r="M78" s="67" t="inlineStr">
        <is>
          <t>非複驗：Owner 裁定（驗證者整理 2～3 個方案供選，Owner 選定）</t>
        </is>
      </c>
      <c r="N78" s="67" t="inlineStr">
        <is>
          <t>裁定：維持 DRIP 以 $0 成本入帳（股利折入成本模型）。</t>
        </is>
      </c>
      <c r="O78" s="67" t="inlineStr">
        <is>
          <t>改手冊：C-04b① 期望改為「股數增加、原始成本不變（$0 成本股），均價依股數重算；表單有說明」。請 owner／開發者下一輪同步 .md 與 F 欄</t>
        </is>
      </c>
      <c r="P78" s="67" t="inlineStr">
        <is>
          <t>複驗通過 → 結案</t>
        </is>
      </c>
      <c r="Q78" s="67" t="inlineStr">
        <is>
          <t>依裁定改判非缺陷；手冊期望待同步</t>
        </is>
      </c>
      <c r="R78" s="67" t="inlineStr">
        <is>
          <t>檢驗方 2026-09-24</t>
        </is>
      </c>
    </row>
    <row r="79" ht="15" customHeight="1" s="43">
      <c r="A79" s="61" t="inlineStr">
        <is>
          <t>R2</t>
        </is>
      </c>
      <c r="B79" s="61" t="inlineStr">
        <is>
          <t>DEF-025</t>
        </is>
      </c>
      <c r="C79" s="61" t="inlineStr">
        <is>
          <t>I-06</t>
        </is>
      </c>
      <c r="D79" s="61" t="inlineStr">
        <is>
          <t>2026-09-24</t>
        </is>
      </c>
      <c r="E79" s="65" t="inlineStr">
        <is>
          <t>—（Owner 裁定列，本輪未修）</t>
        </is>
      </c>
      <c r="F79" s="66" t="inlineStr">
        <is>
          <t>—</t>
        </is>
      </c>
      <c r="G79" s="66" t="inlineStr">
        <is>
          <t>—</t>
        </is>
      </c>
      <c r="H79" s="66" t="inlineStr">
        <is>
          <t>—</t>
        </is>
      </c>
      <c r="I79" s="66" t="inlineStr">
        <is>
          <t>—</t>
        </is>
      </c>
      <c r="J79" s="66" t="inlineStr">
        <is>
          <t>—</t>
        </is>
      </c>
      <c r="K79" s="66" t="inlineStr">
        <is>
          <t>—</t>
        </is>
      </c>
      <c r="L79" s="66" t="inlineStr">
        <is>
          <t>—</t>
        </is>
      </c>
      <c r="M79" s="67" t="inlineStr">
        <is>
          <t>非複驗：Owner 裁定（驗證者整理 2～3 個方案供選，Owner 選定）</t>
        </is>
      </c>
      <c r="N79" s="67" t="inlineStr">
        <is>
          <t>裁定：CSV 賣超列比照手動輸入：預設不勾選，確認框逐列點名並寫明「成本基礎會被永久捨棄」，勾選後才寫入。</t>
        </is>
      </c>
      <c r="O79" s="6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8" t="inlineStr">
        <is>
          <t>FAIL</t>
        </is>
      </c>
      <c r="Q79" s="67" t="inlineStr">
        <is>
          <t>依裁定現行行為不符 → 狀態改「新開」交開發者</t>
        </is>
      </c>
      <c r="R79" s="67" t="inlineStr">
        <is>
          <t>檢驗方 2026-09-24</t>
        </is>
      </c>
    </row>
    <row r="80" ht="15" customHeight="1" s="43">
      <c r="A80" s="61" t="inlineStr">
        <is>
          <t>R2</t>
        </is>
      </c>
      <c r="B80" s="61" t="inlineStr">
        <is>
          <t>DEF-033</t>
        </is>
      </c>
      <c r="C80" s="61" t="inlineStr">
        <is>
          <t>H-03</t>
        </is>
      </c>
      <c r="D80" s="61" t="inlineStr">
        <is>
          <t>2026-09-24</t>
        </is>
      </c>
      <c r="E80" s="65" t="inlineStr">
        <is>
          <t>—（Owner 裁定列，本輪未修）</t>
        </is>
      </c>
      <c r="F80" s="66" t="inlineStr">
        <is>
          <t>—</t>
        </is>
      </c>
      <c r="G80" s="66" t="inlineStr">
        <is>
          <t>—</t>
        </is>
      </c>
      <c r="H80" s="66" t="inlineStr">
        <is>
          <t>—</t>
        </is>
      </c>
      <c r="I80" s="66" t="inlineStr">
        <is>
          <t>—</t>
        </is>
      </c>
      <c r="J80" s="66" t="inlineStr">
        <is>
          <t>—</t>
        </is>
      </c>
      <c r="K80" s="66" t="inlineStr">
        <is>
          <t>—</t>
        </is>
      </c>
      <c r="L80" s="66" t="inlineStr">
        <is>
          <t>—</t>
        </is>
      </c>
      <c r="M80" s="67" t="inlineStr">
        <is>
          <t>非複驗：Owner 裁定（驗證者整理 2～3 個方案供選，Owner 選定）</t>
        </is>
      </c>
      <c r="N80" s="67" t="inlineStr">
        <is>
          <t>裁定：策略提示詞做完整版本記錄：每次儲存留一版，可檢視差異並回復任一版，洞察卡記錄生成時使用的版本。</t>
        </is>
      </c>
      <c r="O80" s="67" t="inlineStr">
        <is>
          <t>改程式；H-03 期望不變</t>
        </is>
      </c>
      <c r="P80" s="68" t="inlineStr">
        <is>
          <t>FAIL</t>
        </is>
      </c>
      <c r="Q80" s="67" t="inlineStr">
        <is>
          <t>依裁定現行行為不符 → 狀態改「新開」交開發者</t>
        </is>
      </c>
      <c r="R80" s="67" t="inlineStr">
        <is>
          <t>檢驗方 2026-09-24</t>
        </is>
      </c>
    </row>
    <row r="81" ht="15" customHeight="1" s="43">
      <c r="A81" s="61" t="inlineStr">
        <is>
          <t>R2</t>
        </is>
      </c>
      <c r="B81" s="61" t="inlineStr">
        <is>
          <t>DEF-039</t>
        </is>
      </c>
      <c r="C81" s="61" t="inlineStr">
        <is>
          <t>I-10</t>
        </is>
      </c>
      <c r="D81" s="61" t="inlineStr">
        <is>
          <t>2026-09-24</t>
        </is>
      </c>
      <c r="E81" s="65" t="inlineStr">
        <is>
          <t>—（本輪由檢驗方發現／Owner 裁定）</t>
        </is>
      </c>
      <c r="F81" s="66" t="inlineStr">
        <is>
          <t>—</t>
        </is>
      </c>
      <c r="G81" s="66" t="inlineStr">
        <is>
          <t>—</t>
        </is>
      </c>
      <c r="H81" s="66" t="inlineStr">
        <is>
          <t>—</t>
        </is>
      </c>
      <c r="I81" s="66" t="inlineStr">
        <is>
          <t>—</t>
        </is>
      </c>
      <c r="J81" s="66" t="inlineStr">
        <is>
          <t>—</t>
        </is>
      </c>
      <c r="K81" s="66" t="inlineStr">
        <is>
          <t>—</t>
        </is>
      </c>
      <c r="L81" s="66" t="inlineStr">
        <is>
          <t>—</t>
        </is>
      </c>
      <c r="M81" s="67" t="inlineStr">
        <is>
          <t>真實瀏覽器走完 DEF-027 的券商對帳單流程，讀賣超列的提示文字</t>
        </is>
      </c>
      <c r="N81" s="6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7" t="inlineStr">
        <is>
          <t>提示顯示 28 位小數；缺口數值正確</t>
        </is>
      </c>
      <c r="P81" s="68" t="inlineStr">
        <is>
          <t>FAIL</t>
        </is>
      </c>
      <c r="Q81" s="67" t="inlineStr">
        <is>
          <t>開 DEF-039</t>
        </is>
      </c>
      <c r="R81" s="67" t="inlineStr">
        <is>
          <t>檢驗方 2026-09-24</t>
        </is>
      </c>
    </row>
    <row r="82" ht="15" customHeight="1" s="43">
      <c r="A82" s="61" t="inlineStr">
        <is>
          <t>R2</t>
        </is>
      </c>
      <c r="B82" s="61" t="inlineStr">
        <is>
          <t>DEF-040</t>
        </is>
      </c>
      <c r="C82" s="61" t="inlineStr">
        <is>
          <t>D-10</t>
        </is>
      </c>
      <c r="D82" s="61" t="inlineStr">
        <is>
          <t>2026-09-24</t>
        </is>
      </c>
      <c r="E82" s="65" t="inlineStr">
        <is>
          <t>—（本輪由檢驗方發現／Owner 裁定）</t>
        </is>
      </c>
      <c r="F82" s="66" t="inlineStr">
        <is>
          <t>—</t>
        </is>
      </c>
      <c r="G82" s="66" t="inlineStr">
        <is>
          <t>—</t>
        </is>
      </c>
      <c r="H82" s="66" t="inlineStr">
        <is>
          <t>—</t>
        </is>
      </c>
      <c r="I82" s="66" t="inlineStr">
        <is>
          <t>—</t>
        </is>
      </c>
      <c r="J82" s="66" t="inlineStr">
        <is>
          <t>—</t>
        </is>
      </c>
      <c r="K82" s="66" t="inlineStr">
        <is>
          <t>—</t>
        </is>
      </c>
      <c r="L82" s="66" t="inlineStr">
        <is>
          <t>—</t>
        </is>
      </c>
      <c r="M82" s="67" t="inlineStr">
        <is>
          <t>開發者交接觀察，未另行黑箱重現（刪除不回收已由程式碼與開發者說明確認）</t>
        </is>
      </c>
      <c r="N82" s="68" t="inlineStr">
        <is>
          <t>Owner 裁定為需修正的行為，轉開發者</t>
        </is>
      </c>
      <c r="O82" s="68" t="inlineStr">
        <is>
          <t>—</t>
        </is>
      </c>
      <c r="P82" s="68" t="inlineStr">
        <is>
          <t>FAIL</t>
        </is>
      </c>
      <c r="Q82" s="67" t="inlineStr">
        <is>
          <t>開 DEF-040（OBS-1）</t>
        </is>
      </c>
      <c r="R82" s="67" t="inlineStr">
        <is>
          <t>檢驗方 2026-09-24</t>
        </is>
      </c>
    </row>
    <row r="83" ht="15" customHeight="1" s="43">
      <c r="A83" s="61" t="inlineStr">
        <is>
          <t>R2</t>
        </is>
      </c>
      <c r="B83" s="61" t="inlineStr">
        <is>
          <t>DEF-041</t>
        </is>
      </c>
      <c r="C83" s="61" t="inlineStr">
        <is>
          <t>G-09</t>
        </is>
      </c>
      <c r="D83" s="61" t="inlineStr">
        <is>
          <t>2026-09-24</t>
        </is>
      </c>
      <c r="E83" s="65" t="inlineStr">
        <is>
          <t>—（本輪由檢驗方發現／Owner 裁定）</t>
        </is>
      </c>
      <c r="F83" s="66" t="inlineStr">
        <is>
          <t>—</t>
        </is>
      </c>
      <c r="G83" s="66" t="inlineStr">
        <is>
          <t>—</t>
        </is>
      </c>
      <c r="H83" s="66" t="inlineStr">
        <is>
          <t>—</t>
        </is>
      </c>
      <c r="I83" s="66" t="inlineStr">
        <is>
          <t>—</t>
        </is>
      </c>
      <c r="J83" s="66" t="inlineStr">
        <is>
          <t>—</t>
        </is>
      </c>
      <c r="K83" s="66" t="inlineStr">
        <is>
          <t>—</t>
        </is>
      </c>
      <c r="L83" s="66" t="inlineStr">
        <is>
          <t>—</t>
        </is>
      </c>
      <c r="M83" s="68" t="inlineStr">
        <is>
          <t>R2 三次 alert_scan（#181～#183）讀 /api/alerts 與派發數</t>
        </is>
      </c>
      <c r="N83" s="67" t="inlineStr">
        <is>
          <t>觀察：觀察標的仍在預警清單且屬 on_alert 訂閱規則；Owner 裁定只派發持有中標的</t>
        </is>
      </c>
      <c r="O83" s="68" t="inlineStr">
        <is>
          <t>19 條預警中 7 條為觀察標的的 drawdown_from_peak</t>
        </is>
      </c>
      <c r="P83" s="68" t="inlineStr">
        <is>
          <t>FAIL</t>
        </is>
      </c>
      <c r="Q83" s="67" t="inlineStr">
        <is>
          <t>開 DEF-041（OBS-2）</t>
        </is>
      </c>
      <c r="R83" s="67" t="inlineStr">
        <is>
          <t>檢驗方 2026-09-24</t>
        </is>
      </c>
    </row>
    <row r="84" ht="15" customHeight="1" s="43">
      <c r="A84" s="61" t="inlineStr">
        <is>
          <t>R2</t>
        </is>
      </c>
      <c r="B84" s="61" t="inlineStr">
        <is>
          <t>DEF-042</t>
        </is>
      </c>
      <c r="C84" s="61" t="inlineStr">
        <is>
          <t>B-17</t>
        </is>
      </c>
      <c r="D84" s="61" t="inlineStr">
        <is>
          <t>2026-09-24</t>
        </is>
      </c>
      <c r="E84" s="65" t="inlineStr">
        <is>
          <t>—（本輪由檢驗方發現／Owner 裁定）</t>
        </is>
      </c>
      <c r="F84" s="66" t="inlineStr">
        <is>
          <t>—</t>
        </is>
      </c>
      <c r="G84" s="66" t="inlineStr">
        <is>
          <t>—</t>
        </is>
      </c>
      <c r="H84" s="66" t="inlineStr">
        <is>
          <t>—</t>
        </is>
      </c>
      <c r="I84" s="66" t="inlineStr">
        <is>
          <t>—</t>
        </is>
      </c>
      <c r="J84" s="66" t="inlineStr">
        <is>
          <t>—</t>
        </is>
      </c>
      <c r="K84" s="66" t="inlineStr">
        <is>
          <t>—</t>
        </is>
      </c>
      <c r="L84" s="66" t="inlineStr">
        <is>
          <t>—</t>
        </is>
      </c>
      <c r="M84" s="67" t="inlineStr">
        <is>
          <t>真實瀏覽器 J-03：寫入 #104 → 編輯價格 → 刪除；讀 PUT 本文與回應</t>
        </is>
      </c>
      <c r="N84" s="67" t="inlineStr">
        <is>
          <t>觀察：PUT 回 {ok, fee, tax}，無 issues；開發者自述 ledgers.py 更正門不走驗證器（跨包白名單 1）。Owner 裁定要統一</t>
        </is>
      </c>
      <c r="O84" s="67" t="inlineStr">
        <is>
          <t>編輯成功、統計正確（均價 69.7→71.7）；無日期類提示</t>
        </is>
      </c>
      <c r="P84" s="68" t="inlineStr">
        <is>
          <t>FAIL</t>
        </is>
      </c>
      <c r="Q84" s="67" t="inlineStr">
        <is>
          <t>開 DEF-042（OBS-3）</t>
        </is>
      </c>
      <c r="R84" s="67" t="inlineStr">
        <is>
          <t>檢驗方 2026-09-24</t>
        </is>
      </c>
    </row>
    <row r="85" ht="15" customHeight="1" s="43">
      <c r="A85" s="61" t="inlineStr">
        <is>
          <t>R2</t>
        </is>
      </c>
      <c r="B85" s="61" t="inlineStr">
        <is>
          <t>DEF-043</t>
        </is>
      </c>
      <c r="C85" s="61" t="inlineStr">
        <is>
          <t>H-05</t>
        </is>
      </c>
      <c r="D85" s="61" t="inlineStr">
        <is>
          <t>2026-09-24</t>
        </is>
      </c>
      <c r="E85" s="65" t="inlineStr">
        <is>
          <t>—（本輪由檢驗方發現／Owner 裁定）</t>
        </is>
      </c>
      <c r="F85" s="66" t="inlineStr">
        <is>
          <t>—</t>
        </is>
      </c>
      <c r="G85" s="66" t="inlineStr">
        <is>
          <t>—</t>
        </is>
      </c>
      <c r="H85" s="66" t="inlineStr">
        <is>
          <t>—</t>
        </is>
      </c>
      <c r="I85" s="66" t="inlineStr">
        <is>
          <t>—</t>
        </is>
      </c>
      <c r="J85" s="66" t="inlineStr">
        <is>
          <t>—</t>
        </is>
      </c>
      <c r="K85" s="66" t="inlineStr">
        <is>
          <t>—</t>
        </is>
      </c>
      <c r="L85" s="66" t="inlineStr">
        <is>
          <t>—</t>
        </is>
      </c>
      <c r="M85" s="67" t="inlineStr">
        <is>
          <t>真實瀏覽器讀洞察管線任務卡；對照 /api/scheduler/runs 的 insight:9 自動 run</t>
        </is>
      </c>
      <c r="N85" s="6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7" t="inlineStr">
        <is>
          <t>觸發節點誤報 warn；需注意計數多 1</t>
        </is>
      </c>
      <c r="P85" s="68" t="inlineStr">
        <is>
          <t>FAIL</t>
        </is>
      </c>
      <c r="Q85" s="67" t="inlineStr">
        <is>
          <t>開 DEF-043</t>
        </is>
      </c>
      <c r="R85" s="67" t="inlineStr">
        <is>
          <t>檢驗方 2026-09-24</t>
        </is>
      </c>
    </row>
    <row r="86" ht="15" customHeight="1" s="43">
      <c r="A86" s="61" t="inlineStr">
        <is>
          <t>R2</t>
        </is>
      </c>
      <c r="B86" s="61" t="inlineStr">
        <is>
          <t>DEF-044</t>
        </is>
      </c>
      <c r="C86" s="61" t="inlineStr">
        <is>
          <t>G-09</t>
        </is>
      </c>
      <c r="D86" s="61" t="inlineStr">
        <is>
          <t>2026-09-24</t>
        </is>
      </c>
      <c r="E86" s="65" t="inlineStr">
        <is>
          <t>—（本輪由檢驗方發現／Owner 裁定）</t>
        </is>
      </c>
      <c r="F86" s="66" t="inlineStr">
        <is>
          <t>—</t>
        </is>
      </c>
      <c r="G86" s="66" t="inlineStr">
        <is>
          <t>—</t>
        </is>
      </c>
      <c r="H86" s="66" t="inlineStr">
        <is>
          <t>—</t>
        </is>
      </c>
      <c r="I86" s="66" t="inlineStr">
        <is>
          <t>—</t>
        </is>
      </c>
      <c r="J86" s="66" t="inlineStr">
        <is>
          <t>—</t>
        </is>
      </c>
      <c r="K86" s="66" t="inlineStr">
        <is>
          <t>—</t>
        </is>
      </c>
      <c r="L86" s="66" t="inlineStr">
        <is>
          <t>—</t>
        </is>
      </c>
      <c r="M86" s="67" t="inlineStr">
        <is>
          <t>真實瀏覽器讀排程中心列文字；grep web/*.html 的 script 標籤</t>
        </is>
      </c>
      <c r="N86" s="6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8" t="inlineStr">
        <is>
          <t>5 頁缺 names.js；排程中心顯示原始 id</t>
        </is>
      </c>
      <c r="P86" s="68" t="inlineStr">
        <is>
          <t>FAIL</t>
        </is>
      </c>
      <c r="Q86" s="67" t="inlineStr">
        <is>
          <t>開 DEF-044</t>
        </is>
      </c>
      <c r="R86" s="67" t="inlineStr">
        <is>
          <t>檢驗方 2026-09-24</t>
        </is>
      </c>
    </row>
    <row r="87" ht="15" customHeight="1" s="43">
      <c r="A87" s="61" t="inlineStr">
        <is>
          <t>R2</t>
        </is>
      </c>
      <c r="B87" s="61" t="inlineStr">
        <is>
          <t>DEF-045</t>
        </is>
      </c>
      <c r="C87" s="61" t="inlineStr">
        <is>
          <t>J-04</t>
        </is>
      </c>
      <c r="D87" s="61" t="inlineStr">
        <is>
          <t>2026-09-24</t>
        </is>
      </c>
      <c r="E87" s="65" t="inlineStr">
        <is>
          <t>—（本輪由檢驗方發現／Owner 裁定）</t>
        </is>
      </c>
      <c r="F87" s="66" t="inlineStr">
        <is>
          <t>—</t>
        </is>
      </c>
      <c r="G87" s="66" t="inlineStr">
        <is>
          <t>—</t>
        </is>
      </c>
      <c r="H87" s="66" t="inlineStr">
        <is>
          <t>—</t>
        </is>
      </c>
      <c r="I87" s="66" t="inlineStr">
        <is>
          <t>—</t>
        </is>
      </c>
      <c r="J87" s="66" t="inlineStr">
        <is>
          <t>—</t>
        </is>
      </c>
      <c r="K87" s="66" t="inlineStr">
        <is>
          <t>—</t>
        </is>
      </c>
      <c r="L87" s="66" t="inlineStr">
        <is>
          <t>—</t>
        </is>
      </c>
      <c r="M87" s="67" t="inlineStr">
        <is>
          <t>真實瀏覽器下載（攔截）帳本報告，搜尋帳戶名</t>
        </is>
      </c>
      <c r="N87" s="67" t="inlineStr">
        <is>
          <t>觀察：報告為英文名
定位：ledgers_report.py:439 取 accounts.name
判定：FAIL（低）</t>
        </is>
      </c>
      <c r="O87" s="67" t="inlineStr">
        <is>
          <t>報告 8 處以上英文帳戶名</t>
        </is>
      </c>
      <c r="P87" s="68" t="inlineStr">
        <is>
          <t>FAIL</t>
        </is>
      </c>
      <c r="Q87" s="67" t="inlineStr">
        <is>
          <t>開 DEF-045</t>
        </is>
      </c>
      <c r="R87" s="67" t="inlineStr">
        <is>
          <t>檢驗方 2026-09-24</t>
        </is>
      </c>
    </row>
    <row r="88" ht="15" customHeight="1" s="43">
      <c r="A88" s="61" t="inlineStr">
        <is>
          <t>R2</t>
        </is>
      </c>
      <c r="B88" s="61" t="inlineStr">
        <is>
          <t>DEF-046</t>
        </is>
      </c>
      <c r="C88" s="61" t="inlineStr">
        <is>
          <t>G-09</t>
        </is>
      </c>
      <c r="D88" s="61" t="inlineStr">
        <is>
          <t>2026-09-24</t>
        </is>
      </c>
      <c r="E88" s="65" t="inlineStr">
        <is>
          <t>—（本輪由檢驗方發現／Owner 裁定）</t>
        </is>
      </c>
      <c r="F88" s="66" t="inlineStr">
        <is>
          <t>—</t>
        </is>
      </c>
      <c r="G88" s="66" t="inlineStr">
        <is>
          <t>—</t>
        </is>
      </c>
      <c r="H88" s="66" t="inlineStr">
        <is>
          <t>—</t>
        </is>
      </c>
      <c r="I88" s="66" t="inlineStr">
        <is>
          <t>—</t>
        </is>
      </c>
      <c r="J88" s="66" t="inlineStr">
        <is>
          <t>—</t>
        </is>
      </c>
      <c r="K88" s="66" t="inlineStr">
        <is>
          <t>—</t>
        </is>
      </c>
      <c r="L88" s="66" t="inlineStr">
        <is>
          <t>—</t>
        </is>
      </c>
      <c r="M88" s="67" t="inlineStr">
        <is>
          <t>真實瀏覽器讀持倉健診清單</t>
        </is>
      </c>
      <c r="N88" s="67" t="inlineStr">
        <is>
          <t>觀察：錯誤卡仍在。屬修復前寫入的舊資料，程式已正確 → 依 §分類為資料殘留，交 owner 裁定</t>
        </is>
      </c>
      <c r="O88" s="67" t="inlineStr">
        <is>
          <t>卡片仍在</t>
        </is>
      </c>
      <c r="P88" s="67" t="inlineStr">
        <is>
          <t>待裁定</t>
        </is>
      </c>
      <c r="Q88" s="67" t="inlineStr">
        <is>
          <t>開 DEF-046，Owner 已裁定刪除</t>
        </is>
      </c>
      <c r="R88" s="67" t="inlineStr">
        <is>
          <t>檢驗方 2026-09-24</t>
        </is>
      </c>
    </row>
    <row r="89" ht="15" customHeight="1" s="43">
      <c r="A89" s="61" t="inlineStr">
        <is>
          <t>R2</t>
        </is>
      </c>
      <c r="B89" s="61" t="inlineStr">
        <is>
          <t>DEF-047</t>
        </is>
      </c>
      <c r="C89" s="61" t="inlineStr">
        <is>
          <t>C-01</t>
        </is>
      </c>
      <c r="D89" s="61" t="inlineStr">
        <is>
          <t>2026-09-24</t>
        </is>
      </c>
      <c r="E89" s="65" t="inlineStr">
        <is>
          <t>—（本輪由檢驗方發現／Owner 裁定）</t>
        </is>
      </c>
      <c r="F89" s="66" t="inlineStr">
        <is>
          <t>—</t>
        </is>
      </c>
      <c r="G89" s="66" t="inlineStr">
        <is>
          <t>—</t>
        </is>
      </c>
      <c r="H89" s="66" t="inlineStr">
        <is>
          <t>—</t>
        </is>
      </c>
      <c r="I89" s="66" t="inlineStr">
        <is>
          <t>—</t>
        </is>
      </c>
      <c r="J89" s="66" t="inlineStr">
        <is>
          <t>—</t>
        </is>
      </c>
      <c r="K89" s="66" t="inlineStr">
        <is>
          <t>—</t>
        </is>
      </c>
      <c r="L89" s="66" t="inlineStr">
        <is>
          <t>—</t>
        </is>
      </c>
      <c r="M89" s="67" t="inlineStr">
        <is>
          <t>真實瀏覽器按重新偵測，讀 refreshed.failed</t>
        </is>
      </c>
      <c r="N89" s="67" t="inlineStr">
        <is>
          <t>觀察：failed 內只有「無配息資料」一類原因
判定：規格未定，交 owner</t>
        </is>
      </c>
      <c r="O89" s="68" t="inlineStr">
        <is>
          <t>TSLA 被列為失敗</t>
        </is>
      </c>
      <c r="P89" s="67" t="inlineStr">
        <is>
          <t>待裁定</t>
        </is>
      </c>
      <c r="Q89" s="67" t="inlineStr">
        <is>
          <t>開 DEF-047，Owner 已裁定</t>
        </is>
      </c>
      <c r="R89" s="67" t="inlineStr">
        <is>
          <t>檢驗方 2026-09-24</t>
        </is>
      </c>
    </row>
    <row r="90" ht="15" customHeight="1" s="43">
      <c r="A90" s="61" t="inlineStr">
        <is>
          <t>R2</t>
        </is>
      </c>
      <c r="B90" s="61" t="inlineStr">
        <is>
          <t>DEF-048</t>
        </is>
      </c>
      <c r="C90" s="61" t="inlineStr">
        <is>
          <t>B-17</t>
        </is>
      </c>
      <c r="D90" s="61" t="inlineStr">
        <is>
          <t>2026-09-24</t>
        </is>
      </c>
      <c r="E90" s="65" t="inlineStr">
        <is>
          <t>—（本輪由檢驗方發現／Owner 裁定）</t>
        </is>
      </c>
      <c r="F90" s="66" t="inlineStr">
        <is>
          <t>—</t>
        </is>
      </c>
      <c r="G90" s="66" t="inlineStr">
        <is>
          <t>—</t>
        </is>
      </c>
      <c r="H90" s="66" t="inlineStr">
        <is>
          <t>—</t>
        </is>
      </c>
      <c r="I90" s="66" t="inlineStr">
        <is>
          <t>—</t>
        </is>
      </c>
      <c r="J90" s="66" t="inlineStr">
        <is>
          <t>—</t>
        </is>
      </c>
      <c r="K90" s="66" t="inlineStr">
        <is>
          <t>—</t>
        </is>
      </c>
      <c r="L90" s="66" t="inlineStr">
        <is>
          <t>—</t>
        </is>
      </c>
      <c r="M90" s="67" t="inlineStr">
        <is>
          <t>真實瀏覽器 DEF-014 複驗時的兩個草稿</t>
        </is>
      </c>
      <c r="N90" s="67" t="inlineStr">
        <is>
          <t>觀察：position_preview.old_shares＝目前持股
判定：規格未定，交 owner</t>
        </is>
      </c>
      <c r="O90" s="67" t="inlineStr">
        <is>
          <t>草稿持股為今天的持股</t>
        </is>
      </c>
      <c r="P90" s="67" t="inlineStr">
        <is>
          <t>待裁定</t>
        </is>
      </c>
      <c r="Q90" s="67" t="inlineStr">
        <is>
          <t>開 DEF-048，Owner 已裁定</t>
        </is>
      </c>
      <c r="R90" s="67" t="inlineStr">
        <is>
          <t>檢驗方 2026-09-24</t>
        </is>
      </c>
    </row>
    <row r="91" ht="219.75" customHeight="1" s="43">
      <c r="A91" s="61" t="inlineStr">
        <is>
          <t>R3</t>
        </is>
      </c>
      <c r="B91" s="61" t="inlineStr">
        <is>
          <t>DEF-023</t>
        </is>
      </c>
      <c r="C91" s="61" t="inlineStr">
        <is>
          <t>D-11</t>
        </is>
      </c>
      <c r="D91" s="61" t="inlineStr">
        <is>
          <t>2026-09-24</t>
        </is>
      </c>
      <c r="E91" s="65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6" t="inlineStr">
        <is>
          <t>web/app.js:112 `renderUnappliedBanner();`（位於 web/app.js:100 `if (!syms.length || !page) return;` 之後）</t>
        </is>
      </c>
      <c r="G91" s="6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5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5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6" t="inlineStr">
        <is>
          <t>4655845（已部署 demo）</t>
        </is>
      </c>
      <c r="L91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7" t="inlineStr">
        <is>
          <t>無未註冊標的時區塊與連結正常顯示並可跳轉；刪除行動後 cmp D023R3 same:true（prices_restated 1 已還原）</t>
        </is>
      </c>
      <c r="P91" s="67" t="inlineStr">
        <is>
          <t>複驗通過 → 結案</t>
        </is>
      </c>
      <c r="Q91" s="67" t="inlineStr">
        <is>
          <t>無</t>
        </is>
      </c>
      <c r="R91" s="67" t="inlineStr">
        <is>
          <t>檢驗方 2026-09-24</t>
        </is>
      </c>
    </row>
    <row r="92" ht="219.75" customHeight="1" s="43">
      <c r="A92" s="61" t="inlineStr">
        <is>
          <t>R3</t>
        </is>
      </c>
      <c r="B92" s="61" t="inlineStr">
        <is>
          <t>DEF-017</t>
        </is>
      </c>
      <c r="C92" s="61" t="inlineStr">
        <is>
          <t>C-04</t>
        </is>
      </c>
      <c r="D92" s="61" t="inlineStr">
        <is>
          <t>2026-09-24</t>
        </is>
      </c>
      <c r="E92" s="65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6" t="inlineStr">
        <is>
          <t>web/input.js:2752 `if (!o.external &amp;&amp; window.pdReloadImportBatches) {`；web/broker-import.js:237 `body: '將刪除這批匯入寫進帳本的 ' + b.row_count + ' 筆'`</t>
        </is>
      </c>
      <c r="G92" s="6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5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5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5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6" t="inlineStr">
        <is>
          <t>4655845（已部署 demo）</t>
        </is>
      </c>
      <c r="L92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7" t="inlineStr">
        <is>
          <t>清單即時「1（原寫入 2）」；框內筆數為當下值；批次已空不開框；cmp D017R3 same:true</t>
        </is>
      </c>
      <c r="P92" s="67" t="inlineStr">
        <is>
          <t>複驗通過 → 結案</t>
        </is>
      </c>
      <c r="Q92" s="67" t="inlineStr">
        <is>
          <t>無</t>
        </is>
      </c>
      <c r="R92" s="67" t="inlineStr">
        <is>
          <t>檢驗方 2026-09-24</t>
        </is>
      </c>
    </row>
    <row r="93" ht="219.75" customHeight="1" s="43">
      <c r="A93" s="61" t="inlineStr">
        <is>
          <t>R3</t>
        </is>
      </c>
      <c r="B93" s="61" t="inlineStr">
        <is>
          <t>DEF-025</t>
        </is>
      </c>
      <c r="C93" s="61" t="inlineStr">
        <is>
          <t>I-06</t>
        </is>
      </c>
      <c r="D93" s="61" t="inlineStr">
        <is>
          <t>2026-09-24</t>
        </is>
      </c>
      <c r="E93" s="65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5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5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5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6" t="inlineStr">
        <is>
          <t>4655845（已部署 demo）</t>
        </is>
      </c>
      <c r="L93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8" t="inlineStr">
        <is>
          <t>CSV／AI 賣超列預設不勾、逐列確認；伺服器拒絕整檔 ack；0 寫入。AI 花費 $0.0005528</t>
        </is>
      </c>
      <c r="P93" s="67" t="inlineStr">
        <is>
          <t>複驗通過 → 結案</t>
        </is>
      </c>
      <c r="Q93" s="68" t="inlineStr">
        <is>
          <t>owner 決策項 ⑦b（CSV 門其他警告類型也逐列確認，開發者建議維持）見本輪裁定</t>
        </is>
      </c>
      <c r="R93" s="67" t="inlineStr">
        <is>
          <t>檢驗方 2026-09-24</t>
        </is>
      </c>
    </row>
    <row r="94" ht="219.75" customHeight="1" s="43">
      <c r="A94" s="61" t="inlineStr">
        <is>
          <t>R3</t>
        </is>
      </c>
      <c r="B94" s="61" t="inlineStr">
        <is>
          <t>DEF-033</t>
        </is>
      </c>
      <c r="C94" s="61" t="inlineStr">
        <is>
          <t>H-03</t>
        </is>
      </c>
      <c r="D94" s="61" t="inlineStr">
        <is>
          <t>2026-09-24</t>
        </is>
      </c>
      <c r="E94" s="65" t="inlineStr">
        <is>
          <t>同意，依 owner 裁定實作完整版本記錄。「同步官方」確認框自己寫「你的自訂修改將遺失」；洞察卡也不記錄生成時用了哪一版。</t>
        </is>
      </c>
      <c r="F94" s="6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5" t="inlineStr">
        <is>
          <t>沒有守門（規格未定，從未要求版本記錄）。新守門全部驗行為：store 13 則、API 契約 10 則、Playwright e2e 1 則、Node 執行頁面函式 1 則。</t>
        </is>
      </c>
      <c r="H94" s="65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5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5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6" t="inlineStr">
        <is>
          <t>4655845（已部署 demo）</t>
        </is>
      </c>
      <c r="L94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7" t="inlineStr">
        <is>
          <t>儲存成 v2、差異正確、回復成 v3＝原文；卡片記錄版號</t>
        </is>
      </c>
      <c r="P94" s="67" t="inlineStr">
        <is>
          <t>複驗通過 → 結案</t>
        </is>
      </c>
      <c r="Q94" s="67" t="inlineStr">
        <is>
          <t>本測試在 demo 留下策略 5 的 v2、v3 兩筆版本紀錄（只增不改的設計，內文已回到原文），屬預期寫入</t>
        </is>
      </c>
      <c r="R94" s="67" t="inlineStr">
        <is>
          <t>檢驗方 2026-09-24</t>
        </is>
      </c>
    </row>
    <row r="95" ht="219.75" customHeight="1" s="43">
      <c r="A95" s="61" t="inlineStr">
        <is>
          <t>R3</t>
        </is>
      </c>
      <c r="B95" s="61" t="inlineStr">
        <is>
          <t>DEF-042</t>
        </is>
      </c>
      <c r="C95" s="61" t="inlineStr">
        <is>
          <t>B-17</t>
        </is>
      </c>
      <c r="D95" s="61" t="inlineStr">
        <is>
          <t>2026-09-24</t>
        </is>
      </c>
      <c r="E95" s="65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5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5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6" t="inlineStr">
        <is>
          <t>4655845（已部署 demo）</t>
        </is>
      </c>
      <c r="L95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7" t="inlineStr">
        <is>
          <t>日期兩種提示、賣超 422＋確認框皆出現；只改備註可直接儲存且不重寫快照；全部取消或改回，cmp R3_START same:true</t>
        </is>
      </c>
      <c r="P95" s="67" t="inlineStr">
        <is>
          <t>複驗通過 → 結案</t>
        </is>
      </c>
      <c r="Q95" s="67" t="inlineStr">
        <is>
          <t>依開發者自述，軟性警告只由畫面把關、伺服器只擋硬錯與賣超（owner 決策項 ⑪，見本輪裁定）</t>
        </is>
      </c>
      <c r="R95" s="67" t="inlineStr">
        <is>
          <t>檢驗方 2026-09-24</t>
        </is>
      </c>
    </row>
    <row r="96" ht="219.75" customHeight="1" s="43">
      <c r="A96" s="61" t="inlineStr">
        <is>
          <t>R3</t>
        </is>
      </c>
      <c r="B96" s="61" t="inlineStr">
        <is>
          <t>DEF-003</t>
        </is>
      </c>
      <c r="C96" s="61" t="inlineStr">
        <is>
          <t>G-06</t>
        </is>
      </c>
      <c r="D96" s="61" t="inlineStr">
        <is>
          <t>2026-09-24</t>
        </is>
      </c>
      <c r="E96" s="65" t="inlineStr">
        <is>
          <t>同意，依 owner 裁定實作：以 prediction 為準。demo 上 40 張無預測卡有 25 張帶信心值，所以 #182 顯示「信心 0%」。</t>
        </is>
      </c>
      <c r="F96" s="6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5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5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5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5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6" t="inlineStr">
        <is>
          <t>4655845（已部署 demo）</t>
        </is>
      </c>
      <c r="L96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7" t="inlineStr">
        <is>
          <t>真實瀏覽器：AI 洞察 › 洞察卡；分頁讀 /api/insights 全部 195 張；/api/ai-score</t>
        </is>
      </c>
      <c r="N96" s="6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7" t="inlineStr">
        <is>
          <t>無預測卡一律「純描述・無預測」、不帶信心；校準母體不含無預測卡</t>
        </is>
      </c>
      <c r="P96" s="67" t="inlineStr">
        <is>
          <t>複驗通過 → 結案</t>
        </is>
      </c>
      <c r="Q96" s="67" t="inlineStr">
        <is>
          <t>無</t>
        </is>
      </c>
      <c r="R96" s="67" t="inlineStr">
        <is>
          <t>檢驗方 2026-09-24</t>
        </is>
      </c>
    </row>
    <row r="97" ht="219.75" customHeight="1" s="43">
      <c r="A97" s="61" t="inlineStr">
        <is>
          <t>R3</t>
        </is>
      </c>
      <c r="B97" s="61" t="inlineStr">
        <is>
          <t>DEF-009</t>
        </is>
      </c>
      <c r="C97" s="61" t="inlineStr">
        <is>
          <t>A-11</t>
        </is>
      </c>
      <c r="D97" s="61" t="inlineStr">
        <is>
          <t>2026-09-24</t>
        </is>
      </c>
      <c r="E97" s="65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5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5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5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5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6" t="inlineStr">
        <is>
          <t>4655845（已部署 demo）</t>
        </is>
      </c>
      <c r="L97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7" t="inlineStr">
        <is>
          <t>四欄可改、月份不重開、改回後 cmp D009R3 same:true</t>
        </is>
      </c>
      <c r="P97" s="67" t="inlineStr">
        <is>
          <t>複驗通過 → 結案</t>
        </is>
      </c>
      <c r="Q97" s="68" t="inlineStr">
        <is>
          <t>owner 決策項 ⑥（改類型後該月維持已入帳）見本輪裁定；ledger_audit 目前沒有任何畫面或 API 可讀，使用者看不到「稽核軌跡」——列入觀察</t>
        </is>
      </c>
      <c r="R97" s="67" t="inlineStr">
        <is>
          <t>檢驗方 2026-09-24</t>
        </is>
      </c>
    </row>
    <row r="98" ht="219.75" customHeight="1" s="43">
      <c r="A98" s="61" t="inlineStr">
        <is>
          <t>R3</t>
        </is>
      </c>
      <c r="B98" s="61" t="inlineStr">
        <is>
          <t>DEF-010</t>
        </is>
      </c>
      <c r="C98" s="61" t="inlineStr">
        <is>
          <t>B-16</t>
        </is>
      </c>
      <c r="D98" s="61" t="inlineStr">
        <is>
          <t>2026-09-24</t>
        </is>
      </c>
      <c r="E98" s="65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6" t="inlineStr">
        <is>
          <t>portfolio_dash/api/rebates.py:261 `trade_expected = forecast_tw_rebate(t.fees, rate)`；portfolio_dash/api/routers/input_center.py:901；portfolio_dash/strategy/rebalance.py:403</t>
        </is>
      </c>
      <c r="G98" s="6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5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5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6" t="inlineStr">
        <is>
          <t>4655845（已部署 demo）</t>
        </is>
      </c>
      <c r="L98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7" t="inlineStr">
        <is>
          <t>三個月份預估逐列手算相符；8 筆快照已清理；編輯不會重寫快照</t>
        </is>
      </c>
      <c r="P98" s="67" t="inlineStr">
        <is>
          <t>複驗通過 → 結案</t>
        </is>
      </c>
      <c r="Q98" s="68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7" t="inlineStr">
        <is>
          <t>檢驗方 2026-09-24</t>
        </is>
      </c>
    </row>
    <row r="99" ht="219.75" customHeight="1" s="43">
      <c r="A99" s="61" t="inlineStr">
        <is>
          <t>R3</t>
        </is>
      </c>
      <c r="B99" s="61" t="inlineStr">
        <is>
          <t>DEF-013</t>
        </is>
      </c>
      <c r="C99" s="61" t="inlineStr">
        <is>
          <t>B-10</t>
        </is>
      </c>
      <c r="D99" s="61" t="inlineStr">
        <is>
          <t>2026-09-24</t>
        </is>
      </c>
      <c r="E99" s="65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6" t="inlineStr">
        <is>
          <t>web/ledger.js:638 `tdSide.appendChild(dirChip(t.side));`；portfolio_dash/api/routers/ledgers.py:205（交易列 wire 無 daytrade）</t>
        </is>
      </c>
      <c r="G99" s="65" t="inlineStr">
        <is>
          <t>沒有任何測試涵蓋兩旗標同時勾選或帳本列標示。新增契約 4 則＋e2e 1 則。</t>
        </is>
      </c>
      <c r="H99" s="65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5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5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6" t="inlineStr">
        <is>
          <t>4655845（已部署 demo）</t>
        </is>
      </c>
      <c r="L99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7" t="inlineStr">
        <is>
          <t>組合說明、稅率、帳本與列印徽章皆符合 B-10③；刪除後 cmp R3_START same:true</t>
        </is>
      </c>
      <c r="P99" s="67" t="inlineStr">
        <is>
          <t>複驗通過 → 結案</t>
        </is>
      </c>
      <c r="Q99" s="67" t="inlineStr">
        <is>
          <t>無</t>
        </is>
      </c>
      <c r="R99" s="67" t="inlineStr">
        <is>
          <t>檢驗方 2026-09-24</t>
        </is>
      </c>
    </row>
    <row r="100" ht="219.75" customHeight="1" s="43">
      <c r="A100" s="61" t="inlineStr">
        <is>
          <t>R3</t>
        </is>
      </c>
      <c r="B100" s="61" t="inlineStr">
        <is>
          <t>DEF-016</t>
        </is>
      </c>
      <c r="C100" s="61" t="inlineStr">
        <is>
          <t>C-02</t>
        </is>
      </c>
      <c r="D100" s="61" t="inlineStr">
        <is>
          <t>2026-09-24</t>
        </is>
      </c>
      <c r="E100" s="65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6" t="inlineStr">
        <is>
          <t>portfolio_dash/portfolio/dashboard.py:491 `book = build_book(bundle, allow_oversell=True)`；portfolio_dash/portfolio/returns.py:215 `add(dv.date, ccy_of(dv.symbol), dv.net)`</t>
        </is>
      </c>
      <c r="G100" s="65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5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5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5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6" t="inlineStr">
        <is>
          <t>4655845（已部署 demo）</t>
        </is>
      </c>
      <c r="L100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7" t="inlineStr">
        <is>
          <t>未來股利入帳日前不影響任何計算；刪除後 cmp D016R3 same:true</t>
        </is>
      </c>
      <c r="P100" s="67" t="inlineStr">
        <is>
          <t>複驗通過 → 結案</t>
        </is>
      </c>
      <c r="Q100" s="6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7" t="inlineStr">
        <is>
          <t>檢驗方 2026-09-24</t>
        </is>
      </c>
    </row>
    <row r="101" ht="219.75" customHeight="1" s="43">
      <c r="A101" s="61" t="inlineStr">
        <is>
          <t>R3</t>
        </is>
      </c>
      <c r="B101" s="61" t="inlineStr">
        <is>
          <t>DEF-039</t>
        </is>
      </c>
      <c r="C101" s="61" t="inlineStr">
        <is>
          <t>I-10</t>
        </is>
      </c>
      <c r="D101" s="61" t="inlineStr">
        <is>
          <t>2026-09-24</t>
        </is>
      </c>
      <c r="E101" s="65" t="inlineStr">
        <is>
          <t>同意驗證者。</t>
        </is>
      </c>
      <c r="F101" s="66" t="inlineStr">
        <is>
          <t>web/broker-import.js:600 `'帳本' + asOf + '已持有 ' + o.ledger_shares + ' 股'`（同段 :601、:607、:608 同寫法）</t>
        </is>
      </c>
      <c r="G101" s="65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5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5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5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6" t="inlineStr">
        <is>
          <t>4655845（已部署 demo）</t>
        </is>
      </c>
      <c r="L101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7" t="inlineStr">
        <is>
          <t>真實瀏覽器：交易帳本 › CSV 匯入 › 券商對帳單（嘉信）上傳自製 Schwab 格式檔「09/23/2026 Sell AAPL 1000 @230」→ 讀期初缺口提示；不寫入</t>
        </is>
      </c>
      <c r="N101" s="6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7" t="inlineStr">
        <is>
          <t>提示數字已格式化且相減正確；未寫入，cmp R3_START 帳本六段相同（僅額度差為 DEF-025 的 AI 解析）</t>
        </is>
      </c>
      <c r="P101" s="67" t="inlineStr">
        <is>
          <t>複驗通過 → 結案</t>
        </is>
      </c>
      <c r="Q101" s="67" t="inlineStr">
        <is>
          <t>無</t>
        </is>
      </c>
      <c r="R101" s="67" t="inlineStr">
        <is>
          <t>檢驗方 2026-09-24</t>
        </is>
      </c>
    </row>
    <row r="102" ht="219.75" customHeight="1" s="43">
      <c r="A102" s="61" t="inlineStr">
        <is>
          <t>R3</t>
        </is>
      </c>
      <c r="B102" s="61" t="inlineStr">
        <is>
          <t>DEF-040</t>
        </is>
      </c>
      <c r="C102" s="61" t="inlineStr">
        <is>
          <t>D-10</t>
        </is>
      </c>
      <c r="D102" s="61" t="inlineStr">
        <is>
          <t>2026-09-24</t>
        </is>
      </c>
      <c r="E102" s="65" t="inlineStr">
        <is>
          <t>同意，依 owner 裁定實作：刪除分拆時一併移除它寫入、且之後未被正式報價覆蓋的子公司起始價；不可移除時在刪除框與 toast 說明原因。</t>
        </is>
      </c>
      <c r="F102" s="66" t="inlineStr">
        <is>
          <t>portfolio_dash/api/routers/ledgers.py:2172 `delete_corporate_action(conn, a.id, commit=False)`；:1954 `close=close, source="manual")],`（起始價寫入點）</t>
        </is>
      </c>
      <c r="G102" s="65" t="inlineStr">
        <is>
          <t>沒有守門。新增契約 5 則＋e2e 1 則。</t>
        </is>
      </c>
      <c r="H102" s="65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5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5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6" t="inlineStr">
        <is>
          <t>4655845（已部署 demo）</t>
        </is>
      </c>
      <c r="L102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7" t="inlineStr">
        <is>
          <t>正常路徑通過；「當日已有正式報價」時存檔覆蓋、刪除後原報價遺失（本機重現）</t>
        </is>
      </c>
      <c r="P102" s="67" t="inlineStr">
        <is>
          <t>部分通過</t>
        </is>
      </c>
      <c r="Q102" s="6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7" t="inlineStr">
        <is>
          <t>檢驗方 2026-09-24</t>
        </is>
      </c>
    </row>
    <row r="103" ht="219.75" customHeight="1" s="43">
      <c r="A103" s="61" t="inlineStr">
        <is>
          <t>R3</t>
        </is>
      </c>
      <c r="B103" s="61" t="inlineStr">
        <is>
          <t>DEF-041</t>
        </is>
      </c>
      <c r="C103" s="61" t="inlineStr">
        <is>
          <t>G-09</t>
        </is>
      </c>
      <c r="D103" s="61" t="inlineStr">
        <is>
          <t>2026-09-24</t>
        </is>
      </c>
      <c r="E103" s="65" t="inlineStr">
        <is>
          <t>同意，依 owner 裁定實作：預警觸發的持倉提點只派發持有中的標的。</t>
        </is>
      </c>
      <c r="F103" s="66" t="inlineStr">
        <is>
          <t>portfolio_dash/llm_insight/alerts_bridge.py:375 `for it in subscribers:`</t>
        </is>
      </c>
      <c r="G103" s="65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5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5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5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6" t="inlineStr">
        <is>
          <t>4655845（已部署 demo）</t>
        </is>
      </c>
      <c r="L103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7" t="inlineStr">
        <is>
          <t>真實瀏覽器：系統設定 › 排程中心 › alert_scan 立即執行（run #185，距 R1 派發已逾 24 小時去抖）→ 讀詳情、派發的 run 與新卡</t>
        </is>
      </c>
      <c r="N103" s="6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7" t="inlineStr">
        <is>
          <t>觀察標的 7 條不產卡、持有標的 7 條產卡；本案花費 $0.0050487</t>
        </is>
      </c>
      <c r="P103" s="67" t="inlineStr">
        <is>
          <t>複驗通過 → 結案</t>
        </is>
      </c>
      <c r="Q103" s="68" t="inlineStr">
        <is>
          <t>owner 決策項 ⑤（mode:all_registered 任務是否排除已封存標的）見本輪裁定</t>
        </is>
      </c>
      <c r="R103" s="67" t="inlineStr">
        <is>
          <t>檢驗方 2026-09-24</t>
        </is>
      </c>
    </row>
    <row r="104" ht="219.75" customHeight="1" s="43">
      <c r="A104" s="61" t="inlineStr">
        <is>
          <t>R3</t>
        </is>
      </c>
      <c r="B104" s="61" t="inlineStr">
        <is>
          <t>DEF-043</t>
        </is>
      </c>
      <c r="C104" s="61" t="inlineStr">
        <is>
          <t>H-05</t>
        </is>
      </c>
      <c r="D104" s="61" t="inlineStr">
        <is>
          <t>2026-09-24</t>
        </is>
      </c>
      <c r="E104" s="65" t="inlineStr">
        <is>
          <t>同意驗證者。乾跑預檢 G1 本身對 on_alert 已回 ok；錯的是觸發節點，以及由它推出的頁首「需注意」計數。</t>
        </is>
      </c>
      <c r="F104" s="66" t="inlineStr">
        <is>
          <t>portfolio_dash/llm_insight/pipeline_status.py:86-87 `if not f.scheduled: return NodeState(lv="warn", text="未排程（手動）", sub="不會自動執行")`</t>
        </is>
      </c>
      <c r="G104" s="6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5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5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6" t="inlineStr">
        <is>
          <t>4655845（已部署 demo）</t>
        </is>
      </c>
      <c r="L104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7" t="inlineStr">
        <is>
          <t>真實瀏覽器：洞察管線中心 → 「持倉提點」（預警觸發）任務卡的 ① 觸發節點與頁首任務狀態；/api/insight-tasks/status</t>
        </is>
      </c>
      <c r="N104" s="6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7" t="inlineStr">
        <is>
          <t>觸發節點正確、需注意 3→2</t>
        </is>
      </c>
      <c r="P104" s="67" t="inlineStr">
        <is>
          <t>複驗通過 → 結案</t>
        </is>
      </c>
      <c r="Q104" s="6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7" t="inlineStr">
        <is>
          <t>檢驗方 2026-09-24</t>
        </is>
      </c>
    </row>
    <row r="105" ht="219.75" customHeight="1" s="43">
      <c r="A105" s="61" t="inlineStr">
        <is>
          <t>R3</t>
        </is>
      </c>
      <c r="B105" s="61" t="inlineStr">
        <is>
          <t>DEF-044</t>
        </is>
      </c>
      <c r="C105" s="61" t="inlineStr">
        <is>
          <t>G-09／J-06</t>
        </is>
      </c>
      <c r="D105" s="61" t="inlineStr">
        <is>
          <t>2026-09-24</t>
        </is>
      </c>
      <c r="E105" s="65" t="inlineStr">
        <is>
          <t>同意驗證者。帳戶記號縫只在有 names.js 的頁面生效，5 頁退化成原始 id（排程中心「fx_drift 帳戶 moomoo_my」）。</t>
        </is>
      </c>
      <c r="F105" s="6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5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5" t="inlineStr">
        <is>
          <t>共 11／修 11／白名單 0（5 頁缺 names.js、5 頁順序在後、login 缺）；另 7 頁是無 script 的轉址頁，不在類別內</t>
        </is>
      </c>
      <c r="J105" s="65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6" t="inlineStr">
        <is>
          <t>4655845（已部署 demo）</t>
        </is>
      </c>
      <c r="L105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7" t="inlineStr">
        <is>
          <t>真實瀏覽器：系統設定 › 排程中心 alert_scan 詳情；逐頁讀 11 個 html 的 script 順序</t>
        </is>
      </c>
      <c r="N105" s="6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7" t="inlineStr">
        <is>
          <t>排程中心顯示中文帳戶名；11 頁載入順序正確</t>
        </is>
      </c>
      <c r="P105" s="67" t="inlineStr">
        <is>
          <t>複驗通過 → 結案</t>
        </is>
      </c>
      <c r="Q105" s="67" t="inlineStr">
        <is>
          <t>無</t>
        </is>
      </c>
      <c r="R105" s="67" t="inlineStr">
        <is>
          <t>檢驗方 2026-09-24</t>
        </is>
      </c>
    </row>
    <row r="106" ht="219.75" customHeight="1" s="43">
      <c r="A106" s="61" t="inlineStr">
        <is>
          <t>R3</t>
        </is>
      </c>
      <c r="B106" s="61" t="inlineStr">
        <is>
          <t>DEF-045</t>
        </is>
      </c>
      <c r="C106" s="61" t="inlineStr">
        <is>
          <t>J-04／J-06</t>
        </is>
      </c>
      <c r="D106" s="61" t="inlineStr">
        <is>
          <t>2026-09-24</t>
        </is>
      </c>
      <c r="E106" s="65" t="inlineStr">
        <is>
          <t>同意驗證者。同一類問題還出現在「現金收支明細報告」表頭「帳戶 TW Broker（tw_broker）」，一併修。</t>
        </is>
      </c>
      <c r="F106" s="6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5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6" t="inlineStr">
        <is>
          <t>4655845（已部署 demo）</t>
        </is>
      </c>
      <c r="L106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7" t="inlineStr">
        <is>
          <t>真實瀏覽器：交易帳本 › ⎙匯出報告；資金管理 › 台灣券商 › ⎙匯出報告與 ⬇匯出 CSV（皆攔截下載）</t>
        </is>
      </c>
      <c r="N106" s="6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7" t="inlineStr">
        <is>
          <t>兩份列印報告皆為中文顯示名</t>
        </is>
      </c>
      <c r="P106" s="67" t="inlineStr">
        <is>
          <t>複驗通過 → 結案</t>
        </is>
      </c>
      <c r="Q106" s="67" t="inlineStr">
        <is>
          <t>無</t>
        </is>
      </c>
      <c r="R106" s="67" t="inlineStr">
        <is>
          <t>檢驗方 2026-09-24</t>
        </is>
      </c>
    </row>
    <row r="107" ht="219.75" customHeight="1" s="43">
      <c r="A107" s="61" t="inlineStr">
        <is>
          <t>R3</t>
        </is>
      </c>
      <c r="B107" s="61" t="inlineStr">
        <is>
          <t>DEF-046</t>
        </is>
      </c>
      <c r="C107" s="61" t="inlineStr">
        <is>
          <t>G-09</t>
        </is>
      </c>
      <c r="D107" s="61" t="inlineStr">
        <is>
          <t>2026-09-24</t>
        </is>
      </c>
      <c r="E107" s="65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5" t="inlineStr">
        <is>
          <t>（R2 前）portfolio_dash/scheduler/jobs.py:918 `conn, rule_id=alert.rule, symbol=_alert_symbol(alert), now=now,`</t>
        </is>
      </c>
      <c r="G107" s="65" t="inlineStr">
        <is>
          <t>資料殘留，沒有程式守門可攔。新守門是清理腳本自己的 9 則測試，其中「卡片 symbol 是已註冊標的就拒絕」專門擋 #207 這種卡號填錯。</t>
        </is>
      </c>
      <c r="H107" s="65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5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5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6" t="inlineStr">
        <is>
          <t>4655845（已部署 demo）</t>
        </is>
      </c>
      <c r="L107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7" t="inlineStr">
        <is>
          <t>讀 /api/insights 全部 195 張（分頁），以 id 與 symbol 檢查</t>
        </is>
      </c>
      <c r="N107" s="6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8" t="inlineStr">
        <is>
          <t>#192 已刪；#207 保留正確；同根因 #97 仍在（owner 本輪裁定刪除，見 DEF-054）</t>
        </is>
      </c>
      <c r="P107" s="67" t="inlineStr">
        <is>
          <t>複驗通過 → 結案</t>
        </is>
      </c>
      <c r="Q107" s="67" t="inlineStr">
        <is>
          <t>驗證者 R2 交接把錯卡記成 #207，是驗證者的錯誤，已於本輪交接紀錄更正</t>
        </is>
      </c>
      <c r="R107" s="67" t="inlineStr">
        <is>
          <t>檢驗方 2026-09-24</t>
        </is>
      </c>
    </row>
    <row r="108" ht="219.75" customHeight="1" s="43">
      <c r="A108" s="61" t="inlineStr">
        <is>
          <t>R3</t>
        </is>
      </c>
      <c r="B108" s="61" t="inlineStr">
        <is>
          <t>DEF-047</t>
        </is>
      </c>
      <c r="C108" s="61" t="inlineStr">
        <is>
          <t>C-01</t>
        </is>
      </c>
      <c r="D108" s="61" t="inlineStr">
        <is>
          <t>2026-09-24</t>
        </is>
      </c>
      <c r="E108" s="65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6" t="inlineStr">
        <is>
          <t>portfolio_dash/pricing/registry.py:144 `failed.append(ref.symbol)`（:142 空回應與 :136-138 例外同一分支）</t>
        </is>
      </c>
      <c r="G108" s="6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5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5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6" t="inlineStr">
        <is>
          <t>4655845（已部署 demo）</t>
        </is>
      </c>
      <c r="L108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7" t="inlineStr">
        <is>
          <t>真實瀏覽器：收件匣 › 待確認匯入 › 重新偵測（外部來源）</t>
        </is>
      </c>
      <c r="N108" s="6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7" t="inlineStr">
        <is>
          <t>無配息歸「無配息紀錄」、不再警告</t>
        </is>
      </c>
      <c r="P108" s="67" t="inlineStr">
        <is>
          <t>複驗通過 → 結案</t>
        </is>
      </c>
      <c r="Q108" s="68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7" t="inlineStr">
        <is>
          <t>檢驗方 2026-09-24</t>
        </is>
      </c>
    </row>
    <row r="109" ht="219.75" customHeight="1" s="43">
      <c r="A109" s="61" t="inlineStr">
        <is>
          <t>R3</t>
        </is>
      </c>
      <c r="B109" s="61" t="inlineStr">
        <is>
          <t>DEF-048</t>
        </is>
      </c>
      <c r="C109" s="61" t="inlineStr">
        <is>
          <t>B-17</t>
        </is>
      </c>
      <c r="D109" s="61" t="inlineStr">
        <is>
          <t>2026-09-24</t>
        </is>
      </c>
      <c r="E109" s="65" t="inlineStr">
        <is>
          <t>同意，依 owner 裁定實作：草稿依帳本重播到交易日，顯示當時的持股與均價，與寫入後重播到該日的結果一致。</t>
        </is>
      </c>
      <c r="F109" s="6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5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5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5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6" t="inlineStr">
        <is>
          <t>4655845（已部署 demo）</t>
        </is>
      </c>
      <c r="L109" s="65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7" t="inlineStr">
        <is>
          <t>三個草稿的持股／均價皆為交易日當時；補登加註；不寫入</t>
        </is>
      </c>
      <c r="P109" s="67" t="inlineStr">
        <is>
          <t>複驗通過 → 結案</t>
        </is>
      </c>
      <c r="Q109" s="67" t="inlineStr">
        <is>
          <t>無</t>
        </is>
      </c>
      <c r="R109" s="67" t="inlineStr">
        <is>
          <t>檢驗方 2026-09-24</t>
        </is>
      </c>
    </row>
    <row r="110" ht="15" customHeight="1" s="43">
      <c r="A110" s="61" t="inlineStr">
        <is>
          <t>R3</t>
        </is>
      </c>
      <c r="B110" s="61" t="inlineStr">
        <is>
          <t>DEF-049</t>
        </is>
      </c>
      <c r="C110" s="61" t="inlineStr">
        <is>
          <t>I-08</t>
        </is>
      </c>
      <c r="D110" s="61" t="inlineStr">
        <is>
          <t>2026-09-24</t>
        </is>
      </c>
      <c r="E110" s="65" t="inlineStr">
        <is>
          <t>—（本輪由檢驗方發現／Owner 裁定）</t>
        </is>
      </c>
      <c r="F110" s="66" t="inlineStr">
        <is>
          <t>—</t>
        </is>
      </c>
      <c r="G110" s="66" t="inlineStr">
        <is>
          <t>—</t>
        </is>
      </c>
      <c r="H110" s="66" t="inlineStr">
        <is>
          <t>—</t>
        </is>
      </c>
      <c r="I110" s="66" t="inlineStr">
        <is>
          <t>—</t>
        </is>
      </c>
      <c r="J110" s="66" t="inlineStr">
        <is>
          <t>—</t>
        </is>
      </c>
      <c r="K110" s="66" t="inlineStr">
        <is>
          <t>—</t>
        </is>
      </c>
      <c r="L110" s="66" t="inlineStr">
        <is>
          <t>—</t>
        </is>
      </c>
      <c r="M110" s="67" t="inlineStr">
        <is>
          <t>真實瀏覽器：CSV 匯入 → 手動賣出 → 復原；對照帳本逐筆刪除；測畢刪賣出並復原批次，cmp D049 same:true</t>
        </is>
      </c>
      <c r="N110" s="6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7" t="inlineStr">
        <is>
          <t>批次復原 200 並造成賣超；逐筆刪除 422</t>
        </is>
      </c>
      <c r="P110" s="68" t="inlineStr">
        <is>
          <t>FAIL</t>
        </is>
      </c>
      <c r="Q110" s="67" t="inlineStr">
        <is>
          <t>開 DEF-049（owner 指示本輪附規格）</t>
        </is>
      </c>
      <c r="R110" s="67" t="inlineStr">
        <is>
          <t>檢驗方 2026-09-24</t>
        </is>
      </c>
    </row>
    <row r="111" ht="15" customHeight="1" s="43">
      <c r="A111" s="61" t="inlineStr">
        <is>
          <t>R3</t>
        </is>
      </c>
      <c r="B111" s="61" t="inlineStr">
        <is>
          <t>DEF-050</t>
        </is>
      </c>
      <c r="C111" s="61" t="inlineStr">
        <is>
          <t>J-05</t>
        </is>
      </c>
      <c r="D111" s="61" t="inlineStr">
        <is>
          <t>2026-09-24</t>
        </is>
      </c>
      <c r="E111" s="65" t="inlineStr">
        <is>
          <t>—（本輪由檢驗方發現／Owner 裁定）</t>
        </is>
      </c>
      <c r="F111" s="66" t="inlineStr">
        <is>
          <t>—</t>
        </is>
      </c>
      <c r="G111" s="66" t="inlineStr">
        <is>
          <t>—</t>
        </is>
      </c>
      <c r="H111" s="66" t="inlineStr">
        <is>
          <t>—</t>
        </is>
      </c>
      <c r="I111" s="66" t="inlineStr">
        <is>
          <t>—</t>
        </is>
      </c>
      <c r="J111" s="66" t="inlineStr">
        <is>
          <t>—</t>
        </is>
      </c>
      <c r="K111" s="66" t="inlineStr">
        <is>
          <t>—</t>
        </is>
      </c>
      <c r="L111" s="66" t="inlineStr">
        <is>
          <t>—</t>
        </is>
      </c>
      <c r="M111" s="68" t="inlineStr">
        <is>
          <t>R2 390px iframe 量測＋截圖</t>
        </is>
      </c>
      <c r="N111" s="67" t="inlineStr">
        <is>
          <t>觀察：副標題被截
定位：styles.css:1942
判定：FAIL（低）</t>
        </is>
      </c>
      <c r="O111" s="68" t="inlineStr">
        <is>
          <t>scrollWidth 849／clientWidth 349</t>
        </is>
      </c>
      <c r="P111" s="68" t="inlineStr">
        <is>
          <t>FAIL</t>
        </is>
      </c>
      <c r="Q111" s="67" t="inlineStr">
        <is>
          <t>開 DEF-050</t>
        </is>
      </c>
      <c r="R111" s="67" t="inlineStr">
        <is>
          <t>檢驗方 2026-09-24</t>
        </is>
      </c>
    </row>
    <row r="112" ht="15" customHeight="1" s="43">
      <c r="A112" s="61" t="inlineStr">
        <is>
          <t>R3</t>
        </is>
      </c>
      <c r="B112" s="61" t="inlineStr">
        <is>
          <t>DEF-051</t>
        </is>
      </c>
      <c r="C112" s="61" t="inlineStr">
        <is>
          <t>H-04</t>
        </is>
      </c>
      <c r="D112" s="61" t="inlineStr">
        <is>
          <t>2026-09-24</t>
        </is>
      </c>
      <c r="E112" s="65" t="inlineStr">
        <is>
          <t>—（本輪由檢驗方發現／Owner 裁定）</t>
        </is>
      </c>
      <c r="F112" s="66" t="inlineStr">
        <is>
          <t>—</t>
        </is>
      </c>
      <c r="G112" s="66" t="inlineStr">
        <is>
          <t>—</t>
        </is>
      </c>
      <c r="H112" s="66" t="inlineStr">
        <is>
          <t>—</t>
        </is>
      </c>
      <c r="I112" s="66" t="inlineStr">
        <is>
          <t>—</t>
        </is>
      </c>
      <c r="J112" s="66" t="inlineStr">
        <is>
          <t>—</t>
        </is>
      </c>
      <c r="K112" s="66" t="inlineStr">
        <is>
          <t>—</t>
        </is>
      </c>
      <c r="L112" s="66" t="inlineStr">
        <is>
          <t>—</t>
        </is>
      </c>
      <c r="M112" s="67" t="inlineStr">
        <is>
          <t>真實瀏覽器兩次立即執行</t>
        </is>
      </c>
      <c r="N112" s="67" t="inlineStr">
        <is>
          <t>觀察：toast 為 job id
定位：settings-scheduler.js:548
判定：FAIL（低）</t>
        </is>
      </c>
      <c r="O112" s="68" t="inlineStr">
        <is>
          <t>insight:7／alert_scan</t>
        </is>
      </c>
      <c r="P112" s="68" t="inlineStr">
        <is>
          <t>FAIL</t>
        </is>
      </c>
      <c r="Q112" s="67" t="inlineStr">
        <is>
          <t>開 DEF-051</t>
        </is>
      </c>
      <c r="R112" s="67" t="inlineStr">
        <is>
          <t>檢驗方 2026-09-24</t>
        </is>
      </c>
    </row>
    <row r="113" ht="15" customHeight="1" s="43">
      <c r="A113" s="61" t="inlineStr">
        <is>
          <t>R3</t>
        </is>
      </c>
      <c r="B113" s="61" t="inlineStr">
        <is>
          <t>DEF-052</t>
        </is>
      </c>
      <c r="C113" s="61" t="inlineStr">
        <is>
          <t>D-10</t>
        </is>
      </c>
      <c r="D113" s="61" t="inlineStr">
        <is>
          <t>2026-09-24</t>
        </is>
      </c>
      <c r="E113" s="65" t="inlineStr">
        <is>
          <t>—（本輪由檢驗方發現／Owner 裁定）</t>
        </is>
      </c>
      <c r="F113" s="66" t="inlineStr">
        <is>
          <t>—</t>
        </is>
      </c>
      <c r="G113" s="66" t="inlineStr">
        <is>
          <t>—</t>
        </is>
      </c>
      <c r="H113" s="66" t="inlineStr">
        <is>
          <t>—</t>
        </is>
      </c>
      <c r="I113" s="66" t="inlineStr">
        <is>
          <t>—</t>
        </is>
      </c>
      <c r="J113" s="66" t="inlineStr">
        <is>
          <t>—</t>
        </is>
      </c>
      <c r="K113" s="66" t="inlineStr">
        <is>
          <t>—</t>
        </is>
      </c>
      <c r="L113" s="66" t="inlineStr">
        <is>
          <t>—</t>
        </is>
      </c>
      <c r="M113" s="68" t="inlineStr">
        <is>
          <t>R2 DEF-020 複驗時的帳本列</t>
        </is>
      </c>
      <c r="N113" s="67" t="inlineStr">
        <is>
          <t>觀察：列無費用
判定：FAIL（低）</t>
        </is>
      </c>
      <c r="O113" s="68" t="inlineStr">
        <is>
          <t>API 有 reorg_fee、畫面無</t>
        </is>
      </c>
      <c r="P113" s="68" t="inlineStr">
        <is>
          <t>FAIL</t>
        </is>
      </c>
      <c r="Q113" s="67" t="inlineStr">
        <is>
          <t>開 DEF-052</t>
        </is>
      </c>
      <c r="R113" s="67" t="inlineStr">
        <is>
          <t>檢驗方 2026-09-24</t>
        </is>
      </c>
    </row>
    <row r="114" ht="15" customHeight="1" s="43">
      <c r="A114" s="61" t="inlineStr">
        <is>
          <t>R3</t>
        </is>
      </c>
      <c r="B114" s="61" t="inlineStr">
        <is>
          <t>DEF-053</t>
        </is>
      </c>
      <c r="C114" s="61" t="inlineStr">
        <is>
          <t>H-04</t>
        </is>
      </c>
      <c r="D114" s="61" t="inlineStr">
        <is>
          <t>2026-09-24</t>
        </is>
      </c>
      <c r="E114" s="65" t="inlineStr">
        <is>
          <t>—（本輪由檢驗方發現／Owner 裁定）</t>
        </is>
      </c>
      <c r="F114" s="66" t="inlineStr">
        <is>
          <t>—</t>
        </is>
      </c>
      <c r="G114" s="66" t="inlineStr">
        <is>
          <t>—</t>
        </is>
      </c>
      <c r="H114" s="66" t="inlineStr">
        <is>
          <t>—</t>
        </is>
      </c>
      <c r="I114" s="66" t="inlineStr">
        <is>
          <t>—</t>
        </is>
      </c>
      <c r="J114" s="66" t="inlineStr">
        <is>
          <t>—</t>
        </is>
      </c>
      <c r="K114" s="66" t="inlineStr">
        <is>
          <t>—</t>
        </is>
      </c>
      <c r="L114" s="66" t="inlineStr">
        <is>
          <t>—</t>
        </is>
      </c>
      <c r="M114" s="67" t="inlineStr">
        <is>
          <t>讀碼 web/pipeline-wizard.js:372-374</t>
        </is>
      </c>
      <c r="N114" s="67" t="inlineStr">
        <is>
          <t>觀察：字串含 on_alert
判定：FAIL（低）</t>
        </is>
      </c>
      <c r="O114" s="67" t="inlineStr">
        <is>
          <t>使用者可見字串含識別字</t>
        </is>
      </c>
      <c r="P114" s="68" t="inlineStr">
        <is>
          <t>FAIL</t>
        </is>
      </c>
      <c r="Q114" s="67" t="inlineStr">
        <is>
          <t>開 DEF-053</t>
        </is>
      </c>
      <c r="R114" s="67" t="inlineStr">
        <is>
          <t>檢驗方 2026-09-24</t>
        </is>
      </c>
    </row>
    <row r="115" ht="15" customHeight="1" s="43">
      <c r="A115" s="61" t="inlineStr">
        <is>
          <t>R3</t>
        </is>
      </c>
      <c r="B115" s="61" t="inlineStr">
        <is>
          <t>DEF-054</t>
        </is>
      </c>
      <c r="C115" s="61" t="inlineStr">
        <is>
          <t>G-09</t>
        </is>
      </c>
      <c r="D115" s="61" t="inlineStr">
        <is>
          <t>2026-09-24</t>
        </is>
      </c>
      <c r="E115" s="65" t="inlineStr">
        <is>
          <t>—（本輪由檢驗方發現／Owner 裁定）</t>
        </is>
      </c>
      <c r="F115" s="66" t="inlineStr">
        <is>
          <t>—</t>
        </is>
      </c>
      <c r="G115" s="66" t="inlineStr">
        <is>
          <t>—</t>
        </is>
      </c>
      <c r="H115" s="66" t="inlineStr">
        <is>
          <t>—</t>
        </is>
      </c>
      <c r="I115" s="66" t="inlineStr">
        <is>
          <t>—</t>
        </is>
      </c>
      <c r="J115" s="66" t="inlineStr">
        <is>
          <t>—</t>
        </is>
      </c>
      <c r="K115" s="66" t="inlineStr">
        <is>
          <t>—</t>
        </is>
      </c>
      <c r="L115" s="66" t="inlineStr">
        <is>
          <t>—</t>
        </is>
      </c>
      <c r="M115" s="68" t="inlineStr">
        <is>
          <t>API 全量讀取</t>
        </is>
      </c>
      <c r="N115" s="67" t="inlineStr">
        <is>
          <t>觀察：#97 仍在。分類：資料殘留（程式已正確）</t>
        </is>
      </c>
      <c r="O115" s="68" t="inlineStr">
        <is>
          <t>#97 存在</t>
        </is>
      </c>
      <c r="P115" s="67" t="inlineStr">
        <is>
          <t>待裁定</t>
        </is>
      </c>
      <c r="Q115" s="67" t="inlineStr">
        <is>
          <t>開 DEF-054，owner 已裁定刪除</t>
        </is>
      </c>
      <c r="R115" s="67" t="inlineStr">
        <is>
          <t>檢驗方 2026-09-24</t>
        </is>
      </c>
    </row>
    <row r="116" ht="15" customHeight="1" s="43">
      <c r="A116" s="61" t="inlineStr">
        <is>
          <t>R3</t>
        </is>
      </c>
      <c r="B116" s="61" t="inlineStr">
        <is>
          <t>DEF-055</t>
        </is>
      </c>
      <c r="C116" s="61" t="inlineStr">
        <is>
          <t>B-16</t>
        </is>
      </c>
      <c r="D116" s="61" t="inlineStr">
        <is>
          <t>2026-09-24</t>
        </is>
      </c>
      <c r="E116" s="65" t="inlineStr">
        <is>
          <t>—（本輪由檢驗方發現／Owner 裁定）</t>
        </is>
      </c>
      <c r="F116" s="66" t="inlineStr">
        <is>
          <t>—</t>
        </is>
      </c>
      <c r="G116" s="66" t="inlineStr">
        <is>
          <t>—</t>
        </is>
      </c>
      <c r="H116" s="66" t="inlineStr">
        <is>
          <t>—</t>
        </is>
      </c>
      <c r="I116" s="66" t="inlineStr">
        <is>
          <t>—</t>
        </is>
      </c>
      <c r="J116" s="66" t="inlineStr">
        <is>
          <t>—</t>
        </is>
      </c>
      <c r="K116" s="66" t="inlineStr">
        <is>
          <t>—</t>
        </is>
      </c>
      <c r="L116" s="66" t="inlineStr">
        <is>
          <t>—</t>
        </is>
      </c>
      <c r="M116" s="68" t="inlineStr">
        <is>
          <t>API 逐列讀快照；讀編輯框預覽回應</t>
        </is>
      </c>
      <c r="N116" s="67" t="inlineStr">
        <is>
          <t>觀察：兩筆未清；預覽仍估退款
判定：資料殘留＋低</t>
        </is>
      </c>
      <c r="O116" s="68" t="inlineStr">
        <is>
          <t>#33/#44 未清；預覽 219</t>
        </is>
      </c>
      <c r="P116" s="67" t="inlineStr">
        <is>
          <t>待裁定</t>
        </is>
      </c>
      <c r="Q116" s="67" t="inlineStr">
        <is>
          <t>開 DEF-055，owner 已裁定清理</t>
        </is>
      </c>
      <c r="R116" s="67" t="inlineStr">
        <is>
          <t>檢驗方 2026-09-24</t>
        </is>
      </c>
    </row>
    <row r="117" ht="15" customHeight="1" s="43">
      <c r="A117" s="61" t="inlineStr">
        <is>
          <t>R3</t>
        </is>
      </c>
      <c r="B117" s="61" t="inlineStr">
        <is>
          <t>DEF-056</t>
        </is>
      </c>
      <c r="C117" s="61" t="inlineStr">
        <is>
          <t>B-17</t>
        </is>
      </c>
      <c r="D117" s="61" t="inlineStr">
        <is>
          <t>2026-09-24</t>
        </is>
      </c>
      <c r="E117" s="65" t="inlineStr">
        <is>
          <t>—（本輪由檢驗方發現／Owner 裁定）</t>
        </is>
      </c>
      <c r="F117" s="66" t="inlineStr">
        <is>
          <t>—</t>
        </is>
      </c>
      <c r="G117" s="66" t="inlineStr">
        <is>
          <t>—</t>
        </is>
      </c>
      <c r="H117" s="66" t="inlineStr">
        <is>
          <t>—</t>
        </is>
      </c>
      <c r="I117" s="66" t="inlineStr">
        <is>
          <t>—</t>
        </is>
      </c>
      <c r="J117" s="66" t="inlineStr">
        <is>
          <t>—</t>
        </is>
      </c>
      <c r="K117" s="66" t="inlineStr">
        <is>
          <t>—</t>
        </is>
      </c>
      <c r="L117" s="66" t="inlineStr">
        <is>
          <t>—</t>
        </is>
      </c>
      <c r="M117" s="67" t="inlineStr">
        <is>
          <t>讀開發者交接決策項＋DEF-016 黑箱</t>
        </is>
      </c>
      <c r="N117" s="67" t="inlineStr">
        <is>
          <t>規格未定→owner 已裁定</t>
        </is>
      </c>
      <c r="O117" s="68" t="inlineStr">
        <is>
          <t>—</t>
        </is>
      </c>
      <c r="P117" s="67" t="inlineStr">
        <is>
          <t>待裁定</t>
        </is>
      </c>
      <c r="Q117" s="67" t="inlineStr">
        <is>
          <t>開 DEF-056，owner 已裁定</t>
        </is>
      </c>
      <c r="R117" s="67" t="inlineStr">
        <is>
          <t>檢驗方 2026-09-24</t>
        </is>
      </c>
    </row>
    <row r="118" ht="15" customHeight="1" s="43">
      <c r="A118" s="61" t="inlineStr">
        <is>
          <t>R3</t>
        </is>
      </c>
      <c r="B118" s="61" t="inlineStr">
        <is>
          <t>DEF-057</t>
        </is>
      </c>
      <c r="C118" s="61" t="inlineStr">
        <is>
          <t>H-03</t>
        </is>
      </c>
      <c r="D118" s="61" t="inlineStr">
        <is>
          <t>2026-09-24</t>
        </is>
      </c>
      <c r="E118" s="65" t="inlineStr">
        <is>
          <t>—（本輪由檢驗方發現／Owner 裁定）</t>
        </is>
      </c>
      <c r="F118" s="66" t="inlineStr">
        <is>
          <t>—</t>
        </is>
      </c>
      <c r="G118" s="66" t="inlineStr">
        <is>
          <t>—</t>
        </is>
      </c>
      <c r="H118" s="66" t="inlineStr">
        <is>
          <t>—</t>
        </is>
      </c>
      <c r="I118" s="66" t="inlineStr">
        <is>
          <t>—</t>
        </is>
      </c>
      <c r="J118" s="66" t="inlineStr">
        <is>
          <t>—</t>
        </is>
      </c>
      <c r="K118" s="66" t="inlineStr">
        <is>
          <t>—</t>
        </is>
      </c>
      <c r="L118" s="66" t="inlineStr">
        <is>
          <t>—</t>
        </is>
      </c>
      <c r="M118" s="67" t="inlineStr">
        <is>
          <t>讀開發者交接決策項</t>
        </is>
      </c>
      <c r="N118" s="67" t="inlineStr">
        <is>
          <t>規格未定→owner 已裁定</t>
        </is>
      </c>
      <c r="O118" s="68" t="inlineStr">
        <is>
          <t>—</t>
        </is>
      </c>
      <c r="P118" s="67" t="inlineStr">
        <is>
          <t>待裁定</t>
        </is>
      </c>
      <c r="Q118" s="67" t="inlineStr">
        <is>
          <t>開 DEF-057，owner 已裁定</t>
        </is>
      </c>
      <c r="R118" s="67" t="inlineStr">
        <is>
          <t>檢驗方 2026-09-24</t>
        </is>
      </c>
    </row>
    <row r="119" ht="15" customHeight="1" s="43">
      <c r="A119" s="61" t="inlineStr">
        <is>
          <t>R3</t>
        </is>
      </c>
      <c r="B119" s="61" t="inlineStr">
        <is>
          <t>DEF-058</t>
        </is>
      </c>
      <c r="C119" s="61" t="inlineStr">
        <is>
          <t>H-04</t>
        </is>
      </c>
      <c r="D119" s="61" t="inlineStr">
        <is>
          <t>2026-09-24</t>
        </is>
      </c>
      <c r="E119" s="65" t="inlineStr">
        <is>
          <t>—（本輪由檢驗方發現／Owner 裁定）</t>
        </is>
      </c>
      <c r="F119" s="66" t="inlineStr">
        <is>
          <t>—</t>
        </is>
      </c>
      <c r="G119" s="66" t="inlineStr">
        <is>
          <t>—</t>
        </is>
      </c>
      <c r="H119" s="66" t="inlineStr">
        <is>
          <t>—</t>
        </is>
      </c>
      <c r="I119" s="66" t="inlineStr">
        <is>
          <t>—</t>
        </is>
      </c>
      <c r="J119" s="66" t="inlineStr">
        <is>
          <t>—</t>
        </is>
      </c>
      <c r="K119" s="66" t="inlineStr">
        <is>
          <t>—</t>
        </is>
      </c>
      <c r="L119" s="66" t="inlineStr">
        <is>
          <t>—</t>
        </is>
      </c>
      <c r="M119" s="67" t="inlineStr">
        <is>
          <t>真實瀏覽器觸發預警派發後讀洞察管線頁首與 API</t>
        </is>
      </c>
      <c r="N119" s="6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8" t="inlineStr">
        <is>
          <t>7 卡／$0.0005979（應 $0.0050487）</t>
        </is>
      </c>
      <c r="P119" s="68" t="inlineStr">
        <is>
          <t>FAIL</t>
        </is>
      </c>
      <c r="Q119" s="67" t="inlineStr">
        <is>
          <t>開 DEF-058</t>
        </is>
      </c>
      <c r="R119" s="67" t="inlineStr">
        <is>
          <t>檢驗方 2026-09-24</t>
        </is>
      </c>
    </row>
    <row r="120" ht="15" customHeight="1" s="43">
      <c r="A120" s="61" t="inlineStr">
        <is>
          <t>R3</t>
        </is>
      </c>
      <c r="B120" s="61" t="inlineStr">
        <is>
          <t>DEF-059</t>
        </is>
      </c>
      <c r="C120" s="61" t="inlineStr">
        <is>
          <t>H-04</t>
        </is>
      </c>
      <c r="D120" s="61" t="inlineStr">
        <is>
          <t>2026-09-24</t>
        </is>
      </c>
      <c r="E120" s="65" t="inlineStr">
        <is>
          <t>—（本輪由檢驗方發現／Owner 裁定）</t>
        </is>
      </c>
      <c r="F120" s="66" t="inlineStr">
        <is>
          <t>—</t>
        </is>
      </c>
      <c r="G120" s="66" t="inlineStr">
        <is>
          <t>—</t>
        </is>
      </c>
      <c r="H120" s="66" t="inlineStr">
        <is>
          <t>—</t>
        </is>
      </c>
      <c r="I120" s="66" t="inlineStr">
        <is>
          <t>—</t>
        </is>
      </c>
      <c r="J120" s="66" t="inlineStr">
        <is>
          <t>—</t>
        </is>
      </c>
      <c r="K120" s="66" t="inlineStr">
        <is>
          <t>—</t>
        </is>
      </c>
      <c r="L120" s="66" t="inlineStr">
        <is>
          <t>—</t>
        </is>
      </c>
      <c r="M120" s="67" t="inlineStr">
        <is>
          <t>讀開發者交接決策項＋讀碼</t>
        </is>
      </c>
      <c r="N120" s="67" t="inlineStr">
        <is>
          <t>規格未定→owner 已裁定</t>
        </is>
      </c>
      <c r="O120" s="68" t="inlineStr">
        <is>
          <t>—</t>
        </is>
      </c>
      <c r="P120" s="67" t="inlineStr">
        <is>
          <t>待裁定</t>
        </is>
      </c>
      <c r="Q120" s="67" t="inlineStr">
        <is>
          <t>開 DEF-059，owner 已裁定</t>
        </is>
      </c>
      <c r="R120" s="67" t="inlineStr">
        <is>
          <t>檢驗方 2026-09-24</t>
        </is>
      </c>
    </row>
    <row r="121" ht="15" customHeight="1" s="43">
      <c r="A121" s="61" t="inlineStr">
        <is>
          <t>R3</t>
        </is>
      </c>
      <c r="B121" s="61" t="inlineStr">
        <is>
          <t>DEF-060</t>
        </is>
      </c>
      <c r="C121" s="61" t="inlineStr">
        <is>
          <t>D-10</t>
        </is>
      </c>
      <c r="D121" s="61" t="inlineStr">
        <is>
          <t>2026-09-24</t>
        </is>
      </c>
      <c r="E121" s="65" t="inlineStr">
        <is>
          <t>—（本輪由檢驗方發現／Owner 裁定）</t>
        </is>
      </c>
      <c r="F121" s="66" t="inlineStr">
        <is>
          <t>—</t>
        </is>
      </c>
      <c r="G121" s="66" t="inlineStr">
        <is>
          <t>—</t>
        </is>
      </c>
      <c r="H121" s="66" t="inlineStr">
        <is>
          <t>—</t>
        </is>
      </c>
      <c r="I121" s="66" t="inlineStr">
        <is>
          <t>—</t>
        </is>
      </c>
      <c r="J121" s="66" t="inlineStr">
        <is>
          <t>—</t>
        </is>
      </c>
      <c r="K121" s="66" t="inlineStr">
        <is>
          <t>—</t>
        </is>
      </c>
      <c r="L121" s="66" t="inlineStr">
        <is>
          <t>—</t>
        </is>
      </c>
      <c r="M121" s="67" t="inlineStr">
        <is>
          <t>讀開發者交接決策項</t>
        </is>
      </c>
      <c r="N121" s="67" t="inlineStr">
        <is>
          <t>規格未定→owner 已裁定</t>
        </is>
      </c>
      <c r="O121" s="68" t="inlineStr">
        <is>
          <t>—</t>
        </is>
      </c>
      <c r="P121" s="67" t="inlineStr">
        <is>
          <t>待裁定</t>
        </is>
      </c>
      <c r="Q121" s="67" t="inlineStr">
        <is>
          <t>開 DEF-060，owner 已裁定</t>
        </is>
      </c>
      <c r="R121" s="67" t="inlineStr">
        <is>
          <t>檢驗方 2026-09-24</t>
        </is>
      </c>
    </row>
    <row r="122" ht="15" customHeight="1" s="43">
      <c r="A122" s="61" t="inlineStr">
        <is>
          <t>R3</t>
        </is>
      </c>
      <c r="B122" s="61" t="inlineStr">
        <is>
          <t>DEF-061</t>
        </is>
      </c>
      <c r="C122" s="61" t="inlineStr">
        <is>
          <t>C-02</t>
        </is>
      </c>
      <c r="D122" s="61" t="inlineStr">
        <is>
          <t>2026-09-24</t>
        </is>
      </c>
      <c r="E122" s="65" t="inlineStr">
        <is>
          <t>—（本輪由檢驗方發現／Owner 裁定）</t>
        </is>
      </c>
      <c r="F122" s="66" t="inlineStr">
        <is>
          <t>—</t>
        </is>
      </c>
      <c r="G122" s="66" t="inlineStr">
        <is>
          <t>—</t>
        </is>
      </c>
      <c r="H122" s="66" t="inlineStr">
        <is>
          <t>—</t>
        </is>
      </c>
      <c r="I122" s="66" t="inlineStr">
        <is>
          <t>—</t>
        </is>
      </c>
      <c r="J122" s="66" t="inlineStr">
        <is>
          <t>—</t>
        </is>
      </c>
      <c r="K122" s="66" t="inlineStr">
        <is>
          <t>—</t>
        </is>
      </c>
      <c r="L122" s="66" t="inlineStr">
        <is>
          <t>—</t>
        </is>
      </c>
      <c r="M122" s="67" t="inlineStr">
        <is>
          <t>讀開發者交接決策項＋讀碼</t>
        </is>
      </c>
      <c r="N122" s="67" t="inlineStr">
        <is>
          <t>觀察：更正門與新增門規則不同
判定：FAIL（低）</t>
        </is>
      </c>
      <c r="O122" s="68" t="inlineStr">
        <is>
          <t>—</t>
        </is>
      </c>
      <c r="P122" s="67" t="inlineStr">
        <is>
          <t>待裁定</t>
        </is>
      </c>
      <c r="Q122" s="67" t="inlineStr">
        <is>
          <t>開 DEF-061，owner 已裁定</t>
        </is>
      </c>
      <c r="R122" s="67" t="inlineStr">
        <is>
          <t>檢驗方 2026-09-24</t>
        </is>
      </c>
    </row>
    <row r="123" ht="219.75" customHeight="1" s="43">
      <c r="A123" s="61" t="inlineStr">
        <is>
          <t>R4</t>
        </is>
      </c>
      <c r="B123" s="61" t="inlineStr">
        <is>
          <t>DEF-040</t>
        </is>
      </c>
      <c r="C123" s="61" t="inlineStr">
        <is>
          <t>D-10</t>
        </is>
      </c>
      <c r="D123" s="61" t="inlineStr">
        <is>
          <t>2026-09-25</t>
        </is>
      </c>
      <c r="E123" s="65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5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6" t="inlineStr">
        <is>
          <t>1ee7771（已部署 demo）</t>
        </is>
      </c>
      <c r="L123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7" t="inlineStr">
        <is>
          <t>有報價的日期不寫入、存前即說明；存檔與刪除後價格列逐字不變；cmp D040R4 same:true</t>
        </is>
      </c>
      <c r="P123" s="67" t="inlineStr">
        <is>
          <t>複驗通過 → 結案</t>
        </is>
      </c>
      <c r="Q123" s="68" t="inlineStr">
        <is>
          <t>owner 2026-09-25 裁定 ④：R2／R3 留下的孤兒起始價寫清理腳本 → 開 DEF-063</t>
        </is>
      </c>
      <c r="R123" s="67" t="inlineStr">
        <is>
          <t>檢驗方 2026-09-25</t>
        </is>
      </c>
    </row>
    <row r="124" ht="219.75" customHeight="1" s="43">
      <c r="A124" s="61" t="inlineStr">
        <is>
          <t>R4</t>
        </is>
      </c>
      <c r="B124" s="61" t="inlineStr">
        <is>
          <t>DEF-049</t>
        </is>
      </c>
      <c r="C124" s="61" t="inlineStr">
        <is>
          <t>I-08</t>
        </is>
      </c>
      <c r="D124" s="61" t="inlineStr">
        <is>
          <t>2026-09-25</t>
        </is>
      </c>
      <c r="E124" s="65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5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5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5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6" t="inlineStr">
        <is>
          <t>1ee7771（已部署 demo）</t>
        </is>
      </c>
      <c r="L124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7" t="inlineStr">
        <is>
          <t>批次復原與公司行動刪除造成賣超時皆 422＋同款確認框；取消不寫；測畢 cmp D049R4 same:true</t>
        </is>
      </c>
      <c r="P124" s="67" t="inlineStr">
        <is>
          <t>複驗通過 → 結案</t>
        </is>
      </c>
      <c r="Q124" s="6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7" t="inlineStr">
        <is>
          <t>檢驗方 2026-09-25</t>
        </is>
      </c>
    </row>
    <row r="125" ht="219.75" customHeight="1" s="43">
      <c r="A125" s="61" t="inlineStr">
        <is>
          <t>R4</t>
        </is>
      </c>
      <c r="B125" s="61" t="inlineStr">
        <is>
          <t>DEF-057</t>
        </is>
      </c>
      <c r="C125" s="61" t="inlineStr">
        <is>
          <t>H-03</t>
        </is>
      </c>
      <c r="D125" s="61" t="inlineStr">
        <is>
          <t>2026-09-25</t>
        </is>
      </c>
      <c r="E125" s="65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6" t="inlineStr">
        <is>
          <t>portfolio_dash/llm_insight/system_prompt.py:68；portfolio_dash/news/organizer_prompt.py:83；api/routers/prompts.py:182、:204、:231、:240</t>
        </is>
      </c>
      <c r="G125" s="65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5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5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5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6" t="inlineStr">
        <is>
          <t>1ee7771（已部署 demo）</t>
        </is>
      </c>
      <c r="L125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7" t="inlineStr">
        <is>
          <t>複驗通過 → 結案</t>
        </is>
      </c>
      <c r="Q125" s="6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      </is>
      </c>
      <c r="R125" s="67" t="inlineStr">
        <is>
          <t>檢驗方 2026-09-25</t>
        </is>
      </c>
    </row>
    <row r="126" ht="219.75" customHeight="1" s="43">
      <c r="A126" s="61" t="inlineStr">
        <is>
          <t>R4</t>
        </is>
      </c>
      <c r="B126" s="61" t="inlineStr">
        <is>
          <t>DEF-050</t>
        </is>
      </c>
      <c r="C126" s="61" t="inlineStr">
        <is>
          <t>J-05／A-16</t>
        </is>
      </c>
      <c r="D126" s="61" t="inlineStr">
        <is>
          <t>2026-09-25</t>
        </is>
      </c>
      <c r="E126" s="65" t="inlineStr">
        <is>
          <t>同意。真實 Chromium 390×844 實測 scrollWidth 849、clientWidth 333（驗證者量到 349，差在捲軸寬度）。</t>
        </is>
      </c>
      <c r="F126" s="66" t="inlineStr">
        <is>
          <t>web/styles.css:1942-1945</t>
        </is>
      </c>
      <c r="G126" s="6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5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5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6" t="inlineStr">
        <is>
          <t>1ee7771（已部署 demo）</t>
        </is>
      </c>
      <c r="L126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8" t="inlineStr">
        <is>
          <t>390px：57 個副標題 0 截斷、20 頁 0 橫捲；關鍵句全文可見；桌機一行</t>
        </is>
      </c>
      <c r="P126" s="67" t="inlineStr">
        <is>
          <t>複驗通過 → 結案</t>
        </is>
      </c>
      <c r="Q126" s="67" t="inlineStr">
        <is>
          <t>無</t>
        </is>
      </c>
      <c r="R126" s="67" t="inlineStr">
        <is>
          <t>檢驗方 2026-09-25</t>
        </is>
      </c>
    </row>
    <row r="127" ht="219.75" customHeight="1" s="43">
      <c r="A127" s="61" t="inlineStr">
        <is>
          <t>R4</t>
        </is>
      </c>
      <c r="B127" s="61" t="inlineStr">
        <is>
          <t>DEF-051</t>
        </is>
      </c>
      <c r="C127" s="61" t="inlineStr">
        <is>
          <t>H-04</t>
        </is>
      </c>
      <c r="D127" s="61" t="inlineStr">
        <is>
          <t>2026-09-25</t>
        </is>
      </c>
      <c r="E127" s="65" t="inlineStr">
        <is>
          <t>同意。同頁的啟用與排程時間 toast、每日摘要卡的 toast 也是同一種寫法，一併修。</t>
        </is>
      </c>
      <c r="F127" s="66" t="inlineStr">
        <is>
          <t>web/settings-scheduler.js:548（同類 :466、:490；web/settings-digest.js:95、:135、:153）</t>
        </is>
      </c>
      <c r="G127" s="65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5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6" t="inlineStr">
        <is>
          <t>1ee7771（已部署 demo）</t>
        </is>
      </c>
      <c r="L127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8" t="inlineStr">
        <is>
          <t>4 種操作 6 則 toast 皆以名稱為主詞；兩個開關還原後 /api/scheduler/jobs（id、enabled、cron、timezone）與測前逐字相同</t>
        </is>
      </c>
      <c r="P127" s="67" t="inlineStr">
        <is>
          <t>複驗通過 → 結案</t>
        </is>
      </c>
      <c r="Q127" s="67" t="inlineStr">
        <is>
          <t>未測：摘要「立即產生」與發送時間編輯（前者會寫入摘要紀錄，後者改排程時間；開發者 e2e 已涵蓋）</t>
        </is>
      </c>
      <c r="R127" s="67" t="inlineStr">
        <is>
          <t>檢驗方 2026-09-25</t>
        </is>
      </c>
    </row>
    <row r="128" ht="219.75" customHeight="1" s="43">
      <c r="A128" s="61" t="inlineStr">
        <is>
          <t>R4</t>
        </is>
      </c>
      <c r="B128" s="61" t="inlineStr">
        <is>
          <t>DEF-052</t>
        </is>
      </c>
      <c r="C128" s="61" t="inlineStr">
        <is>
          <t>D-10</t>
        </is>
      </c>
      <c r="D128" s="61" t="inlineStr">
        <is>
          <t>2026-09-25</t>
        </is>
      </c>
      <c r="E128" s="65" t="inlineStr">
        <is>
          <t>同意。列印的帳本報告也沒有費用欄，註腳還寫「公司行動不移動現金」，但這筆行動實際上連帶了 50 TWD 出金，一併修。</t>
        </is>
      </c>
      <c r="F128" s="66" t="inlineStr">
        <is>
          <t>web/ledger.js:1119 renderActions 未讀 a.reorg_fee；portfolio_dash/export/ledgers_report.py:372（表格無費用欄）、:384（註腳）</t>
        </is>
      </c>
      <c r="G128" s="65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5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5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5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6" t="inlineStr">
        <is>
          <t>1ee7771（已部署 demo）</t>
        </is>
      </c>
      <c r="L128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7" t="inlineStr">
        <is>
          <t>帳本列徽章、報告欄位與註腳皆在；刪除後 cmp R4_FX same:true（公司行動 0、資金 34）</t>
        </is>
      </c>
      <c r="P128" s="67" t="inlineStr">
        <is>
          <t>複驗通過 → 結案</t>
        </is>
      </c>
      <c r="Q128" s="67" t="inlineStr">
        <is>
          <t>無</t>
        </is>
      </c>
      <c r="R128" s="67" t="inlineStr">
        <is>
          <t>檢驗方 2026-09-25</t>
        </is>
      </c>
    </row>
    <row r="129" ht="219.75" customHeight="1" s="43">
      <c r="A129" s="61" t="inlineStr">
        <is>
          <t>R4</t>
        </is>
      </c>
      <c r="B129" s="61" t="inlineStr">
        <is>
          <t>DEF-053</t>
        </is>
      </c>
      <c r="C129" s="61" t="inlineStr">
        <is>
          <t>H-04</t>
        </is>
      </c>
      <c r="D129" s="61" t="inlineStr">
        <is>
          <t>2026-09-25</t>
        </is>
      </c>
      <c r="E129" s="65" t="inlineStr">
        <is>
          <t>同意。類別掃描另找到 6 處同類，其中 R1 閘門訊息把範圍識別字原樣插入（「per_symbol 變數 … 不可用於 portfolio 範圍組合」），一併修。</t>
        </is>
      </c>
      <c r="F129" s="6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5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5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5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6" t="inlineStr">
        <is>
          <t>1ee7771（已部署 demo）</t>
        </is>
      </c>
      <c r="L129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8" t="inlineStr">
        <is>
          <t>toast 與預檢無範圍識別字；任務已刪除；cmp R4_FX same:true</t>
        </is>
      </c>
      <c r="P129" s="67" t="inlineStr">
        <is>
          <t>複驗通過 → 結案</t>
        </is>
      </c>
      <c r="Q129" s="6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7" t="inlineStr">
        <is>
          <t>檢驗方 2026-09-25</t>
        </is>
      </c>
    </row>
    <row r="130" ht="219.75" customHeight="1" s="43">
      <c r="A130" s="61" t="inlineStr">
        <is>
          <t>R4</t>
        </is>
      </c>
      <c r="B130" s="61" t="inlineStr">
        <is>
          <t>DEF-054</t>
        </is>
      </c>
      <c r="C130" s="61" t="inlineStr">
        <is>
          <t>G-09</t>
        </is>
      </c>
      <c r="D130" s="61" t="inlineStr">
        <is>
          <t>2026-09-25</t>
        </is>
      </c>
      <c r="E130" s="65" t="inlineStr">
        <is>
          <t>同意，依 owner 裁定刪除。刪除前先以內容（代號、標題、日期）從資料庫重新確認對象，不以編號為準。</t>
        </is>
      </c>
      <c r="F130" s="66" t="inlineStr">
        <is>
          <t>demo 資料 insights #97（依附評分列 insight_evaluations #65）</t>
        </is>
      </c>
      <c r="G130" s="65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5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6" t="inlineStr">
        <is>
          <t>demo 上 symbol 含 moomoo 的卡 刪除前 共 1（#97）／刪除 1／白名單 0；刪除後 0 張</t>
        </is>
      </c>
      <c r="J130" s="65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6" t="inlineStr">
        <is>
          <t>1ee7771（已部署 demo）</t>
        </is>
      </c>
      <c r="L130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7" t="inlineStr">
        <is>
          <t>真實瀏覽器讀 /api/insights 全量（limit 300）、/api/ai-score；AI 洞察頁以 moomoo 搜尋卡片</t>
        </is>
      </c>
      <c r="N130" s="6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8" t="inlineStr">
        <is>
          <t>#97 不存在、moomoo 卡 0、評分 totals 不變（n 94）</t>
        </is>
      </c>
      <c r="P130" s="67" t="inlineStr">
        <is>
          <t>複驗通過 → 結案</t>
        </is>
      </c>
      <c r="Q130" s="67" t="inlineStr">
        <is>
          <t>無</t>
        </is>
      </c>
      <c r="R130" s="67" t="inlineStr">
        <is>
          <t>檢驗方 2026-09-25</t>
        </is>
      </c>
    </row>
    <row r="131" ht="219.75" customHeight="1" s="43">
      <c r="A131" s="61" t="inlineStr">
        <is>
          <t>R4</t>
        </is>
      </c>
      <c r="B131" s="61" t="inlineStr">
        <is>
          <t>DEF-055</t>
        </is>
      </c>
      <c r="C131" s="61" t="inlineStr">
        <is>
          <t>B-16</t>
        </is>
      </c>
      <c r="D131" s="61" t="inlineStr">
        <is>
          <t>2026-09-25</t>
        </is>
      </c>
      <c r="E131" s="65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6" t="inlineStr">
        <is>
          <t>portfolio_dash/api/routers/input_center.py:957-958（預覽的 rebate_estimate 讀 rule.discount）</t>
        </is>
      </c>
      <c r="G131" s="6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5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5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5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6" t="inlineStr">
        <is>
          <t>1ee7771（已部署 demo）</t>
        </is>
      </c>
      <c r="L131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8" t="inlineStr">
        <is>
          <t>#33／#44 已清；雙重優惠列 0；#29 編輯預覽 rebate_estimate null；取消未寫入</t>
        </is>
      </c>
      <c r="P131" s="67" t="inlineStr">
        <is>
          <t>複驗通過 → 結案</t>
        </is>
      </c>
      <c r="Q131" s="67" t="inlineStr">
        <is>
          <t>無</t>
        </is>
      </c>
      <c r="R131" s="67" t="inlineStr">
        <is>
          <t>檢驗方 2026-09-25</t>
        </is>
      </c>
    </row>
    <row r="132" ht="219.75" customHeight="1" s="43">
      <c r="A132" s="61" t="inlineStr">
        <is>
          <t>R4</t>
        </is>
      </c>
      <c r="B132" s="61" t="inlineStr">
        <is>
          <t>DEF-056</t>
        </is>
      </c>
      <c r="C132" s="61" t="inlineStr">
        <is>
          <t>B-17</t>
        </is>
      </c>
      <c r="D132" s="61" t="inlineStr">
        <is>
          <t>2026-09-25</t>
        </is>
      </c>
      <c r="E132" s="65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5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5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5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6" t="inlineStr">
        <is>
          <t>1ee7771（已部署 demo）</t>
        </is>
      </c>
      <c r="L132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7" t="inlineStr">
        <is>
          <t>估值六段不變、兩個列表與列印報告有標示；畫面上的現金收支明細未標示未來列；測畢 cmp D056R4 same:true</t>
        </is>
      </c>
      <c r="P132" s="67" t="inlineStr">
        <is>
          <t>部分通過</t>
        </is>
      </c>
      <c r="Q132" s="6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7" t="inlineStr">
        <is>
          <t>檢驗方 2026-09-25</t>
        </is>
      </c>
    </row>
    <row r="133" ht="219.75" customHeight="1" s="43">
      <c r="A133" s="61" t="inlineStr">
        <is>
          <t>R4</t>
        </is>
      </c>
      <c r="B133" s="61" t="inlineStr">
        <is>
          <t>DEF-058</t>
        </is>
      </c>
      <c r="C133" s="61" t="inlineStr">
        <is>
          <t>H-04</t>
        </is>
      </c>
      <c r="D133" s="61" t="inlineStr">
        <is>
          <t>2026-09-25</t>
        </is>
      </c>
      <c r="E133" s="65" t="inlineStr">
        <is>
          <t>同意。卡數與成本用了兩種口徑。</t>
        </is>
      </c>
      <c r="F133" s="66" t="inlineStr">
        <is>
          <t>portfolio_dash/api/insight_service.py:1174、:1185（卡數在 :1179）</t>
        </is>
      </c>
      <c r="G133" s="65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5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5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6" t="inlineStr">
        <is>
          <t>1ee7771（已部署 demo）</t>
        </is>
      </c>
      <c r="L133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8" t="inlineStr">
        <is>
          <t>last_batch 3 卡／$0.0022367／1 run，三方相符；頁首顯示一致</t>
        </is>
      </c>
      <c r="P133" s="67" t="inlineStr">
        <is>
          <t>複驗通過 → 結案</t>
        </is>
      </c>
      <c r="Q133" s="67" t="inlineStr">
        <is>
          <t>觀察：/api/insight-tasks/status 單次約 5.6 秒，頁首要 18 秒才出現（多個請求排隊時更久）；不影響正確性，列為觀察</t>
        </is>
      </c>
      <c r="R133" s="67" t="inlineStr">
        <is>
          <t>檢驗方 2026-09-25</t>
        </is>
      </c>
    </row>
    <row r="134" ht="219.75" customHeight="1" s="43">
      <c r="A134" s="61" t="inlineStr">
        <is>
          <t>R4</t>
        </is>
      </c>
      <c r="B134" s="61" t="inlineStr">
        <is>
          <t>DEF-059</t>
        </is>
      </c>
      <c r="C134" s="61" t="inlineStr">
        <is>
          <t>H-04</t>
        </is>
      </c>
      <c r="D134" s="61" t="inlineStr">
        <is>
          <t>2026-09-25</t>
        </is>
      </c>
      <c r="E134" s="65" t="inlineStr">
        <is>
          <t>同意，依 owner 裁定排除已封存標的。後端與前端各有一份宇宙規則，兩份都含封存。</t>
        </is>
      </c>
      <c r="F134" s="66" t="inlineStr">
        <is>
          <t>portfolio_dash/api/insight_service.py:152（另 :170、:1267 兩份複本）；web/pipeline.js:176</t>
        </is>
      </c>
      <c r="G134" s="6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5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5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5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6" t="inlineStr">
        <is>
          <t>1ee7771（已部署 demo）</t>
        </is>
      </c>
      <c r="L134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8" t="inlineStr">
        <is>
          <t>26 → 25（隱藏 2449）→ 26（還原）；精靈檔數與預估同步</t>
        </is>
      </c>
      <c r="P134" s="67" t="inlineStr">
        <is>
          <t>複驗通過 → 結案</t>
        </is>
      </c>
      <c r="Q134" s="6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7" t="inlineStr">
        <is>
          <t>檢驗方 2026-09-25</t>
        </is>
      </c>
    </row>
    <row r="135" ht="219.75" customHeight="1" s="43">
      <c r="A135" s="61" t="inlineStr">
        <is>
          <t>R4</t>
        </is>
      </c>
      <c r="B135" s="61" t="inlineStr">
        <is>
          <t>DEF-060</t>
        </is>
      </c>
      <c r="C135" s="61" t="inlineStr">
        <is>
          <t>D-10</t>
        </is>
      </c>
      <c r="D135" s="61" t="inlineStr">
        <is>
          <t>2026-09-25</t>
        </is>
      </c>
      <c r="E135" s="65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6" t="inlineStr">
        <is>
          <t>portfolio_dash/api/routers/ledgers.py:2169 `return {"ok": True, "id": action_id, "prices_restated": restated,`（edit_corporate_action :2055 起，無起始價處理）</t>
        </is>
      </c>
      <c r="G135" s="65" t="inlineStr">
        <is>
          <t>沒有守門：R3 的 DEF-040 測試只涵蓋 POST 與 DELETE，沒有 PUT。新增契約 11 則＋e2e 1 則。</t>
        </is>
      </c>
      <c r="H135" s="65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5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6" t="inlineStr">
        <is>
          <t>1ee7771（已部署 demo）</t>
        </is>
      </c>
      <c r="L135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7" t="inlineStr">
        <is>
          <t>搬移、跳過與移除皆依規則並有說明；刪除後 cmp D040R4 same:true</t>
        </is>
      </c>
      <c r="P135" s="67" t="inlineStr">
        <is>
          <t>複驗通過 → 結案</t>
        </is>
      </c>
      <c r="Q135" s="68" t="inlineStr">
        <is>
          <t>owner 決策項 ⑤（新日期已有正式報價時，舊日期起始價移除而不保留）：2026-09-25 裁定維持本輪實作，不開單</t>
        </is>
      </c>
      <c r="R135" s="67" t="inlineStr">
        <is>
          <t>檢驗方 2026-09-25</t>
        </is>
      </c>
    </row>
    <row r="136" ht="219.75" customHeight="1" s="43">
      <c r="A136" s="61" t="inlineStr">
        <is>
          <t>R4</t>
        </is>
      </c>
      <c r="B136" s="61" t="inlineStr">
        <is>
          <t>DEF-061</t>
        </is>
      </c>
      <c r="C136" s="61" t="inlineStr">
        <is>
          <t>C-02</t>
        </is>
      </c>
      <c r="D136" s="61" t="inlineStr">
        <is>
          <t>2026-09-25</t>
        </is>
      </c>
      <c r="E136" s="65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6" t="inlineStr">
        <is>
          <t>portfolio_dash/api/routers/ledgers.py:800（只做金額守恆）、:793（型別字串）、:770（withhold 必填）；web/ledger.js:679（空白送 '0'）</t>
        </is>
      </c>
      <c r="G136" s="65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5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5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6" t="inlineStr">
        <is>
          <t>1ee7771（已部署 demo）</t>
        </is>
      </c>
      <c r="L136" s="65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7" t="inlineStr">
        <is>
          <t>軟性 1 項需勾選才可存；硬性 1 項 PUT 400；兩道門判定相同；帳本未變</t>
        </is>
      </c>
      <c r="P136" s="67" t="inlineStr">
        <is>
          <t>複驗通過 → 結案</t>
        </is>
      </c>
      <c r="Q136" s="68" t="inlineStr">
        <is>
          <t>owner 2026-09-25 裁定 ⑥：股利新增門的市場一致性檢查維持現狀，不開單</t>
        </is>
      </c>
      <c r="R136" s="67" t="inlineStr">
        <is>
          <t>檢驗方 2026-09-25</t>
        </is>
      </c>
    </row>
    <row r="137" ht="219.75" customHeight="1" s="43">
      <c r="A137" s="61" t="inlineStr">
        <is>
          <t>R4</t>
        </is>
      </c>
      <c r="B137" s="61" t="inlineStr">
        <is>
          <t>DEF-062</t>
        </is>
      </c>
      <c r="C137" s="61" t="inlineStr">
        <is>
          <t>H-04</t>
        </is>
      </c>
      <c r="D137" s="61" t="inlineStr">
        <is>
          <t>2026-09-25</t>
        </is>
      </c>
      <c r="E137" s="65" t="inlineStr">
        <is>
          <t>—（本輪由檢驗方發現／Owner 裁定）</t>
        </is>
      </c>
      <c r="F137" s="66" t="inlineStr">
        <is>
          <t>—</t>
        </is>
      </c>
      <c r="G137" s="66" t="inlineStr">
        <is>
          <t>—</t>
        </is>
      </c>
      <c r="H137" s="66" t="inlineStr">
        <is>
          <t>—</t>
        </is>
      </c>
      <c r="I137" s="66" t="inlineStr">
        <is>
          <t>—</t>
        </is>
      </c>
      <c r="J137" s="66" t="inlineStr">
        <is>
          <t>—</t>
        </is>
      </c>
      <c r="K137" s="66" t="inlineStr">
        <is>
          <t>—</t>
        </is>
      </c>
      <c r="L137" s="66" t="inlineStr">
        <is>
          <t>—</t>
        </is>
      </c>
      <c r="M137" s="67" t="inlineStr">
        <is>
          <t>真實瀏覽器走精靈至監聽規則，讀 15 個 label 的文字與 value</t>
        </is>
      </c>
      <c r="N137" s="6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8" t="inlineStr">
        <is>
          <t>15 條中 8 條顯示 id</t>
        </is>
      </c>
      <c r="P137" s="68" t="inlineStr">
        <is>
          <t>FAIL</t>
        </is>
      </c>
      <c r="Q137" s="67" t="inlineStr">
        <is>
          <t>開 DEF-062</t>
        </is>
      </c>
      <c r="R137" s="67" t="inlineStr">
        <is>
          <t>檢驗方 2026-09-25</t>
        </is>
      </c>
    </row>
    <row r="138" ht="219.75" customHeight="1" s="43">
      <c r="A138" s="61" t="inlineStr">
        <is>
          <t>R4</t>
        </is>
      </c>
      <c r="B138" s="61" t="inlineStr">
        <is>
          <t>DEF-063</t>
        </is>
      </c>
      <c r="C138" s="61" t="inlineStr">
        <is>
          <t>D-10</t>
        </is>
      </c>
      <c r="D138" s="61" t="inlineStr">
        <is>
          <t>2026-09-25</t>
        </is>
      </c>
      <c r="E138" s="65" t="inlineStr">
        <is>
          <t>—（本輪由檢驗方發現／Owner 裁定）</t>
        </is>
      </c>
      <c r="F138" s="66" t="inlineStr">
        <is>
          <t>—</t>
        </is>
      </c>
      <c r="G138" s="66" t="inlineStr">
        <is>
          <t>—</t>
        </is>
      </c>
      <c r="H138" s="66" t="inlineStr">
        <is>
          <t>—</t>
        </is>
      </c>
      <c r="I138" s="66" t="inlineStr">
        <is>
          <t>—</t>
        </is>
      </c>
      <c r="J138" s="66" t="inlineStr">
        <is>
          <t>—</t>
        </is>
      </c>
      <c r="K138" s="66" t="inlineStr">
        <is>
          <t>—</t>
        </is>
      </c>
      <c r="L138" s="66" t="inlineStr">
        <is>
          <t>—</t>
        </is>
      </c>
      <c r="M138" s="67" t="inlineStr">
        <is>
          <t>讀開發者交接決策項＋讀碼 pricing/seed.py</t>
        </is>
      </c>
      <c r="N138" s="67" t="inlineStr">
        <is>
          <t>規格未定→owner 已裁定（資料殘留）</t>
        </is>
      </c>
      <c r="O138" s="68" t="inlineStr">
        <is>
          <t>—</t>
        </is>
      </c>
      <c r="P138" s="67" t="inlineStr">
        <is>
          <t>待裁定</t>
        </is>
      </c>
      <c r="Q138" s="67" t="inlineStr">
        <is>
          <t>開 DEF-063，owner 已裁定寫清理腳本</t>
        </is>
      </c>
      <c r="R138" s="67" t="inlineStr">
        <is>
          <t>檢驗方 2026-09-25</t>
        </is>
      </c>
    </row>
    <row r="139" ht="219.75" customHeight="1" s="43">
      <c r="A139" s="61" t="inlineStr">
        <is>
          <t>R4</t>
        </is>
      </c>
      <c r="B139" s="61" t="inlineStr">
        <is>
          <t>DEF-064</t>
        </is>
      </c>
      <c r="C139" s="61" t="inlineStr">
        <is>
          <t>H-04</t>
        </is>
      </c>
      <c r="D139" s="61" t="inlineStr">
        <is>
          <t>2026-09-25</t>
        </is>
      </c>
      <c r="E139" s="65" t="inlineStr">
        <is>
          <t>—（本輪由檢驗方發現／Owner 裁定）</t>
        </is>
      </c>
      <c r="F139" s="66" t="inlineStr">
        <is>
          <t>—</t>
        </is>
      </c>
      <c r="G139" s="66" t="inlineStr">
        <is>
          <t>—</t>
        </is>
      </c>
      <c r="H139" s="66" t="inlineStr">
        <is>
          <t>—</t>
        </is>
      </c>
      <c r="I139" s="66" t="inlineStr">
        <is>
          <t>—</t>
        </is>
      </c>
      <c r="J139" s="66" t="inlineStr">
        <is>
          <t>—</t>
        </is>
      </c>
      <c r="K139" s="66" t="inlineStr">
        <is>
          <t>—</t>
        </is>
      </c>
      <c r="L139" s="66" t="inlineStr">
        <is>
          <t>—</t>
        </is>
      </c>
      <c r="M139" s="67" t="inlineStr">
        <is>
          <t>讀開發者交接決策項＋讀碼</t>
        </is>
      </c>
      <c r="N139" s="67" t="inlineStr">
        <is>
          <t>規格未定→owner 已裁定</t>
        </is>
      </c>
      <c r="O139" s="68" t="inlineStr">
        <is>
          <t>—</t>
        </is>
      </c>
      <c r="P139" s="67" t="inlineStr">
        <is>
          <t>待裁定</t>
        </is>
      </c>
      <c r="Q139" s="67" t="inlineStr">
        <is>
          <t>開 DEF-064，owner 已裁定全部排除</t>
        </is>
      </c>
      <c r="R139" s="67" t="inlineStr">
        <is>
          <t>檢驗方 2026-09-25</t>
        </is>
      </c>
    </row>
    <row r="140" ht="219.75" customHeight="1" s="43">
      <c r="A140" s="61" t="inlineStr">
        <is>
          <t>R4</t>
        </is>
      </c>
      <c r="B140" s="61" t="inlineStr">
        <is>
          <t>DEF-065</t>
        </is>
      </c>
      <c r="C140" s="61" t="inlineStr">
        <is>
          <t>J-06</t>
        </is>
      </c>
      <c r="D140" s="61" t="inlineStr">
        <is>
          <t>2026-09-25</t>
        </is>
      </c>
      <c r="E140" s="65" t="inlineStr">
        <is>
          <t>—（本輪由檢驗方發現／Owner 裁定）</t>
        </is>
      </c>
      <c r="F140" s="66" t="inlineStr">
        <is>
          <t>—</t>
        </is>
      </c>
      <c r="G140" s="66" t="inlineStr">
        <is>
          <t>—</t>
        </is>
      </c>
      <c r="H140" s="66" t="inlineStr">
        <is>
          <t>—</t>
        </is>
      </c>
      <c r="I140" s="66" t="inlineStr">
        <is>
          <t>—</t>
        </is>
      </c>
      <c r="J140" s="66" t="inlineStr">
        <is>
          <t>—</t>
        </is>
      </c>
      <c r="K140" s="66" t="inlineStr">
        <is>
          <t>—</t>
        </is>
      </c>
      <c r="L140" s="66" t="inlineStr">
        <is>
          <t>—</t>
        </is>
      </c>
      <c r="M140" s="68" t="inlineStr">
        <is>
          <t>repo 1ee7771 e2e 全套 ×3、單獨重跑、壓力重跑、並發探測；以 page.on("response") 記錄 5xx</t>
        </is>
      </c>
      <c r="N140" s="6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7" t="inlineStr">
        <is>
          <t>全套 287/1、287/2、289/0；5xx 1 筆（GET /api/ui-prefs）</t>
        </is>
      </c>
      <c r="P140" s="68" t="inlineStr">
        <is>
          <t>FAIL</t>
        </is>
      </c>
      <c r="Q140" s="67" t="inlineStr">
        <is>
          <t>開 DEF-065</t>
        </is>
      </c>
      <c r="R140" s="67" t="inlineStr">
        <is>
          <t>檢驗方 2026-09-25</t>
        </is>
      </c>
    </row>
    <row r="141" ht="219.75" customHeight="1" s="43">
      <c r="A141" s="42" t="inlineStr">
        <is>
          <t>R5</t>
        </is>
      </c>
      <c r="B141" s="42" t="inlineStr">
        <is>
          <t>DEF-056</t>
        </is>
      </c>
      <c r="C141" s="42" t="inlineStr">
        <is>
          <t>B-17</t>
        </is>
      </c>
      <c r="D141" s="42" t="inlineStr">
        <is>
          <t>2026-09-25</t>
        </is>
      </c>
      <c r="E141" s="69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2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2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2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69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69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2" t="inlineStr">
        <is>
          <t>3be67db（已部署 demo）</t>
        </is>
      </c>
      <c r="L141" s="69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69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70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69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69" t="inlineStr">
        <is>
          <t>複驗通過 → 結案</t>
        </is>
      </c>
      <c r="Q141" s="69" t="inlineStr">
        <is>
          <t>觀察：寫入未來股利期間收件匣由 7 變 6（該筆被視為已記入），刪除後回到 7，行為一致</t>
        </is>
      </c>
      <c r="R141" s="69" t="inlineStr">
        <is>
          <t>檢驗方 2026-09-25</t>
        </is>
      </c>
    </row>
    <row r="142" ht="219.75" customHeight="1" s="43">
      <c r="A142" s="61" t="inlineStr">
        <is>
          <t>R5</t>
        </is>
      </c>
      <c r="B142" s="61" t="inlineStr">
        <is>
          <t>DEF-065</t>
        </is>
      </c>
      <c r="C142" s="61" t="inlineStr">
        <is>
          <t>J-06</t>
        </is>
      </c>
      <c r="D142" s="61" t="inlineStr">
        <is>
          <t>2026-09-25</t>
        </is>
      </c>
      <c r="E142" s="65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5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5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6" t="inlineStr">
        <is>
          <t>3be67db（已部署 demo）</t>
        </is>
      </c>
      <c r="L142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8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8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7" t="inlineStr">
        <is>
          <t>複驗通過 → 結案</t>
        </is>
      </c>
      <c r="Q142" s="67" t="inlineStr">
        <is>
          <t>同類：開發者稱 81 個 GET 中 22 個原本會寫入；驗證者抽驗 /api/insight-tasks/status 並發 10 個全 200（R4 量到約 5.6 秒，本輪 812 ms）</t>
        </is>
      </c>
      <c r="R142" s="67" t="inlineStr">
        <is>
          <t>檢驗方 2026-09-25</t>
        </is>
      </c>
    </row>
    <row r="143" ht="219.75" customHeight="1" s="43">
      <c r="A143" s="61" t="inlineStr">
        <is>
          <t>R5</t>
        </is>
      </c>
      <c r="B143" s="61" t="inlineStr">
        <is>
          <t>DEF-062</t>
        </is>
      </c>
      <c r="C143" s="61" t="inlineStr">
        <is>
          <t>H-04</t>
        </is>
      </c>
      <c r="D143" s="61" t="inlineStr">
        <is>
          <t>2026-09-25</t>
        </is>
      </c>
      <c r="E143" s="65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5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5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6" t="inlineStr">
        <is>
          <t>3be67db（已部署 demo）</t>
        </is>
      </c>
      <c r="L143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7" t="inlineStr">
        <is>
          <t>精靈 15/15 中文且與 API／預警規則頁逐字相同；排程明細與卡片晶片皆為中文</t>
        </is>
      </c>
      <c r="P143" s="67" t="inlineStr">
        <is>
          <t>複驗通過 → 結案</t>
        </is>
      </c>
      <c r="Q143" s="6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7" t="inlineStr">
        <is>
          <t>檢驗方 2026-09-25</t>
        </is>
      </c>
    </row>
    <row r="144" ht="219.75" customHeight="1" s="43">
      <c r="A144" s="61" t="inlineStr">
        <is>
          <t>R5</t>
        </is>
      </c>
      <c r="B144" s="61" t="inlineStr">
        <is>
          <t>DEF-064</t>
        </is>
      </c>
      <c r="C144" s="61" t="inlineStr">
        <is>
          <t>H-04</t>
        </is>
      </c>
      <c r="D144" s="61" t="inlineStr">
        <is>
          <t>2026-09-25</t>
        </is>
      </c>
      <c r="E144" s="65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5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5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6" t="inlineStr">
        <is>
          <t>3be67db（已部署 demo）</t>
        </is>
      </c>
      <c r="L144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7" t="inlineStr">
        <is>
          <t>複驗通過 → 結案</t>
        </is>
      </c>
      <c r="Q144" s="68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7" t="inlineStr">
        <is>
          <t>檢驗方 2026-09-25</t>
        </is>
      </c>
    </row>
    <row r="145" ht="219.75" customHeight="1" s="43">
      <c r="A145" s="61" t="inlineStr">
        <is>
          <t>R5</t>
        </is>
      </c>
      <c r="B145" s="61" t="inlineStr">
        <is>
          <t>DEF-063</t>
        </is>
      </c>
      <c r="C145" s="61" t="inlineStr">
        <is>
          <t>D-10</t>
        </is>
      </c>
      <c r="D145" s="61" t="inlineStr">
        <is>
          <t>2026-09-25</t>
        </is>
      </c>
      <c r="E145" s="65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5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5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5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6" t="inlineStr">
        <is>
          <t>3be67db（已部署 demo）</t>
        </is>
      </c>
      <c r="L145" s="65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8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7" t="inlineStr">
        <is>
          <t>複驗通過 → 結案</t>
        </is>
      </c>
      <c r="Q145" s="67" t="inlineStr">
        <is>
          <t>無</t>
        </is>
      </c>
      <c r="R145" s="67" t="inlineStr">
        <is>
          <t>檢驗方 2026-09-25</t>
        </is>
      </c>
    </row>
    <row r="146" ht="219.75" customHeight="1" s="43">
      <c r="A146" s="61" t="inlineStr">
        <is>
          <t>R5</t>
        </is>
      </c>
      <c r="B146" s="61" t="inlineStr">
        <is>
          <t>DEF-066</t>
        </is>
      </c>
      <c r="C146" s="61" t="inlineStr">
        <is>
          <t>G-09</t>
        </is>
      </c>
      <c r="D146" s="61" t="inlineStr">
        <is>
          <t>2026-09-25</t>
        </is>
      </c>
      <c r="E146" s="65" t="inlineStr">
        <is>
          <t>—（本輪由檢驗方發現）</t>
        </is>
      </c>
      <c r="F146" s="66" t="inlineStr">
        <is>
          <t>—</t>
        </is>
      </c>
      <c r="G146" s="66" t="inlineStr">
        <is>
          <t>—</t>
        </is>
      </c>
      <c r="H146" s="66" t="inlineStr">
        <is>
          <t>—</t>
        </is>
      </c>
      <c r="I146" s="66" t="inlineStr">
        <is>
          <t>—</t>
        </is>
      </c>
      <c r="J146" s="66" t="inlineStr">
        <is>
          <t>—</t>
        </is>
      </c>
      <c r="K146" s="66" t="inlineStr">
        <is>
          <t>—</t>
        </is>
      </c>
      <c r="L146" s="66" t="inlineStr">
        <is>
          <t>—</t>
        </is>
      </c>
      <c r="M146" s="68" t="inlineStr">
        <is>
          <t>demo 真實瀏覽器：排程中心 alert_scan 立即執行 → 讀 insight:9 各 run 狀態與明細；本機 venv 檢查相依</t>
        </is>
      </c>
      <c r="N146" s="6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8" t="inlineStr">
        <is>
          <t>3/7 run partial；明細為英文例外原文</t>
        </is>
      </c>
      <c r="P146" s="68" t="inlineStr">
        <is>
          <t>FAIL</t>
        </is>
      </c>
      <c r="Q146" s="67" t="inlineStr">
        <is>
          <t>開 DEF-066</t>
        </is>
      </c>
      <c r="R146" s="67" t="inlineStr">
        <is>
          <t>檢驗方 2026-09-25</t>
        </is>
      </c>
    </row>
    <row r="147" ht="219.75" customHeight="1" s="43">
      <c r="A147" s="61" t="inlineStr">
        <is>
          <t>R5</t>
        </is>
      </c>
      <c r="B147" s="61" t="inlineStr">
        <is>
          <t>DEF-067</t>
        </is>
      </c>
      <c r="C147" s="61" t="inlineStr">
        <is>
          <t>E-05</t>
        </is>
      </c>
      <c r="D147" s="61" t="inlineStr">
        <is>
          <t>2026-09-25</t>
        </is>
      </c>
      <c r="E147" s="65" t="inlineStr">
        <is>
          <t>—（本輪由檢驗方發現）</t>
        </is>
      </c>
      <c r="F147" s="66" t="inlineStr">
        <is>
          <t>—</t>
        </is>
      </c>
      <c r="G147" s="66" t="inlineStr">
        <is>
          <t>—</t>
        </is>
      </c>
      <c r="H147" s="66" t="inlineStr">
        <is>
          <t>—</t>
        </is>
      </c>
      <c r="I147" s="66" t="inlineStr">
        <is>
          <t>—</t>
        </is>
      </c>
      <c r="J147" s="66" t="inlineStr">
        <is>
          <t>—</t>
        </is>
      </c>
      <c r="K147" s="66" t="inlineStr">
        <is>
          <t>—</t>
        </is>
      </c>
      <c r="L147" s="66" t="inlineStr">
        <is>
          <t>—</t>
        </is>
      </c>
      <c r="M147" s="67" t="inlineStr">
        <is>
          <t>本機：排程中心畫面改 cron → 等 22:38 自然觸發 → 讀 排程中心 各列與 /api/scheduler/runs → 畫面還原 cron</t>
        </is>
      </c>
      <c r="N147" s="6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8" t="inlineStr">
        <is>
          <t>dividends_daily 0/10 成功、狀態 ok</t>
        </is>
      </c>
      <c r="P147" s="68" t="inlineStr">
        <is>
          <t>FAIL</t>
        </is>
      </c>
      <c r="Q147" s="67" t="inlineStr">
        <is>
          <t>開 DEF-067</t>
        </is>
      </c>
      <c r="R147" s="67" t="inlineStr">
        <is>
          <t>檢驗方 2026-09-25</t>
        </is>
      </c>
    </row>
    <row r="148" ht="219.75" customHeight="1" s="43">
      <c r="A148" s="61" t="inlineStr">
        <is>
          <t>R5</t>
        </is>
      </c>
      <c r="B148" s="61" t="inlineStr">
        <is>
          <t>DEF-068</t>
        </is>
      </c>
      <c r="C148" s="61" t="inlineStr">
        <is>
          <t>E-11</t>
        </is>
      </c>
      <c r="D148" s="61" t="inlineStr">
        <is>
          <t>2026-09-25</t>
        </is>
      </c>
      <c r="E148" s="65" t="inlineStr">
        <is>
          <t>—（本輪由檢驗方發現）</t>
        </is>
      </c>
      <c r="F148" s="66" t="inlineStr">
        <is>
          <t>—</t>
        </is>
      </c>
      <c r="G148" s="66" t="inlineStr">
        <is>
          <t>—</t>
        </is>
      </c>
      <c r="H148" s="66" t="inlineStr">
        <is>
          <t>—</t>
        </is>
      </c>
      <c r="I148" s="66" t="inlineStr">
        <is>
          <t>—</t>
        </is>
      </c>
      <c r="J148" s="66" t="inlineStr">
        <is>
          <t>—</t>
        </is>
      </c>
      <c r="K148" s="66" t="inlineStr">
        <is>
          <t>—</t>
        </is>
      </c>
      <c r="L148" s="66" t="inlineStr">
        <is>
          <t>—</t>
        </is>
      </c>
      <c r="M148" s="67" t="inlineStr">
        <is>
          <t>本機 Playwright：儀表板 重新整理 › 更新報價，攔截 /api/actions/refresh-quotes 回應與提示文字，前後比對 prices 表</t>
        </is>
      </c>
      <c r="N148" s="6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7" t="inlineStr">
        <is>
          <t>提示宣稱其餘已更新；實際 0 更新；匯率失敗未提</t>
        </is>
      </c>
      <c r="P148" s="68" t="inlineStr">
        <is>
          <t>FAIL</t>
        </is>
      </c>
      <c r="Q148" s="67" t="inlineStr">
        <is>
          <t>開 DEF-068</t>
        </is>
      </c>
      <c r="R148" s="67" t="inlineStr">
        <is>
          <t>檢驗方 2026-09-25</t>
        </is>
      </c>
    </row>
    <row r="149" ht="219.75" customHeight="1" s="43">
      <c r="A149" s="61" t="inlineStr">
        <is>
          <t>R5</t>
        </is>
      </c>
      <c r="B149" s="61" t="inlineStr">
        <is>
          <t>DEF-069</t>
        </is>
      </c>
      <c r="C149" s="61" t="inlineStr">
        <is>
          <t>G-08</t>
        </is>
      </c>
      <c r="D149" s="61" t="inlineStr">
        <is>
          <t>2026-09-25</t>
        </is>
      </c>
      <c r="E149" s="65" t="inlineStr">
        <is>
          <t>—（本輪由檢驗方發現）</t>
        </is>
      </c>
      <c r="F149" s="66" t="inlineStr">
        <is>
          <t>—</t>
        </is>
      </c>
      <c r="G149" s="66" t="inlineStr">
        <is>
          <t>—</t>
        </is>
      </c>
      <c r="H149" s="66" t="inlineStr">
        <is>
          <t>—</t>
        </is>
      </c>
      <c r="I149" s="66" t="inlineStr">
        <is>
          <t>—</t>
        </is>
      </c>
      <c r="J149" s="66" t="inlineStr">
        <is>
          <t>—</t>
        </is>
      </c>
      <c r="K149" s="66" t="inlineStr">
        <is>
          <t>—</t>
        </is>
      </c>
      <c r="L149" s="66" t="inlineStr">
        <is>
          <t>—</t>
        </is>
      </c>
      <c r="M149" s="67" t="inlineStr">
        <is>
          <t>本機 Playwright：AI 洞察 › 持倉健診 讀每檔標題卡；API 三種形狀計數</t>
        </is>
      </c>
      <c r="N149" s="6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8" t="inlineStr">
        <is>
          <t>27 張中 9 張影子進正式清單；持倉健診 9/9 標題為影子卡</t>
        </is>
      </c>
      <c r="P149" s="68" t="inlineStr">
        <is>
          <t>FAIL</t>
        </is>
      </c>
      <c r="Q149" s="67" t="inlineStr">
        <is>
          <t>開 DEF-069</t>
        </is>
      </c>
      <c r="R149" s="67" t="inlineStr">
        <is>
          <t>檢驗方 2026-09-25</t>
        </is>
      </c>
    </row>
    <row r="150" ht="219.75" customHeight="1" s="43">
      <c r="A150" s="61" t="inlineStr">
        <is>
          <t>R5</t>
        </is>
      </c>
      <c r="B150" s="61" t="inlineStr">
        <is>
          <t>DEF-070</t>
        </is>
      </c>
      <c r="C150" s="61" t="inlineStr">
        <is>
          <t>G-08</t>
        </is>
      </c>
      <c r="D150" s="61" t="inlineStr">
        <is>
          <t>2026-09-25</t>
        </is>
      </c>
      <c r="E150" s="65" t="inlineStr">
        <is>
          <t>—（本輪由檢驗方發現）</t>
        </is>
      </c>
      <c r="F150" s="66" t="inlineStr">
        <is>
          <t>—</t>
        </is>
      </c>
      <c r="G150" s="66" t="inlineStr">
        <is>
          <t>—</t>
        </is>
      </c>
      <c r="H150" s="66" t="inlineStr">
        <is>
          <t>—</t>
        </is>
      </c>
      <c r="I150" s="66" t="inlineStr">
        <is>
          <t>—</t>
        </is>
      </c>
      <c r="J150" s="66" t="inlineStr">
        <is>
          <t>—</t>
        </is>
      </c>
      <c r="K150" s="66" t="inlineStr">
        <is>
          <t>—</t>
        </is>
      </c>
      <c r="L150" s="66" t="inlineStr">
        <is>
          <t>—</t>
        </is>
      </c>
      <c r="M150" s="67" t="inlineStr">
        <is>
          <t>本機時間推進（freezegun）＋合成價格：逐日執行任務、評分、產生校正、晉升，讀 insights 表與假模型請求紀錄</t>
        </is>
      </c>
      <c r="N150" s="6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7" t="inlineStr">
        <is>
          <t>第一批 9 張（上限 2）；之後 0 張；v3 無法評估</t>
        </is>
      </c>
      <c r="P150" s="68" t="inlineStr">
        <is>
          <t>FAIL</t>
        </is>
      </c>
      <c r="Q150" s="67" t="inlineStr">
        <is>
          <t>開 DEF-070</t>
        </is>
      </c>
      <c r="R150" s="67" t="inlineStr">
        <is>
          <t>檢驗方 2026-09-25</t>
        </is>
      </c>
    </row>
    <row r="151" ht="219.75" customHeight="1" s="43">
      <c r="A151" s="61" t="inlineStr">
        <is>
          <t>R5</t>
        </is>
      </c>
      <c r="B151" s="61" t="inlineStr">
        <is>
          <t>DEF-071</t>
        </is>
      </c>
      <c r="C151" s="61" t="inlineStr">
        <is>
          <t>G-08</t>
        </is>
      </c>
      <c r="D151" s="61" t="inlineStr">
        <is>
          <t>2026-09-25</t>
        </is>
      </c>
      <c r="E151" s="65" t="inlineStr">
        <is>
          <t>—（本輪由檢驗方發現）</t>
        </is>
      </c>
      <c r="F151" s="66" t="inlineStr">
        <is>
          <t>—</t>
        </is>
      </c>
      <c r="G151" s="66" t="inlineStr">
        <is>
          <t>—</t>
        </is>
      </c>
      <c r="H151" s="66" t="inlineStr">
        <is>
          <t>—</t>
        </is>
      </c>
      <c r="I151" s="66" t="inlineStr">
        <is>
          <t>—</t>
        </is>
      </c>
      <c r="J151" s="66" t="inlineStr">
        <is>
          <t>—</t>
        </is>
      </c>
      <c r="K151" s="66" t="inlineStr">
        <is>
          <t>—</t>
        </is>
      </c>
      <c r="L151" s="66" t="inlineStr">
        <is>
          <t>—</t>
        </is>
      </c>
      <c r="M151" s="67" t="inlineStr">
        <is>
          <t>本機 Playwright：任務抽屜校正版本鏈、進化設定說明、診斷 G7；搜尋 web/ 呼叫點</t>
        </is>
      </c>
      <c r="N151" s="6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7" t="inlineStr">
        <is>
          <t>版本鏈只有封存；0 個生效控制項</t>
        </is>
      </c>
      <c r="P151" s="68" t="inlineStr">
        <is>
          <t>FAIL</t>
        </is>
      </c>
      <c r="Q151" s="67" t="inlineStr">
        <is>
          <t>開 DEF-071</t>
        </is>
      </c>
      <c r="R151" s="67" t="inlineStr">
        <is>
          <t>檢驗方 2026-09-25</t>
        </is>
      </c>
    </row>
    <row r="152" ht="219.75" customHeight="1" s="43">
      <c r="A152" s="61" t="inlineStr">
        <is>
          <t>R5</t>
        </is>
      </c>
      <c r="B152" s="61" t="inlineStr">
        <is>
          <t>DEF-072</t>
        </is>
      </c>
      <c r="C152" s="61" t="inlineStr">
        <is>
          <t>D-00</t>
        </is>
      </c>
      <c r="D152" s="61" t="inlineStr">
        <is>
          <t>2026-09-25</t>
        </is>
      </c>
      <c r="E152" s="65" t="inlineStr">
        <is>
          <t>—（本輪由檢驗方發現）</t>
        </is>
      </c>
      <c r="F152" s="66" t="inlineStr">
        <is>
          <t>—</t>
        </is>
      </c>
      <c r="G152" s="66" t="inlineStr">
        <is>
          <t>—</t>
        </is>
      </c>
      <c r="H152" s="66" t="inlineStr">
        <is>
          <t>—</t>
        </is>
      </c>
      <c r="I152" s="66" t="inlineStr">
        <is>
          <t>—</t>
        </is>
      </c>
      <c r="J152" s="66" t="inlineStr">
        <is>
          <t>—</t>
        </is>
      </c>
      <c r="K152" s="66" t="inlineStr">
        <is>
          <t>—</t>
        </is>
      </c>
      <c r="L152" s="66" t="inlineStr">
        <is>
          <t>—</t>
        </is>
      </c>
      <c r="M152" s="67" t="inlineStr">
        <is>
          <t>本機 Playwright：儀表板開 2330 抽屜 → 門 2 → 讀表單欄位；另開門 1 比對欄位；前置以 SQLite 備份還原</t>
        </is>
      </c>
      <c r="N152" s="6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7" t="inlineStr">
        <is>
          <t>代號 2330 ✓、帳戶 Moomoo MY ✗（應為台灣券商）</t>
        </is>
      </c>
      <c r="P152" s="68" t="inlineStr">
        <is>
          <t>FAIL</t>
        </is>
      </c>
      <c r="Q152" s="67" t="inlineStr">
        <is>
          <t>開 DEF-072</t>
        </is>
      </c>
      <c r="R152" s="67" t="inlineStr">
        <is>
          <t>檢驗方 2026-09-25</t>
        </is>
      </c>
    </row>
    <row r="153" ht="219.75" customHeight="1" s="43">
      <c r="A153" s="61" t="inlineStr">
        <is>
          <t>R5</t>
        </is>
      </c>
      <c r="B153" s="61" t="inlineStr">
        <is>
          <t>DEF-073</t>
        </is>
      </c>
      <c r="C153" s="61" t="inlineStr">
        <is>
          <t>E-05</t>
        </is>
      </c>
      <c r="D153" s="61" t="inlineStr">
        <is>
          <t>2026-09-25</t>
        </is>
      </c>
      <c r="E153" s="65" t="inlineStr">
        <is>
          <t>—（本輪由檢驗方發現）</t>
        </is>
      </c>
      <c r="F153" s="66" t="inlineStr">
        <is>
          <t>—</t>
        </is>
      </c>
      <c r="G153" s="66" t="inlineStr">
        <is>
          <t>—</t>
        </is>
      </c>
      <c r="H153" s="66" t="inlineStr">
        <is>
          <t>—</t>
        </is>
      </c>
      <c r="I153" s="66" t="inlineStr">
        <is>
          <t>—</t>
        </is>
      </c>
      <c r="J153" s="66" t="inlineStr">
        <is>
          <t>—</t>
        </is>
      </c>
      <c r="K153" s="66" t="inlineStr">
        <is>
          <t>—</t>
        </is>
      </c>
      <c r="L153" s="66" t="inlineStr">
        <is>
          <t>—</t>
        </is>
      </c>
      <c r="M153" s="67" t="inlineStr">
        <is>
          <t>讀排程中心各列明細（demo＋本機）</t>
        </is>
      </c>
      <c r="N153" s="6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8" t="inlineStr">
        <is>
          <t>5 個工作的明細含英文；校正工作 3 種結果同一句</t>
        </is>
      </c>
      <c r="P153" s="68" t="inlineStr">
        <is>
          <t>FAIL</t>
        </is>
      </c>
      <c r="Q153" s="67" t="inlineStr">
        <is>
          <t>開 DEF-073</t>
        </is>
      </c>
      <c r="R153" s="67" t="inlineStr">
        <is>
          <t>檢驗方 2026-09-25</t>
        </is>
      </c>
    </row>
    <row r="154" ht="219.75" customHeight="1" s="43">
      <c r="A154" s="61" t="inlineStr">
        <is>
          <t>R5</t>
        </is>
      </c>
      <c r="B154" s="61" t="inlineStr">
        <is>
          <t>DEF-074</t>
        </is>
      </c>
      <c r="C154" s="61" t="inlineStr">
        <is>
          <t>H-04</t>
        </is>
      </c>
      <c r="D154" s="61" t="inlineStr">
        <is>
          <t>2026-09-26</t>
        </is>
      </c>
      <c r="E154" s="65" t="inlineStr">
        <is>
          <t>—（Owner 裁定）</t>
        </is>
      </c>
      <c r="F154" s="66" t="inlineStr">
        <is>
          <t>—</t>
        </is>
      </c>
      <c r="G154" s="66" t="inlineStr">
        <is>
          <t>—</t>
        </is>
      </c>
      <c r="H154" s="66" t="inlineStr">
        <is>
          <t>—</t>
        </is>
      </c>
      <c r="I154" s="66" t="inlineStr">
        <is>
          <t>—</t>
        </is>
      </c>
      <c r="J154" s="66" t="inlineStr">
        <is>
          <t>—</t>
        </is>
      </c>
      <c r="K154" s="66" t="inlineStr">
        <is>
          <t>—</t>
        </is>
      </c>
      <c r="L154" s="66" t="inlineStr">
        <is>
          <t>—</t>
        </is>
      </c>
      <c r="M154" s="67" t="inlineStr">
        <is>
          <t>讀開發者交接決策項＋讀碼</t>
        </is>
      </c>
      <c r="N154" s="67" t="inlineStr">
        <is>
          <t>規格未定→owner 已裁定（2026-09-26）</t>
        </is>
      </c>
      <c r="O154" s="68" t="inlineStr">
        <is>
          <t>—</t>
        </is>
      </c>
      <c r="P154" s="67" t="inlineStr">
        <is>
          <t>待裁定</t>
        </is>
      </c>
      <c r="Q154" s="67" t="inlineStr">
        <is>
          <t>開 DEF-074，owner 已裁定 ① B</t>
        </is>
      </c>
      <c r="R154" s="67" t="inlineStr">
        <is>
          <t>檢驗方 2026-09-26</t>
        </is>
      </c>
    </row>
    <row r="155" ht="219.75" customHeight="1" s="43">
      <c r="A155" s="61" t="inlineStr">
        <is>
          <t>R5</t>
        </is>
      </c>
      <c r="B155" s="61" t="inlineStr">
        <is>
          <t>DEF-075</t>
        </is>
      </c>
      <c r="C155" s="61" t="inlineStr">
        <is>
          <t>H-04</t>
        </is>
      </c>
      <c r="D155" s="61" t="inlineStr">
        <is>
          <t>2026-09-26</t>
        </is>
      </c>
      <c r="E155" s="65" t="inlineStr">
        <is>
          <t>—（Owner 裁定）</t>
        </is>
      </c>
      <c r="F155" s="66" t="inlineStr">
        <is>
          <t>—</t>
        </is>
      </c>
      <c r="G155" s="66" t="inlineStr">
        <is>
          <t>—</t>
        </is>
      </c>
      <c r="H155" s="66" t="inlineStr">
        <is>
          <t>—</t>
        </is>
      </c>
      <c r="I155" s="66" t="inlineStr">
        <is>
          <t>—</t>
        </is>
      </c>
      <c r="J155" s="66" t="inlineStr">
        <is>
          <t>—</t>
        </is>
      </c>
      <c r="K155" s="66" t="inlineStr">
        <is>
          <t>—</t>
        </is>
      </c>
      <c r="L155" s="66" t="inlineStr">
        <is>
          <t>—</t>
        </is>
      </c>
      <c r="M155" s="67" t="inlineStr">
        <is>
          <t>讀開發者交接決策項＋讀碼＋本機重現（0056 未來日期賣出清倉）</t>
        </is>
      </c>
      <c r="N155" s="67" t="inlineStr">
        <is>
          <t>決策項→owner 已裁定（2026-09-26），屬程式缺陷</t>
        </is>
      </c>
      <c r="O155" s="68" t="inlineStr">
        <is>
          <t>—</t>
        </is>
      </c>
      <c r="P155" s="67" t="inlineStr">
        <is>
          <t>待裁定</t>
        </is>
      </c>
      <c r="Q155" s="67" t="inlineStr">
        <is>
          <t>開 DEF-075，owner 已裁定 ② B</t>
        </is>
      </c>
      <c r="R155" s="67" t="inlineStr">
        <is>
          <t>檢驗方 2026-09-26</t>
        </is>
      </c>
    </row>
    <row r="156" ht="219.75" customHeight="1" s="43">
      <c r="A156" s="61" t="inlineStr">
        <is>
          <t>R5</t>
        </is>
      </c>
      <c r="B156" s="61" t="inlineStr">
        <is>
          <t>DEF-076</t>
        </is>
      </c>
      <c r="C156" s="61" t="inlineStr">
        <is>
          <t>H-04</t>
        </is>
      </c>
      <c r="D156" s="61" t="inlineStr">
        <is>
          <t>2026-09-26</t>
        </is>
      </c>
      <c r="E156" s="65" t="inlineStr">
        <is>
          <t>—（Owner 裁定）</t>
        </is>
      </c>
      <c r="F156" s="66" t="inlineStr">
        <is>
          <t>—</t>
        </is>
      </c>
      <c r="G156" s="66" t="inlineStr">
        <is>
          <t>—</t>
        </is>
      </c>
      <c r="H156" s="66" t="inlineStr">
        <is>
          <t>—</t>
        </is>
      </c>
      <c r="I156" s="66" t="inlineStr">
        <is>
          <t>—</t>
        </is>
      </c>
      <c r="J156" s="66" t="inlineStr">
        <is>
          <t>—</t>
        </is>
      </c>
      <c r="K156" s="66" t="inlineStr">
        <is>
          <t>—</t>
        </is>
      </c>
      <c r="L156" s="66" t="inlineStr">
        <is>
          <t>—</t>
        </is>
      </c>
      <c r="M156" s="67" t="inlineStr">
        <is>
          <t>讀開發者交接決策項＋讀碼</t>
        </is>
      </c>
      <c r="N156" s="67" t="inlineStr">
        <is>
          <t>規格未定→owner 已裁定（2026-09-26）</t>
        </is>
      </c>
      <c r="O156" s="68" t="inlineStr">
        <is>
          <t>—</t>
        </is>
      </c>
      <c r="P156" s="67" t="inlineStr">
        <is>
          <t>待裁定</t>
        </is>
      </c>
      <c r="Q156" s="67" t="inlineStr">
        <is>
          <t>開 DEF-076，owner 已裁定 ⑤ 統一為「AI 額度偏低」</t>
        </is>
      </c>
      <c r="R156" s="67" t="inlineStr">
        <is>
          <t>檢驗方 2026-09-26</t>
        </is>
      </c>
    </row>
    <row r="157" ht="219.75" customHeight="1" s="43">
      <c r="A157" s="61" t="inlineStr">
        <is>
          <t>R5</t>
        </is>
      </c>
      <c r="B157" s="61" t="inlineStr">
        <is>
          <t>DEF-077</t>
        </is>
      </c>
      <c r="C157" s="61" t="inlineStr">
        <is>
          <t>J-01</t>
        </is>
      </c>
      <c r="D157" s="61" t="inlineStr">
        <is>
          <t>2026-09-26</t>
        </is>
      </c>
      <c r="E157" s="65" t="inlineStr">
        <is>
          <t>—（Owner 裁定）</t>
        </is>
      </c>
      <c r="F157" s="66" t="inlineStr">
        <is>
          <t>—</t>
        </is>
      </c>
      <c r="G157" s="66" t="inlineStr">
        <is>
          <t>—</t>
        </is>
      </c>
      <c r="H157" s="66" t="inlineStr">
        <is>
          <t>—</t>
        </is>
      </c>
      <c r="I157" s="66" t="inlineStr">
        <is>
          <t>—</t>
        </is>
      </c>
      <c r="J157" s="66" t="inlineStr">
        <is>
          <t>—</t>
        </is>
      </c>
      <c r="K157" s="66" t="inlineStr">
        <is>
          <t>—</t>
        </is>
      </c>
      <c r="L157" s="66" t="inlineStr">
        <is>
          <t>—</t>
        </is>
      </c>
      <c r="M157" s="67" t="inlineStr">
        <is>
          <t>讀開發者交接決策項＋讀碼</t>
        </is>
      </c>
      <c r="N157" s="67" t="inlineStr">
        <is>
          <t>決策項→owner 已裁定（2026-09-26），屬程式缺陷</t>
        </is>
      </c>
      <c r="O157" s="68" t="inlineStr">
        <is>
          <t>—</t>
        </is>
      </c>
      <c r="P157" s="67" t="inlineStr">
        <is>
          <t>待裁定</t>
        </is>
      </c>
      <c r="Q157" s="67" t="inlineStr">
        <is>
          <t>開 DEF-077，owner 已裁定 ⑥ A</t>
        </is>
      </c>
      <c r="R157" s="67" t="inlineStr">
        <is>
          <t>檢驗方 2026-09-26</t>
        </is>
      </c>
    </row>
    <row r="158" ht="219.75" customHeight="1" s="43">
      <c r="A158" s="61" t="inlineStr">
        <is>
          <t>R5</t>
        </is>
      </c>
      <c r="B158" s="61" t="inlineStr">
        <is>
          <t>DEF-078</t>
        </is>
      </c>
      <c r="C158" s="61" t="inlineStr">
        <is>
          <t>H-01</t>
        </is>
      </c>
      <c r="D158" s="61" t="inlineStr">
        <is>
          <t>2026-09-26</t>
        </is>
      </c>
      <c r="E158" s="65" t="inlineStr">
        <is>
          <t>—（Owner 裁定）</t>
        </is>
      </c>
      <c r="F158" s="66" t="inlineStr">
        <is>
          <t>—</t>
        </is>
      </c>
      <c r="G158" s="66" t="inlineStr">
        <is>
          <t>—</t>
        </is>
      </c>
      <c r="H158" s="66" t="inlineStr">
        <is>
          <t>—</t>
        </is>
      </c>
      <c r="I158" s="66" t="inlineStr">
        <is>
          <t>—</t>
        </is>
      </c>
      <c r="J158" s="66" t="inlineStr">
        <is>
          <t>—</t>
        </is>
      </c>
      <c r="K158" s="66" t="inlineStr">
        <is>
          <t>—</t>
        </is>
      </c>
      <c r="L158" s="66" t="inlineStr">
        <is>
          <t>—</t>
        </is>
      </c>
      <c r="M158" s="67" t="inlineStr">
        <is>
          <t>讀開發者交接決策項＋讀碼</t>
        </is>
      </c>
      <c r="N158" s="67" t="inlineStr">
        <is>
          <t>規格未定→owner 已裁定（2026-09-26）</t>
        </is>
      </c>
      <c r="O158" s="68" t="inlineStr">
        <is>
          <t>—</t>
        </is>
      </c>
      <c r="P158" s="67" t="inlineStr">
        <is>
          <t>待裁定</t>
        </is>
      </c>
      <c r="Q158" s="67" t="inlineStr">
        <is>
          <t>開 DEF-078，owner 已裁定 ⑦ A＋前後 6 字元明文</t>
        </is>
      </c>
      <c r="R158" s="67" t="inlineStr">
        <is>
          <t>檢驗方 2026-09-26</t>
        </is>
      </c>
    </row>
    <row r="159" ht="219.75" customHeight="1" s="43">
      <c r="A159" s="42" t="inlineStr">
        <is>
          <t>R6</t>
        </is>
      </c>
      <c r="B159" s="42" t="inlineStr">
        <is>
          <t>DEF-066</t>
        </is>
      </c>
      <c r="C159" s="42" t="inlineStr">
        <is>
          <t>G-09（附帶）；DEF-062 複驗（demo alert_scan #195 → insight:9 #196～#202）；H-01 測試連線</t>
        </is>
      </c>
      <c r="D159" s="42" t="inlineStr">
        <is>
          <t>2026-09-26</t>
        </is>
      </c>
      <c r="E159" s="69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2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69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69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2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69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2" t="inlineStr">
        <is>
          <t>696934e（已部署 demo）</t>
        </is>
      </c>
      <c r="L159" s="42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69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70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2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69" t="inlineStr">
        <is>
          <t>複驗通過 → 結案</t>
        </is>
      </c>
      <c r="Q159" s="69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69" t="inlineStr">
        <is>
          <t>檢驗方 2026-09-26</t>
        </is>
      </c>
    </row>
    <row r="160" ht="219.75" customHeight="1" s="43">
      <c r="A160" s="61" t="inlineStr">
        <is>
          <t>R6</t>
        </is>
      </c>
      <c r="B160" s="61" t="inlineStr">
        <is>
          <t>DEF-067</t>
        </is>
      </c>
      <c r="C160" s="61" t="inlineStr">
        <is>
          <t>E-05</t>
        </is>
      </c>
      <c r="D160" s="61" t="inlineStr">
        <is>
          <t>2026-09-26</t>
        </is>
      </c>
      <c r="E160" s="65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6" t="inlineStr">
        <is>
          <t>M10-02 只替報價工作引入 JobOutcome 並只測報價；其他回傳字串的工作沒有任何狀態斷言，_outcome_of 的「字串＝成功」預設沒有測試盯著。</t>
        </is>
      </c>
      <c r="H160" s="65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5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5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6" t="inlineStr">
        <is>
          <t>696934e（已部署 demo）</t>
        </is>
      </c>
      <c r="L160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8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7" t="inlineStr">
        <is>
          <t>複驗通過 → 結案</t>
        </is>
      </c>
      <c r="Q160" s="67" t="inlineStr">
        <is>
          <t>無</t>
        </is>
      </c>
      <c r="R160" s="67" t="inlineStr">
        <is>
          <t>檢驗方 2026-09-26</t>
        </is>
      </c>
    </row>
    <row r="161" ht="219.75" customHeight="1" s="43">
      <c r="A161" s="61" t="inlineStr">
        <is>
          <t>R6</t>
        </is>
      </c>
      <c r="B161" s="61" t="inlineStr">
        <is>
          <t>DEF-069</t>
        </is>
      </c>
      <c r="C161" s="61" t="inlineStr">
        <is>
          <t>G-08</t>
        </is>
      </c>
      <c r="D161" s="61" t="inlineStr">
        <is>
          <t>2026-09-26</t>
        </is>
      </c>
      <c r="E161" s="65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5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5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6" t="inlineStr">
        <is>
          <t>696934e（已部署 demo）</t>
        </is>
      </c>
      <c r="L161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7" t="inlineStr">
        <is>
          <t>複驗通過 → 結案</t>
        </is>
      </c>
      <c r="Q161" s="67" t="inlineStr">
        <is>
          <t>無</t>
        </is>
      </c>
      <c r="R161" s="67" t="inlineStr">
        <is>
          <t>檢驗方 2026-09-26</t>
        </is>
      </c>
    </row>
    <row r="162" ht="219.75" customHeight="1" s="43">
      <c r="A162" s="61" t="inlineStr">
        <is>
          <t>R6</t>
        </is>
      </c>
      <c r="B162" s="61" t="inlineStr">
        <is>
          <t>DEF-070</t>
        </is>
      </c>
      <c r="C162" s="61" t="inlineStr">
        <is>
          <t>G-08</t>
        </is>
      </c>
      <c r="D162" s="61" t="inlineStr">
        <is>
          <t>2026-09-26</t>
        </is>
      </c>
      <c r="E162" s="65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6" t="inlineStr">
        <is>
          <t>portfolio_dash/api/insight_service.py:402-407（_shadow_card_count）、:436（上限判斷）、:1004-1005（晉升成績混算）</t>
        </is>
      </c>
      <c r="G162" s="6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5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5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5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6" t="inlineStr">
        <is>
          <t>696934e（已部署 demo）</t>
        </is>
      </c>
      <c r="L162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7" t="inlineStr">
        <is>
          <t>複驗通過 → 結案</t>
        </is>
      </c>
      <c r="Q162" s="67" t="inlineStr">
        <is>
          <t>無</t>
        </is>
      </c>
      <c r="R162" s="67" t="inlineStr">
        <is>
          <t>檢驗方 2026-09-26</t>
        </is>
      </c>
    </row>
    <row r="163" ht="219.75" customHeight="1" s="43">
      <c r="A163" s="61" t="inlineStr">
        <is>
          <t>R6</t>
        </is>
      </c>
      <c r="B163" s="61" t="inlineStr">
        <is>
          <t>DEF-071</t>
        </is>
      </c>
      <c r="C163" s="61" t="inlineStr">
        <is>
          <t>G-08</t>
        </is>
      </c>
      <c r="D163" s="61" t="inlineStr">
        <is>
          <t>2026-09-26</t>
        </is>
      </c>
      <c r="E163" s="65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6" t="inlineStr">
        <is>
          <t>web/pipeline.js:780-830（loadCalibrations）、:56（FIX_KINDS）；tests/contract/test_api_routes_have_frontend_callers.py:59-63（白名單）</t>
        </is>
      </c>
      <c r="G163" s="65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5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5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5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6" t="inlineStr">
        <is>
          <t>696934e（已部署 demo）</t>
        </is>
      </c>
      <c r="L163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7" t="inlineStr">
        <is>
          <t>複驗通過 → 結案</t>
        </is>
      </c>
      <c r="Q163" s="67" t="inlineStr">
        <is>
          <t>無</t>
        </is>
      </c>
      <c r="R163" s="67" t="inlineStr">
        <is>
          <t>檢驗方 2026-09-26</t>
        </is>
      </c>
    </row>
    <row r="164" ht="219.75" customHeight="1" s="43">
      <c r="A164" s="61" t="inlineStr">
        <is>
          <t>R6</t>
        </is>
      </c>
      <c r="B164" s="61" t="inlineStr">
        <is>
          <t>DEF-079</t>
        </is>
      </c>
      <c r="C164" s="61" t="inlineStr">
        <is>
          <t>G-08（附帶）</t>
        </is>
      </c>
      <c r="D164" s="61" t="inlineStr">
        <is>
          <t>2026-09-26</t>
        </is>
      </c>
      <c r="E164" s="65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6" t="inlineStr">
        <is>
          <t>portfolio_dash/api/insight_service.py:900-905（_generate_one）</t>
        </is>
      </c>
      <c r="G164" s="6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5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5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5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6" t="inlineStr">
        <is>
          <t>696934e（已部署 demo）</t>
        </is>
      </c>
      <c r="L164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7" t="inlineStr">
        <is>
          <t>複驗通過 → 結案</t>
        </is>
      </c>
      <c r="Q164" s="67" t="inlineStr">
        <is>
          <t>無</t>
        </is>
      </c>
      <c r="R164" s="67" t="inlineStr">
        <is>
          <t>檢驗方 2026-09-26</t>
        </is>
      </c>
    </row>
    <row r="165" ht="219.75" customHeight="1" s="43">
      <c r="A165" s="61" t="inlineStr">
        <is>
          <t>R6</t>
        </is>
      </c>
      <c r="B165" s="61" t="inlineStr">
        <is>
          <t>DEF-080</t>
        </is>
      </c>
      <c r="C165" s="61" t="inlineStr">
        <is>
          <t>G-08（附帶）</t>
        </is>
      </c>
      <c r="D165" s="61" t="inlineStr">
        <is>
          <t>2026-09-26</t>
        </is>
      </c>
      <c r="E165" s="65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6" t="inlineStr">
        <is>
          <t>portfolio_dash/api/insight_service.py:891-893（_generate_one 的觸發條件）</t>
        </is>
      </c>
      <c r="G165" s="65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5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5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6" t="inlineStr">
        <is>
          <t>696934e（已部署 demo）</t>
        </is>
      </c>
      <c r="L165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8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7" t="inlineStr">
        <is>
          <t>複驗通過 → 結案</t>
        </is>
      </c>
      <c r="Q165" s="67" t="inlineStr">
        <is>
          <t>無</t>
        </is>
      </c>
      <c r="R165" s="67" t="inlineStr">
        <is>
          <t>檢驗方 2026-09-26</t>
        </is>
      </c>
    </row>
    <row r="166" ht="219.75" customHeight="1" s="43">
      <c r="A166" s="61" t="inlineStr">
        <is>
          <t>R6</t>
        </is>
      </c>
      <c r="B166" s="61" t="inlineStr">
        <is>
          <t>DEF-068</t>
        </is>
      </c>
      <c r="C166" s="61" t="inlineStr">
        <is>
          <t>E-11</t>
        </is>
      </c>
      <c r="D166" s="61" t="inlineStr">
        <is>
          <t>2026-09-26</t>
        </is>
      </c>
      <c r="E166" s="65" t="inlineStr">
        <is>
          <t>同意。另外 API 原本就缺「已更新數」，前端要說「N 檔已更新」只能自己算，所以一併由 API 補上計數。</t>
        </is>
      </c>
      <c r="F166" s="66" t="inlineStr">
        <is>
          <t>web/shell.js:467-470；portfolio_dash/scheduler/jobs.py _quote_outcome（results 缺已更新數）</t>
        </is>
      </c>
      <c r="G166" s="6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5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5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6" t="inlineStr">
        <is>
          <t>696934e（已部署 demo）</t>
        </is>
      </c>
      <c r="L166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7" t="inlineStr">
        <is>
          <t>複驗通過 → 結案</t>
        </is>
      </c>
      <c r="Q166" s="67" t="inlineStr">
        <is>
          <t>無</t>
        </is>
      </c>
      <c r="R166" s="67" t="inlineStr">
        <is>
          <t>檢驗方 2026-09-26</t>
        </is>
      </c>
    </row>
    <row r="167" ht="219.75" customHeight="1" s="43">
      <c r="A167" s="61" t="inlineStr">
        <is>
          <t>R6</t>
        </is>
      </c>
      <c r="B167" s="61" t="inlineStr">
        <is>
          <t>DEF-073</t>
        </is>
      </c>
      <c r="C167" s="61" t="inlineStr">
        <is>
          <t>E-05、G-08（附帶）</t>
        </is>
      </c>
      <c r="D167" s="61" t="inlineStr">
        <is>
          <t>2026-09-26</t>
        </is>
      </c>
      <c r="E167" s="65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5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5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5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6" t="inlineStr">
        <is>
          <t>696934e（已部署 demo）</t>
        </is>
      </c>
      <c r="L167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8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7" t="inlineStr">
        <is>
          <t>複驗通過 → 結案</t>
        </is>
      </c>
      <c r="Q167" s="67" t="inlineStr">
        <is>
          <t>附註：失敗時的例外原文（failure_detail）依 DEF-030 保留英文類別名與原文，未列入本張</t>
        </is>
      </c>
      <c r="R167" s="67" t="inlineStr">
        <is>
          <t>檢驗方 2026-09-26</t>
        </is>
      </c>
    </row>
    <row r="168" ht="219.75" customHeight="1" s="43">
      <c r="A168" s="61" t="inlineStr">
        <is>
          <t>R6</t>
        </is>
      </c>
      <c r="B168" s="61" t="inlineStr">
        <is>
          <t>DEF-072</t>
        </is>
      </c>
      <c r="C168" s="61" t="inlineStr">
        <is>
          <t>D-00</t>
        </is>
      </c>
      <c r="D168" s="61" t="inlineStr">
        <is>
          <t>2026-09-26</t>
        </is>
      </c>
      <c r="E168" s="65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6" t="inlineStr">
        <is>
          <t>web/detail.js:1272（門 2 預填）；web/corp-action-form.js:798（空字串時由瀏覽器預設第一個）；同類 web/ledger.js:1294（門 3 不帶帳戶籤）</t>
        </is>
      </c>
      <c r="G168" s="65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5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6" t="inlineStr">
        <is>
          <t>696934e（已部署 demo）</t>
        </is>
      </c>
      <c r="L168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8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7" t="inlineStr">
        <is>
          <t>複驗通過 → 結案</t>
        </is>
      </c>
      <c r="Q168" s="67" t="inlineStr">
        <is>
          <t>無</t>
        </is>
      </c>
      <c r="R168" s="67" t="inlineStr">
        <is>
          <t>檢驗方 2026-09-26</t>
        </is>
      </c>
    </row>
    <row r="169" ht="219.75" customHeight="1" s="43">
      <c r="A169" s="61" t="inlineStr">
        <is>
          <t>R6</t>
        </is>
      </c>
      <c r="B169" s="61" t="inlineStr">
        <is>
          <t>DEF-075</t>
        </is>
      </c>
      <c r="C169" s="61" t="inlineStr">
        <is>
          <t>H-04（附帶）</t>
        </is>
      </c>
      <c r="D169" s="61" t="inlineStr">
        <is>
          <t>2026-09-26</t>
        </is>
      </c>
      <c r="E169" s="65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5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5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5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6" t="inlineStr">
        <is>
          <t>696934e（已部署 demo）</t>
        </is>
      </c>
      <c r="L169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8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7" t="inlineStr">
        <is>
          <t>複驗通過 → 結案</t>
        </is>
      </c>
      <c r="Q169" s="67" t="inlineStr">
        <is>
          <t>無</t>
        </is>
      </c>
      <c r="R169" s="67" t="inlineStr">
        <is>
          <t>檢驗方 2026-09-26</t>
        </is>
      </c>
    </row>
    <row r="170" ht="219.75" customHeight="1" s="43">
      <c r="A170" s="61" t="inlineStr">
        <is>
          <t>R6</t>
        </is>
      </c>
      <c r="B170" s="61" t="inlineStr">
        <is>
          <t>DEF-074</t>
        </is>
      </c>
      <c r="C170" s="61" t="inlineStr">
        <is>
          <t>H-04（附帶）</t>
        </is>
      </c>
      <c r="D170" s="61" t="inlineStr">
        <is>
          <t>2026-09-26</t>
        </is>
      </c>
      <c r="E170" s="65" t="inlineStr">
        <is>
          <t>同意，依 owner ① B 改走共用判定。detect()（dividend_inbox.py:267）讀的是已存的事件、不是抓取宇宙，列白名單（理由見 I）。</t>
        </is>
      </c>
      <c r="F170" s="66" t="inlineStr">
        <is>
          <t>portfolio_dash/api/dividend_inbox.py:220</t>
        </is>
      </c>
      <c r="G170" s="6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5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5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6" t="inlineStr">
        <is>
          <t>696934e（已部署 demo）</t>
        </is>
      </c>
      <c r="L170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8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7" t="inlineStr">
        <is>
          <t>複驗通過 → 結案</t>
        </is>
      </c>
      <c r="Q170" s="67" t="inlineStr">
        <is>
          <t>無</t>
        </is>
      </c>
      <c r="R170" s="67" t="inlineStr">
        <is>
          <t>檢驗方 2026-09-26</t>
        </is>
      </c>
    </row>
    <row r="171" ht="219.75" customHeight="1" s="43">
      <c r="A171" s="61" t="inlineStr">
        <is>
          <t>R6</t>
        </is>
      </c>
      <c r="B171" s="61" t="inlineStr">
        <is>
          <t>DEF-078</t>
        </is>
      </c>
      <c r="C171" s="61" t="inlineStr">
        <is>
          <t>H-01（附帶）</t>
        </is>
      </c>
      <c r="D171" s="61" t="inlineStr">
        <is>
          <t>2026-09-26</t>
        </is>
      </c>
      <c r="E171" s="65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6" t="inlineStr">
        <is>
          <t>web/settings.html:533、:550、:631；web/settings-datasources.js:218</t>
        </is>
      </c>
      <c r="G171" s="65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5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5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6" t="inlineStr">
        <is>
          <t>696934e（已部署 demo）</t>
        </is>
      </c>
      <c r="L171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8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8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7" t="inlineStr">
        <is>
          <t>複驗通過 → 結案</t>
        </is>
      </c>
      <c r="Q171" s="67" t="inlineStr">
        <is>
          <t>無</t>
        </is>
      </c>
      <c r="R171" s="67" t="inlineStr">
        <is>
          <t>檢驗方 2026-09-26</t>
        </is>
      </c>
    </row>
    <row r="172" ht="219.75" customHeight="1" s="43">
      <c r="A172" s="61" t="inlineStr">
        <is>
          <t>R6</t>
        </is>
      </c>
      <c r="B172" s="61" t="inlineStr">
        <is>
          <t>DEF-077</t>
        </is>
      </c>
      <c r="C172" s="61" t="inlineStr">
        <is>
          <t>J-01（附帶）</t>
        </is>
      </c>
      <c r="D172" s="61" t="inlineStr">
        <is>
          <t>2026-09-26</t>
        </is>
      </c>
      <c r="E172" s="65" t="inlineStr">
        <is>
          <t>同意，依 owner ⑥ A。</t>
        </is>
      </c>
      <c r="F172" s="66" t="inlineStr">
        <is>
          <t>portfolio_dash/portfolio/dashboard.py:196-197、:210、:982</t>
        </is>
      </c>
      <c r="G172" s="6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5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5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6" t="inlineStr">
        <is>
          <t>696934e（已部署 demo）</t>
        </is>
      </c>
      <c r="L172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8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7" t="inlineStr">
        <is>
          <t>複驗未過</t>
        </is>
      </c>
      <c r="Q172" s="6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7" t="inlineStr">
        <is>
          <t>檢驗方 2026-09-26</t>
        </is>
      </c>
    </row>
    <row r="173" ht="219.75" customHeight="1" s="43">
      <c r="A173" s="61" t="inlineStr">
        <is>
          <t>R6</t>
        </is>
      </c>
      <c r="B173" s="61" t="inlineStr">
        <is>
          <t>DEF-076</t>
        </is>
      </c>
      <c r="C173" s="61" t="inlineStr">
        <is>
          <t>H-04（附帶）</t>
        </is>
      </c>
      <c r="D173" s="61" t="inlineStr">
        <is>
          <t>2026-09-26</t>
        </is>
      </c>
      <c r="E173" s="65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6" t="inlineStr">
        <is>
          <t>portfolio_dash/strategy/alerts.py:357；portfolio_dash/shared/whatsnew.py:1317</t>
        </is>
      </c>
      <c r="G173" s="6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5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5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6" t="inlineStr">
        <is>
          <t>696934e（已部署 demo）</t>
        </is>
      </c>
      <c r="L173" s="6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8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8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7" t="inlineStr">
        <is>
          <t>複驗通過 → 結案</t>
        </is>
      </c>
      <c r="Q173" s="6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7" t="inlineStr">
        <is>
          <t>檢驗方 2026-09-26</t>
        </is>
      </c>
    </row>
    <row r="174" ht="219.75" customHeight="1" s="43">
      <c r="A174" s="61" t="inlineStr">
        <is>
          <t>R7</t>
        </is>
      </c>
      <c r="B174" s="61" t="inlineStr">
        <is>
          <t>DEF-077</t>
        </is>
      </c>
      <c r="C174" s="61" t="inlineStr">
        <is>
          <t>J-01（附帶）</t>
        </is>
      </c>
      <c r="D174" s="61" t="inlineStr">
        <is>
          <t>2026-09-26</t>
        </is>
      </c>
      <c r="E174" s="65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6" t="inlineStr">
        <is>
          <t>web/styles.css:1240（.fresh-note 預設琥珀）、web/app.js:1393／:1399（696934e）；同類 web/settings-llm.js:71-74、:81-83，web/app.js:1360</t>
        </is>
      </c>
      <c r="G174" s="6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5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5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6" t="inlineStr">
        <is>
          <t>a16210a（已部署 demo）</t>
        </is>
      </c>
      <c r="L174" s="6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8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7" t="inlineStr">
        <is>
          <t>複驗通過 → 結案</t>
        </is>
      </c>
      <c r="Q174" s="67" t="inlineStr">
        <is>
          <t>無。附註：「推導」改中性、AI 狀態徽章改 class 依 owner 2026-09-26 對話裁定併入本張驗收</t>
        </is>
      </c>
      <c r="R174" s="67" t="inlineStr">
        <is>
          <t>檢驗方 2026-09-27</t>
        </is>
      </c>
    </row>
    <row r="175" ht="219.75" customHeight="1" s="43">
      <c r="A175" s="61" t="inlineStr">
        <is>
          <t>R7</t>
        </is>
      </c>
      <c r="B175" s="61" t="inlineStr">
        <is>
          <t>DEF-081</t>
        </is>
      </c>
      <c r="C175" s="61" t="inlineStr">
        <is>
          <t>H-07（附帶）</t>
        </is>
      </c>
      <c r="D175" s="61" t="inlineStr">
        <is>
          <t>2026-09-26</t>
        </is>
      </c>
      <c r="E175" s="65" t="inlineStr">
        <is>
          <t>新開，owner 2026-09-26 在對話中裁定本輪改顯示名稱（驗證者 R5 觀察 5、R6 規格 §2 觀察 3）。</t>
        </is>
      </c>
      <c r="F175" s="66" t="inlineStr">
        <is>
          <t>web/insights.html:688、:725；portfolio_dash/api/routers/insights.py:914（696934e）</t>
        </is>
      </c>
      <c r="G175" s="65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5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5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6" t="inlineStr">
        <is>
          <t>a16210a（已部署 demo）</t>
        </is>
      </c>
      <c r="L175" s="6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8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7" t="inlineStr">
        <is>
          <t>複驗通過 → 結案</t>
        </is>
      </c>
      <c r="Q175" s="67" t="inlineStr">
        <is>
          <t>無。附註：已封存任務的評分依 spec 4.1 不在戰績頁出現，所以「名稱（已刪除）」這支在頁面上走不到（契約測試有覆蓋），不影響本張</t>
        </is>
      </c>
      <c r="R175" s="67" t="inlineStr">
        <is>
          <t>檢驗方 2026-09-27</t>
        </is>
      </c>
    </row>
    <row r="176" ht="219.75" customHeight="1" s="43">
      <c r="A176" s="61" t="inlineStr">
        <is>
          <t>R8</t>
        </is>
      </c>
      <c r="B176" s="61" t="inlineStr">
        <is>
          <t>DEF-082</t>
        </is>
      </c>
      <c r="C176" s="61" t="inlineStr">
        <is>
          <t>G-04</t>
        </is>
      </c>
      <c r="D176" s="61" t="inlineStr">
        <is>
          <t>2026-09-27</t>
        </is>
      </c>
      <c r="E176" s="65" t="inlineStr">
        <is>
          <t>—（本輪由檢驗方發現）</t>
        </is>
      </c>
      <c r="F176" s="66" t="inlineStr">
        <is>
          <t>—</t>
        </is>
      </c>
      <c r="G176" s="66" t="inlineStr">
        <is>
          <t>—</t>
        </is>
      </c>
      <c r="H176" s="66" t="inlineStr">
        <is>
          <t>—</t>
        </is>
      </c>
      <c r="I176" s="66" t="inlineStr">
        <is>
          <t>—</t>
        </is>
      </c>
      <c r="J176" s="66" t="inlineStr">
        <is>
          <t>—</t>
        </is>
      </c>
      <c r="K176" s="66" t="inlineStr">
        <is>
          <t>—</t>
        </is>
      </c>
      <c r="L176" s="66" t="inlineStr">
        <is>
          <t>—</t>
        </is>
      </c>
      <c r="M176" s="68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8" t="inlineStr">
        <is>
          <t>209 張卡括號 token 44 種：指標、縮寫、幣別 0 誤報；真陽性 #82「6883」正確；誤報 1 張（#209 LARGAN＝3008 的註冊名稱）</t>
        </is>
      </c>
      <c r="P176" s="68" t="inlineStr">
        <is>
          <t>FAIL</t>
        </is>
      </c>
      <c r="Q176" s="67" t="inlineStr">
        <is>
          <t>開 DEF-082</t>
        </is>
      </c>
      <c r="R176" s="67" t="inlineStr">
        <is>
          <t>檢驗方 2026-09-27</t>
        </is>
      </c>
    </row>
    <row r="177" ht="219.75" customHeight="1" s="43">
      <c r="A177" s="61" t="inlineStr">
        <is>
          <t>R9</t>
        </is>
      </c>
      <c r="B177" s="61" t="inlineStr">
        <is>
          <t>DEF-082</t>
        </is>
      </c>
      <c r="C177" s="61" t="inlineStr">
        <is>
          <t>G-04</t>
        </is>
      </c>
      <c r="D177" s="61" t="inlineStr">
        <is>
          <t>2026-09-27</t>
        </is>
      </c>
      <c r="E177" s="65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5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5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6" t="inlineStr">
        <is>
          <t>3a35454（已部署 demo）</t>
        </is>
      </c>
      <c r="L177" s="6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8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7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8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7" t="inlineStr">
        <is>
          <t>複驗通過 → 結案</t>
        </is>
      </c>
      <c r="Q177" s="67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7" t="inlineStr">
        <is>
          <t>檢驗方 2026-09-27</t>
        </is>
      </c>
    </row>
    <row r="178" ht="219.75" customHeight="1" s="43">
      <c r="A178" s="61" t="inlineStr">
        <is>
          <t>R10</t>
        </is>
      </c>
      <c r="B178" s="61" t="inlineStr">
        <is>
          <t>DEF-083</t>
        </is>
      </c>
      <c r="C178" s="61" t="inlineStr">
        <is>
          <t>G-09</t>
        </is>
      </c>
      <c r="D178" s="61" t="inlineStr">
        <is>
          <t>2026-09-28</t>
        </is>
      </c>
      <c r="E178" s="65" t="inlineStr">
        <is>
          <t>—（本輪由檢驗方發現）</t>
        </is>
      </c>
      <c r="F178" s="66" t="inlineStr">
        <is>
          <t>—</t>
        </is>
      </c>
      <c r="G178" s="66" t="inlineStr">
        <is>
          <t>—</t>
        </is>
      </c>
      <c r="H178" s="66" t="inlineStr">
        <is>
          <t>—</t>
        </is>
      </c>
      <c r="I178" s="66" t="inlineStr">
        <is>
          <t>—</t>
        </is>
      </c>
      <c r="J178" s="66" t="inlineStr">
        <is>
          <t>—</t>
        </is>
      </c>
      <c r="K178" s="66" t="inlineStr">
        <is>
          <t>—</t>
        </is>
      </c>
      <c r="L178" s="66" t="inlineStr">
        <is>
          <t>—</t>
        </is>
      </c>
      <c r="M178" s="68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7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8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8" t="inlineStr">
        <is>
          <t>FAIL</t>
        </is>
      </c>
      <c r="Q178" s="67" t="inlineStr">
        <is>
          <t>開 DEF-083
2026-09-29 補：AI 輸入指定 haiku-4.5 可固定重現（失敗記錄 #520，Azure 拒 pattern、Bedrock 拒 oneOf）；Owner 2026-09-29 裁定交開發者修</t>
        </is>
      </c>
      <c r="R178" s="67" t="inlineStr">
        <is>
          <t>檢驗方 2026-09-28</t>
        </is>
      </c>
    </row>
    <row r="179" ht="219.75" customHeight="1" s="43">
      <c r="A179" s="61" t="inlineStr">
        <is>
          <t>R10</t>
        </is>
      </c>
      <c r="B179" s="61" t="inlineStr">
        <is>
          <t>DEF-084</t>
        </is>
      </c>
      <c r="C179" s="61" t="inlineStr">
        <is>
          <t>F-08</t>
        </is>
      </c>
      <c r="D179" s="61" t="inlineStr">
        <is>
          <t>2026-09-28</t>
        </is>
      </c>
      <c r="E179" s="65" t="inlineStr">
        <is>
          <t>—（本輪由檢驗方發現）</t>
        </is>
      </c>
      <c r="F179" s="66" t="inlineStr">
        <is>
          <t>—</t>
        </is>
      </c>
      <c r="G179" s="66" t="inlineStr">
        <is>
          <t>—</t>
        </is>
      </c>
      <c r="H179" s="66" t="inlineStr">
        <is>
          <t>—</t>
        </is>
      </c>
      <c r="I179" s="66" t="inlineStr">
        <is>
          <t>—</t>
        </is>
      </c>
      <c r="J179" s="66" t="inlineStr">
        <is>
          <t>—</t>
        </is>
      </c>
      <c r="K179" s="66" t="inlineStr">
        <is>
          <t>—</t>
        </is>
      </c>
      <c r="L179" s="66" t="inlineStr">
        <is>
          <t>—</t>
        </is>
      </c>
      <c r="M179" s="68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7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7" t="inlineStr">
        <is>
          <t>下載 21 筆＝畫面 21 / 300；model 空 6 筆（#499、#500、#501、#511、#512、#518）；其餘 15 筆皆有 model</t>
        </is>
      </c>
      <c r="P179" s="68" t="inlineStr">
        <is>
          <t>FAIL</t>
        </is>
      </c>
      <c r="Q179" s="67" t="inlineStr">
        <is>
          <t>開 DEF-084</t>
        </is>
      </c>
      <c r="R179" s="67" t="inlineStr">
        <is>
          <t>檢驗方 2026-09-28</t>
        </is>
      </c>
    </row>
    <row r="180" ht="219.75" customHeight="1" s="43">
      <c r="A180" s="61" t="inlineStr">
        <is>
          <t>R10</t>
        </is>
      </c>
      <c r="B180" s="61" t="inlineStr">
        <is>
          <t>DEF-085</t>
        </is>
      </c>
      <c r="C180" s="61" t="inlineStr">
        <is>
          <t>H-05</t>
        </is>
      </c>
      <c r="D180" s="61" t="inlineStr">
        <is>
          <t>2026-09-28</t>
        </is>
      </c>
      <c r="E180" s="65" t="inlineStr">
        <is>
          <t>—（本輪由檢驗方發現）</t>
        </is>
      </c>
      <c r="F180" s="66" t="inlineStr">
        <is>
          <t>—</t>
        </is>
      </c>
      <c r="G180" s="66" t="inlineStr">
        <is>
          <t>—</t>
        </is>
      </c>
      <c r="H180" s="66" t="inlineStr">
        <is>
          <t>—</t>
        </is>
      </c>
      <c r="I180" s="66" t="inlineStr">
        <is>
          <t>—</t>
        </is>
      </c>
      <c r="J180" s="66" t="inlineStr">
        <is>
          <t>—</t>
        </is>
      </c>
      <c r="K180" s="66" t="inlineStr">
        <is>
          <t>—</t>
        </is>
      </c>
      <c r="L180" s="66" t="inlineStr">
        <is>
          <t>—</t>
        </is>
      </c>
      <c r="M180" s="67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7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8" t="inlineStr">
        <is>
          <t>gates R6 {lv:fail, fix:null}、verdict blocked、畫面按鈕僅「啟動排程」（G1）；R2／R3／R4 情境皆有修正按鈕；截圖 R10_H05_R6_preflight.png</t>
        </is>
      </c>
      <c r="P180" s="67" t="inlineStr">
        <is>
          <t>待裁定</t>
        </is>
      </c>
      <c r="Q180" s="67" t="inlineStr">
        <is>
          <t>開 DEF-085（規格未定），請 Owner 裁定 A 修／B 維持
Owner 2026-09-29 裁定 A 修 → 缺陷登記狀態改「新開」，交開發者</t>
        </is>
      </c>
      <c r="R180" s="67" t="inlineStr">
        <is>
          <t>檢驗方 2026-09-28</t>
        </is>
      </c>
    </row>
    <row r="181" ht="240" customHeight="1" s="43">
      <c r="A181" s="61" t="inlineStr">
        <is>
          <t>R11</t>
        </is>
      </c>
      <c r="B181" s="61" t="inlineStr">
        <is>
          <t>DEF-083</t>
        </is>
      </c>
      <c r="C181" s="61" t="inlineStr">
        <is>
          <t>G-09</t>
        </is>
      </c>
      <c r="D181" s="61" t="inlineStr">
        <is>
          <t>2026-09-29</t>
        </is>
      </c>
      <c r="E181" s="65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6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5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5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5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5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6" t="inlineStr">
        <is>
          <t>91ec1b0（已部署 demo）</t>
        </is>
      </c>
      <c r="L181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8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7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8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7" t="inlineStr">
        <is>
          <t>複驗通過 → 結案</t>
        </is>
      </c>
      <c r="Q181" s="67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7" t="inlineStr">
        <is>
          <t>檢驗方 2026-09-30</t>
        </is>
      </c>
    </row>
    <row r="182" ht="240" customHeight="1" s="43">
      <c r="A182" s="61" t="inlineStr">
        <is>
          <t>R11</t>
        </is>
      </c>
      <c r="B182" s="61" t="inlineStr">
        <is>
          <t>DEF-084</t>
        </is>
      </c>
      <c r="C182" s="61" t="inlineStr">
        <is>
          <t>F-08</t>
        </is>
      </c>
      <c r="D182" s="61" t="inlineStr">
        <is>
          <t>2026-09-29</t>
        </is>
      </c>
      <c r="E182" s="65" t="inlineStr">
        <is>
          <t>同意驗證者的判定與根因（自 R1 起即存在，非回歸）。Owner 2026-09-29 裁定修。</t>
        </is>
      </c>
      <c r="F182" s="66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5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6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6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5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6" t="inlineStr">
        <is>
          <t>91ec1b0（已部署 demo）</t>
        </is>
      </c>
      <c r="L182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8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7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7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7" t="inlineStr">
        <is>
          <t>複驗通過 → 結案</t>
        </is>
      </c>
      <c r="Q182" s="67" t="inlineStr">
        <is>
          <t>無（不開單）。修復前 6 筆舊記錄屬資料殘留，程式已正確，是否清除由 Owner 決定（不影響結案；上限 300 筆會自然淘汰）</t>
        </is>
      </c>
      <c r="R182" s="67" t="inlineStr">
        <is>
          <t>檢驗方 2026-09-30</t>
        </is>
      </c>
    </row>
    <row r="183" ht="240" customHeight="1" s="43">
      <c r="A183" s="61" t="inlineStr">
        <is>
          <t>R11</t>
        </is>
      </c>
      <c r="B183" s="61" t="inlineStr">
        <is>
          <t>DEF-085</t>
        </is>
      </c>
      <c r="C183" s="61" t="inlineStr">
        <is>
          <t>H-05</t>
        </is>
      </c>
      <c r="D183" s="61" t="inlineStr">
        <is>
          <t>2026-09-29</t>
        </is>
      </c>
      <c r="E183" s="65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6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6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6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5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5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6" t="inlineStr">
        <is>
          <t>91ec1b0（已部署 demo）</t>
        </is>
      </c>
      <c r="L183" s="6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7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7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8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7" t="inlineStr">
        <is>
          <t>複驗通過 → 結案</t>
        </is>
      </c>
      <c r="Q183" s="67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7" t="inlineStr">
        <is>
          <t>檢驗方 2026-09-30</t>
        </is>
      </c>
    </row>
    <row r="184" ht="240" customHeight="1" s="43">
      <c r="A184" s="61" t="inlineStr">
        <is>
          <t>R12</t>
        </is>
      </c>
      <c r="B184" s="61" t="inlineStr">
        <is>
          <t>DEF-086</t>
        </is>
      </c>
      <c r="C184" s="61" t="inlineStr">
        <is>
          <t>G-01、H-02</t>
        </is>
      </c>
      <c r="D184" s="61" t="inlineStr">
        <is>
          <t>2026-09-30</t>
        </is>
      </c>
      <c r="E184" s="65" t="inlineStr">
        <is>
          <t>—（本輪由檢驗方發現）</t>
        </is>
      </c>
      <c r="F184" s="66" t="inlineStr">
        <is>
          <t>—</t>
        </is>
      </c>
      <c r="G184" s="66" t="inlineStr">
        <is>
          <t>—</t>
        </is>
      </c>
      <c r="H184" s="66" t="inlineStr">
        <is>
          <t>—</t>
        </is>
      </c>
      <c r="I184" s="65" t="inlineStr">
        <is>
          <t>—</t>
        </is>
      </c>
      <c r="J184" s="65" t="inlineStr">
        <is>
          <t>—</t>
        </is>
      </c>
      <c r="K184" s="66" t="inlineStr">
        <is>
          <t>—</t>
        </is>
      </c>
      <c r="L184" s="66" t="inlineStr">
        <is>
          <t>—</t>
        </is>
      </c>
      <c r="M184" s="67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7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8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7" t="inlineStr">
        <is>
          <t>待裁定</t>
        </is>
      </c>
      <c r="Q184" s="67" t="inlineStr">
        <is>
          <t>開 DEF-086（規格未定），請 Owner 裁定 A 改期望／B 改程式
Owner 2026-09-30 在對話中裁定 DEF-086 採 A：改期望、程式不改 → 見第 185 列</t>
        </is>
      </c>
      <c r="R184" s="67" t="inlineStr">
        <is>
          <t>檢驗方 2026-09-30</t>
        </is>
      </c>
    </row>
    <row r="185" ht="240" customHeight="1" s="43">
      <c r="A185" s="61" t="inlineStr">
        <is>
          <t>R12</t>
        </is>
      </c>
      <c r="B185" s="61" t="inlineStr">
        <is>
          <t>DEF-086</t>
        </is>
      </c>
      <c r="C185" s="61" t="inlineStr">
        <is>
          <t>G-01、H-02</t>
        </is>
      </c>
      <c r="D185" s="61" t="inlineStr">
        <is>
          <t>2026-09-30</t>
        </is>
      </c>
      <c r="E185" s="65" t="inlineStr">
        <is>
          <t>—（Owner 裁定改期望、程式不改）</t>
        </is>
      </c>
      <c r="F185" s="66" t="inlineStr">
        <is>
          <t>—</t>
        </is>
      </c>
      <c r="G185" s="66" t="inlineStr">
        <is>
          <t>—</t>
        </is>
      </c>
      <c r="H185" s="66" t="inlineStr">
        <is>
          <t>—</t>
        </is>
      </c>
      <c r="I185" s="65" t="inlineStr">
        <is>
          <t>—</t>
        </is>
      </c>
      <c r="J185" s="65" t="inlineStr">
        <is>
          <t>—</t>
        </is>
      </c>
      <c r="K185" s="66" t="inlineStr">
        <is>
          <t>—</t>
        </is>
      </c>
      <c r="L185" s="66" t="inlineStr">
        <is>
          <t>—</t>
        </is>
      </c>
      <c r="M185" s="67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7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8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7" t="inlineStr">
        <is>
          <t>複驗通過 → 結案</t>
        </is>
      </c>
      <c r="Q185" s="67" t="inlineStr">
        <is>
          <t>依裁定改判非缺陷；手冊 G-01③、H-02 期望（.md 與 F 欄）待開發者同步</t>
        </is>
      </c>
      <c r="R185" s="67" t="inlineStr">
        <is>
          <t>檢驗方 2026-09-30</t>
        </is>
      </c>
    </row>
    <row r="186" ht="240" customHeight="1" s="43">
      <c r="A186" s="61" t="inlineStr">
        <is>
          <t>R13</t>
        </is>
      </c>
      <c r="B186" s="61" t="inlineStr">
        <is>
          <t>DEF-087</t>
        </is>
      </c>
      <c r="C186" s="61" t="inlineStr">
        <is>
          <t>J-06</t>
        </is>
      </c>
      <c r="D186" s="61" t="inlineStr">
        <is>
          <t>2026-10-01</t>
        </is>
      </c>
      <c r="E186" s="65" t="inlineStr">
        <is>
          <t>—（本輪由檢驗方發現）</t>
        </is>
      </c>
      <c r="F186" s="66" t="inlineStr">
        <is>
          <t>—</t>
        </is>
      </c>
      <c r="G186" s="66" t="inlineStr">
        <is>
          <t>—</t>
        </is>
      </c>
      <c r="H186" s="66" t="inlineStr">
        <is>
          <t>—</t>
        </is>
      </c>
      <c r="I186" s="65" t="inlineStr">
        <is>
          <t>—</t>
        </is>
      </c>
      <c r="J186" s="65" t="inlineStr">
        <is>
          <t>—</t>
        </is>
      </c>
      <c r="K186" s="66" t="inlineStr">
        <is>
          <t>—</t>
        </is>
      </c>
      <c r="L186" s="66" t="inlineStr">
        <is>
          <t>—</t>
        </is>
      </c>
      <c r="M186" s="67" t="inlineStr">
        <is>
          <t>本機乾淨 worktree（git worktree 830056c，git status 無變更）跑 ruff／mypy --strict／pytest（非 e2e）／e2e／守門變異；讀 pytest.log 原文；另在 830056c、e8bcf53、2fe60ce 三個乾淨 worktree 單獨重跑失敗的測試；git 比對 ledger_audit.py</t>
        </is>
      </c>
      <c r="N186" s="67" t="inlineStr">
        <is>
          <t>觀察：pytest（非 e2e）1 failed／6,851 passed／5 skipped，失敗為 test_every_bare_str_in_the_export_package_is_listed，多出 ('ledger_audit.py', '_display'): 1
假設：①環境問題（相依套件、殘留快取、未提交變更）；②測試不穩定（順序或時間相依）；③程式新增了守門測試要攔的寫法而未補白名單
排除：worktree 由 git 直接檢出、無未提交變更，同環境 ruff／mypy 全綠、e2e 322 全過；該測試是 AST 靜態掃描、無時間或順序因素，單獨重跑 830056c、e8bcf53 各兩次皆 failed，2fe60ce 10 passed → 排除①②
定位：portfolio_dash/export/ledger_audit.py:209 `str(a)`（e8bcf53 別名欄顯示）；白名單 tests/contract/test_exports_never_print_scientific_notation.py:87-99
判定：FAIL——J-06 要求全綠；實際匯出未見科學記號，影響限於閘門，與 R12 相比為回歸</t>
        </is>
      </c>
      <c r="O186" s="68" t="inlineStr">
        <is>
          <t>pytest 1 failed／6,851 passed／5 skipped（rc=1，662 秒）；ruff 0；mypy 983 檔 0；e2e 322／322（211 個伺服器行程 traceback 0、5xx 0）；守門變異 3 組皆攔（2／1／1 failed）；單獨重跑：830056c ×2 failed、e8bcf53 ×2 failed、2fe60ce 10 passed</t>
        </is>
      </c>
      <c r="P186" s="67" t="inlineStr">
        <is>
          <t>FAIL</t>
        </is>
      </c>
      <c r="Q186" s="67" t="inlineStr">
        <is>
          <t>開 DEF-087（低，程式缺陷）；本機檢查程式比對摘要的大小寫錯誤已更正，J-06 以原始紀錄改判</t>
        </is>
      </c>
      <c r="R186" s="67" t="inlineStr">
        <is>
          <t>檢驗方 2026-10-01</t>
        </is>
      </c>
    </row>
    <row r="187" ht="240" customHeight="1" s="43">
      <c r="A187" s="61" t="inlineStr">
        <is>
          <t>R13</t>
        </is>
      </c>
      <c r="B187" s="61" t="inlineStr">
        <is>
          <t>DEF-088</t>
        </is>
      </c>
      <c r="C187" s="61" t="inlineStr">
        <is>
          <t>F-01</t>
        </is>
      </c>
      <c r="D187" s="61" t="inlineStr">
        <is>
          <t>2026-10-01</t>
        </is>
      </c>
      <c r="E187" s="65" t="inlineStr">
        <is>
          <t>—（本輪由檢驗方發現）</t>
        </is>
      </c>
      <c r="F187" s="66" t="inlineStr">
        <is>
          <t>—</t>
        </is>
      </c>
      <c r="G187" s="66" t="inlineStr">
        <is>
          <t>—</t>
        </is>
      </c>
      <c r="H187" s="66" t="inlineStr">
        <is>
          <t>—</t>
        </is>
      </c>
      <c r="I187" s="65" t="inlineStr">
        <is>
          <t>—</t>
        </is>
      </c>
      <c r="J187" s="65" t="inlineStr">
        <is>
          <t>—</t>
        </is>
      </c>
      <c r="K187" s="66" t="inlineStr">
        <is>
          <t>—</t>
        </is>
      </c>
      <c r="L187" s="66" t="inlineStr">
        <is>
          <t>—</t>
        </is>
      </c>
      <c r="M187" s="67" t="inlineStr">
        <is>
          <t>demo 真實瀏覽器（頁首 v0.1.28 · 830056c）：觀察清單 › 加入 輸入「長榮航」等待自動辨識、檢查別名欄、確認加入、讀標的管理；讀網路紀錄（ai-resolve 回應本文）與 LLM 用量匯出；另以同一端點重放 6 次不同名稱與市場</t>
        </is>
      </c>
      <c r="N187" s="67" t="inlineStr">
        <is>
          <t>觀察：ai-resolve 回 2618／長榮航、confidence high、verified，但 aliases []，別名欄空白、登錄後無別名
假設：①模型這次剛好沒給別名（偶發）；②別名被後端過濾（與 name 相同或屬其他標的）；③前端沒把回應的別名帶進欄位
排除：重放 6 次——長榮航空、華航、聯電、聯華電子皆回 []，只有美股「英特爾」回 ["英特爾"]，固定只在台股發生，排除①；回應本文的 aliases 已是 []、畫面欄位與之一致，排除③
定位：portfolio_dash/api/routers/instruments.py:413（以來源簡稱取代 name）、:420-421（只以 reply.aliases 為候選）、portfolio_dash/api/instrument_service.py:149-174 auto_aliases；提示詞 v3 範例 name「聯華電子」aliases「聯電」——推定簡稱被當成 name 而濾掉
判定：FAIL——F-01 ②③ 不成立（別名未預填、登錄後無別名）</t>
        </is>
      </c>
      <c r="O187" s="67" t="inlineStr">
        <is>
          <t>長榮航 → 2618 []（F-01 正式操作，POST 201 aliases []）；重放：長榮航空 → 2618 []、華航 → 2610 []、聯電 → 2303 []、聯華電子 → 2303 []、英特爾（US）→ INTC ["英特爾"]；F-01 花費 0.0005196（3 列）、重放 0.0010429（6 列）</t>
        </is>
      </c>
      <c r="P187" s="67" t="inlineStr">
        <is>
          <t>FAIL</t>
        </is>
      </c>
      <c r="Q187" s="67" t="inlineStr">
        <is>
          <t>開 DEF-088（低，程式缺陷）；模型原始回覆未留存，根因請修復方以實際回覆確認</t>
        </is>
      </c>
      <c r="R187" s="67" t="inlineStr">
        <is>
          <t>檢驗方 2026-10-01</t>
        </is>
      </c>
    </row>
    <row r="188" ht="240" customHeight="1" s="43">
      <c r="A188" s="61" t="inlineStr">
        <is>
          <t>R13</t>
        </is>
      </c>
      <c r="B188" s="61" t="inlineStr">
        <is>
          <t>DEF-089</t>
        </is>
      </c>
      <c r="C188" s="61" t="inlineStr">
        <is>
          <t>G-01</t>
        </is>
      </c>
      <c r="D188" s="61" t="inlineStr">
        <is>
          <t>2026-10-01</t>
        </is>
      </c>
      <c r="E188" s="65" t="inlineStr">
        <is>
          <t>—（本輪由檢驗方發現）</t>
        </is>
      </c>
      <c r="F188" s="66" t="inlineStr">
        <is>
          <t>—</t>
        </is>
      </c>
      <c r="G188" s="66" t="inlineStr">
        <is>
          <t>—</t>
        </is>
      </c>
      <c r="H188" s="66" t="inlineStr">
        <is>
          <t>—</t>
        </is>
      </c>
      <c r="I188" s="65" t="inlineStr">
        <is>
          <t>—</t>
        </is>
      </c>
      <c r="J188" s="65" t="inlineStr">
        <is>
          <t>—</t>
        </is>
      </c>
      <c r="K188" s="66" t="inlineStr">
        <is>
          <t>—</t>
        </is>
      </c>
      <c r="L188" s="66" t="inlineStr">
        <is>
          <t>—</t>
        </is>
      </c>
      <c r="M188" s="67" t="inlineStr">
        <is>
          <t>demo 真實瀏覽器（頁首 v0.1.28 · 830056c）：G-01 建立並執行 per_symbol 任務 #32（2884），讀卡 #264 內文、執行明細、標的管理的 2884 名稱與別名；掃描 demo 全部 225 張卡的名稱／代號配對；讀 name_check.py</t>
        </is>
      </c>
      <c r="N188" s="67" t="inlineStr">
        <is>
          <t>觀察：卡 #264 兩處寫「玉山金 (2884)」，2884 登錄名稱「玉山金控」、別名「E.SUN」「玉山」，執行沒有重問、卡片未標記
假設：①名稱檢核沒有執行；②檢核有跑但規則刻意接受中文名稱前段；③驗證者掃描誤判（把別的配對算到 2884）
排除：同一 commit 的本機 G-04 ② (b)(c)「聯詠 (3008)」被判不符而重問／不存卡，檢核確實在跑，排除①；直接讀卡 #264 原文確認兩處皆為「玉山金 (2884)」，排除③；全部 225 張卡另有 9 處前段簡稱同樣放行
定位：portfolio_dash/llm_insight/name_check.py:19-22（說明明列「玉山金」for 玉山金控）、:57 _MIN_CJK_PREFIX = 2、:90-97 _ends_with_name——程式設計與手冊 G-01 ⑤ 衝突
判定：OBSERVE——行為是刻意設計，但與手冊期望衝突，需 Owner 裁定</t>
        </is>
      </c>
      <c r="O188" s="68" t="inlineStr">
        <is>
          <t>run #257 ok「產生 1 張卡」；卡 #264 haiku-4.5、9,942／5,412、0.037002；「玉山金 (2884)」×2；額度扣減 0.0393717＝執行花費＝3 列用量；demo 225 張卡：一致 87 種、前段簡稱 9 處</t>
        </is>
      </c>
      <c r="P188" s="67" t="inlineStr">
        <is>
          <t>待裁定</t>
        </is>
      </c>
      <c r="Q188" s="67" t="inlineStr">
        <is>
          <t>開 DEF-089（低，規格未定），請 Owner 裁定 A 改期望／B 改程式</t>
        </is>
      </c>
      <c r="R188" s="67" t="inlineStr">
        <is>
          <t>檢驗方 2026-10-01</t>
        </is>
      </c>
    </row>
    <row r="189" ht="240" customHeight="1" s="43">
      <c r="A189" s="61" t="inlineStr">
        <is>
          <t>R13</t>
        </is>
      </c>
      <c r="B189" s="61" t="inlineStr">
        <is>
          <t>DEF-090</t>
        </is>
      </c>
      <c r="C189" s="61" t="inlineStr">
        <is>
          <t>A-06</t>
        </is>
      </c>
      <c r="D189" s="61" t="inlineStr">
        <is>
          <t>2026-10-01</t>
        </is>
      </c>
      <c r="E189" s="65" t="inlineStr">
        <is>
          <t>—（本輪由檢驗方發現）</t>
        </is>
      </c>
      <c r="F189" s="66" t="inlineStr">
        <is>
          <t>—</t>
        </is>
      </c>
      <c r="G189" s="66" t="inlineStr">
        <is>
          <t>—</t>
        </is>
      </c>
      <c r="H189" s="66" t="inlineStr">
        <is>
          <t>—</t>
        </is>
      </c>
      <c r="I189" s="65" t="inlineStr">
        <is>
          <t>—</t>
        </is>
      </c>
      <c r="J189" s="65" t="inlineStr">
        <is>
          <t>—</t>
        </is>
      </c>
      <c r="K189" s="66" t="inlineStr">
        <is>
          <t>—</t>
        </is>
      </c>
      <c r="L189" s="66" t="inlineStr">
        <is>
          <t>—</t>
        </is>
      </c>
      <c r="M189" s="67" t="inlineStr">
        <is>
          <t>demo 真實瀏覽器（頁首 v0.1.28 · 830056c）：資金收支 › 出金表單倒填日期（嘉信 Schwab TWD 2026-07-17 348,000）；讀網路紀錄與 toast；以資金對帳單匯出（POST /api/export/cash-statement）讀該池逐筆餘額；另找全期間無負值的 Moomoo MY MYR 池重做（A-06M）；讀 validate.py</t>
        </is>
      </c>
      <c r="N189" s="67" t="inlineStr">
        <is>
          <t>觀察：倒填出金 348,000 回 201（#140），寫入後 07-19／07-20 餘額 −148,000／−153,000
假設：①量錯——寫入的不是過去日期，或金額其實不會使池轉負；②後端日期感知檢查沒有執行（只看當日）；③檢查有跑，但只比對整段最低點，既有負值掩蓋了新的負段
排除：對帳單逐筆餘額 07-17 501,000、07-19 200,000、07-20 195,000，348,000 必使後兩天為負，請求本文日期 2026-07-17，排除①；同一 commit 對無既有負值的 MYR 池倒填 423,806 → 422 被擋，日期感知檢查有在跑，排除②；嘉信 TWD 池 2026-01-12 既有 −220,000，新負段最低 −153,000 未比它深，與③相符
定位：portfolio_dash/data_ingestion/validate.py:1990（after.low &lt; min(before.low, 0)）；同函式說明 :1963-1967 寫 INTRODUCES or DEEPENS 皆應擋；fx_import.py:190 同型
判定：FAIL——A-06 要求阻擋並指出轉負日期，實際寫入成功</t>
        </is>
      </c>
      <c r="O189" s="67" t="inlineStr">
        <is>
          <t>嘉信 TWD：出金 2026-07-17 348,000 → 201（#140）、toast「✓ 寫入成功 出金 348000」，07-19 −148,000、07-20 −153,000；既有最低 −220,000（2026-01-12）；#140 依題目刪除（稽核 #446），資金收支 47 列、分段相同。對照 MYR 池：423,806 → 422</t>
        </is>
      </c>
      <c r="P189" s="67" t="inlineStr">
        <is>
          <t>FAIL</t>
        </is>
      </c>
      <c r="Q189" s="67" t="inlineStr">
        <is>
          <t>開 DEF-090（中，程式缺陷）；換匯檢查同型，請修復方一併做同類掃描</t>
        </is>
      </c>
      <c r="R189" s="67" t="inlineStr">
        <is>
          <t>檢驗方 2026-10-01</t>
        </is>
      </c>
    </row>
    <row r="190" ht="240" customHeight="1" s="43">
      <c r="A190" s="61" t="inlineStr">
        <is>
          <t>R13</t>
        </is>
      </c>
      <c r="B190" s="61" t="inlineStr">
        <is>
          <t>DEF-091</t>
        </is>
      </c>
      <c r="C190" s="61" t="inlineStr">
        <is>
          <t>A-06</t>
        </is>
      </c>
      <c r="D190" s="61" t="inlineStr">
        <is>
          <t>2026-10-01</t>
        </is>
      </c>
      <c r="E190" s="65" t="inlineStr">
        <is>
          <t>—（本輪由檢驗方發現）</t>
        </is>
      </c>
      <c r="F190" s="66" t="inlineStr">
        <is>
          <t>—</t>
        </is>
      </c>
      <c r="G190" s="66" t="inlineStr">
        <is>
          <t>—</t>
        </is>
      </c>
      <c r="H190" s="66" t="inlineStr">
        <is>
          <t>—</t>
        </is>
      </c>
      <c r="I190" s="65" t="inlineStr">
        <is>
          <t>—</t>
        </is>
      </c>
      <c r="J190" s="65" t="inlineStr">
        <is>
          <t>—</t>
        </is>
      </c>
      <c r="K190" s="66" t="inlineStr">
        <is>
          <t>—</t>
        </is>
      </c>
      <c r="L190" s="66" t="inlineStr">
        <is>
          <t>—</t>
        </is>
      </c>
      <c r="M190" s="67" t="inlineStr">
        <is>
          <t>demo 真實瀏覽器（頁首 v0.1.28 · 830056c）：A-06M——Moomoo MY MYR 池出金 2026-01-05 423,806（表單不擋）讀 422 訊息與畫面 toast；以資金對帳單匯出逐日推算加上這筆後的餘額；讀 validate.py</t>
        </is>
      </c>
      <c r="N190" s="67" t="inlineStr">
        <is>
          <t>觀察：422 訊息「於 2026-07-19 降至 −78,605.83（出金日早於資金到位）」，手冊要求指出哪一天開始為負
假設：①訊息的日期算錯；②設計上點名最低點那天（M5-07）；③驗證者推算的第一個轉負日有誤
排除：對帳單 31 列：01-05 日終 600,000、01-07 四筆換匯出後日終 420,000（→ −3,806）、07-19 日終 345,200.17 為全期最低（→ −78,605.83）；訊息金額與 07-19 推算逐位相同，程式算的最低點正確，排除①；第一個轉負日 01-07 由逐筆餘額直接相減得出，排除③
定位：portfolio_dash/data_ingestion/validate.py:1995 on=after.low_date；low_date 定義 :1819-1821（M5-07，最低點首次出現的日子）；:178 dip_phrase
判定：OBSERVE 性質（擋下正確，只有點名的日期與手冊不同）→ 規格未定，待 Owner 裁定</t>
        </is>
      </c>
      <c r="O190" s="68" t="inlineStr">
        <is>
          <t>423,806 → 422；訊息點名 2026-07-19 −78,605.83；推算第一個轉負日 2026-01-07（−3,806），之後持續為負到 07-21 入金；資金收支 48 列不變、分段相同</t>
        </is>
      </c>
      <c r="P190" s="67" t="inlineStr">
        <is>
          <t>待裁定</t>
        </is>
      </c>
      <c r="Q190" s="67" t="inlineStr">
        <is>
          <t>開 DEF-091（低，規格未定），請 Owner 裁定 A 改期望（點名最低點）／B 改程式（點名首個轉負日）</t>
        </is>
      </c>
      <c r="R190" s="67" t="inlineStr">
        <is>
          <t>檢驗方 2026-10-01</t>
        </is>
      </c>
    </row>
    <row r="191" ht="240" customHeight="1" s="43">
      <c r="A191" s="61" t="inlineStr">
        <is>
          <t>R14</t>
        </is>
      </c>
      <c r="B191" s="61" t="inlineStr">
        <is>
          <t>DEF-087</t>
        </is>
      </c>
      <c r="C191" s="61" t="inlineStr">
        <is>
          <t>J-06</t>
        </is>
      </c>
      <c r="D191" s="61" t="inlineStr">
        <is>
          <t>2026-10-02</t>
        </is>
      </c>
      <c r="E191" s="65" t="inlineStr">
        <is>
          <t>同意驗證者：程式缺陷，相對 R12 為回歸（2fe60ce 綠、e8bcf53 起紅）。</t>
        </is>
      </c>
      <c r="F191" s="66" t="inlineStr">
        <is>
          <t>portfolio_dash/export/ledger_audit.py:209 `return "、".join(str(a) for a in items) or "無"`（e8bcf53 第 8 題加入的別名欄顯示）——export 套件內的裸 str() 未列入守門測試的 _ALLOWED_STR</t>
        </is>
      </c>
      <c r="G191" s="65" t="inlineStr">
        <is>
          <t>守門測試本身正確，漏的是開發者的閘門流程：依本輪紀錄，這個 str() 是 e8bcf53 那一輪後段為了修另一個守門測試（pc10：稽核欄位標籤缺 instruments.aliases）才加的，加完只重跑了失敗的那幾則，沒有在最後一次改程式之後重跑整套。改正：本輪在最後一次改程式後整套重跑，並核對各批加總＝收集總數（6,859）；已寫入 LESSONS_LEARNED 2026-10-01「R13」第 1 條。</t>
        </is>
      </c>
      <c r="H191" s="65" t="inlineStr">
        <is>
          <t>改為只合併文字（items 中為文字者以「、」相接）——別名唯一的寫入者 store.set_instrument_aliases 只存文字，不需要 str()；不加白名單。</t>
        </is>
      </c>
      <c r="I191" s="65" t="inlineStr">
        <is>
          <t>export 套件所有裸 str() 由該守門測試以 AST 列舉：修後 18 處，全在白名單（ai_predictions／holdings 的 _s、ledgers._read_table、report_html._esc、usage 兩個建檔函式），未列入 0。</t>
        </is>
      </c>
      <c r="J191" s="65" t="inlineStr">
        <is>
          <t>守門測試 test_every_bare_str_in_the_export_package_is_listed 修前 failed、修後 passed。變異 M6（改回 str(a)）→ 該測試 1 failed。</t>
        </is>
      </c>
      <c r="K191" s="66" t="inlineStr">
        <is>
          <t>c9a44ac（已部署 demo）</t>
        </is>
      </c>
      <c r="L191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1" s="67" t="inlineStr">
        <is>
          <t>本機乾淨 worktree（git worktree c9a44ac）跑 J-06 全套（ruff／mypy --strict／pytest 非 e2e／e2e／守門變異）；另開乾淨 worktree 自做變異（把 ledger_audit.py:209 改回 str(a)）並跑該守門測試；git 比對 830056c→c9a44ac 的測試檔與白名單；demo 真實瀏覽器跑 J-03、J-04 的稽核匯出</t>
        </is>
      </c>
      <c r="N191" s="67" t="inlineStr">
        <is>
          <t>觀察：c9a44ac 的 pytest（非 e2e）6,875 passed／5 skipped／0 failed，R13 失敗的 test_every_bare_str_in_the_export_package_is_listed 通過；ledger_audit.py:209 改為只合併文字
假設：①只是把測試放寬（白名單多一項或刪測試），程式未修；②修法改變了稽核匯出的別名內容
排除：git 比對：該測試檔與 _ALLOWED_STR 未改，只改 ledger_audit.py:209；把該行改回 str(a) → 同一測試 1 failed（驗證者自做），改回即過；別名唯一寫入者只存文字，demo J-03 稽核 CSV 434 列、J-04 稽核匯出 196,036 bytes 皆 200
定位：portfolio_dash/export/ledger_audit.py:209
判定：複驗通過 → 結案</t>
        </is>
      </c>
      <c r="O191" s="68" t="inlineStr">
        <is>
          <t>J-06：ruff 0；mypy 985 檔 0；pytest 6,875 passed／5 skipped／0 failed；e2e 322／322（211 個伺服器行程 traceback 0、5xx 0）；守門變異 3 組皆攔（2／1／1 failed）。變異 V1（:209 改回 str(a)）→ 1 failed</t>
        </is>
      </c>
      <c r="P191" s="67" t="inlineStr">
        <is>
          <t>複驗通過 → 結案</t>
        </is>
      </c>
      <c r="Q191" s="67" t="inlineStr">
        <is>
          <t>無</t>
        </is>
      </c>
      <c r="R191" s="67" t="inlineStr">
        <is>
          <t>檢驗方 2026-10-02</t>
        </is>
      </c>
    </row>
    <row r="192" ht="240" customHeight="1" s="43">
      <c r="A192" s="61" t="inlineStr">
        <is>
          <t>R14</t>
        </is>
      </c>
      <c r="B192" s="61" t="inlineStr">
        <is>
          <t>DEF-088</t>
        </is>
      </c>
      <c r="C192" s="61" t="inlineStr">
        <is>
          <t>F-01</t>
        </is>
      </c>
      <c r="D192" s="61" t="inlineStr">
        <is>
          <t>2026-10-02</t>
        </is>
      </c>
      <c r="E192" s="65" t="inlineStr">
        <is>
          <t>同意驗證者的推定，並以真實模型回覆確認：修後在 demo（c9a44ac）辨識長榮航 → 2618 長榮航，別名 [長榮航空]；華航 → 2610 華航 [中華航空]；聯電 → 2303 聯電 [聯華電子]——正式名稱都在模型的 name、簡稱在 aliases，與推定一致。</t>
        </is>
      </c>
      <c r="F192" s="66" t="inlineStr">
        <is>
          <t>portfolio_dash/api/routers/instruments.py:413 `resolved_name = provider_name or reply.name.strip()` 以報價來源名稱（台股為交易所簡稱）取代模型的 name；:421 `candidates=reply.aliases` 只把模型的 aliases 當候選。模型依提示詞範例把正式名稱放 name、簡稱放 aliases，正式名稱被丟掉，簡稱又與登錄名稱相同而被 normalize_aliases 濾掉，結果為空</t>
        </is>
      </c>
      <c r="G192" s="65" t="inlineStr">
        <is>
          <t>第 8 題的 AI 別名測試只用美股（MSFT：來源名 Microsoft Corporation 與模型 name 不同，中文別名在 aliases），沒有台股「來源名＝模型給的簡稱」的情境。新增台股測試補上這個盲點。</t>
        </is>
      </c>
      <c r="H192" s="65" t="inlineStr">
        <is>
          <t>模型回的名稱若含中文，列為第一個別名候選（auto_aliases 照舊濾掉與登錄名稱相同、他檔已用、過長等）；英文名稱不列——名稱檢核本來就能從登錄英文名推導字詞形式（Microsoft）。</t>
        </is>
      </c>
      <c r="I192" s="65" t="inlineStr">
        <is>
          <t>自動填別名的入口共 3 個：交易所簡稱（lookup／quick_register，簡稱與名稱不同才保留，已正確）、AI 辨識 resolved（本缺陷，修 1）、AI 辨識 candidates（刻意不給別名，維持）。</t>
        </is>
      </c>
      <c r="J192" s="65" t="inlineStr">
        <is>
          <t>新增 test_ai_resolve_keeps_a_chinese_model_name_the_exchange_name_replaced（長榮航 → 別名 [長榮航空]）；變異 M7（候選改回只有模型的 aliases）→ 1 failed。真實模型確認見 E 欄（demo 3 次）。</t>
        </is>
      </c>
      <c r="K192" s="66" t="inlineStr">
        <is>
          <t>c9a44ac（已部署 demo）</t>
        </is>
      </c>
      <c r="L192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2" s="67" t="inlineStr">
        <is>
          <t>demo 真實瀏覽器（頁首 v0.1.28 · c9a44ac）：F-01 照手冊步驟重放（觀察清單 › 加入 輸入「長榮航」等待自動辨識、檢查別名欄、確認加入、讀標的管理）；另以同一端點重放 3 個名稱（含美股）；本機乾淨 worktree 自做變異（候選改回只有 reply.aliases）</t>
        </is>
      </c>
      <c r="N192" s="67" t="inlineStr">
        <is>
          <t>觀察：長榮航 → 2618 長榮航、aliases ["長榮航空"]，別名欄預填「長榮航空」，登錄後標的管理「2618 長榮航 亦稱 長榮航空」
假設：①這次模型剛好給了別名（偶發）；②只修了長榮航這一例
排除：另以 ai-resolve 重放 華航 → ["中華航空"]、聯電 → ["聯華電子"]、英特爾（US）→ ["英特爾"]，台股與美股皆有別名；修法為通則（模型的名稱含中文即列為第一候選，仍經 auto_aliases 過濾），非逐例；變異：候選改回只有 reply.aliases → 新測試 1 failed
定位：portfolio_dash/api/routers/instruments.py:413、:421（修後 :426-429）
判定：複驗通過 → 結案</t>
        </is>
      </c>
      <c r="O192" s="68" t="inlineStr">
        <is>
          <t>F-01 12／12；POST /api/instruments 201 aliases ["長榮航空"]；額度 3.1239155→3.1232083＝4 列 0.0007072；補驗 3 列 $0.0005207；測後 purge 2618（200）、標的回 26 檔。變異 V2 → 1 failed</t>
        </is>
      </c>
      <c r="P192" s="67" t="inlineStr">
        <is>
          <t>複驗通過 → 結案</t>
        </is>
      </c>
      <c r="Q192" s="67" t="inlineStr">
        <is>
          <t>無</t>
        </is>
      </c>
      <c r="R192" s="67" t="inlineStr">
        <is>
          <t>檢驗方 2026-10-02</t>
        </is>
      </c>
    </row>
    <row r="193" ht="240" customHeight="1" s="43">
      <c r="A193" s="61" t="inlineStr">
        <is>
          <t>R14</t>
        </is>
      </c>
      <c r="B193" s="61" t="inlineStr">
        <is>
          <t>DEF-089</t>
        </is>
      </c>
      <c r="C193" s="61" t="inlineStr">
        <is>
          <t>G-01、G-04</t>
        </is>
      </c>
      <c r="D193" s="61" t="inlineStr">
        <is>
          <t>2026-10-02</t>
        </is>
      </c>
      <c r="E193" s="65" t="inlineStr">
        <is>
          <t>Owner 2026-10-01 裁定 1C（簡稱不限兩字，兩字以上任何長度皆可）：保留中文簡稱放行，但只放行只指向這一檔的簡稱。開發者另發現原規則會放行錯誤配對：「長榮 (2618)」（長榮是 2603 的別名）、「中華 (2610)」（中華電信也以「中華」開頭）——正是第 8 題要防的錯。</t>
        </is>
      </c>
      <c r="F193" s="66" t="inlineStr">
        <is>
          <t>portfolio_dash/llm_insight/name_check.py:91-97 `_ends_with_name`（`before.endswith(name[:k])`，k 從全名到 :57 `_MIN_CJK_PREFIX = 2`）與 :106-110 `_is_name`——只看自己的名稱，不看其他標的是否也用這個簡稱</t>
        </is>
      </c>
      <c r="G193" s="65" t="inlineStr">
        <is>
          <t>第 8 題的測試只測「自己的簡稱可放行」（玉山金），沒有「簡稱同時是別檔名稱或開頭」的反例；LESSONS 2026-10-01 第 8 題第 3 條已記下「長榮」可能同時指 2603 與 2618，但只落實在別名寫入端，名稱檢核端漏了。</t>
        </is>
      </c>
      <c r="H193" s="65" t="inlineStr">
        <is>
          <t>新增 _short_forms：自己的完整名稱與別名一律放行；開頭簡稱（兩字以上、不限長度）只在其他標的的名稱與別名都不等於它、也不以它開頭時放行。「名稱 (代號)」與「代號 (名稱)」兩種寫法共用；scripts/fix_card_names.py 的 accepts 一併帶入登錄表。產卡提示詞不變（本來就要求只用表上的名稱）。手冊 G-01 ⑤ 依裁定改寫、G-04 新增 (d)。</t>
        </is>
      </c>
      <c r="I193" s="65" t="inlineStr">
        <is>
          <t>接受名稱的規則只有一處（_ends_with_name／_is_name，經 accepts 對外），使用者 3 處：「名稱 (代號)」、「代號 (名稱)」、fix_card_names._bare_reviewed——全改，白名單 0。demo 現有 248 張卡以新規則唯讀重掃（fix_card_names 試算、未寫入）：0 處不符——驗證者記錄的 9 處簡稱都只指向單一標的，照樣通過。</t>
        </is>
      </c>
      <c r="J193" s="65" t="inlineStr">
        <is>
          <t>新增兩組參數化測試（放行 8 例：玉山、玉山金、陽明海、聯發、長榮航、長榮、中華電、中華航；擋下 4 例：長榮 (2618)、2618（長榮）、中華 (2610)、中華 (2412)）；變異 M8（取消「他檔共用」檢查）→ 4 failed。</t>
        </is>
      </c>
      <c r="K193" s="66" t="inlineStr">
        <is>
          <t>c9a44ac（已部署 demo）</t>
        </is>
      </c>
      <c r="L193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3" s="67" t="inlineStr">
        <is>
          <t>demo 真實瀏覽器（頁首 v0.1.28 · c9a44ac）：G-01 建立並執行 per_symbol 任務（2884，真實 AI），以 1C 規則判讀新卡；G-04 ① 以 1C 規則掃描 demo 全部卡片；本機專用測試環境（c9a44ac）G-04 ② (a)～(d)，並以同一腳本在 830056c 對照；本機乾淨 worktree 自做變異 2 組</t>
        </is>
      </c>
      <c r="N193" s="67" t="inlineStr">
        <is>
          <t>觀察：G-01 卡 #264 寫「玉山金控 (2884)」與「玉山金 (2884)」×2，依 1C「玉山金」只指向 2884 → 放行，⑤ 通過；本機 (d)「長榮 (2618)」兩次 → 不存卡、執行「部分」
假設：①名稱檢核改嚴後誤擋合法簡稱；②只擋了開發者測試資料裡那幾例，換一組資料仍放行錯誤配對
排除：demo 224 張卡以 1C 規則掃描：一致 87、只指向單一標的的簡稱 7、不符 0（無誤擋）；本機 (d) 以 demo 的別名清單、經登錄門新建 2618（與開發者測試資料不同），同腳本在 830056c 存下卡 #22、c9a44ac 擋下；變異：取消他檔共用檢查 → 4 failed、只查「等於」→ 2 failed
定位：portfolio_dash/llm_insight/name_check.py:91-97、:106-110（修後 _short_forms :102-112）
判定：依 Owner 裁定 1C 複驗通過 → 結案</t>
        </is>
      </c>
      <c r="O193" s="68" t="inlineStr">
        <is>
          <t>G-01 8／8（run #254 ok、卡 #264 0.0015489、⑤ 簡稱 2 處皆只指向 2884）；G-04 demo 3／3（224 張，一致 87、簡稱 7、不符 0）；本機 (d) run #39「部分」「產生 0 張卡；1 張因名稱與代號不符未存」、用量 2 列 0.00040；830056c 對照存下卡 #22。變異 V3 → 4 failed、V4 → 2 failed</t>
        </is>
      </c>
      <c r="P193" s="67" t="inlineStr">
        <is>
          <t>複驗通過 → 結案</t>
        </is>
      </c>
      <c r="Q193" s="67" t="inlineStr">
        <is>
          <t>無</t>
        </is>
      </c>
      <c r="R193" s="67" t="inlineStr">
        <is>
          <t>檢驗方 2026-10-02</t>
        </is>
      </c>
    </row>
    <row r="194" ht="240" customHeight="1" s="43">
      <c r="A194" s="61" t="inlineStr">
        <is>
          <t>R14</t>
        </is>
      </c>
      <c r="B194" s="61" t="inlineStr">
        <is>
          <t>DEF-090</t>
        </is>
      </c>
      <c r="C194" s="61" t="inlineStr">
        <is>
          <t>A-06</t>
        </is>
      </c>
      <c r="D194" s="61" t="inlineStr">
        <is>
          <t>2026-10-02</t>
        </is>
      </c>
      <c r="E194" s="65" t="inlineStr">
        <is>
          <t>同意驗證者：程式缺陷（中）。</t>
        </is>
      </c>
      <c r="F194" s="66" t="inlineStr">
        <is>
          <t>portfolio_dash/data_ingestion/validate.py:1990 `if after.low &lt; min(before.low, _ZERO):`——只比整段時間的最低點；同型 portfolio_dash/data_ingestion/fx_import.py:190（換匯）、portfolio_dash/api/replay_guard.py:343 `if low &lt; pre_low:`（匯入批次復原的負現金確認）</t>
        </is>
      </c>
      <c r="G194" s="65" t="inlineStr">
        <is>
          <t>既有測試（test_x1_m5_07、test_def008、test_cash_movement_guard_contract）每個情境都只有一段負值，沒有「更早已有一段更深的負值」；只有一段負值時，比最低點與逐日比較的結果相同，所以測不出來。</t>
        </is>
      </c>
      <c r="H194" s="65" t="inlineStr">
        <is>
          <t>新增 shared/cash_dip.py（純函式，資料層與 API 層共用一份規則）；資金池探針多回傳日終餘額序列（portfolio/cash.py::running_eod、CashPool.eod）。硬擋（出金、換匯）用 new_dip：任何一天被這筆變負或更負就擋。匯入批次復原的可確認檢查用 caused_dip：原本不負的日子變負、或跌破原本的最低點才要確認——保留 audit H3 的範圍（帳戶原本就負、與這次無關的部分不要求確認，既有測試 test_an_already_short_pool_the_batch_did_not_cause_does_not_ask 照舊通過）。</t>
        </is>
      </c>
      <c r="I194" s="65" t="inlineStr">
        <is>
          <t>以最低點前後比較判斷的地方共 4 處：出金 validate.py:1990、換匯 fx_import.py:190、批次復原 replay_guard.py:343 → 修 3；出金／換匯的編輯與刪除門（cash.py 的 _pool_low，任何負值都要求確認、不會漏擋）→ 不屬漏擋，但訊息依 2B 一併改（見 DEF-091）。</t>
        </is>
      </c>
      <c r="J194" s="65" t="inlineStr">
        <is>
          <t>新增 tests/contract/test_def090_cash_dip_day_by_day.py（8 則：純規則 4、出金 2、換匯 1、批次復原 1；情境照驗證者重現——池中較早已有 −32,000，再倒填出金開出一段較淺的負值）。變異 M1（硬擋改回比最低點）→ 2 failed、M2（只改回換匯）→ 1、M3（批次復原改回只看最低點）→ 1、M4（硬擋放過「原本已負的日子更負」）→ 1。</t>
        </is>
      </c>
      <c r="K194" s="66" t="inlineStr">
        <is>
          <t>c9a44ac（已部署 demo）</t>
        </is>
      </c>
      <c r="L194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4" s="67" t="inlineStr">
        <is>
          <t>demo 真實瀏覽器（頁首 v0.1.28 · c9a44ac）：A-06 依 R13 原情境重放（嘉信 TWD 倒填出金），並驗出金編輯門；A-13X 換匯同情境；I-08X 以 CSV 匯入＋倒填出金驗批次復原；期望句皆先由資金對帳單匯出的日終餘額推算；本機乾淨 worktree 自做變異 4 組；grep 全部最低點比較處</t>
        </is>
      </c>
      <c r="N194" s="67" t="inlineStr">
        <is>
          <t>觀察：嘉信 Schwab TWD（2026-01-12 起 −220,000）倒填 2026-07-17 出金 348,000 → 422「自 2026-07-19 起為負，最低於 2026-07-20 降至 −153,000（出金日早於資金到位）」（R13 為 201 寫入）
假設：①只修了出金，換匯與批次復原仍用最低點比較；②改成逐日後過嚴——與這筆無關的既有負值也會擋或要求確認
排除：換匯同情境（A-13X）→ 422 fx_insufficient_balance 同句；批次復原（I-08X）新負段 −205,000 淺於既有 −220,000 → 要求確認；移除相依出金後同一批 → 200、不詢問（既有負值不擋）；出金編輯門（自我排除路徑，開發者未點名）→ 422 同句；變異 4 組皆被攔
定位：portfolio_dash/data_ingestion/validate.py:1990、fx_import.py:190、api/replay_guard.py:343 → shared/cash_dip.py 的 new_dip／caused_dip
判定：複驗通過 → 結案</t>
        </is>
      </c>
      <c r="O194" s="68" t="inlineStr">
        <is>
          <t>A-06 20／20、A-13X 7／7、I-08X 9／9（首跑 5／6 為檢查程式漏抓對話框，修正後重跑）；三題測後分段逐字相同。變異 V5 → 2 failed、V6 → 1、V7 → 2、V8 → 1</t>
        </is>
      </c>
      <c r="P194" s="67" t="inlineStr">
        <is>
          <t>複驗通過 → 結案</t>
        </is>
      </c>
      <c r="Q194" s="67" t="inlineStr">
        <is>
          <t>無。觀察（不開單）：單筆資金紀錄的編輯／刪除門刻意不分範圍——池中已有無關的負值時，刪一筆出金也會被要求確認，句子寫「此筆會使 嘉信 Schwab 的 TWD 現金於 2026-01-12 降至 −220,000」，見交接紀錄第 37 列</t>
        </is>
      </c>
      <c r="R194" s="67" t="inlineStr">
        <is>
          <t>檢驗方 2026-10-02</t>
        </is>
      </c>
    </row>
    <row r="195" ht="240" customHeight="1" s="43">
      <c r="A195" s="61" t="inlineStr">
        <is>
          <t>R14</t>
        </is>
      </c>
      <c r="B195" s="61" t="inlineStr">
        <is>
          <t>DEF-091</t>
        </is>
      </c>
      <c r="C195" s="61" t="inlineStr">
        <is>
          <t>A-06</t>
        </is>
      </c>
      <c r="D195" s="61" t="inlineStr">
        <is>
          <t>2026-10-02</t>
        </is>
      </c>
      <c r="E195" s="65" t="inlineStr">
        <is>
          <t>Owner 2026-10-01 裁定 2B：兩個日子都寫——第一個轉負日（最晚要在哪天前補錢）與最低點（至少要補多少）。</t>
        </is>
      </c>
      <c r="F195" s="66" t="inlineStr">
        <is>
          <t>portfolio_dash/data_ingestion/validate.py:1995 `on=after.low_date` 與 :177 dip_phrase 只寫最低點日（M5-07 設計）；同句型 fx_import.py:195、api/routers/cash.py 的 _negative_response（編輯／刪除門）</t>
        </is>
      </c>
      <c r="G195" s="65" t="inlineStr">
        <is>
          <t>非漏測：M5-07 依當時設計只點名最低點日；R12 以前 A-06 的轉負日剛好等於最低點日。</t>
        </is>
      </c>
      <c r="H195" s="66" t="inlineStr">
        <is>
          <t>cash_dip_sentence／dip_phrase 加 first：第一個短缺日與最低點日不同時寫「自 D1 起為負，最低於 D2 降至 −N」，同日維持「於 D 降至 −N」。出金、換匯、編輯／刪除門、批次復原全部帶入（DEF-090 的逐日比較本來就得出第一個短缺日）。手冊 A-06 依裁定改寫。</t>
        </is>
      </c>
      <c r="I195" s="65" t="inlineStr">
        <is>
          <t>資金不足句型的產生處共 3 個（validate 出金、fx_import 換匯、cash._negative_response——後者供 3 個編輯／刪除門與批次復原共用）→ 全改，白名單 0。錄製回應 2 則依裁定重錄（edit_deposit_shrinks_pool、delete_rebate），已在該測試的說明中註明。</t>
        </is>
      </c>
      <c r="J195" s="65" t="inlineStr">
        <is>
          <t>新增訊息逐字斷言（test_def090 的出金 2 則、換匯 1 則）；變異 M5（改回只寫最低點日）→ 5 failed（含重錄的 2 則）。</t>
        </is>
      </c>
      <c r="K195" s="66" t="inlineStr">
        <is>
          <t>c9a44ac（已部署 demo）</t>
        </is>
      </c>
      <c r="L195" s="66" t="inlineStr">
        <is>
          <t>ruff 全過（portfolio_dash／tests／scripts）・mypy --strict 985 檔 0 問題・pytest 非 e2e 6,859 則（6,857 通過、2 略過、0 失敗；5 批逐段前景執行，各批加總＝收集總數）・e2e 96 檔 322／322（19 批逐批前景）・壓力驗證第 1 階段 ops=128 pass=6018 fail=0・變異 8 組全攔・demo 部署 c9a44ac，並依 Owner 裁定 4A 還原到 R13 前的備份（還原後交易／股利／資金／公司行動／卡片／用量／標的／執行各表筆數與備份逐一相同；R13 後的狀態另存 portfolio-post-r13-*.db）・verify_live ALL PASS（頁首 v0.1.28 · c9a44ac）</t>
        </is>
      </c>
      <c r="M195" s="67" t="inlineStr">
        <is>
          <t>demo 真實瀏覽器（頁首 v0.1.28 · c9a44ac）：A-06M 情境重放（Moomoo MY MYR 倒填出金）；四種門逐一黑箱（出金 A-06、換匯 A-13X、編輯／刪除門 A-11X、批次復原 I-08X）；同日情境 A-06 手冊步驟與 A-05；本機乾淨 worktree 自做變異</t>
        </is>
      </c>
      <c r="N195" s="67" t="inlineStr">
        <is>
          <t>觀察：Moomoo MY MYR 倒填 2026-01-05 出金 423,806 → 422「自 2026-01-07 起為負，最低於 2026-07-19 降至 −78,605.83（出金日早於資金到位）」
假設：①只改了出金訊息，其他門仍只寫最低點日；②兩日同日時句子重複或寫錯
排除：換匯、編輯門、刪除門、批次復原四處皆為新句型，日期與金額與對帳單逐日推算相同；同日情境（A-06 手冊步驟 07-17、A-05 當日 −1）維持「於 D 降至 −N」；變異改回只寫最低點日 → 5 failed
定位：portfolio_dash/data_ingestion/validate.py:177 dip_phrase、:1995；fx_import.py:195；api/routers/cash.py _negative_response
判定：依 Owner 裁定 2B 複驗通過 → 結案</t>
        </is>
      </c>
      <c r="O195" s="68" t="inlineStr">
        <is>
          <t>A-06 ③ 句子逐字相同；A-11X 8／8（−653,820／−753,820）；I-08X（−205,000）；A-05 5／5「於 2026-10-02 降至 −1（出金當日）」。變異 V9 → 5 failed</t>
        </is>
      </c>
      <c r="P195" s="67" t="inlineStr">
        <is>
          <t>複驗通過 → 結案</t>
        </is>
      </c>
      <c r="Q195" s="67" t="inlineStr">
        <is>
          <t>無</t>
        </is>
      </c>
      <c r="R195" s="67" t="inlineStr">
        <is>
          <t>檢驗方 2026-10-02</t>
        </is>
      </c>
    </row>
    <row r="196" ht="240" customHeight="1" s="43">
      <c r="A196" s="61" t="inlineStr">
        <is>
          <t>R15</t>
        </is>
      </c>
      <c r="B196" s="61" t="inlineStr">
        <is>
          <t>DEF-092</t>
        </is>
      </c>
      <c r="C196" s="61" t="inlineStr">
        <is>
          <t>A-11、A-13</t>
        </is>
      </c>
      <c r="D196" s="61" t="inlineStr">
        <is>
          <t>2026-10-02</t>
        </is>
      </c>
      <c r="E196" s="65" t="inlineStr">
        <is>
          <t>—（R14 驗證者觀察，未開單）Owner 2026-10-02 裁定 A：三個可確認的門與匯入批次復原用同一套規則。</t>
        </is>
      </c>
      <c r="F196" s="66" t="inlineStr">
        <is>
          <t>portfolio_dash/api/routers/cash.py:125-147 `_pool_dip` 回傳 `first_dip(running_eod(lines))`——只看變更後的池有沒有任何負值，不比對變更前；三個可確認的門共用它：資金紀錄編輯（PUT /api/cash/movements/{id}，:700-712）、刪除（DELETE /api/cash/movements/{id}，:730-734）、換匯刪除（fx_delete_guard，:349-353）</t>
        </is>
      </c>
      <c r="G196" s="65" t="inlineStr">
        <is>
          <t>非漏測：這是 audit C3 時刻意的設計（可確認的更正門回報變更後池中任何負值），既有測試照此釘住（錄製序列 edit_rebate_*、M5-07 的負現金訊息、DEF-009 折讓款 e2e 都預期會被問）。R13 的 DEF-090 讓批次復原改成只問這次造成的負值後，兩邊才出現不一致，驗證者於 R14 指出。</t>
        </is>
      </c>
      <c r="H196" s="66" t="inlineStr">
        <is>
          <t>_pool_dip 改為比對「目前帳本」與「變更後帳本」兩條逐日餘額，用 shared/cash_dip.py 的 caused_dip（與批次復原同一個函式）：這次讓某一天新轉負、或跌破原本最低點才回傳；不再使用的 first_dip 一併移除。句子「此筆會使…」因此只描述這筆造成的負值。手冊 A-11 依裁定新增 ③。</t>
        </is>
      </c>
      <c r="I196" s="65" t="inlineStr">
        <is>
          <t>可確認的負現金門共 4 個：資金紀錄編輯、資金紀錄刪除、換匯刪除（三者共用 _pool_dip）→ 修 3；匯入批次復原（replay_guard._pool_refusal，R14 起已是 caused_dip）→ 已一致，不動。硬擋（出金、換匯寫入）用 new_dip，維持。</t>
        </is>
      </c>
      <c r="J196" s="65" t="inlineStr">
        <is>
          <t>新增 tests/contract/test_def092_row_doors_ask_only_what_they_cause.py（3 則：刪一筆出金不問、造成新負段的修改照問且點名該段、刪一筆換匯不問）。依裁定重錄：test_cash_movement_guard_contract 的 7 則（3 筆折讓款修改現在直接寫入；仍會問的 2 則改點名這次造成的負段；最終帳本的折讓款 200）、M5-07 的負現金訊息 1 則；DEF-009 折讓款 e2e 不再預期確認框。變異 M9（改回回報任何負值）→ 10 則失敗。</t>
        </is>
      </c>
      <c r="K196" s="66" t="inlineStr">
        <is>
          <t>d8efc07（已部署 demo）</t>
        </is>
      </c>
      <c r="L196" s="66" t="inlineStr">
        <is>
          <t>ruff 全過（portfolio_dash／tests／scripts）・mypy --strict 986 檔 0 問題・pytest 非 e2e 6,862 則（6,860 通過、2 略過、0 失敗；5 批逐段前景執行，各批加總＝收集總數）・e2e 96 檔 322／322（24 批逐批前景）・壓力驗證第 1 階段 ops=128 pass=6018 fail=0・變異 1 組（改回回報任何負值）→ 10 則測試失敗・demo 先備份（portfolio-pre-d8efc07-20261002T125012Z.db）再部署 d8efc07、verify_live ALL PASS（頁首 v0.1.28 · d8efc07）</t>
        </is>
      </c>
      <c r="M196" s="67" t="inlineStr">
        <is>
          <t>demo 真實瀏覽器（頁首 v0.1.28 · d8efc07）：A-11C 重放 R14 原情境（資金管理 › 出金入金 的刪除與編輯）並加驗跌破原本最低點、交易帳本 › 換匯 › 刪除兩向，期望句皆先由資金對帳單的日終餘額逐日推算；重跑 A-11、A-11X、A-13、A-13X、A-16、I-07、I-08、I-08X、J 組；本機（把 demo 嘉信 TWD 池逐列複製到資料庫副本、對帳單逐日相同後）以 API 在 d8efc07 與修正前 c9a44ac 各跑同一組情境；乾淨 worktree 自做變異 7 組；grep 全部 negative_cash 產生處</t>
        </is>
      </c>
      <c r="N196" s="67" t="inlineStr">
        <is>
          <t>觀察：嘉信 Schwab TWD 池 2026-01-12 起已有 −220,000（與以下各筆無關）。刪除 2026-07-19 出金 100,000 → 只跳一般的「刪除資金紀錄」確認，DELETE 200，沒有「現金將變為負數」（R14 為 422「於 2026-01-12 降至 −220,000」）；入金 300,000 改 250,000 → PUT 200 直接寫入；改 100,000 → PUT 422，畫面「此筆會使 嘉信 Schwab 的 TWD 現金自 2026-07-19 起為負，最低於 2026-07-20 降至 −105,000 — …」，不提 2026-01-12
假設：①只是把詢問拿掉（過鬆）——造成新負值或跌破原本最低點的修改也不再詢問；②只修了資金紀錄的刪除，編輯門與換匯刪除門仍回報池中任何負值
排除：造成新負段的修改仍詢問並只點名該段（改 100,000 → −105,000；刪入金 → −205,000）；跌破原本最低點仍詢問（補 2026-01-05 入金 50,000 使最低點變 −170,000，刪它 →「於 2026-01-12 降至 −220,000」，按「我了解，仍要寫入」→ ?ack_negative=true 200）；換匯刪除門兩向皆驗（刪 07-22 換匯 → 200 不詢問；刪會擱淺 07-19 出金的換匯 → 422「…−205,000」）；換一種方式：本機同一組情境以 API 在修正前 c9a44ac 重現原缺陷 10 處（皆寫「於 2026-01-12 降至 −220,000」），d8efc07 17／17 與逐日推算相同；變異 7 組皆被攔
定位：portfolio_dash/api/routers/cash.py:126-156 _pool_dip → shared/cash_dip.py:96 caused_dip（與 replay_guard.py:342 批次復原同一函式）
判定：依 Owner 2026-10-02 裁定 A 複驗通過 → 結案</t>
        </is>
      </c>
      <c r="O196" s="68" t="inlineStr">
        <is>
          <t>A-11C 29／29（#143 出金刪除 DELETE 200；#144 入金 PUT 200／PUT 422 −105,000／DELETE 422 −205,000；#146 刪除 422 → 確認後 ?ack_negative=true 200；換匯 #30 刪除 200；#31 刪除 422 −205,000）；A-11 6／6、A-11X 8／8、A-13 6／6、A-13X 7／7、A-16 10／10、I-07 11／11、I-08X 9／9（不帶確認刪除擱淺批次的出金 #154 → 200）；各題測後分段逐字相同。本機 d8efc07 17／17、c9a44ac 對照 10 處不符（重現原缺陷）。變異 M1 → 10 failed、M2 → 1、M3 → 5、M4 → 3、M5 → 1、M6 → 3、M7 → 6（未變異 92 passed）</t>
        </is>
      </c>
      <c r="P196" s="67" t="inlineStr">
        <is>
          <t>複驗通過 → 結案</t>
        </is>
      </c>
      <c r="Q196" s="67" t="inlineStr">
        <is>
          <t>無。觀察（不開單，交 Owner）：換匯的編輯門（交易帳本 › 換匯 › 編輯，PUT /api/ledgers/fx/{id}）只檢查換出池（fx_change_guard 硬擋），不檢查換入池——把 2026-07-18 換匯 USD 10,000 → TWD 319,000 的換入金額改成 1,000，PUT 200、無任何詢問，嘉信 TWD 07-19／07-20 變成 −199,000／−204,000；同一筆用刪除門則會詢問（422 …−205,000）。c9a44ac 同樣如此（本機對照），非本輪回歸、不在 DEF-092 範圍；見交接紀錄第 39 列附註①</t>
        </is>
      </c>
      <c r="R196" s="67" t="inlineStr">
        <is>
          <t>檢驗方 2026-10-03</t>
        </is>
      </c>
    </row>
    <row r="197" ht="240" customHeight="1" s="43">
      <c r="A197" s="61" t="inlineStr">
        <is>
          <t>R16</t>
        </is>
      </c>
      <c r="B197" s="61" t="inlineStr">
        <is>
          <t>DEF-093</t>
        </is>
      </c>
      <c r="C197" s="61" t="inlineStr">
        <is>
          <t>A-13</t>
        </is>
      </c>
      <c r="D197" s="61" t="inlineStr">
        <is>
          <t>2026-10-03</t>
        </is>
      </c>
      <c r="E197" s="65" t="inlineStr">
        <is>
          <t>—（R15 驗證者觀察，未開單）Owner 2026-10-03 裁定 A：比照刪除改成要求確認，換出池維持硬擋。</t>
        </is>
      </c>
      <c r="F197" s="66" t="inlineStr">
        <is>
          <t>portfolio_dash/api/routers/ledgers.py:825 edit_fx 只在 :854 呼叫 `fx_change_guard`，而 portfolio_dash/api/routers/cash.py:283 fx_change_guard 的餘額檢查（:331 fx_balance_issues）只看換出池（硬擋，FU-D34）；換入池因編輯而減少（換入金額改小、日期延後、換帳戶或幣別）沒有任何檢查，:860 直接 update_fx_conversion。同一筆的刪除門 fx_delete_guard 則兩池都查</t>
        </is>
      </c>
      <c r="G197" s="65" t="inlineStr">
        <is>
          <t>QA-10（2026-08-29）把編輯門接上新增門的硬擋時，只搬了換出池那一條（新增換匯只會讓換入池變多，所以新增門本來就不需要查換入池）；編輯卻可能讓換入池變少，這一條沒有人問。刪除門 fx_delete_guard 的說明寫著「只看一條腿的守門會漏掉另一條」，同一頁的編輯門卻只看一條腿。既有測試只測編輯的換出透支。</t>
        </is>
      </c>
      <c r="H197" s="66" t="inlineStr">
        <is>
          <t>新增 cash.fx_edit_negative_guard：編輯後的帳本與目前帳本逐日比對，對受影響的每個池（舊、新帳戶 × 換出、換入兩邊）用刪除門相同的 _pool_dip（caused_dip）；有新負值就回 422 negative_cash，可確認。FxEditBody 加 ack_negative——前端 web/ledger.js 的 putWithAckGuard 本來就會把確認放進 body 重送，只更新說明註解。換出池的硬擋（fx_change_guard）先跑、不變，確認也過不了。手冊 A-13 依裁定新增 ⑤。</t>
        </is>
      </c>
      <c r="I197" s="65" t="inlineStr">
        <is>
          <t>會讓資金池變少的更正門共 8 個：資金紀錄編輯、資金紀錄刪除、換匯刪除、匯入批次復原、公司行動費用編輯（走出金硬擋）、公司行動刪除（帶走費用，可確認）、換匯編輯的換出池（硬擋）→ 皆已有檢查；換匯編輯的換入池 → 修 1。交易與股利的編輯依既有設計不做現金檢查（與新增門一致），不屬本類。</t>
        </is>
      </c>
      <c r="J197" s="65" t="inlineStr">
        <is>
          <t>新增 tests/contract/test_def093_fx_edit_asks_for_the_to_pool.py（3 則：換入改小使之後轉負 → 422 並點名該日、確認後寫入；不造成負值的編輯直接寫入；換出透支仍是硬擋、確認也過不了）與 e2e test_fx_edit_that_shrinks_the_to_pool_asks_and_the_ack_writes（真實瀏覽器：編輯 → 現金將變為負數 → 確認 → 寫入）。變異 M10（拿掉新檢查）→ 2 則失敗（契約與 e2e 各 1）。</t>
        </is>
      </c>
      <c r="K197" s="66" t="inlineStr">
        <is>
          <t>d9f1c68（已部署 demo）</t>
        </is>
      </c>
      <c r="L197" s="66" t="inlineStr">
        <is>
          <t>ruff 全過（portfolio_dash／tests／scripts）・mypy --strict 987 檔 0 問題・pytest 非 e2e 6,865 則（6,863 通過、2 略過、0 失敗；5 批逐段前景執行，各批加總＝收集總數）・e2e 96 檔 323／323（24 批逐批前景）・壓力驗證第 1 階段 ops=128 pass=6018 fail=0・變異 1 組（拿掉新檢查）→ 2 則測試失敗・demo 先備份（portfolio-pre-d9f1c68-20261002T193320Z.db）再部署 d9f1c68、verify_live ALL PASS（頁首 v0.1.28 · d9f1c68）</t>
        </is>
      </c>
      <c r="M197" s="67" t="n"/>
      <c r="N197" s="67" t="n"/>
      <c r="O197" s="68" t="n"/>
      <c r="P197" s="67" t="n"/>
      <c r="Q197" s="67" t="n"/>
      <c r="R197" s="67" t="n"/>
    </row>
    <row r="198" ht="15" customHeight="1" s="43">
      <c r="A198" s="42" t="n"/>
    </row>
    <row r="199" ht="15" customHeight="1" s="43">
      <c r="A199" s="42" t="n"/>
    </row>
    <row r="200" ht="15" customHeight="1" s="43">
      <c r="A200" s="42" t="n"/>
    </row>
    <row r="201" ht="15" customHeight="1" s="43">
      <c r="A201" s="42" t="n"/>
    </row>
    <row r="202" ht="15" customHeight="1" s="43">
      <c r="A202" s="42" t="n"/>
    </row>
    <row r="203" ht="15" customHeight="1" s="43">
      <c r="A203" s="42" t="n"/>
    </row>
    <row r="204" ht="15" customHeight="1" s="43">
      <c r="A204" s="42" t="n"/>
    </row>
    <row r="205" ht="15" customHeight="1" s="43">
      <c r="A205" s="42" t="n"/>
    </row>
    <row r="206" ht="15" customHeight="1" s="43">
      <c r="A206" s="42" t="n"/>
    </row>
    <row r="207" ht="15" customHeight="1" s="43">
      <c r="A207" s="42" t="n"/>
    </row>
    <row r="208" ht="15" customHeight="1" s="43">
      <c r="A208" s="42" t="n"/>
    </row>
    <row r="209" ht="15" customHeight="1" s="43">
      <c r="A209" s="42" t="n"/>
    </row>
    <row r="210" ht="15" customHeight="1" s="43">
      <c r="A210" s="42" t="n"/>
    </row>
    <row r="211" ht="15" customHeight="1" s="43">
      <c r="A211" s="42" t="n"/>
    </row>
    <row r="212" ht="15" customHeight="1" s="43">
      <c r="A212" s="42" t="n"/>
    </row>
    <row r="213" ht="15" customHeight="1" s="43">
      <c r="A213" s="42" t="n"/>
    </row>
    <row r="214" ht="15" customHeight="1" s="43">
      <c r="A214" s="42" t="n"/>
    </row>
    <row r="215" ht="15" customHeight="1" s="43">
      <c r="A215" s="42" t="n"/>
    </row>
    <row r="216" ht="15" customHeight="1" s="43">
      <c r="A216" s="42" t="n"/>
    </row>
    <row r="217" ht="15" customHeight="1" s="43">
      <c r="A217" s="42" t="n"/>
    </row>
    <row r="218" ht="15" customHeight="1" s="43">
      <c r="A218" s="42" t="n"/>
    </row>
    <row r="219" ht="15" customHeight="1" s="43">
      <c r="A219" s="42" t="n"/>
    </row>
    <row r="220" ht="15" customHeight="1" s="43">
      <c r="A220" s="42" t="n"/>
    </row>
    <row r="221" ht="15" customHeight="1" s="43">
      <c r="A221" s="42" t="n"/>
    </row>
    <row r="222" ht="15" customHeight="1" s="43">
      <c r="A222" s="42" t="n"/>
    </row>
    <row r="223" ht="15" customHeight="1" s="43">
      <c r="A223" s="42" t="n"/>
    </row>
    <row r="224" ht="15" customHeight="1" s="43">
      <c r="A224" s="42" t="n"/>
    </row>
    <row r="225" ht="15" customHeight="1" s="43">
      <c r="A225" s="42" t="n"/>
    </row>
    <row r="226" ht="15" customHeight="1" s="43">
      <c r="A226" s="42" t="n"/>
    </row>
    <row r="227" ht="15" customHeight="1" s="43">
      <c r="A227" s="42" t="n"/>
    </row>
    <row r="228" ht="15" customHeight="1" s="43">
      <c r="A228" s="42" t="n"/>
    </row>
    <row r="229" ht="15" customHeight="1" s="43">
      <c r="A229" s="42" t="n"/>
    </row>
    <row r="230" ht="15" customHeight="1" s="43">
      <c r="A230" s="42" t="n"/>
    </row>
    <row r="231" ht="15" customHeight="1" s="43">
      <c r="A231" s="42" t="n"/>
    </row>
    <row r="232" ht="15" customHeight="1" s="43">
      <c r="A232" s="42" t="n"/>
    </row>
    <row r="233" ht="15" customHeight="1" s="43">
      <c r="A233" s="42" t="n"/>
    </row>
    <row r="234" ht="15" customHeight="1" s="43">
      <c r="A234" s="42" t="n"/>
    </row>
    <row r="235" ht="15" customHeight="1" s="43">
      <c r="A235" s="42" t="n"/>
    </row>
    <row r="236" ht="15" customHeight="1" s="43">
      <c r="A236" s="42" t="n"/>
    </row>
    <row r="237" ht="15" customHeight="1" s="43">
      <c r="A237" s="42" t="n"/>
    </row>
    <row r="238" ht="15" customHeight="1" s="43">
      <c r="A238" s="42" t="n"/>
    </row>
    <row r="239" ht="15" customHeight="1" s="43">
      <c r="A239" s="42" t="n"/>
    </row>
    <row r="240" ht="15" customHeight="1" s="43">
      <c r="A240" s="42" t="n"/>
    </row>
    <row r="241" ht="15" customHeight="1" s="43">
      <c r="A241" s="42" t="n"/>
    </row>
    <row r="242" ht="15" customHeight="1" s="43">
      <c r="A242" s="42" t="n"/>
    </row>
    <row r="243" ht="15" customHeight="1" s="43">
      <c r="A243" s="42" t="n"/>
    </row>
    <row r="244" ht="15" customHeight="1" s="43">
      <c r="A244" s="42" t="n"/>
    </row>
    <row r="245" ht="15" customHeight="1" s="43">
      <c r="A245" s="42" t="n"/>
    </row>
    <row r="246" ht="15" customHeight="1" s="43">
      <c r="A246" s="42" t="n"/>
    </row>
    <row r="247" ht="15" customHeight="1" s="43">
      <c r="A247" s="42" t="n"/>
    </row>
    <row r="248" ht="15" customHeight="1" s="43">
      <c r="A248" s="42" t="n"/>
    </row>
    <row r="249" ht="15" customHeight="1" s="43">
      <c r="A249" s="42" t="n"/>
    </row>
    <row r="250" ht="15" customHeight="1" s="43">
      <c r="A250" s="42" t="n"/>
    </row>
    <row r="251" ht="15" customHeight="1" s="43">
      <c r="A251" s="42" t="n"/>
    </row>
    <row r="252" ht="15" customHeight="1" s="43">
      <c r="A252" s="42" t="n"/>
    </row>
    <row r="253" ht="15" customHeight="1" s="43">
      <c r="A253" s="42" t="n"/>
    </row>
    <row r="254" ht="15" customHeight="1" s="43">
      <c r="A254" s="42" t="n"/>
    </row>
    <row r="255" ht="15" customHeight="1" s="43">
      <c r="A255" s="42" t="n"/>
    </row>
    <row r="256" ht="15" customHeight="1" s="43">
      <c r="A256" s="42" t="n"/>
    </row>
    <row r="257" ht="15" customHeight="1" s="43">
      <c r="A257" s="42" t="n"/>
    </row>
    <row r="258" ht="15" customHeight="1" s="43">
      <c r="A258" s="42" t="n"/>
    </row>
    <row r="259" ht="15" customHeight="1" s="43">
      <c r="A259" s="42" t="n"/>
    </row>
    <row r="260" ht="15" customHeight="1" s="43">
      <c r="A260" s="42" t="n"/>
    </row>
    <row r="261" ht="15" customHeight="1" s="43">
      <c r="A261" s="42" t="n"/>
    </row>
    <row r="262" ht="15" customHeight="1" s="43">
      <c r="A262" s="42" t="n"/>
    </row>
    <row r="263" ht="15" customHeight="1" s="43">
      <c r="A263" s="42" t="n"/>
    </row>
    <row r="264" ht="15" customHeight="1" s="43">
      <c r="A264" s="42" t="n"/>
    </row>
    <row r="265" ht="15" customHeight="1" s="43">
      <c r="A265" s="42" t="n"/>
    </row>
    <row r="266" ht="15" customHeight="1" s="43">
      <c r="A266" s="42" t="n"/>
    </row>
    <row r="267" ht="15" customHeight="1" s="43">
      <c r="A267" s="42" t="n"/>
    </row>
    <row r="268" ht="15" customHeight="1" s="43">
      <c r="A268" s="42" t="n"/>
    </row>
    <row r="269" ht="15" customHeight="1" s="43">
      <c r="A269" s="42" t="n"/>
    </row>
    <row r="270" ht="15" customHeight="1" s="43">
      <c r="A270" s="42" t="n"/>
    </row>
    <row r="271" ht="15" customHeight="1" s="43">
      <c r="A271" s="42" t="n"/>
    </row>
    <row r="272" ht="15" customHeight="1" s="43">
      <c r="A272" s="42" t="n"/>
    </row>
    <row r="273" ht="15" customHeight="1" s="43">
      <c r="A273" s="42" t="n"/>
    </row>
    <row r="274" ht="15" customHeight="1" s="43">
      <c r="A274" s="42" t="n"/>
    </row>
    <row r="275" ht="15" customHeight="1" s="43">
      <c r="A275" s="42" t="n"/>
    </row>
    <row r="276" ht="15" customHeight="1" s="43">
      <c r="A276" s="42" t="n"/>
    </row>
    <row r="277" ht="15" customHeight="1" s="43">
      <c r="A277" s="42" t="n"/>
    </row>
    <row r="278" ht="15" customHeight="1" s="43">
      <c r="A278" s="42" t="n"/>
    </row>
    <row r="279" ht="15" customHeight="1" s="43">
      <c r="A279" s="42" t="n"/>
    </row>
    <row r="280" ht="15" customHeight="1" s="43">
      <c r="A280" s="42" t="n"/>
    </row>
    <row r="281" ht="15" customHeight="1" s="43">
      <c r="A281" s="42" t="n"/>
    </row>
    <row r="282" ht="15" customHeight="1" s="43">
      <c r="A282" s="42" t="n"/>
    </row>
    <row r="283" ht="15" customHeight="1" s="43">
      <c r="A283" s="42" t="n"/>
    </row>
    <row r="284" ht="15" customHeight="1" s="43">
      <c r="A284" s="42" t="n"/>
    </row>
    <row r="285" ht="15" customHeight="1" s="43">
      <c r="A285" s="42" t="n"/>
    </row>
    <row r="286" ht="15" customHeight="1" s="43">
      <c r="A286" s="42" t="n"/>
    </row>
    <row r="287" ht="15" customHeight="1" s="43">
      <c r="A287" s="42" t="n"/>
    </row>
    <row r="288" ht="15" customHeight="1" s="43">
      <c r="A288" s="42" t="n"/>
    </row>
    <row r="289" ht="15" customHeight="1" s="43">
      <c r="A289" s="42" t="n"/>
    </row>
    <row r="290" ht="15" customHeight="1" s="43">
      <c r="A290" s="42" t="n"/>
    </row>
    <row r="291" ht="15" customHeight="1" s="43">
      <c r="A291" s="42" t="n"/>
    </row>
    <row r="292" ht="15" customHeight="1" s="43">
      <c r="A292" s="42" t="n"/>
    </row>
    <row r="293" ht="15" customHeight="1" s="43">
      <c r="A293" s="42" t="n"/>
    </row>
    <row r="294" ht="15" customHeight="1" s="43">
      <c r="A294" s="42" t="n"/>
    </row>
    <row r="295" ht="15" customHeight="1" s="43">
      <c r="A295" s="42" t="n"/>
    </row>
    <row r="296" ht="15" customHeight="1" s="43">
      <c r="A296" s="42" t="n"/>
    </row>
    <row r="297" ht="15" customHeight="1" s="43">
      <c r="A297" s="42" t="n"/>
    </row>
    <row r="298" ht="15" customHeight="1" s="43">
      <c r="A298" s="42" t="n"/>
    </row>
    <row r="299" ht="15" customHeight="1" s="43">
      <c r="A299" s="42" t="n"/>
    </row>
    <row r="300" ht="15" customHeight="1" s="43">
      <c r="A300" s="42" t="n"/>
    </row>
    <row r="301" ht="15" customHeight="1" s="43">
      <c r="A301" s="42" t="n"/>
    </row>
    <row r="302" ht="15" customHeight="1" s="43">
      <c r="A302" s="42" t="n"/>
    </row>
    <row r="303" ht="15" customHeight="1" s="43">
      <c r="A303" s="42" t="n"/>
    </row>
    <row r="304" ht="15" customHeight="1" s="43">
      <c r="A304" s="42" t="n"/>
    </row>
    <row r="305" ht="15" customHeight="1" s="43">
      <c r="A305" s="42" t="n"/>
    </row>
    <row r="306" ht="15" customHeight="1" s="43">
      <c r="A306" s="42" t="n"/>
    </row>
    <row r="307" ht="15" customHeight="1" s="43">
      <c r="A307" s="42" t="n"/>
    </row>
    <row r="308" ht="15" customHeight="1" s="43">
      <c r="A308" s="42" t="n"/>
    </row>
    <row r="309" ht="15" customHeight="1" s="43">
      <c r="A309" s="42" t="n"/>
    </row>
    <row r="310" ht="15" customHeight="1" s="43">
      <c r="A310" s="42" t="n"/>
    </row>
    <row r="311" ht="15" customHeight="1" s="43">
      <c r="A311" s="42" t="n"/>
    </row>
    <row r="312" ht="15" customHeight="1" s="43">
      <c r="A312" s="42" t="n"/>
    </row>
    <row r="313" ht="15" customHeight="1" s="43">
      <c r="A313" s="42" t="n"/>
    </row>
    <row r="314" ht="15" customHeight="1" s="43">
      <c r="A314" s="42" t="n"/>
    </row>
    <row r="315" ht="15" customHeight="1" s="43">
      <c r="A315" s="42" t="n"/>
    </row>
    <row r="316" ht="15" customHeight="1" s="43">
      <c r="A316" s="42" t="n"/>
    </row>
    <row r="317" ht="15" customHeight="1" s="43">
      <c r="A317" s="42" t="n"/>
    </row>
    <row r="318" ht="15" customHeight="1" s="43">
      <c r="A318" s="42" t="n"/>
    </row>
    <row r="319" ht="15" customHeight="1" s="43">
      <c r="A319" s="42" t="n"/>
    </row>
    <row r="320" ht="15" customHeight="1" s="43">
      <c r="A320" s="42" t="n"/>
    </row>
    <row r="321" ht="15" customHeight="1" s="43">
      <c r="A321" s="42" t="n"/>
    </row>
    <row r="322" ht="15" customHeight="1" s="43">
      <c r="A322" s="42" t="n"/>
    </row>
    <row r="323" ht="15" customHeight="1" s="43">
      <c r="A323" s="42" t="n"/>
    </row>
    <row r="324" ht="15" customHeight="1" s="43">
      <c r="A324" s="42" t="n"/>
    </row>
    <row r="325" ht="15" customHeight="1" s="43">
      <c r="A325" s="42" t="n"/>
    </row>
    <row r="326" ht="15" customHeight="1" s="43">
      <c r="A326" s="42" t="n"/>
    </row>
    <row r="327" ht="15" customHeight="1" s="43">
      <c r="A327" s="42" t="n"/>
    </row>
    <row r="328" ht="15" customHeight="1" s="43">
      <c r="A328" s="42" t="n"/>
    </row>
    <row r="329" ht="15" customHeight="1" s="43">
      <c r="A329" s="42" t="n"/>
    </row>
    <row r="330" ht="15" customHeight="1" s="43">
      <c r="A330" s="42" t="n"/>
    </row>
    <row r="331" ht="15" customHeight="1" s="43">
      <c r="A331" s="42" t="n"/>
    </row>
    <row r="332" ht="15" customHeight="1" s="43">
      <c r="A332" s="42" t="n"/>
    </row>
    <row r="333" ht="15" customHeight="1" s="43">
      <c r="A333" s="42" t="n"/>
    </row>
    <row r="334" ht="15" customHeight="1" s="43">
      <c r="A334" s="42" t="n"/>
    </row>
    <row r="335" ht="15" customHeight="1" s="43">
      <c r="A335" s="42" t="n"/>
    </row>
    <row r="336" ht="15" customHeight="1" s="43">
      <c r="A336" s="42" t="n"/>
    </row>
    <row r="337" ht="15" customHeight="1" s="43">
      <c r="A337" s="42" t="n"/>
    </row>
    <row r="338" ht="15" customHeight="1" s="43">
      <c r="A338" s="42" t="n"/>
    </row>
    <row r="339" ht="15" customHeight="1" s="43">
      <c r="A339" s="42" t="n"/>
    </row>
    <row r="340" ht="15" customHeight="1" s="43">
      <c r="A340" s="42" t="n"/>
    </row>
    <row r="341" ht="15" customHeight="1" s="43">
      <c r="A341" s="42" t="n"/>
    </row>
    <row r="342" ht="15" customHeight="1" s="43">
      <c r="A342" s="42" t="n"/>
    </row>
    <row r="343" ht="15" customHeight="1" s="43">
      <c r="A343" s="42" t="n"/>
    </row>
    <row r="344" ht="15" customHeight="1" s="43">
      <c r="A344" s="42" t="n"/>
    </row>
    <row r="345" ht="15" customHeight="1" s="43">
      <c r="A345" s="42" t="n"/>
    </row>
    <row r="346" ht="15" customHeight="1" s="43">
      <c r="A346" s="42" t="n"/>
    </row>
    <row r="347" ht="15" customHeight="1" s="43">
      <c r="A347" s="42" t="n"/>
    </row>
    <row r="348" ht="15" customHeight="1" s="43">
      <c r="A348" s="42" t="n"/>
    </row>
    <row r="349" ht="15" customHeight="1" s="43">
      <c r="A349" s="42" t="n"/>
    </row>
    <row r="350" ht="15" customHeight="1" s="43">
      <c r="A350" s="42" t="n"/>
    </row>
    <row r="351" ht="15" customHeight="1" s="43">
      <c r="A351" s="42" t="n"/>
    </row>
    <row r="352" ht="15" customHeight="1" s="43">
      <c r="A352" s="42" t="n"/>
    </row>
    <row r="353" ht="15" customHeight="1" s="43">
      <c r="A353" s="42" t="n"/>
    </row>
    <row r="354" ht="15" customHeight="1" s="43">
      <c r="A354" s="42" t="n"/>
    </row>
    <row r="355" ht="15" customHeight="1" s="43">
      <c r="A355" s="42" t="n"/>
    </row>
    <row r="356" ht="15" customHeight="1" s="43">
      <c r="A356" s="42" t="n"/>
    </row>
    <row r="357" ht="15" customHeight="1" s="43">
      <c r="A357" s="42" t="n"/>
    </row>
    <row r="358" ht="15" customHeight="1" s="43">
      <c r="A358" s="42" t="n"/>
    </row>
    <row r="359" ht="15" customHeight="1" s="43">
      <c r="A359" s="42" t="n"/>
    </row>
    <row r="360" ht="15" customHeight="1" s="43">
      <c r="A360" s="42" t="n"/>
    </row>
    <row r="361" ht="15" customHeight="1" s="43">
      <c r="A361" s="42" t="n"/>
    </row>
    <row r="362" ht="15" customHeight="1" s="43">
      <c r="A362" s="42" t="n"/>
    </row>
    <row r="363" ht="15" customHeight="1" s="43">
      <c r="A363" s="42" t="n"/>
    </row>
    <row r="364" ht="15" customHeight="1" s="43">
      <c r="A364" s="42" t="n"/>
    </row>
    <row r="365" ht="15" customHeight="1" s="43">
      <c r="A365" s="42" t="n"/>
    </row>
    <row r="366" ht="15" customHeight="1" s="43">
      <c r="A366" s="42" t="n"/>
    </row>
    <row r="367" ht="15" customHeight="1" s="43">
      <c r="A367" s="42" t="n"/>
    </row>
    <row r="368" ht="15" customHeight="1" s="43">
      <c r="A368" s="42" t="n"/>
    </row>
    <row r="369" ht="15" customHeight="1" s="43">
      <c r="A369" s="42" t="n"/>
    </row>
    <row r="370" ht="15" customHeight="1" s="43">
      <c r="A370" s="42" t="n"/>
    </row>
    <row r="371" ht="15" customHeight="1" s="43">
      <c r="A371" s="42" t="n"/>
    </row>
    <row r="372" ht="15" customHeight="1" s="43">
      <c r="A372" s="42" t="n"/>
    </row>
    <row r="373" ht="15" customHeight="1" s="43">
      <c r="A373" s="42" t="n"/>
    </row>
    <row r="374" ht="15" customHeight="1" s="43">
      <c r="A374" s="42" t="n"/>
    </row>
    <row r="375" ht="15" customHeight="1" s="43">
      <c r="A375" s="42" t="n"/>
    </row>
    <row r="376" ht="15" customHeight="1" s="43">
      <c r="A376" s="42" t="n"/>
    </row>
    <row r="377" ht="15" customHeight="1" s="43">
      <c r="A377" s="42" t="n"/>
    </row>
    <row r="378" ht="15" customHeight="1" s="43">
      <c r="A378" s="42" t="n"/>
    </row>
    <row r="379" ht="15" customHeight="1" s="43">
      <c r="A379" s="42" t="n"/>
    </row>
    <row r="380" ht="15" customHeight="1" s="43">
      <c r="A380" s="42" t="n"/>
    </row>
    <row r="381" ht="15" customHeight="1" s="43">
      <c r="A381" s="42" t="n"/>
    </row>
    <row r="382" ht="15" customHeight="1" s="43">
      <c r="A382" s="42" t="n"/>
    </row>
    <row r="383" ht="15" customHeight="1" s="43">
      <c r="A383" s="42" t="n"/>
    </row>
    <row r="384" ht="15" customHeight="1" s="43">
      <c r="A384" s="42" t="n"/>
    </row>
    <row r="385" ht="15" customHeight="1" s="43">
      <c r="A385" s="42" t="n"/>
    </row>
    <row r="386" ht="15" customHeight="1" s="43">
      <c r="A386" s="42" t="n"/>
    </row>
    <row r="387" ht="15" customHeight="1" s="43">
      <c r="A387" s="42" t="n"/>
    </row>
    <row r="388" ht="15" customHeight="1" s="43">
      <c r="A388" s="42" t="n"/>
    </row>
    <row r="389" ht="15" customHeight="1" s="43">
      <c r="A389" s="42" t="n"/>
    </row>
    <row r="390" ht="15" customHeight="1" s="43">
      <c r="A390" s="42" t="n"/>
    </row>
    <row r="391" ht="15" customHeight="1" s="43">
      <c r="A391" s="42" t="n"/>
    </row>
    <row r="392" ht="15" customHeight="1" s="43">
      <c r="A392" s="42" t="n"/>
    </row>
    <row r="393" ht="15" customHeight="1" s="43">
      <c r="A393" s="42" t="n"/>
    </row>
    <row r="394" ht="15" customHeight="1" s="43">
      <c r="A394" s="42" t="n"/>
    </row>
    <row r="395" ht="15" customHeight="1" s="43">
      <c r="A395" s="42" t="n"/>
    </row>
    <row r="396" ht="15" customHeight="1" s="43">
      <c r="A396" s="42" t="n"/>
    </row>
    <row r="397" ht="15" customHeight="1" s="43">
      <c r="A397" s="42" t="n"/>
    </row>
    <row r="398" ht="15" customHeight="1" s="43">
      <c r="A398" s="42" t="n"/>
    </row>
    <row r="399" ht="15" customHeight="1" s="43">
      <c r="A399" s="42" t="n"/>
    </row>
    <row r="400" ht="15" customHeight="1" s="43">
      <c r="A400" s="42" t="n"/>
    </row>
  </sheetData>
  <mergeCells count="1">
    <mergeCell ref="A1:R1"/>
  </mergeCells>
  <dataValidations count="2">
    <dataValidation sqref="A5:A400" showDropDown="0" showInputMessage="0" showErrorMessage="0" allowBlank="1" type="list" errorStyle="stop" operator="between">
      <formula1>"R1,R2,R3,R4,R5,R6,R7,R8,R9,R10,R11,R12,R13,R14,R15,R16"</formula1>
      <formula2>0</formula2>
    </dataValidation>
    <dataValidation sqref="P5:P40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1"/>
    <col width="18" customWidth="1" style="42" min="2" max="3"/>
    <col width="46" customWidth="1" style="42" min="4" max="4"/>
    <col width="40" customWidth="1" style="42" min="5" max="5"/>
    <col width="24" customWidth="1" style="42" min="6" max="6"/>
  </cols>
  <sheetData>
    <row r="1" ht="15" customHeight="1" s="43">
      <c r="A1" s="62" t="inlineStr">
        <is>
          <t>每次把檔案交出去之前，最後一個動作就是在這裡寫一列。接手的人先看這裡的最後一列。</t>
        </is>
      </c>
    </row>
    <row r="2" ht="31.5" customHeight="1" s="43">
      <c r="A2" s="51" t="inlineStr">
        <is>
          <t>日期</t>
        </is>
      </c>
      <c r="B2" s="51" t="inlineStr">
        <is>
          <t>由誰交給誰</t>
        </is>
      </c>
      <c r="C2" s="51" t="inlineStr">
        <is>
          <t>受測版本(commit)</t>
        </is>
      </c>
      <c r="D2" s="51" t="inlineStr">
        <is>
          <t>本輪摘要</t>
        </is>
      </c>
      <c r="E2" s="51" t="inlineStr">
        <is>
          <t>對方該做什麼</t>
        </is>
      </c>
      <c r="F2" s="51" t="inlineStr">
        <is>
          <t>備註</t>
        </is>
      </c>
    </row>
    <row r="3" ht="15" customHeight="1" s="43">
      <c r="A3" s="53" t="inlineStr">
        <is>
          <t>2026-09-25</t>
        </is>
      </c>
      <c r="B3" s="52" t="inlineStr">
        <is>
          <t>開發者 → 驗證者</t>
        </is>
      </c>
      <c r="C3" s="53" t="inlineStr">
        <is>
          <t>abc1234</t>
        </is>
      </c>
      <c r="D3" s="52" t="inlineStr">
        <is>
          <t>修 DEF-001／002，兩者皆為類別修法，附變異測試</t>
        </is>
      </c>
      <c r="E3" s="52" t="inlineStr">
        <is>
          <t>複驗 DEF-001、DEF-002，並重跑 J 組回歸快篩</t>
        </is>
      </c>
      <c r="F3" s="52" t="inlineStr">
        <is>
          <t>（填寫範例）</t>
        </is>
      </c>
    </row>
    <row r="4" ht="15" customHeight="1" s="43">
      <c r="A4" s="61" t="inlineStr">
        <is>
          <t>2026-09-23</t>
        </is>
      </c>
      <c r="B4" s="60" t="inlineStr">
        <is>
          <t>驗證者 → 開發者</t>
        </is>
      </c>
      <c r="C4" s="61" t="inlineStr">
        <is>
          <t>755c88a</t>
        </is>
      </c>
      <c r="D4" s="6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60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3">
      <c r="A5" s="61" t="inlineStr">
        <is>
          <t>2026-09-23</t>
        </is>
      </c>
      <c r="B5" s="60" t="inlineStr">
        <is>
          <t>開發者 → 驗證者</t>
        </is>
      </c>
      <c r="C5" s="61" t="inlineStr">
        <is>
          <t>e6fd9f4</t>
        </is>
      </c>
      <c r="D5" s="6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60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3">
      <c r="A6" s="61" t="inlineStr">
        <is>
          <t>2026-09-24</t>
        </is>
      </c>
      <c r="B6" s="60" t="inlineStr">
        <is>
          <t>驗證者 → 開發者</t>
        </is>
      </c>
      <c r="C6" s="61" t="inlineStr">
        <is>
          <t>e6fd9f4</t>
        </is>
      </c>
      <c r="D6" s="6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60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60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3">
      <c r="A7" s="61" t="inlineStr">
        <is>
          <t>2026-09-24</t>
        </is>
      </c>
      <c r="B7" s="60" t="inlineStr">
        <is>
          <t>開發者 → 驗證者</t>
        </is>
      </c>
      <c r="C7" s="61" t="inlineStr">
        <is>
          <t>4655845</t>
        </is>
      </c>
      <c r="D7" s="6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60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3">
      <c r="A8" s="61" t="inlineStr">
        <is>
          <t>2026-09-24</t>
        </is>
      </c>
      <c r="B8" s="60" t="inlineStr">
        <is>
          <t>驗證者 → 開發者</t>
        </is>
      </c>
      <c r="C8" s="61" t="inlineStr">
        <is>
          <t>4655845</t>
        </is>
      </c>
      <c r="D8" s="6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60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3">
      <c r="A9" s="61" t="inlineStr">
        <is>
          <t>2026-09-25</t>
        </is>
      </c>
      <c r="B9" s="60" t="inlineStr">
        <is>
          <t>開發者 → 驗證者</t>
        </is>
      </c>
      <c r="C9" s="61" t="inlineStr">
        <is>
          <t>1ee7771</t>
        </is>
      </c>
      <c r="D9" s="6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60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3">
      <c r="A10" s="61" t="inlineStr">
        <is>
          <t>2026-09-25</t>
        </is>
      </c>
      <c r="B10" s="60" t="inlineStr">
        <is>
          <t>驗證者 → 開發者</t>
        </is>
      </c>
      <c r="C10" s="61" t="inlineStr">
        <is>
          <t>1ee7771</t>
        </is>
      </c>
      <c r="D10" s="6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60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3">
      <c r="A11" s="61" t="inlineStr">
        <is>
          <t>2026-09-25</t>
        </is>
      </c>
      <c r="B11" s="60" t="inlineStr">
        <is>
          <t>開發者 → 驗證者</t>
        </is>
      </c>
      <c r="C11" s="61" t="inlineStr">
        <is>
          <t>3be67db</t>
        </is>
      </c>
      <c r="D11" s="6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60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3">
      <c r="A12" s="61" t="inlineStr">
        <is>
          <t>2026-09-26</t>
        </is>
      </c>
      <c r="B12" s="60" t="inlineStr">
        <is>
          <t>驗證者 → 開發者</t>
        </is>
      </c>
      <c r="C12" s="61" t="inlineStr">
        <is>
          <t>3be67db</t>
        </is>
      </c>
      <c r="D12" s="6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60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3">
      <c r="A13" s="61" t="inlineStr">
        <is>
          <t>2026-09-26</t>
        </is>
      </c>
      <c r="B13" s="60" t="inlineStr">
        <is>
          <t>開發者 → 驗證者</t>
        </is>
      </c>
      <c r="C13" s="61" t="inlineStr">
        <is>
          <t>696934e</t>
        </is>
      </c>
      <c r="D13" s="6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60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3">
      <c r="A14" s="61" t="inlineStr">
        <is>
          <t>2026-09-26</t>
        </is>
      </c>
      <c r="B14" s="60" t="inlineStr">
        <is>
          <t>驗證者 → 開發者</t>
        </is>
      </c>
      <c r="C14" s="61" t="inlineStr">
        <is>
          <t>696934e</t>
        </is>
      </c>
      <c r="D14" s="6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60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60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3">
      <c r="A15" s="61" t="inlineStr">
        <is>
          <t>2026-09-27</t>
        </is>
      </c>
      <c r="B15" s="60" t="inlineStr">
        <is>
          <t>開發者 → 驗證者</t>
        </is>
      </c>
      <c r="C15" s="61" t="inlineStr">
        <is>
          <t>a16210a</t>
        </is>
      </c>
      <c r="D15" s="6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60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3">
      <c r="A16" s="61" t="inlineStr">
        <is>
          <t>2026-09-27</t>
        </is>
      </c>
      <c r="B16" s="60" t="inlineStr">
        <is>
          <t>驗證者 → 開發者、Owner</t>
        </is>
      </c>
      <c r="C16" s="61" t="inlineStr">
        <is>
          <t>a16210a</t>
        </is>
      </c>
      <c r="D16" s="6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60" t="inlineStr">
        <is>
          <t>修復方與 Owner：請在「結案簽核」第 25、26 列簽署。簽署後若再改動程式，依簽核頁規定重跑 J 組並在輪次彙總新增一列</t>
        </is>
      </c>
      <c r="F16" s="60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3">
      <c r="A17" s="61" t="inlineStr">
        <is>
          <t>2026-09-27</t>
        </is>
      </c>
      <c r="B17" s="60" t="inlineStr">
        <is>
          <t>驗證者 → Owner、開發者</t>
        </is>
      </c>
      <c r="C17" s="61" t="inlineStr">
        <is>
          <t>a16210a</t>
        </is>
      </c>
      <c r="D17" s="6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60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3">
      <c r="A18" s="61" t="inlineStr">
        <is>
          <t>2026-09-27</t>
        </is>
      </c>
      <c r="B18" s="60" t="inlineStr">
        <is>
          <t>開發者 → 驗證者</t>
        </is>
      </c>
      <c r="C18" s="61" t="inlineStr">
        <is>
          <t>3a35454</t>
        </is>
      </c>
      <c r="D18" s="6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60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3">
      <c r="A19" s="61" t="inlineStr">
        <is>
          <t>2026-09-27</t>
        </is>
      </c>
      <c r="B19" s="60" t="inlineStr">
        <is>
          <t>驗證者 → 開發者</t>
        </is>
      </c>
      <c r="C19" s="61" t="inlineStr">
        <is>
          <t>3a35454</t>
        </is>
      </c>
      <c r="D19" s="6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60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60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3">
      <c r="A20" s="61" t="inlineStr">
        <is>
          <t>2026-09-27</t>
        </is>
      </c>
      <c r="B20" s="60" t="inlineStr">
        <is>
          <t>開發者 → Owner</t>
        </is>
      </c>
      <c r="C20" s="61" t="inlineStr">
        <is>
          <t>3a35454</t>
        </is>
      </c>
      <c r="D20" s="60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1" t="inlineStr">
        <is>
          <t>Owner：在「結案簽核」第 26 列簽署，並填第 29 列結案日期。</t>
        </is>
      </c>
      <c r="F20" s="60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3">
      <c r="A21" s="61" t="inlineStr">
        <is>
          <t>2026-09-28</t>
        </is>
      </c>
      <c r="B21" s="60" t="inlineStr">
        <is>
          <t>驗證者 → Owner</t>
        </is>
      </c>
      <c r="C21" s="61" t="inlineStr">
        <is>
          <t>3a35454</t>
        </is>
      </c>
      <c r="D21" s="60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60" t="inlineStr">
        <is>
          <t>無待辦。三方簽署完成，本輪功能測試結案</t>
        </is>
      </c>
      <c r="F21" s="60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3">
      <c r="A22" s="61" t="inlineStr">
        <is>
          <t>2026-09-28</t>
        </is>
      </c>
      <c r="B22" s="60" t="inlineStr">
        <is>
          <t>驗證者 → Owner、開發者</t>
        </is>
      </c>
      <c r="C22" s="61" t="inlineStr">
        <is>
          <t>3a35454</t>
        </is>
      </c>
      <c r="D22" s="61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1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60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3">
      <c r="A23" s="61" t="inlineStr">
        <is>
          <t>2026-09-29</t>
        </is>
      </c>
      <c r="B23" s="60" t="inlineStr">
        <is>
          <t>驗證者 → 開發者</t>
        </is>
      </c>
      <c r="C23" s="61" t="inlineStr">
        <is>
          <t>3a35454</t>
        </is>
      </c>
      <c r="D23" s="61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60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1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3">
      <c r="A24" s="61" t="inlineStr">
        <is>
          <t>2026-09-29</t>
        </is>
      </c>
      <c r="B24" s="60" t="inlineStr">
        <is>
          <t>開發者 → 驗證者</t>
        </is>
      </c>
      <c r="C24" s="61" t="inlineStr">
        <is>
          <t>91ec1b0</t>
        </is>
      </c>
      <c r="D24" s="61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60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1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3">
      <c r="A25" s="61" t="inlineStr">
        <is>
          <t>2026-09-30</t>
        </is>
      </c>
      <c r="B25" s="60" t="inlineStr">
        <is>
          <t>驗證者 → 開發者、Owner</t>
        </is>
      </c>
      <c r="C25" s="61" t="inlineStr">
        <is>
          <t>91ec1b0</t>
        </is>
      </c>
      <c r="D25" s="61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60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60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3">
      <c r="A26" s="61" t="inlineStr">
        <is>
          <t>2026-09-30</t>
        </is>
      </c>
      <c r="B26" s="60" t="inlineStr">
        <is>
          <t>開發者 → Owner</t>
        </is>
      </c>
      <c r="C26" s="61" t="inlineStr">
        <is>
          <t>91ec1b0</t>
        </is>
      </c>
      <c r="D26" s="60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60" t="inlineStr">
        <is>
          <t>Owner：在「結案簽核」第 26 列依 91ec1b0 重新簽署，並填第 29 列結案日期即結案。</t>
        </is>
      </c>
      <c r="F26" s="60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3">
      <c r="A27" s="61" t="inlineStr">
        <is>
          <t>2026-09-30</t>
        </is>
      </c>
      <c r="B27" s="60" t="inlineStr">
        <is>
          <t>開發者 → 驗證者</t>
        </is>
      </c>
      <c r="C27" s="61" t="inlineStr">
        <is>
          <t>d2e5e08</t>
        </is>
      </c>
      <c r="D27" s="61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60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60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3">
      <c r="A28" s="61" t="inlineStr">
        <is>
          <t>2026-09-30</t>
        </is>
      </c>
      <c r="B28" s="60" t="inlineStr">
        <is>
          <t>驗證者 → Owner、開發者</t>
        </is>
      </c>
      <c r="C28" s="61" t="inlineStr">
        <is>
          <t>d2e5e08</t>
        </is>
      </c>
      <c r="D28" s="61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60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60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3">
      <c r="A29" s="61" t="inlineStr">
        <is>
          <t>2026-09-30</t>
        </is>
      </c>
      <c r="B29" s="60" t="inlineStr">
        <is>
          <t>驗證者 → 開發者、Owner</t>
        </is>
      </c>
      <c r="C29" s="61" t="inlineStr">
        <is>
          <t>d2e5e08</t>
        </is>
      </c>
      <c r="D29" s="61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60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60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3">
      <c r="A30" s="61" t="inlineStr">
        <is>
          <t>2026-09-30</t>
        </is>
      </c>
      <c r="B30" s="60" t="inlineStr">
        <is>
          <t>開發者 → Owner</t>
        </is>
      </c>
      <c r="C30" s="61" t="inlineStr">
        <is>
          <t>d2e5e08</t>
        </is>
      </c>
      <c r="D30" s="60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60" t="inlineStr">
        <is>
          <t>Owner：在「結案簽核」第 26 列依 d2e5e08 重新簽署（現為 3a35454 時的簽署），並填第 29 列結案日期即結案。</t>
        </is>
      </c>
      <c r="F30" s="60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259.5" customHeight="1" s="43">
      <c r="A31" s="61" t="inlineStr">
        <is>
          <t>2026-09-30</t>
        </is>
      </c>
      <c r="B31" s="60" t="inlineStr">
        <is>
          <t>開發者 → 驗證者</t>
        </is>
      </c>
      <c r="C31" s="61" t="inlineStr">
        <is>
          <t>d2e5e08</t>
        </is>
      </c>
      <c r="D31" s="61" t="inlineStr">
        <is>
          <t>Owner 2026-09-30 在對話中就本手冊所有未完成事項逐題裁定（開發者轉記，共 18 題）。結案：①依 d2e5e08 現在簽署結案；②結案日期 2026-09-30；③由驗證者代填結案簽核第 26 列（Owner）與第 29 列結案日期，並改寫第 30 列結論（比照 R9 前例）。結案後的改進不再走本手冊，改以一般開發流程處理（測試、閘門、部署驗證照做）：修——④LLM 用量匯出成本低於 $0.000001 時的科學記號、⑤預警 24 小時去抖未在明細說明、⑦補測試釘住 R9 四組邊界、⑩帳本異動紀錄（ledger_audit）加唯讀清單與匯出、⑪洞察任務收到清單格式的標的範圍改為拒收（422）、⑫基本面／共識排程分開回報失敗與無資料、⑬公司行動整組刪除訊息改用帳戶顯示名稱（美股小數股的折現提示維持）、⑭提示詞預覽的代入標的改讀持倉與觀察清單＋AI 抽取評測補比對 stated_amount、⑮小數股／零股的現金結算依幣別最小單位量化（量化方式由開發者依券商實務決定）、⑯中文名稱跳過報價查詢；⑥demo 儀表板閒置 8～17 秒做唯讀診斷、不改程式；⑧代號與名稱相符檢核先寫規格給 Owner；⑨帳戶記錄所屬券商、⑰Schwab 轉換腳本期初工作表維持現狀。</t>
        </is>
      </c>
      <c r="E31" s="60" t="inlineStr">
        <is>
          <t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      </is>
      </c>
      <c r="F31" s="60" t="inlineStr">
        <is>
          <t>結案後開發者會在同一分支提交上列改進並部署 demo，demo 頁首版本會往前、不再是 d2e5e08；本手冊的最終受測版本仍為 d2e5e08（結案簽核第 28 列）。第 18 題的補驗與版本無關（新聞彈窗不在這批改動內）。</t>
        </is>
      </c>
    </row>
    <row r="32" ht="219.75" customHeight="1" s="43">
      <c r="A32" s="61" t="inlineStr">
        <is>
          <t>2026-10-01</t>
        </is>
      </c>
      <c r="B32" s="60" t="inlineStr">
        <is>
          <t>開發者 → 驗證者</t>
        </is>
      </c>
      <c r="C32" s="61" t="inlineStr">
        <is>
          <t>d2e5e08（demo 現為 830056c）</t>
        </is>
      </c>
      <c r="D32" s="60" t="inlineStr">
        <is>
          <t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      </is>
      </c>
      <c r="E32" s="60" t="inlineStr">
        <is>
          <t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      </is>
      </c>
      <c r="F32" s="60" t="inlineStr">
        <is>
          <t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      </is>
      </c>
    </row>
    <row r="33" ht="219.75" customHeight="1" s="43">
      <c r="A33" s="61" t="inlineStr">
        <is>
          <t>2026-10-01</t>
        </is>
      </c>
      <c r="B33" s="60" t="inlineStr">
        <is>
          <t>驗證者 → Owner</t>
        </is>
      </c>
      <c r="C33" s="61" t="inlineStr">
        <is>
          <t>d2e5e08（demo 現為 830056c）</t>
        </is>
      </c>
      <c r="D33" s="60" t="inlineStr">
        <is>
          <t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      </is>
      </c>
      <c r="E33" s="61" t="inlineStr">
        <is>
          <t>Owner：無待辦；本工作簿請提交 git（驗證者無權推送）。</t>
        </is>
      </c>
      <c r="F33" s="60" t="inlineStr">
        <is>
          <t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      </is>
      </c>
    </row>
    <row r="34" ht="259.5" customHeight="1" s="43">
      <c r="A34" s="61" t="inlineStr">
        <is>
          <t>2026-10-01</t>
        </is>
      </c>
      <c r="B34" s="60" t="inlineStr">
        <is>
          <t>開發者 → 驗證者</t>
        </is>
      </c>
      <c r="C34" s="61" t="inlineStr">
        <is>
          <t>830056c（demo 頁首）</t>
        </is>
      </c>
      <c r="D34" s="60" t="inlineStr">
        <is>
          <t>Owner 2026-10-01 指示：上 prod 前，在要發佈的版本上整份黑箱重跑一次，AI 用真實呼叫、不必顧慮費用；結果三方簽核後，開發者再給 Owner 最終報告，由 Owner 決定是否上 prod。依 Owner 裁定 1A 2A 3A 4A 5A 6B 7A 8A，開發者已同步改手冊 .md 與「測試案例」C～G 欄，只動 8 題：F-01（中文名稱不查報價、自動辨識、別名預填、已註冊與虛構名稱兩種訊息）、G-01（① 新卡＋快取＋名稱不符未存＝標的數；新增 ⑤ 名稱與代號一致）、G-04（改名「代號與名稱檢核」：demo 不誤報＋本機假 AI 驗未知代碼與名稱不符三種情境）、H-02（補一句：重試、重問與備援前失敗的花費也算）、I-01（明列 21 個檔案匯出，含結案後新增的帳本操作稽核 CSV）、J-04（引用 I-01 清單）、J-03（加驗帳本操作稽核）、B-06（加驗交割價金四捨五入到分）。另依 6B 在 §9 第 2 條、結案條件 5 與「說明」B57 加註 R13 例外；為記錄 R13（7A，沿用本工作簿）新增輪次彙總第 16 列（J～L 為公式）、統計公式延伸到缺陷登記第 200 列、輪次下拉加入 R13。120 題、統計格與各方簽核列未動；程式未改。demo 資料庫已備份（portfolio-pre-r13-20261001T112855Z.db）。</t>
        </is>
      </c>
      <c r="E34" s="60" t="inlineStr">
        <is>
          <t>驗證者：在 demo（頁首 v0.1.28 · 830056c）把 120 題整份 one shot 重跑一次，記為 R13；AI 用真實呼叫。G-04 ② 及原本就在本機跑的案例，照 §9 用同一 commit 的本機專用測試環境。照 §5 填來回記錄、測試案例、缺陷登記與輪次彙總第 16 列；新缺陷從 DEF-087 起編。全部 PASS 後依 R13 改寫結案簽核第 24 列並交回，第 25 列由開發者、第 26 列由 Owner 各自簽署。</t>
        </is>
      </c>
      <c r="F34" s="60" t="inlineStr">
        <is>
          <t>① 6B：本輪寫入的資料全部留下，D 組公司行動也不刪；只有題目本身在測刪除或復原的 B-14、C-03、D-10、I-08、J-03 照步驟刪除。前一題留下的資料若使後一題無法照原步驟執行（例：D-06 把 2884 換成 2882 之後），改用另一檔符合前置條件的持股並寫明代號；期望寫成「基準 ± 變動量」者照常比對。② 受測版本以重跑當時 demo 頁首的 commit 為準；830056c 之後到本列只有文件提交（d2e5e08 之後的程式提交為 2fe60ce、e8bcf53、830056c）。③ F-01 若長榮航已登錄，換一檔未登錄的中文名稱。④ G-04 ② 用到的 3008 在 demo 已登錄、別名為「大立光」，本機資料庫副本相同。⑤ 匯出數量：歷輪記錄的 18～21 個是計法不同（帳本清單是 JSON、不是檔案）；R13 以 I-01 明列的 21 個為準。</t>
        </is>
      </c>
    </row>
    <row r="35" ht="259.5" customHeight="1" s="43">
      <c r="A35" s="61" t="inlineStr">
        <is>
          <t>2026-10-01</t>
        </is>
      </c>
      <c r="B35" s="60" t="inlineStr">
        <is>
          <t>驗證者 → 開發者、Owner</t>
        </is>
      </c>
      <c r="C35" s="61" t="inlineStr">
        <is>
          <t>830056c（demo 頁首 v0.1.28 · 830056c）</t>
        </is>
      </c>
      <c r="D35" s="60" t="inlineStr">
        <is>
          <t>R13 完成（上 prod 前整份重跑；demo 112 題 one shot＋本機 12 題＋G-04 ②，AI 真實呼叫）：最終 PASS 114／FAIL 3／BLOCKED 1／OBSERVE 1／N/A 1，未全數通過——結案簽核第 24 列未依 R13 改寫（維持 R12 依 d2e5e08 的簽署），第 25、26 列未動。FAIL：①A-06——嘉信 TWD 池已有 2026-01-12 −220,000 的既有負值，倒填出金 348,000 使 07-19～07-20 轉負卻 201 寫入（DEF-090，中；已依題目刪除）；同題換一個無負值的池則被擋，但訊息點名最低點日 07-19，不是第一個轉負的 01-07（DEF-091，規格未定）；②F-01——台股中文名稱的 AI 別名一律為空（長榮航、華航、聯電皆 []，美股「英特爾」正常），別名欄未預填、登錄後無別名（DEF-088，低）；③J-06——pytest 1 failed：export 套件裸 str() 的白名單測試，e8bcf53 在 ledger_audit.py:209 加的 str() 未列入（DEF-087，低；2fe60ce 綠、e8bcf53 起紅，與 R12 相比為回歸）。OBSERVE：G-01 ⑤ 卡 #264 寫「玉山金 (2884)」，程式刻意接受中文名稱兩字以上的開頭，手冊要求登錄名稱或別名（DEF-089，規格未定）。BLOCKED：C-07——6B 下收件匣每個標的只剩 1 筆，無法驗「全部確認多筆」。其餘 114 題通過：首跑未過的 28 題中，19 題換標的／日期或待 2330 恢復可計算後重跑通過、5 題依數據逐位驗算改判；首跑雖過但屬空對空的 D-02c、E-12 已補做。AI 額度本輪 $0.0575523（剩 $3.0672341）</t>
        </is>
      </c>
      <c r="E35" s="60" t="inlineStr">
        <is>
          <t>開發者：修 DEF-087（列入白名單並註明理由或改寫 ledger_audit.py:209，附變異測試）、DEF-088（以實際模型回覆確認根因；推定為 instruments.py:413 以來源簡稱取代 name 後，模型放在 aliases 的簡稱與 name 相同被濾掉、正式名又不在候選內）、DEF-090（validate.py:1990 只比整段最低點；換匯 fx_import.py:190 同型，請一併掃描）；根因欄（H）請寫到行，並附同類掃描與變異測試。Owner：①裁定 DEF-089（A 接受中文名稱兩字以上的開頭、改手冊 G-01 ⑤／B 程式改嚴格）與 DEF-091（A 手冊改為點名最低點日／B 訊息改點名第一個轉負日）；②決定 C-07 的處理（在 demo 補造同一標的多筆待確認的情境重測、改在本機驗，或接受 R12 結果）；③決定 R13 留在 demo 的資料是否保留（見附註），若要回到 R13 前的狀態可用開發者的備份 portfolio-pre-r13-20261001T112855Z.db。之後再一輪：驗證者複驗 DEF-087／088／090（及依裁定的 089／091），重跑 A-06、F-01、G-01、J-06、C-07 與 J 組；全部 PASS 才依該輪改寫第 24 列</t>
        </is>
      </c>
      <c r="F35" s="60" t="inlineStr">
        <is>
          <t>①依 6B 留在 demo 的主要資料：2330——B-09 買 3,000（#247）、B-11 07-01 超賣 2,600（#249）、B-17 未來日期 10-15 買 10（#253）、I-13 寫回 #264（買 2,000 @600，01-06）、C-02R 股利（發放 10-08）；0056——I-13 寫回 #265（買 5,000 @38，02-10）、D-05 3→1（產生小數股，未補登零股賣出）；2884——B／C 組多筆交易、C-04 兩筆配股、D-08 分拆 2308、B-12 #268；公司行動 10 筆：AAPL 1:2、8299 1:2＋費用 50 TWD、2317 1:3（另 D-09 賣 150）、2603 5:1（並留有 D-06 首跑設的目標帶 40／55）、0056 3:1、2884 分拆 2308、TSLA→AMD（目標帶 40／55 隨之移到 AMD）、MSFT→SPCX＋費用 30 USD、NVDA 1:2＋費用 50 USD；2454 放空 −10（B-10）；3008 與 2331 目標下限 99999（G-09；之後 alert_scan 每 24 小時會為 3008 派發 1 張預警卡、消耗 AI 額度）；「代號查無時自動 AI 辨識」維持關閉（F-03）；2618 長榮航已登錄（F-01）；任務 #32（G-01）、#34、#35 與模板 #12（H-05）未刪；1155 留在「已忽略」（C-06）；折讓款 2026-06 573 已入帳、2026-07 #135 被 A-16 首跑誤刪（回到待確認）；3008 手動股利 1,000（發放 10-20，C-02F）；多筆資金收支與匯入批次 #50、#51、#53～#59。②檢查程式依 6B 的改寫（換標的／日期、依月份挑列、等回應）皆未改預期結果。③本機 J-06 檢查程式比對 pytest 摘要時大小寫寫錯，自動判讀誤記 PASS，驗證者讀原始紀錄後改判 FAIL。④one shot 中 C-05 的 /api/import/preview 回 502 一次、B-12 按「儲存」未送出 PUT 一次，重跑皆正常、無法重現，未開單。⑤驗證者為排除 F-01 偶發，以同一端點重放 6 次辨識（$0.0010429），未登錄任何標的；全程未在密碼類欄位輸入、未在正式站操作</t>
        </is>
      </c>
    </row>
    <row r="36" ht="279.75" customHeight="1" s="43">
      <c r="A36" s="61" t="inlineStr">
        <is>
          <t>2026-10-02</t>
        </is>
      </c>
      <c r="B36" s="60" t="inlineStr">
        <is>
          <t>開發者 → 驗證者</t>
        </is>
      </c>
      <c r="C36" s="61" t="inlineStr">
        <is>
          <t>c9a44ac（demo 頁首）</t>
        </is>
      </c>
      <c r="D36" s="60" t="inlineStr">
        <is>
          <t>R13 的 5 張缺陷已處理並部署 demo（c9a44ac）。DEF-087（守門測試回綠）、DEF-088（台股 AI 別名；已用真實模型確認：長榮航→長榮航空、華航→中華航空、聯電→聯華電子）、DEF-090（資金池逐日比較：出金、換匯、匯入批次復原 3 處）依驗證者建議修。DEF-089 依 Owner 2026-10-01 裁定 1C 實作：中文簡稱不限字數，但只放行只指向這一檔的簡稱（另發現原規則放行「長榮 (2618)」「中華 (2610)」）；demo 現有 248 張卡以新規則唯讀重掃 0 處不符。DEF-091 依裁定 2B：訊息寫第一個轉負日與最低點。C-07 依裁定 3A、資料依裁定 4A：demo 已還原到 R13 前的備份（各表筆數與備份逐一相同，收件匣 AAPL 回到 2 筆），R13 後的狀態另存備份。手冊與「測試案例」依裁定改 A-06（2B）、G-01 ⑤（1C）、G-04 新增 (d)（1C）。輪次彙總新增 R14 列、輪次下拉加入 R14。8 組變異全攔，閘門全過（來回記錄 L 欄）。</t>
        </is>
      </c>
      <c r="E36" s="60" t="inlineStr">
        <is>
          <t>驗證者：在 demo（頁首 v0.1.28 · c9a44ac）複驗 DEF-087～091，記為 R14；重跑 A-06、F-01、G-01、G-04、J-06、C-07 與 J 組。受修正影響、建議一併重跑：A-11（編輯門的訊息）、A-13（換匯守門）、I-08（匯入批次復原）。全部 PASS 後依 R14 改寫結案簽核第 24 列並交回；第 25 列由開發者、第 26 列由 Owner 簽署。</t>
        </is>
      </c>
      <c r="F36" s="60" t="inlineStr">
        <is>
          <t>① R14 照手冊 §9 第 2 條測完還原（6B 例外只適用 R13）。② demo 已回到 R13 前的狀態：R13 寫入的資料（2330 超賣、10 筆公司行動、99999 目標價、關閉的自動辨識開關等）都已不在；R13 後的資料另存在 data-demo/backups/portfolio-post-r13-*.db。③ 開發者確認 DEF-088 時在 demo 做了 6 次 AI 辨識：3 次因開發者自己的請求編碼錯誤送出亂碼（其中 1 次模型照抄提示詞範例回「2303 聯電」，屬收到亂碼時的行為、非本缺陷），3 次正確（缺陷登記 DEF-088 與來回記錄 E 欄）；未登錄任何標的。④ G-04 (d) 需先在本機登錄 2618 長榮航（還原後 demo 的 2618 未登錄）。</t>
        </is>
      </c>
    </row>
    <row r="37" ht="279.75" customHeight="1" s="43">
      <c r="A37" s="61" t="inlineStr">
        <is>
          <t>2026-10-02</t>
        </is>
      </c>
      <c r="B37" s="60" t="inlineStr">
        <is>
          <t>驗證者 → 開發者、Owner</t>
        </is>
      </c>
      <c r="C37" s="61" t="inlineStr">
        <is>
          <t>c9a44ac（demo 頁首 v0.1.28 · c9a44ac）</t>
        </is>
      </c>
      <c r="D37" s="60" t="inlineStr">
        <is>
          <t>R14 完成：DEF-087～091 全部複驗通過結案（DEF-089 依裁定 1C、DEF-091 依裁定 2B），四條件逐條查——根因到行；同類由驗證者另行抽驗；驗證者自做變異 9 組全攔；黑箱重放 R13 原情境皆通過（嘉信 TWD 倒填 348,000 改為 422「自 2026-07-19 起為負，最低於 2026-07-20 降至 −153,000」、MYR 423,806 改為「自 2026-01-07 起為負，最低於 2026-07-19 降至 −78,605.83」、長榮航預填別名「長榮航空」、「玉山金 (2884)」依 1C 放行、本機「長榮 (2618)」不存卡、J-06 回綠）。重跑 19 題皆 PASS：A-06、F-01、J-06、C-07（收件匣 AAPL 2 筆全部確認後逐筆復原）、G-01、G-04、J-01～J-06，以及受修正影響的 A-05、A-11、A-13～A-16、I-07、I-08；另補 4 組同類檢查（出金編輯門、換匯、編輯／刪除門、批次復原）。各題測完還原，還原檢查 R-1～R-10 相符。120 題最終判定 PASS 119／N/A 1，91 張缺陷結案 88、非缺陷 3，結案條件 1～5 成立；檢驗方依 c9a44ac 重新簽署結案簽核第 24 列，第 28 列最終受測版本改為 v0.1.28 · c9a44ac。AI 額度本輪 $0.0027768（剩 $3.1211387）</t>
        </is>
      </c>
      <c r="E37" s="60" t="inlineStr">
        <is>
          <t>開發者：依 c9a44ac 重新簽署第 25 列，並把本工作簿提交 git（驗證者無權推送）。Owner：依 c9a44ac 重新簽署第 26 列、更新第 29 列結案日期，並決定是否上 prod</t>
        </is>
      </c>
      <c r="F37" s="60" t="inlineStr">
        <is>
          <t>附註（不影響判定、未開單）：①單筆資金紀錄的編輯／刪除門刻意不分範圍（api/routers/cash.py _pool_dip：回報變更後池中任何負值）——池中若已有與這筆無關的負值，任何修改都會被要求確認，且句子寫「此筆會使…」：例如在嘉信 TWD 刪除 2026-07-19 的一筆出金（只會讓餘額變高）→ 422「此筆會使 嘉信 Schwab 的 TWD 現金於 2026-01-12 降至 −220,000…」，而批次復原門依 audit H3 只問這次造成的負值。R13 前即如此（830056c 同句，只差 2B 句型），非本輪回歸；是否分範圍或改寫句子由 Owner 決定。②J-06 收集數：開發者自檢 6,859 則，驗證者環境 6,880 則（6,875 passed／5 skipped），兩邊皆 0 failed，差異來自環境的略過條件。③本機 J-06 檢查程式的大小寫錯誤已修正（改以摘要列的 failed 數與 rc 判讀）。④G-04 ② 的對照：驗證者以同一腳本在本機 830056c 跑一次（存下卡 #22），只寫本機資料庫副本。⑤G-01 的測試任務刪除時其卡 #264 一併刪除（GET 404），可見卡回到 224 張；G-04 ① 掃描的 224 張因此不含該卡，該卡已由 G-01 ⑤ 以同一規則判讀。⑥I-08X 首跑時檢查程式找對話框的選擇器漏了 role=alertdialog、未按下復原，修正後重跑通過，未改預期結果。全程未在密碼類欄位輸入、未在正式站操作</t>
        </is>
      </c>
    </row>
    <row r="38" ht="259.5" customHeight="1" s="43">
      <c r="A38" s="61" t="inlineStr">
        <is>
          <t>2026-10-02</t>
        </is>
      </c>
      <c r="B38" s="60" t="inlineStr">
        <is>
          <t>開發者 → 驗證者</t>
        </is>
      </c>
      <c r="C38" s="61" t="inlineStr">
        <is>
          <t>d8efc07（demo 頁首）</t>
        </is>
      </c>
      <c r="D38" s="60" t="inlineStr">
        <is>
          <t>交接紀錄第 37 列附註①的觀察，Owner 2026-10-02 在對話中裁定 A：單筆資金紀錄的編輯／刪除與換匯刪除這三個可確認的門，改用與匯入批次復原相同的規則——只有這次讓某一天新轉負、或跌破原本最低點，才要求確認，句子「此筆會使…」因此只描述這筆造成的負值。開發者依裁定開立 DEF-092（低，規格未定，發現輪次 R14），修正並部署 demo（d8efc07，部署前已備份）。手冊與「測試案例」A-11 依裁定新增 ③。依裁定重錄的既有測試 8 則（錄製序列 7 則、M5-07 1 則）與 1 則 e2e，詳見來回記錄第 196 列。閘門全過，變異 1 組被 10 則測試攔下。輪次彙總新增 R15 列、輪次下拉加入 R15。結案簽核第 25 列（開發者）待 R15 通過後依新版本簽署；第 24 列與第 28 列需改為依 d8efc07。</t>
        </is>
      </c>
      <c r="E38" s="60" t="inlineStr">
        <is>
          <t>驗證者：在 demo（頁首 v0.1.28 · d8efc07）複驗 DEF-092，記為 R15；重跑 A-11（含新增的 ③）、A-13（換匯刪除）、A-16（折讓款復原）、I-08（匯入批次復原）與 J 組。全部 PASS 後依 R15 改寫結案簽核第 24 列、第 28 列改為 v0.1.28 · d8efc07 並交回；第 25 列由開發者、第 26 列與第 29 列由 Owner 處理。</t>
        </is>
      </c>
      <c r="F38" s="60" t="inlineStr">
        <is>
          <t>① 本輪照手冊 §9 第 2 條測完還原。② 複驗情境可直接用驗證者 R14 的例子：嘉信 TWD 池 2026-01-12 的 −220,000 為 demo 既有資料；刪除該池一筆出金應直接成功、不跳「現金將變為負數」；把一筆入金改小到使之後某幾天轉負，仍應跳確認，訊息點名這次造成的第一個轉負日與最低點。③ demo 部署前備份：data-demo/backups/portfolio-pre-d8efc07-20261002T125012Z.db。④ R14 的 120 題結果與 91 張缺陷的結案不受影響；本輪新增的只有 DEF-092 一張。</t>
        </is>
      </c>
    </row>
    <row r="39" ht="259.5" customHeight="1" s="43">
      <c r="A39" s="61" t="inlineStr">
        <is>
          <t>2026-10-03</t>
        </is>
      </c>
      <c r="B39" s="60" t="inlineStr">
        <is>
          <t>驗證者 → 開發者、Owner</t>
        </is>
      </c>
      <c r="C39" s="61" t="inlineStr">
        <is>
          <t>d8efc07（demo 頁首 v0.1.28 · d8efc07）</t>
        </is>
      </c>
      <c r="D39" s="60" t="inlineStr">
        <is>
          <t>R15 完成：DEF-092 依 Owner 2026-10-02 裁定 A 複驗通過結案，四條件逐條查——根因到行；同類由驗證者 grep 全部 negative_cash 產生處（5 個可確認的門皆用 caused_dip、硬擋用 new_dip），並黑箱加驗開發者測試未涵蓋的「跌破原本最低點」與「刪除會擱淺後面出金的換匯」；驗證者自做變異 7 組全攔；黑箱重放 R14 原情境：刪除嘉信 TWD 2026-07-19 出金 100,000 → 只跳一般刪除確認、DELETE 200（R14 為 422「於 2026-01-12 降至 −220,000」）；入金改小到 07-19 起轉負 → 422「自 2026-07-19 起為負，最低於 2026-07-20 降至 −105,000」，不提 2026-01-12；本機同情境在修正前 c9a44ac 重現原缺陷、d8efc07 全符合。重跑 11 題皆 PASS：A-11（含 ③）、A-13、A-16、I-07、I-08、J-01～J-06；另補 A-11C、A-11X、A-13X、I-08X。各題測完還原，還原檢查 R-1～R-10 相符；本輪未呼叫 AI（額度 $3.1211387 不變）。120 題最終判定 PASS 119／N/A 1，92 張缺陷結案 89、非缺陷 3，結案條件 1～5 成立；檢驗方依 d8efc07 重新簽署結案簽核第 24 列，第 28 列最終受測版本改為 v0.1.28 · d8efc07</t>
        </is>
      </c>
      <c r="E39" s="60" t="inlineStr">
        <is>
          <t>Owner：先裁定附註①（換匯編輯門改小換入金額時不詢問）——維持現狀，或比照刪除門改為詢問、或改為硬擋。若維持：依 d8efc07 簽署第 26 列、更新第 29 列結案日期，並決定是否上 prod；若要修：由開發者開單修正，再一輪複驗後第 24 列依新版本重簽。開發者：依 d8efc07 簽署第 25 列，並把本工作簿提交 git（驗證者無權推送）</t>
        </is>
      </c>
      <c r="F39" s="60" t="inlineStr">
        <is>
          <t>附註：①（觀察，不影響本輪判定、未開單）換匯的編輯門（交易帳本 › 換匯 › 編輯，PUT /api/ledgers/fx/{id}）只以 fx_change_guard 檢查換出池（硬擋、不可確認），不檢查換入池；同一筆的刪除門（fx_delete_guard）則換入、換出兩池都查。demo 重現：嘉信 2026-07-18 換匯 USD 10,000 → TWD 319,000＋07-19 出金 400,000，把換入金額改成 1,000 → PUT 200、無任何對話框，嘉信 TWD 07-19／07-20 變成 −199,000／−204,000（已改回並刪除）；同一筆按刪除則 422「自 2026-07-19 起為負，最低於 2026-07-20 降至 −205,000」。c9a44ac 同樣如此（本機對照，同一請求 200），非本輪回歸，也不在 DEF-092 範圍（DEF-092 是會詢問的門問錯範圍；這是編輯門對換入池沒有詢問）；ledger.js 的註解寫明 PUT /api/ledgers/fx/{id} 只會回 fx_insufficient_balance、不會回 negative_cash。②R15 跨過台北午夜：開跑基準記於 2026-10-02 23:42，J-03 首跑橫跨 00:00，寫入前後快照只差 xirr_window_days 269→270、xirr 與 spark_30d 視窗（換日、非寫入造成）→ 00:01 補記換日後基準並重跑 J-03 通過。③I-07／I-08X 首跑在按「復原」後固定等 1 秒找對話框，對話框實際約 0.7～1.5 秒後才出現（先查詢批次是否仍在），檢查程式找不到而中斷；兩批（#53、#54）已由測後清理復原、分段逐字相同；改為等到對話框出現（最多 15 秒）後重跑通過，未改預期結果。④A-11C 正式跑前先試跑一次（29／29，同樣測後還原）。⑤本機情境：驗證者把 demo 嘉信 TWD 池（4 筆入金、10 筆換匯）逐列複製到本機資料庫副本，確認對帳單逐日餘額與 demo 相同後才跑，只寫本機副本。全程未在密碼類欄位輸入、未在正式站操作</t>
        </is>
      </c>
    </row>
    <row r="40" ht="260" customHeight="1" s="43">
      <c r="A40" s="61" t="inlineStr">
        <is>
          <t>2026-10-03</t>
        </is>
      </c>
      <c r="B40" s="60" t="inlineStr">
        <is>
          <t>開發者 → 驗證者</t>
        </is>
      </c>
      <c r="C40" s="61" t="inlineStr">
        <is>
          <t>d9f1c68（demo 頁首）</t>
        </is>
      </c>
      <c r="D40" s="60" t="inlineStr">
        <is>
          <t>交接紀錄第 39 列附註①的觀察，Owner 2026-10-03 在對話中裁定 A：換匯的編輯門比照刪除——編輯讓受影響的池（換入金額改小、日期延後、換帳戶或幣別）某一天新轉負、或跌破原本最低點時，要求確認（現金將變為負數），確認後可強制寫入；換出池維持硬擋，確認也過不了。開發者依裁定開立 DEF-093（低，規格未定，發現輪次 R15），修正並部署 demo（d9f1c68，部署前已備份）。前端本來就會把確認帶進 body 重送，只更新說明註解。手冊與「測試案例」A-13 依裁定新增 ⑤。新增契約測試 3 則與 e2e 1 則，變異 1 組被 2 則測試攔下；閘門全過（來回記錄第 197 列）。輪次彙總新增 R16 列、輪次下拉加入 R16。同類掃描：會讓資金池變少的更正門共 8 個，只有換匯編輯的換入池沒有檢查，已修。結案簽核第 25 列（開發者）待 R16 通過後依新版本簽署；第 24 列與第 28 列需改為依 d9f1c68。</t>
        </is>
      </c>
      <c r="E40" s="60" t="inlineStr">
        <is>
          <t>驗證者：在 demo（頁首 v0.1.28 · d9f1c68）複驗 DEF-093，記為 R16；重跑 A-13（含新增的 ⑤）、A-11、A-14、A-15 與 J 組。全部 PASS 後依 R16 改寫結案簽核第 24 列、第 28 列改為 v0.1.28 · d9f1c68 並交回；第 25 列由開發者、第 26 列與第 29 列由 Owner 處理。</t>
        </is>
      </c>
      <c r="F40" s="60" t="inlineStr">
        <is>
          <t>① 本輪照手冊 §9 第 2 條測完還原。② 複驗可直接用驗證者 R15 的情境：嘉信 07-18 換匯 USD 10,000 → TWD 319,000、07-19 出金 400,000；把換入金額改成 1,000 應跳「現金將變為負數」並點名這次造成的第一個轉負日與最低點，確認後寫入；把換出金額改到超過當日餘額，應直接擋下（換匯不可透支），確認也過不了。③ demo 部署前備份：data-demo/backups/portfolio-pre-d9f1c68-20261002T193320Z.db。④ R15 以前的 120 題結果與 92 張缺陷的結案不受影響；本輪新增的只有 DEF-093 一張。</t>
        </is>
      </c>
    </row>
    <row r="41" ht="15" customHeight="1" s="43">
      <c r="A41" s="61" t="n"/>
      <c r="B41" s="60" t="n"/>
      <c r="C41" s="61" t="n"/>
      <c r="D41" s="61" t="n"/>
      <c r="E41" s="61" t="n"/>
      <c r="F41" s="61" t="n"/>
    </row>
    <row r="42" ht="15" customHeight="1" s="43">
      <c r="A42" s="61" t="n"/>
      <c r="B42" s="60" t="n"/>
      <c r="C42" s="61" t="n"/>
      <c r="D42" s="61" t="n"/>
      <c r="E42" s="61" t="n"/>
      <c r="F42" s="61" t="n"/>
    </row>
    <row r="43" ht="15" customHeight="1" s="43">
      <c r="A43" s="61" t="n"/>
      <c r="B43" s="60" t="n"/>
      <c r="C43" s="61" t="n"/>
      <c r="D43" s="61" t="n"/>
      <c r="E43" s="61" t="n"/>
      <c r="F43" s="61" t="n"/>
    </row>
    <row r="44" ht="15" customHeight="1" s="43">
      <c r="A44" s="61" t="n"/>
      <c r="B44" s="60" t="n"/>
      <c r="C44" s="61" t="n"/>
      <c r="D44" s="61" t="n"/>
      <c r="E44" s="61" t="n"/>
      <c r="F44" s="61" t="n"/>
    </row>
    <row r="45" ht="15" customHeight="1" s="43">
      <c r="A45" s="61" t="n"/>
      <c r="B45" s="60" t="n"/>
      <c r="C45" s="61" t="n"/>
      <c r="D45" s="61" t="n"/>
      <c r="E45" s="61" t="n"/>
      <c r="F45" s="61" t="n"/>
    </row>
    <row r="46" ht="15" customHeight="1" s="43">
      <c r="A46" s="61" t="n"/>
      <c r="B46" s="60" t="n"/>
      <c r="C46" s="61" t="n"/>
      <c r="D46" s="61" t="n"/>
      <c r="E46" s="61" t="n"/>
      <c r="F46" s="61" t="n"/>
    </row>
    <row r="47" ht="15" customHeight="1" s="43">
      <c r="A47" s="61" t="n"/>
      <c r="B47" s="60" t="n"/>
      <c r="C47" s="61" t="n"/>
      <c r="D47" s="61" t="n"/>
      <c r="E47" s="61" t="n"/>
      <c r="F47" s="61" t="n"/>
    </row>
    <row r="48" ht="15" customHeight="1" s="43">
      <c r="A48" s="61" t="n"/>
      <c r="B48" s="60" t="n"/>
      <c r="C48" s="61" t="n"/>
      <c r="D48" s="61" t="n"/>
      <c r="E48" s="61" t="n"/>
      <c r="F48" s="61" t="n"/>
    </row>
    <row r="49" ht="15" customHeight="1" s="43">
      <c r="A49" s="61" t="n"/>
      <c r="B49" s="60" t="n"/>
      <c r="C49" s="61" t="n"/>
      <c r="D49" s="61" t="n"/>
      <c r="E49" s="61" t="n"/>
      <c r="F49" s="61" t="n"/>
    </row>
    <row r="50" ht="15" customHeight="1" s="43">
      <c r="A50" s="61" t="n"/>
      <c r="B50" s="60" t="n"/>
      <c r="C50" s="61" t="n"/>
      <c r="D50" s="61" t="n"/>
      <c r="E50" s="61" t="n"/>
      <c r="F50" s="61" t="n"/>
    </row>
    <row r="51" ht="15" customHeight="1" s="43">
      <c r="A51" s="61" t="n"/>
      <c r="B51" s="60" t="n"/>
      <c r="C51" s="61" t="n"/>
      <c r="D51" s="61" t="n"/>
      <c r="E51" s="61" t="n"/>
      <c r="F51" s="61" t="n"/>
    </row>
    <row r="52" ht="15" customHeight="1" s="43">
      <c r="A52" s="61" t="n"/>
      <c r="B52" s="60" t="n"/>
      <c r="C52" s="61" t="n"/>
      <c r="D52" s="61" t="n"/>
      <c r="E52" s="61" t="n"/>
      <c r="F52" s="61" t="n"/>
    </row>
    <row r="53" ht="15" customHeight="1" s="43">
      <c r="A53" s="61" t="n"/>
      <c r="B53" s="60" t="n"/>
      <c r="C53" s="61" t="n"/>
      <c r="D53" s="61" t="n"/>
      <c r="E53" s="61" t="n"/>
      <c r="F53" s="61" t="n"/>
    </row>
    <row r="54" ht="15" customHeight="1" s="43">
      <c r="A54" s="61" t="n"/>
      <c r="B54" s="60" t="n"/>
      <c r="C54" s="61" t="n"/>
      <c r="D54" s="61" t="n"/>
      <c r="E54" s="61" t="n"/>
      <c r="F54" s="61" t="n"/>
    </row>
    <row r="55" ht="15" customHeight="1" s="43">
      <c r="A55" s="61" t="n"/>
      <c r="B55" s="60" t="n"/>
      <c r="C55" s="61" t="n"/>
      <c r="D55" s="61" t="n"/>
      <c r="E55" s="61" t="n"/>
      <c r="F55" s="61" t="n"/>
    </row>
    <row r="56" ht="15" customHeight="1" s="43">
      <c r="A56" s="61" t="n"/>
      <c r="B56" s="60" t="n"/>
      <c r="C56" s="61" t="n"/>
      <c r="D56" s="61" t="n"/>
      <c r="E56" s="61" t="n"/>
      <c r="F56" s="61" t="n"/>
    </row>
    <row r="57" ht="15" customHeight="1" s="43">
      <c r="A57" s="61" t="n"/>
      <c r="B57" s="60" t="n"/>
      <c r="C57" s="61" t="n"/>
      <c r="D57" s="61" t="n"/>
      <c r="E57" s="61" t="n"/>
      <c r="F57" s="61" t="n"/>
    </row>
    <row r="58" ht="15" customHeight="1" s="43">
      <c r="A58" s="61" t="n"/>
      <c r="B58" s="60" t="n"/>
      <c r="C58" s="61" t="n"/>
      <c r="D58" s="61" t="n"/>
      <c r="E58" s="61" t="n"/>
      <c r="F58" s="61" t="n"/>
    </row>
    <row r="59" ht="15" customHeight="1" s="43">
      <c r="A59" s="61" t="n"/>
      <c r="B59" s="60" t="n"/>
      <c r="C59" s="61" t="n"/>
      <c r="D59" s="61" t="n"/>
      <c r="E59" s="61" t="n"/>
      <c r="F59" s="61" t="n"/>
    </row>
    <row r="60" ht="15" customHeight="1" s="43">
      <c r="A60" s="61" t="n"/>
      <c r="B60" s="60" t="n"/>
      <c r="C60" s="61" t="n"/>
      <c r="D60" s="61" t="n"/>
      <c r="E60" s="61" t="n"/>
      <c r="F60" s="61" t="n"/>
    </row>
    <row r="61" ht="15" customHeight="1" s="43">
      <c r="A61" s="61" t="n"/>
      <c r="B61" s="60" t="n"/>
      <c r="C61" s="61" t="n"/>
      <c r="D61" s="61" t="n"/>
      <c r="E61" s="61" t="n"/>
      <c r="F61" s="61" t="n"/>
    </row>
    <row r="62" ht="15" customHeight="1" s="43">
      <c r="A62" s="61" t="n"/>
      <c r="B62" s="60" t="n"/>
      <c r="C62" s="61" t="n"/>
      <c r="D62" s="61" t="n"/>
      <c r="E62" s="61" t="n"/>
      <c r="F62" s="61" t="n"/>
    </row>
    <row r="63" ht="15" customHeight="1" s="43">
      <c r="A63" s="61" t="n"/>
      <c r="B63" s="60" t="n"/>
      <c r="C63" s="61" t="n"/>
      <c r="D63" s="61" t="n"/>
      <c r="E63" s="61" t="n"/>
      <c r="F63" s="6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8" customWidth="1" style="42" min="3" max="3"/>
    <col width="14" customWidth="1" style="42" min="4" max="4"/>
    <col width="8" customWidth="1" style="42" min="5" max="6"/>
    <col width="10" customWidth="1" style="42" min="7" max="7"/>
    <col width="8" customWidth="1" style="42" min="8" max="8"/>
    <col width="10" customWidth="1" style="42" min="9" max="9"/>
    <col width="13" customWidth="1" style="42" min="10" max="11"/>
    <col width="12" customWidth="1" style="42" min="12" max="12"/>
    <col width="14" customWidth="1" style="42" min="13" max="13"/>
    <col width="40" customWidth="1" style="42" min="14" max="14"/>
  </cols>
  <sheetData>
    <row r="1" ht="15" customHeight="1" s="43">
      <c r="A1" s="71" t="inlineStr">
        <is>
          <t>輪次彙總（灰底為公式自動統計，其餘請填）</t>
        </is>
      </c>
    </row>
    <row r="3" ht="31.5" customHeight="1" s="43">
      <c r="A3" s="51" t="inlineStr">
        <is>
          <t>輪次</t>
        </is>
      </c>
      <c r="B3" s="51" t="inlineStr">
        <is>
          <t>日期</t>
        </is>
      </c>
      <c r="C3" s="51" t="inlineStr">
        <is>
          <t>受測版本(commit)</t>
        </is>
      </c>
      <c r="D3" s="51" t="inlineStr">
        <is>
          <t>本輪執行案例數</t>
        </is>
      </c>
      <c r="E3" s="50" t="inlineStr">
        <is>
          <t>PASS</t>
        </is>
      </c>
      <c r="F3" s="50" t="inlineStr">
        <is>
          <t>FAIL</t>
        </is>
      </c>
      <c r="G3" s="50" t="inlineStr">
        <is>
          <t>BLOCKED</t>
        </is>
      </c>
      <c r="H3" s="50" t="inlineStr">
        <is>
          <t>N/A</t>
        </is>
      </c>
      <c r="I3" s="50" t="inlineStr">
        <is>
          <t>OBSERVE</t>
        </is>
      </c>
      <c r="J3" s="51" t="inlineStr">
        <is>
          <t>本輪新增缺陷</t>
        </is>
      </c>
      <c r="K3" s="51" t="inlineStr">
        <is>
          <t>本輪結案缺陷</t>
        </is>
      </c>
      <c r="L3" s="51" t="inlineStr">
        <is>
          <t>累計未結案</t>
        </is>
      </c>
      <c r="M3" s="51" t="inlineStr">
        <is>
          <t>是否出現回歸</t>
        </is>
      </c>
      <c r="N3" s="51" t="inlineStr">
        <is>
          <t>本輪結論</t>
        </is>
      </c>
    </row>
    <row r="4" ht="15" customHeight="1" s="43">
      <c r="A4" s="57" t="inlineStr">
        <is>
          <t>R1</t>
        </is>
      </c>
      <c r="B4" s="72" t="inlineStr">
        <is>
          <t>2026-09-23</t>
        </is>
      </c>
      <c r="C4" s="72" t="inlineStr">
        <is>
          <t>755c88a</t>
        </is>
      </c>
      <c r="D4" s="72" t="n">
        <v>120</v>
      </c>
      <c r="E4" s="72" t="n">
        <v>86</v>
      </c>
      <c r="F4" s="72" t="n">
        <v>19</v>
      </c>
      <c r="G4" s="72" t="n">
        <v>8</v>
      </c>
      <c r="H4" s="72" t="n">
        <v>1</v>
      </c>
      <c r="I4" s="72" t="n">
        <v>6</v>
      </c>
      <c r="J4" s="73">
        <f>COUNTIF(缺陷登記!$F$3:$F$200,$A4)</f>
        <v/>
      </c>
      <c r="K4" s="73">
        <f>COUNTIF(缺陷登記!$J$3:$J$200,$A4)</f>
        <v/>
      </c>
      <c r="L4" s="73">
        <f>SUM($J$4:$J4)-SUM($K$4:$K4)</f>
        <v/>
      </c>
      <c r="M4" s="74" t="inlineStr">
        <is>
          <t>否（首輪，無前一輪可比）；J 組 J-01～J-06 本輪皆已跑，J-05 有 1 處溢位（DEF-002）</t>
        </is>
      </c>
      <c r="N4" s="74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3">
      <c r="A5" s="57" t="inlineStr">
        <is>
          <t>R2</t>
        </is>
      </c>
      <c r="B5" s="72" t="inlineStr">
        <is>
          <t>2026-09-24</t>
        </is>
      </c>
      <c r="C5" s="72" t="inlineStr">
        <is>
          <t>e6fd9f4</t>
        </is>
      </c>
      <c r="D5" s="72" t="n">
        <v>31</v>
      </c>
      <c r="E5" s="72" t="n">
        <v>29</v>
      </c>
      <c r="F5" s="72" t="n">
        <v>2</v>
      </c>
      <c r="G5" s="72" t="n">
        <v>0</v>
      </c>
      <c r="H5" s="72" t="n">
        <v>0</v>
      </c>
      <c r="I5" s="72" t="n">
        <v>0</v>
      </c>
      <c r="J5" s="73">
        <f>COUNTIF(缺陷登記!$F$3:$F$200,$A5)</f>
        <v/>
      </c>
      <c r="K5" s="73">
        <f>COUNTIF(缺陷登記!$J$3:$J$200,$A5)</f>
        <v/>
      </c>
      <c r="L5" s="73">
        <f>SUM($J$4:$J5)-SUM($K$4:$K5)</f>
        <v/>
      </c>
      <c r="M5" s="74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2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3">
      <c r="A6" s="57" t="inlineStr">
        <is>
          <t>R3</t>
        </is>
      </c>
      <c r="B6" s="72" t="inlineStr">
        <is>
          <t>2026-09-24</t>
        </is>
      </c>
      <c r="C6" s="72" t="inlineStr">
        <is>
          <t>4655845</t>
        </is>
      </c>
      <c r="D6" s="72" t="n">
        <v>21</v>
      </c>
      <c r="E6" s="72" t="n">
        <v>20</v>
      </c>
      <c r="F6" s="72" t="n">
        <v>1</v>
      </c>
      <c r="G6" s="72" t="n">
        <v>0</v>
      </c>
      <c r="H6" s="72" t="n">
        <v>0</v>
      </c>
      <c r="I6" s="72" t="n">
        <v>0</v>
      </c>
      <c r="J6" s="73">
        <f>COUNTIF(缺陷登記!$F$3:$F$200,$A6)</f>
        <v/>
      </c>
      <c r="K6" s="73">
        <f>COUNTIF(缺陷登記!$J$3:$J$200,$A6)</f>
        <v/>
      </c>
      <c r="L6" s="73">
        <f>SUM($J$4:$J6)-SUM($K$4:$K6)</f>
        <v/>
      </c>
      <c r="M6" s="74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2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3">
      <c r="A7" s="57" t="inlineStr">
        <is>
          <t>R4</t>
        </is>
      </c>
      <c r="B7" s="72" t="inlineStr">
        <is>
          <t>2026-09-25</t>
        </is>
      </c>
      <c r="C7" s="72" t="inlineStr">
        <is>
          <t>1ee7771</t>
        </is>
      </c>
      <c r="D7" s="72" t="n">
        <v>16</v>
      </c>
      <c r="E7" s="72" t="n">
        <v>15</v>
      </c>
      <c r="F7" s="72" t="n">
        <v>1</v>
      </c>
      <c r="G7" s="72" t="n">
        <v>0</v>
      </c>
      <c r="H7" s="72" t="n">
        <v>0</v>
      </c>
      <c r="I7" s="72" t="n">
        <v>0</v>
      </c>
      <c r="J7" s="73">
        <f>COUNTIF(缺陷登記!$F$3:$F$200,$A7)</f>
        <v/>
      </c>
      <c r="K7" s="73">
        <f>COUNTIF(缺陷登記!$J$3:$J$200,$A7)</f>
        <v/>
      </c>
      <c r="L7" s="73">
        <f>SUM($J$4:$J7)-SUM($K$4:$K7)</f>
        <v/>
      </c>
      <c r="M7" s="74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2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3">
      <c r="A8" s="57" t="inlineStr">
        <is>
          <t>R5</t>
        </is>
      </c>
      <c r="B8" s="72" t="inlineStr">
        <is>
          <t>2026-09-25</t>
        </is>
      </c>
      <c r="C8" s="72" t="inlineStr">
        <is>
          <t>3be67db</t>
        </is>
      </c>
      <c r="D8" s="72" t="n">
        <v>17</v>
      </c>
      <c r="E8" s="72" t="n">
        <v>13</v>
      </c>
      <c r="F8" s="72" t="n">
        <v>4</v>
      </c>
      <c r="G8" s="72" t="n">
        <v>0</v>
      </c>
      <c r="H8" s="72" t="n">
        <v>0</v>
      </c>
      <c r="I8" s="72" t="n">
        <v>0</v>
      </c>
      <c r="J8" s="73">
        <f>COUNTIF(缺陷登記!$F$3:$F$200,$A8)</f>
        <v/>
      </c>
      <c r="K8" s="73">
        <f>COUNTIF(缺陷登記!$J$3:$J$200,$A8)</f>
        <v/>
      </c>
      <c r="L8" s="73">
        <f>SUM($J$4:$J8)-SUM($K$4:$K8)</f>
        <v/>
      </c>
      <c r="M8" s="74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2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3">
      <c r="A9" s="57" t="inlineStr">
        <is>
          <t>R6</t>
        </is>
      </c>
      <c r="B9" s="72" t="inlineStr">
        <is>
          <t>2026-09-26</t>
        </is>
      </c>
      <c r="C9" s="72" t="inlineStr">
        <is>
          <t>696934e</t>
        </is>
      </c>
      <c r="D9" s="72" t="n">
        <v>13</v>
      </c>
      <c r="E9" s="72" t="n">
        <v>13</v>
      </c>
      <c r="F9" s="72" t="n">
        <v>0</v>
      </c>
      <c r="G9" s="72" t="n">
        <v>0</v>
      </c>
      <c r="H9" s="72" t="n">
        <v>0</v>
      </c>
      <c r="I9" s="72" t="n">
        <v>0</v>
      </c>
      <c r="J9" s="73">
        <f>COUNTIF(缺陷登記!$F$3:$F$200,$A9)</f>
        <v/>
      </c>
      <c r="K9" s="73">
        <f>COUNTIF(缺陷登記!$J$3:$J$200,$A9)</f>
        <v/>
      </c>
      <c r="L9" s="73">
        <f>SUM($J$4:$J9)-SUM($K$4:$K9)</f>
        <v/>
      </c>
      <c r="M9" s="74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2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3">
      <c r="A10" s="57" t="inlineStr">
        <is>
          <t>R7</t>
        </is>
      </c>
      <c r="B10" s="72" t="inlineStr">
        <is>
          <t>2026-09-27</t>
        </is>
      </c>
      <c r="C10" s="72" t="inlineStr">
        <is>
          <t>a16210a</t>
        </is>
      </c>
      <c r="D10" s="72" t="n">
        <v>7</v>
      </c>
      <c r="E10" s="72" t="n">
        <v>7</v>
      </c>
      <c r="F10" s="72" t="n">
        <v>0</v>
      </c>
      <c r="G10" s="72" t="n">
        <v>0</v>
      </c>
      <c r="H10" s="72" t="n">
        <v>0</v>
      </c>
      <c r="I10" s="72" t="n">
        <v>0</v>
      </c>
      <c r="J10" s="73">
        <f>COUNTIF(缺陷登記!$F$3:$F$200,$A10)</f>
        <v/>
      </c>
      <c r="K10" s="73">
        <f>COUNTIF(缺陷登記!$J$3:$J$200,$A10)</f>
        <v/>
      </c>
      <c r="L10" s="73">
        <f>SUM($J$4:$J10)-SUM($K$4:$K10)</f>
        <v/>
      </c>
      <c r="M10" s="74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2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3">
      <c r="A11" s="57" t="inlineStr">
        <is>
          <t>R8</t>
        </is>
      </c>
      <c r="B11" s="72" t="inlineStr">
        <is>
          <t>2026-09-27</t>
        </is>
      </c>
      <c r="C11" s="72" t="inlineStr">
        <is>
          <t>a16210a</t>
        </is>
      </c>
      <c r="D11" s="72" t="n">
        <v>73</v>
      </c>
      <c r="E11" s="72" t="n">
        <v>71</v>
      </c>
      <c r="F11" s="72" t="n">
        <v>1</v>
      </c>
      <c r="G11" s="72" t="n">
        <v>0</v>
      </c>
      <c r="H11" s="72" t="n">
        <v>1</v>
      </c>
      <c r="I11" s="72" t="n">
        <v>0</v>
      </c>
      <c r="J11" s="73">
        <f>COUNTIF(缺陷登記!$F$3:$F$200,$A11)</f>
        <v/>
      </c>
      <c r="K11" s="73">
        <f>COUNTIF(缺陷登記!$J$3:$J$200,$A11)</f>
        <v/>
      </c>
      <c r="L11" s="73">
        <f>SUM($J$4:$J11)-SUM($K$4:$K11)</f>
        <v/>
      </c>
      <c r="M11" s="74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2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3">
      <c r="A12" s="57" t="inlineStr">
        <is>
          <t>R9</t>
        </is>
      </c>
      <c r="B12" s="72" t="inlineStr">
        <is>
          <t>2026-09-27</t>
        </is>
      </c>
      <c r="C12" s="72" t="inlineStr">
        <is>
          <t>3a35454</t>
        </is>
      </c>
      <c r="D12" s="72" t="n">
        <v>7</v>
      </c>
      <c r="E12" s="72" t="n">
        <v>7</v>
      </c>
      <c r="F12" s="72" t="n">
        <v>0</v>
      </c>
      <c r="G12" s="72" t="n">
        <v>0</v>
      </c>
      <c r="H12" s="72" t="n">
        <v>0</v>
      </c>
      <c r="I12" s="72" t="n">
        <v>0</v>
      </c>
      <c r="J12" s="73">
        <f>COUNTIF(缺陷登記!$F$3:$F$200,$A12)</f>
        <v/>
      </c>
      <c r="K12" s="73">
        <f>COUNTIF(缺陷登記!$J$3:$J$200,$A12)</f>
        <v/>
      </c>
      <c r="L12" s="73">
        <f>SUM($J$4:$J12)-SUM($K$4:$K12)</f>
        <v/>
      </c>
      <c r="M12" s="74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2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3">
      <c r="A13" s="57" t="inlineStr">
        <is>
          <t>R10</t>
        </is>
      </c>
      <c r="B13" s="72" t="inlineStr">
        <is>
          <t>2026-09-28</t>
        </is>
      </c>
      <c r="C13" s="72" t="inlineStr">
        <is>
          <t>3a35454</t>
        </is>
      </c>
      <c r="D13" s="72" t="n">
        <v>120</v>
      </c>
      <c r="E13" s="72" t="n">
        <v>116</v>
      </c>
      <c r="F13" s="72" t="n">
        <v>2</v>
      </c>
      <c r="G13" s="72" t="n">
        <v>0</v>
      </c>
      <c r="H13" s="72" t="n">
        <v>1</v>
      </c>
      <c r="I13" s="72" t="n">
        <v>1</v>
      </c>
      <c r="J13" s="73">
        <f>COUNTIF(缺陷登記!$F$3:$F$200,$A13)</f>
        <v/>
      </c>
      <c r="K13" s="73">
        <f>COUNTIF(缺陷登記!$J$3:$J$200,$A13)</f>
        <v/>
      </c>
      <c r="L13" s="73">
        <f>SUM($J$4:$J13)-SUM($K$4:$K13)</f>
        <v/>
      </c>
      <c r="M13" s="74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2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3">
      <c r="A14" s="57" t="inlineStr">
        <is>
          <t>R11</t>
        </is>
      </c>
      <c r="B14" s="72" t="inlineStr">
        <is>
          <t>2026-09-30</t>
        </is>
      </c>
      <c r="C14" s="72" t="inlineStr">
        <is>
          <t>91ec1b0</t>
        </is>
      </c>
      <c r="D14" s="72" t="n">
        <v>120</v>
      </c>
      <c r="E14" s="72" t="n">
        <v>119</v>
      </c>
      <c r="F14" s="72" t="n">
        <v>0</v>
      </c>
      <c r="G14" s="72" t="n">
        <v>0</v>
      </c>
      <c r="H14" s="72" t="n">
        <v>1</v>
      </c>
      <c r="I14" s="72" t="n">
        <v>0</v>
      </c>
      <c r="J14" s="73">
        <f>COUNTIF(缺陷登記!$F$3:$F$200,$A14)</f>
        <v/>
      </c>
      <c r="K14" s="73">
        <f>COUNTIF(缺陷登記!$J$3:$J$200,$A14)</f>
        <v/>
      </c>
      <c r="L14" s="73">
        <f>SUM($J$4:$J14)-SUM($K$4:$K14)</f>
        <v/>
      </c>
      <c r="M14" s="74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2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3">
      <c r="A15" s="57" t="inlineStr">
        <is>
          <t>R12</t>
        </is>
      </c>
      <c r="B15" s="72" t="inlineStr">
        <is>
          <t>2026-09-30</t>
        </is>
      </c>
      <c r="C15" s="72" t="inlineStr">
        <is>
          <t>d2e5e08</t>
        </is>
      </c>
      <c r="D15" s="72" t="n">
        <v>120</v>
      </c>
      <c r="E15" s="72" t="n">
        <v>117</v>
      </c>
      <c r="F15" s="72" t="n">
        <v>0</v>
      </c>
      <c r="G15" s="72" t="n">
        <v>0</v>
      </c>
      <c r="H15" s="72" t="n">
        <v>1</v>
      </c>
      <c r="I15" s="72" t="n">
        <v>2</v>
      </c>
      <c r="J15" s="73">
        <f>COUNTIF(缺陷登記!$F$3:$F$200,$A15)</f>
        <v/>
      </c>
      <c r="K15" s="73">
        <f>COUNTIF(缺陷登記!$J$3:$J$200,$A15)</f>
        <v/>
      </c>
      <c r="L15" s="73">
        <f>SUM($J$4:$J15)-SUM($K$4:$K15)</f>
        <v/>
      </c>
      <c r="M15" s="74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2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3">
      <c r="A16" s="57" t="inlineStr">
        <is>
          <t>R13</t>
        </is>
      </c>
      <c r="B16" s="72" t="inlineStr">
        <is>
          <t>2026-10-01</t>
        </is>
      </c>
      <c r="C16" s="72" t="inlineStr">
        <is>
          <t>830056c</t>
        </is>
      </c>
      <c r="D16" s="72" t="n">
        <v>120</v>
      </c>
      <c r="E16" s="72" t="n">
        <v>114</v>
      </c>
      <c r="F16" s="72" t="n">
        <v>3</v>
      </c>
      <c r="G16" s="72" t="n">
        <v>1</v>
      </c>
      <c r="H16" s="72" t="n">
        <v>1</v>
      </c>
      <c r="I16" s="72" t="n">
        <v>1</v>
      </c>
      <c r="J16" s="73">
        <f>COUNTIF(缺陷登記!$F$3:$F$200,$A16)</f>
        <v/>
      </c>
      <c r="K16" s="73">
        <f>COUNTIF(缺陷登記!$J$3:$J$200,$A16)</f>
        <v/>
      </c>
      <c r="L16" s="73">
        <f>SUM($J$4:$J16)-SUM($K$4:$K16)</f>
        <v/>
      </c>
      <c r="M16" s="74" t="inlineStr">
        <is>
          <t>是：J-06 閘門 pytest 1 failed（DEF-087）——test_every_bare_str_in_the_export_package_is_listed 於 2fe60ce 為綠、e8bcf53 起紅（ledger_audit.py:209 別名欄的 str() 未列入白名單），R12（d2e5e08）時 J-06 全綠；J-01～J-05 全過（J-01 106/106、J-02 四情境、J-03 寫入→編輯→刪除後各段逐字相同＋稽核兩筆、J-04 21 個匯出＋帳本操作稽核 CSV、J-05 390px 18 頁零溢位）。A-06 的 DEF-090 所在程式自 e6fd9f4（R2）未改，是本輪換用另一個資金池才遇到，不是回歸；F-01、G-01 的問題屬結案後新增的 item 8 功能</t>
        </is>
      </c>
      <c r="N16" s="72" t="inlineStr">
        <is>
          <t>R13（上 prod 前整份重跑，Owner 2026-10-01 指示；受測版本以 demo 頁首為準，開跑前確認 v0.1.28 · 830056c）：demo 真實瀏覽器 112 題 one shot（2026-10-01 20:43～21:55 台北，開跑前記基準）＋本機 12 題（同一 commit、demo 資料庫副本、假報價／假 LLM：E-02、E-05、E-06、E-09、E-11、F-07、G-08、J-06，D-00、G-07、H-01、H-05 兩邊都跑，另 G-04 ②）。依 Owner 6B，寫入全部留在 demo，只有 B-14、C-03、D-10、I-08、J-03 照步驟刪除；本輪不做還原檢查。one shot 首跑 PASS 83／FAIL 28／N/A 1，FAIL 多數是 6B 殘留使檢查程式的前提失效：①B-11 留下的 2330 07-01 超賣使 2330 成為賣超部位（市值、XIRR、稅務包為空或 422），E-04、E-07、E-08、I-01～I-03 首跑受影響，I-13 依步驟寫回 #264 後恢復；②同日同標的公司行動的限制使 D-06、D-07（連帶 D-13、D-14）改用 TSLA→AMD、MSFT→SPCX；③其餘依 6B 換標的、日期或挑列方式（B-04 46.5、C-04 09-30、F-05 賣 5,000、F-09 中華電、A-16 依月份挑列、E-10 2610）。重跑三批共 29 次（22:00～22:20 台北），另 5 題依數據逐位驗算改判（A-03、B-03、D-02、I-07、I-08：檢查程式的比較基準在 6B 下不成立）；首跑雖過但屬空對空的 D-02c、E-12 已補做。最終 PASS 114／FAIL 3（A-06、F-01、J-06）／BLOCKED 1（C-07）／OBSERVE 1（G-01）／N/A 1（G-10）。新開 5 張：DEF-087（J-06 閘門，低）、DEF-088（F-01 台股別名空白，低）、DEF-089（G-01 中文名稱前段，規格未定）、DEF-090（A-06 既有負值掩蓋新透支，中）、DEF-091（A-06 訊息點名最低點日，規格未定）。AI 額度：本輪 43 列 $0.0575523（3.1247864→3.0672341），含驗證者為排除 F-01 偶發而重放的 6 次辨識 $0.0010429。結案條件 1、3、4 不成立，檢驗方不依 R13 改寫第 24 列</t>
        </is>
      </c>
    </row>
    <row r="17" ht="15" customHeight="1" s="43">
      <c r="A17" s="57" t="inlineStr">
        <is>
          <t>R14</t>
        </is>
      </c>
      <c r="B17" s="72" t="inlineStr">
        <is>
          <t>2026-10-02</t>
        </is>
      </c>
      <c r="C17" s="72" t="inlineStr">
        <is>
          <t>c9a44ac</t>
        </is>
      </c>
      <c r="D17" s="72" t="n">
        <v>19</v>
      </c>
      <c r="E17" s="72" t="n">
        <v>19</v>
      </c>
      <c r="F17" s="72" t="n">
        <v>0</v>
      </c>
      <c r="G17" s="72" t="n">
        <v>0</v>
      </c>
      <c r="H17" s="72" t="n">
        <v>0</v>
      </c>
      <c r="I17" s="72" t="n">
        <v>0</v>
      </c>
      <c r="J17" s="73">
        <f>COUNTIF(缺陷登記!$F$3:$F$200,$A17)</f>
        <v/>
      </c>
      <c r="K17" s="73">
        <f>COUNTIF(缺陷登記!$J$3:$J$200,$A17)</f>
        <v/>
      </c>
      <c r="L17" s="73">
        <f>SUM($J$4:$J17)-SUM($K$4:$K17)</f>
        <v/>
      </c>
      <c r="M17" s="74" t="inlineStr">
        <is>
          <t>否：J-01～J-06 全過（J-01 94/94、J-02 四情境、J-03 寫入→編輯→刪除後各段逐字相同＋稽核兩筆、J-04 21 個匯出＋稽核 CSV、J-05 390px 18 頁零溢位、J-06 乾淨 worktree 全綠：ruff 0、mypy 985 檔、pytest 6,875 passed／0 failed、e2e 322／322、守門變異 3 組皆攔）；R13 的 J-06 回歸（DEF-087）已修回；受修正影響的 A-05、A-11、A-13～A-16、I-07／I-08 重跑皆過</t>
        </is>
      </c>
      <c r="N17" s="72" t="inlineStr">
        <is>
          <t>R14（c9a44ac）：開發者依驗證者建議修 DEF-087／088／090、依 Owner 2026-10-01 裁定 1C 修 DEF-089、2B 修 DEF-091，demo 依裁定 4A 還原到 R13 前（驗證者開跑前記基準：交易 56／股利 23／換匯 19／資金 34／公司行動 0、標的 26、收件匣 8、額度 $3.1239155）。①5 張缺陷皆依四條件複驗通過結案：根因到行；同類由驗證者另行抽驗（DEF-088 再驗華航／聯電／英特爾、DEF-089 以 1C 規則掃 demo 224 張卡、DEF-090 再驗開發者未點名的出金編輯門、DEF-091 四種門逐一）；驗證者自做變異 9 組全攔；黑箱重放 R13 原情境皆通過。②重跑 19 題（2026-10-02 02:42～03:15 台北）：R13 的 FAIL（A-06、F-01、J-06）、BLOCKED（C-07）、OBSERVE（G-01）與 G-04、J 組、受修正影響的 A-05、A-11、A-13～A-16、I-07、I-08，皆 PASS；另補 4 組同類檢查（A-11X、A-13X、I-08X、A-06 的編輯門）。③本輪依 §9 第 2 條各題測完還原，還原檢查 R-1～R-10 相符（估值差異只來自辨識時報價驗證連帶更新的 USD/TWD，§五 G）。AI 額度：本輪 8 列 $0.0027768（3.1239155→3.1211387）。120 題最終判定 PASS 119／N/A 1，91 張缺陷結案 88、非缺陷 3，結案條件 1～5 成立，檢驗方依 c9a44ac 重新簽署第 24 列</t>
        </is>
      </c>
    </row>
    <row r="18" ht="15" customHeight="1" s="43">
      <c r="A18" s="57" t="inlineStr">
        <is>
          <t>R15</t>
        </is>
      </c>
      <c r="B18" s="72" t="inlineStr">
        <is>
          <t>2026-10-03</t>
        </is>
      </c>
      <c r="C18" s="72" t="inlineStr">
        <is>
          <t>d8efc07</t>
        </is>
      </c>
      <c r="D18" s="72" t="n">
        <v>11</v>
      </c>
      <c r="E18" s="72" t="n">
        <v>11</v>
      </c>
      <c r="F18" s="72" t="n">
        <v>0</v>
      </c>
      <c r="G18" s="72" t="n">
        <v>0</v>
      </c>
      <c r="H18" s="72" t="n">
        <v>0</v>
      </c>
      <c r="I18" s="72" t="n">
        <v>0</v>
      </c>
      <c r="J18" s="73">
        <f>COUNTIF(缺陷登記!$F$3:$F$200,$A18)</f>
        <v/>
      </c>
      <c r="K18" s="73">
        <f>COUNTIF(缺陷登記!$J$3:$J$200,$A18)</f>
        <v/>
      </c>
      <c r="L18" s="73">
        <f>SUM($J$4:$J18)-SUM($K$4:$K18)</f>
        <v/>
      </c>
      <c r="M18" s="74" t="inlineStr">
        <is>
          <t>否：J-01～J-06 全過（J-01 94/94、J-02 四情境、J-03 寫入→編輯→刪除後各段逐字相同＋稽核兩筆、J-04 21 個匯出＋稽核 CSV、J-05 390px 18 頁零溢位、J-06 乾淨 worktree 全綠：ruff 0、mypy 986 檔、pytest 6,878 passed／0 failed、e2e 322／322、守門變異 3 組皆攔），與 R14 相比零回歸；受修正影響的 A-11、A-13、A-16、I-07／I-08 與 A-11X、A-13X、I-08X 重跑皆過</t>
        </is>
      </c>
      <c r="N18" s="72" t="inlineStr">
        <is>
          <t>R15（d8efc07）：開發者依 Owner 2026-10-02 裁定 A（驗證者 R14 觀察）開 DEF-092 並修正——單筆資金紀錄的編輯／刪除與換匯刪除只問這次造成的負值，與匯入批次復原同一規則；手冊 A-11 新增 ③。驗證者開跑前記基準（2026-10-02 23:42 台北：交易 56／股利 23／換匯 19／資金 34／公司行動 0、標的 26、收件匣 8、額度 $3.1211387），跨過午夜後於 00:01 補記換日後基準。①DEF-092 依四條件複驗通過結案：根因到行；同類由驗證者 grep 全部 negative_cash 產生處並黑箱加驗跌破原本最低點與換匯刪除兩向；驗證者自做變異 7 組全攔；黑箱重放 R14 原情境（刪嘉信 TWD 出金 → 直接成功；入金改小 → 只點名 07-19 起的負段）。②重跑 11 題（2026-10-02 23:59～10-03 00:16 台北）：A-11（含 ③）、A-13、A-16、I-07、I-08、J-01～J-06 皆 PASS，另補 A-11C、A-11X、A-13X、I-08X；J-03 首跑橫跨午夜、I-07／I-08X 首跑為檢查程式等待對話框不足，皆已還原並重跑通過。③本輪依 §9 第 2 條各題測完還原，還原檢查 R-1～R-10 相符；本輪未呼叫 AI。120 題最終判定 PASS 119／N/A 1，92 張缺陷結案 89、非缺陷 3，結案條件 1～5 成立，檢驗方依 d8efc07 重新簽署第 24 列。另記觀察 1 項（換匯編輯門未檢查換入池，c9a44ac 即如此）交 Owner 裁定，見交接紀錄第 39 列</t>
        </is>
      </c>
    </row>
    <row r="19" ht="15" customHeight="1" s="43">
      <c r="A19" s="57" t="inlineStr">
        <is>
          <t>R16</t>
        </is>
      </c>
      <c r="B19" s="72" t="n"/>
      <c r="C19" s="72" t="n"/>
      <c r="D19" s="72" t="n"/>
      <c r="E19" s="72" t="n"/>
      <c r="F19" s="72" t="n"/>
      <c r="G19" s="72" t="n"/>
      <c r="H19" s="72" t="n"/>
      <c r="I19" s="72" t="n"/>
      <c r="J19" s="73">
        <f>COUNTIF(缺陷登記!$F$3:$F$200,$A19)</f>
        <v/>
      </c>
      <c r="K19" s="73">
        <f>COUNTIF(缺陷登記!$J$3:$J$200,$A19)</f>
        <v/>
      </c>
      <c r="L19" s="73">
        <f>SUM($J$4:$J19)-SUM($K$4:$K19)</f>
        <v/>
      </c>
      <c r="M19" s="74" t="n"/>
      <c r="N19" s="72" t="n"/>
    </row>
    <row r="20">
      <c r="A20" s="75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20:N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2" min="1" max="1"/>
    <col width="26" customWidth="1" style="42" min="2" max="2"/>
    <col width="52" customWidth="1" style="42" min="3" max="3"/>
    <col width="18" customWidth="1" style="42" min="4" max="5"/>
    <col width="10" customWidth="1" style="42" min="6" max="6"/>
  </cols>
  <sheetData>
    <row r="1" ht="15" customHeight="1" s="43">
      <c r="A1" s="71" t="inlineStr">
        <is>
          <t>還原檢查清單（每個測試時段結束前跑一次）</t>
        </is>
      </c>
    </row>
    <row r="3" ht="31.5" customHeight="1" s="43">
      <c r="A3" s="50" t="inlineStr">
        <is>
          <t>#</t>
        </is>
      </c>
      <c r="B3" s="51" t="inlineStr">
        <is>
          <t>檢查</t>
        </is>
      </c>
      <c r="C3" s="51" t="inlineStr">
        <is>
          <t>方法</t>
        </is>
      </c>
      <c r="D3" s="51" t="inlineStr">
        <is>
          <t>基準值</t>
        </is>
      </c>
      <c r="E3" s="51" t="inlineStr">
        <is>
          <t>結束值</t>
        </is>
      </c>
      <c r="F3" s="51" t="inlineStr">
        <is>
          <t>相符？</t>
        </is>
      </c>
    </row>
    <row r="4" ht="15" customHeight="1" s="43">
      <c r="A4" s="57" t="inlineStr">
        <is>
          <t>R-1</t>
        </is>
      </c>
      <c r="B4" s="59" t="inlineStr">
        <is>
          <t>交易帳本列數</t>
        </is>
      </c>
      <c r="C4" s="58" t="inlineStr">
        <is>
          <t>GET /api/ledgers/transactions?limit=1 的 total_count</t>
        </is>
      </c>
      <c r="D4" s="72" t="inlineStr">
        <is>
          <t>56（R15_START 2026-10-02 23:42 台北，開跑前；demo 為 R14 結束時的狀態）</t>
        </is>
      </c>
      <c r="E4" s="72" t="inlineStr">
        <is>
          <t>56</t>
        </is>
      </c>
      <c r="F4" s="74" t="inlineStr">
        <is>
          <t>是</t>
        </is>
      </c>
    </row>
    <row r="5" ht="15" customHeight="1" s="43">
      <c r="A5" s="57" t="inlineStr">
        <is>
          <t>R-2</t>
        </is>
      </c>
      <c r="B5" s="59" t="inlineStr">
        <is>
          <t>股利帳本列數</t>
        </is>
      </c>
      <c r="C5" s="59" t="inlineStr">
        <is>
          <t>同上（dividends）</t>
        </is>
      </c>
      <c r="D5" s="72" t="inlineStr">
        <is>
          <t>23</t>
        </is>
      </c>
      <c r="E5" s="72" t="inlineStr">
        <is>
          <t>23</t>
        </is>
      </c>
      <c r="F5" s="74" t="inlineStr">
        <is>
          <t>是</t>
        </is>
      </c>
    </row>
    <row r="6" ht="15" customHeight="1" s="43">
      <c r="A6" s="57" t="inlineStr">
        <is>
          <t>R-3</t>
        </is>
      </c>
      <c r="B6" s="59" t="inlineStr">
        <is>
          <t>換匯帳本列數</t>
        </is>
      </c>
      <c r="C6" s="59" t="inlineStr">
        <is>
          <t>同上（fx）</t>
        </is>
      </c>
      <c r="D6" s="72" t="inlineStr">
        <is>
          <t>19</t>
        </is>
      </c>
      <c r="E6" s="72" t="inlineStr">
        <is>
          <t>19</t>
        </is>
      </c>
      <c r="F6" s="74" t="inlineStr">
        <is>
          <t>是</t>
        </is>
      </c>
    </row>
    <row r="7" ht="15" customHeight="1" s="43">
      <c r="A7" s="57" t="inlineStr">
        <is>
          <t>R-4</t>
        </is>
      </c>
      <c r="B7" s="59" t="inlineStr">
        <is>
          <t>資金收支列數</t>
        </is>
      </c>
      <c r="C7" s="59" t="inlineStr">
        <is>
          <t>同上（cash）</t>
        </is>
      </c>
      <c r="D7" s="72" t="inlineStr">
        <is>
          <t>34</t>
        </is>
      </c>
      <c r="E7" s="72" t="inlineStr">
        <is>
          <t>34</t>
        </is>
      </c>
      <c r="F7" s="74" t="inlineStr">
        <is>
          <t>是</t>
        </is>
      </c>
    </row>
    <row r="8" ht="15" customHeight="1" s="43">
      <c r="A8" s="57" t="inlineStr">
        <is>
          <t>R-5</t>
        </is>
      </c>
      <c r="B8" s="59" t="inlineStr">
        <is>
          <t>公司行動列數</t>
        </is>
      </c>
      <c r="C8" s="59" t="inlineStr">
        <is>
          <t>同上（actions）／或匯出</t>
        </is>
      </c>
      <c r="D8" s="72" t="inlineStr">
        <is>
          <t>0</t>
        </is>
      </c>
      <c r="E8" s="72" t="inlineStr">
        <is>
          <t>0</t>
        </is>
      </c>
      <c r="F8" s="74" t="inlineStr">
        <is>
          <t>是</t>
        </is>
      </c>
    </row>
    <row r="9" ht="15" customHeight="1" s="43">
      <c r="A9" s="57" t="inlineStr">
        <is>
          <t>R-6</t>
        </is>
      </c>
      <c r="B9" s="59" t="inlineStr">
        <is>
          <t>四段 JSON 相同</t>
        </is>
      </c>
      <c r="C9" s="58" t="inlineStr">
        <is>
          <t>kpis／holdings／realized／allocation 與基準字串完全相同</t>
        </is>
      </c>
      <c r="D9" s="72" t="inlineStr">
        <is>
          <t>R15_START 四段 JSON 原文；R15 跨過台北午夜，10-03 00:01 另記換日後基準（帳本未動）</t>
        </is>
      </c>
      <c r="E9" s="76" t="inlineStr">
        <is>
          <t>四段 JSON 與換日後基準逐字相同；與 23:42 的基準相比，realized、allocation 逐字相同，只差 kpis 的 xirr（9.029670614478727→8.91542634759667）與 xirr_window_days（269→270），以及 14 個部位 spark_30d 的 30 日視窗後移一天——逐欄比對只有這 3 種欄位不同，皆為日期 10-02→10-03 換日；部位股數、原始／調整均價與成本逐字相同；各題結束時的分段比對皆與該題開始時逐字相同</t>
        </is>
      </c>
      <c r="F9" s="74" t="inlineStr">
        <is>
          <t>是（差異只來自換日）</t>
        </is>
      </c>
    </row>
    <row r="10" ht="15" customHeight="1" s="43">
      <c r="A10" s="57" t="inlineStr">
        <is>
          <t>R-7</t>
        </is>
      </c>
      <c r="B10" s="59" t="inlineStr">
        <is>
          <t>各現金池餘額</t>
        </is>
      </c>
      <c r="C10" s="58" t="inlineStr">
        <is>
          <t>GET /api/cash</t>
        </is>
      </c>
      <c r="D10" s="72" t="inlineStr">
        <is>
          <t>cash_balances 與 reporting_total 原文</t>
        </is>
      </c>
      <c r="E10" s="72" t="inlineStr">
        <is>
          <t>cash_balances 與 reporting_total（25,358,846.58）逐字相同；嘉信 TWD／USD、台灣券商 TWD、Moomoo MY MYR 四個池的資金對帳單逐列相同</t>
        </is>
      </c>
      <c r="F10" s="74" t="inlineStr">
        <is>
          <t>是</t>
        </is>
      </c>
    </row>
    <row r="11" ht="15" customHeight="1" s="43">
      <c r="A11" s="57" t="inlineStr">
        <is>
          <t>R-8</t>
        </is>
      </c>
      <c r="B11" s="59" t="inlineStr">
        <is>
          <t>匯入批次無殘留</t>
        </is>
      </c>
      <c r="C11" s="59" t="inlineStr">
        <is>
          <t>交易帳本 › 匯入批次</t>
        </is>
      </c>
      <c r="D11" s="72" t="inlineStr">
        <is>
          <t>0 批</t>
        </is>
      </c>
      <c r="E11" s="72" t="inlineStr">
        <is>
          <t>0 批（I-07 的批次 #55、I-08X 的 #56 由題目步驟復原；首跑中斷的 #53、#54 由測後清理復原）</t>
        </is>
      </c>
      <c r="F11" s="74" t="inlineStr">
        <is>
          <t>是</t>
        </is>
      </c>
    </row>
    <row r="12" ht="15" customHeight="1" s="43">
      <c r="A12" s="57" t="inlineStr">
        <is>
          <t>R-9</t>
        </is>
      </c>
      <c r="B12" s="59" t="inlineStr">
        <is>
          <t>觀察清單無殘留</t>
        </is>
      </c>
      <c r="C12" s="59" t="inlineStr">
        <is>
          <t>例如 ZZZZ9 未被加入</t>
        </is>
      </c>
      <c r="D12" s="72" t="inlineStr">
        <is>
          <t>26 檔、0 封存、目標價皆空、別名清單；任務 1／2／7／8／9 啟用；25 個排程；收件匣 8、已忽略 NVDA 2026-06-04、折讓款 3、可見洞察卡 224；代號查無時自動 AI 辨識 開</t>
        </is>
      </c>
      <c r="E12" s="72" t="inlineStr">
        <is>
          <t>26 檔、0 封存、目標價皆空、別名清單逐字相同；任務 1／2／7／8／9 皆啟用、25 個排程設定雜湊不變；收件匣 8 筆逐一相同、已忽略只剩 NVDA、折讓款 3、可見卡 224、AI 失敗記錄 30、自動辨識仍開。依 Owner 2026-09-29 裁定留在 demo 的：帳本操作稽核（各題寫入、編輯與刪除的軌跡）</t>
        </is>
      </c>
      <c r="F12" s="74" t="inlineStr">
        <is>
          <t>是（依 Owner 2026-09-29 裁定）</t>
        </is>
      </c>
    </row>
    <row r="13" ht="15" customHeight="1" s="43">
      <c r="A13" s="57" t="inlineStr">
        <is>
          <t>R-10</t>
        </is>
      </c>
      <c r="B13" s="58" t="inlineStr">
        <is>
          <t>AI 額度變動已記錄</t>
        </is>
      </c>
      <c r="C13" s="59" t="inlineStr">
        <is>
          <t>與 H-02 對帳</t>
        </is>
      </c>
      <c r="D13" s="74" t="inlineStr">
        <is>
          <t>剩餘額度 $3.1211387；低額度警示門檻 $1.00</t>
        </is>
      </c>
      <c r="E13" s="74" t="inlineStr">
        <is>
          <t>剩餘額度 $3.1211387、門檻 $1.00；本輪各題不呼叫 AI，llm-usage 無新列（最新一列仍為 R14 的 2026-10-02 02:59），花費 $0</t>
        </is>
      </c>
      <c r="F13" s="74" t="inlineStr">
        <is>
          <t>是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2" min="1" max="1"/>
    <col width="46" customWidth="1" style="42" min="2" max="2"/>
    <col width="16" customWidth="1" style="42" min="3" max="3"/>
    <col width="46" customWidth="1" style="42" min="4" max="4"/>
  </cols>
  <sheetData>
    <row r="1" ht="15.75" customHeight="1" s="43">
      <c r="A1" s="77" t="inlineStr">
        <is>
          <t>結案簽核</t>
        </is>
      </c>
    </row>
    <row r="3" ht="15" customHeight="1" s="43">
      <c r="A3" s="62" t="inlineStr">
        <is>
          <t>結案條件（全部滿足才可簽）</t>
        </is>
      </c>
      <c r="C3" s="62" t="inlineStr">
        <is>
          <t>達成？</t>
        </is>
      </c>
    </row>
    <row r="4" ht="29.25" customHeight="1" s="43">
      <c r="A4" s="78" t="inlineStr">
        <is>
          <t>1</t>
        </is>
      </c>
      <c r="B4" s="48" t="inlineStr">
        <is>
          <t>全部測試案例的最終判定為 `PASS` 或 `N/A`（`N/A` 需寫依據）</t>
        </is>
      </c>
      <c r="C4" s="79" t="inlineStr">
        <is>
          <t>是（R12）：d2e5e08 整份 one shot 重跑 120 題；G-01、H-02 的 OBSERVE 經 Owner 2026-09-30 裁定 A（改期望、程式不改）改判 PASS；最終判定 PASS 119／N/A 1（G-10 依手冊僅記錄）
R13（830056c，上 prod 前整份重跑）：否——最終 PASS 114／FAIL 3（A-06：DEF-090、091；F-01：DEF-088；J-06：DEF-087）／BLOCKED 1（C-07）／OBSERVE 1（G-01：DEF-089）／N/A 1（G-10）；尚未有最終判定 5
R14（c9a44ac）：是——R13 的 FAIL 3 題（A-06、F-01、J-06）、BLOCKED 1 題（C-07）、OBSERVE 1 題（G-01）於 c9a44ac 重跑皆 PASS；120 題最終判定 PASS 119／N/A 1（G-10 依手冊僅記錄）
R15（d8efc07）：是——A-11（含新增的 ③）、A-13、A-16、I-07、I-08、J-01～J-06 於 d8efc07 重跑皆 PASS；120 題最終判定 PASS 119／N/A 1（G-10 依手冊僅記錄）</t>
        </is>
      </c>
    </row>
    <row r="5" ht="29.25" customHeight="1" s="43">
      <c r="A5" s="78" t="inlineStr">
        <is>
          <t>2</t>
        </is>
      </c>
      <c r="B5" s="48" t="inlineStr">
        <is>
          <t>缺陷登記中沒有狀態為『修復中／待複驗／複驗未過』的列</t>
        </is>
      </c>
      <c r="C5" s="79" t="inlineStr">
        <is>
          <t>是：86 張缺陷中結案 83、非缺陷 3（DEF-006、DEF-018、DEF-086），無修復中／待複驗／複驗未過
R13：是（字面）——無修復中／待複驗／複驗未過；但 R13 新開 5 張未結：DEF-087、088、090 為「新開」（程式缺陷，待修復），DEF-089、091 為「待裁定」（規格未定），由條件 1、3 追蹤；91 張中結案 83、非缺陷 3
R14：是——91 張缺陷中結案 88、非缺陷 3（DEF-006、DEF-018、DEF-086）；DEF-087～091 於 R14 複驗通過結案，無修復中／待複驗／複驗未過
R15：是——92 張缺陷中結案 89、非缺陷 3（DEF-006、DEF-018、DEF-086）；DEF-092 於 R15 複驗通過結案，無修復中／待複驗／複驗未過</t>
        </is>
      </c>
    </row>
    <row r="6" ht="43.5" customHeight="1" s="43">
      <c r="A6" s="78" t="inlineStr">
        <is>
          <t>3</t>
        </is>
      </c>
      <c r="B6" s="48" t="inlineStr">
        <is>
          <t>所有 `OBSERVE` 都有 owner 裁定，並已改判為 `PASS`／`N/A`／或轉為新功能待排期（後者需在簽核頁寫明不影響結案）</t>
        </is>
      </c>
      <c r="C6" s="79" t="inlineStr">
        <is>
          <t>是：所有 OBSERVE 皆已裁定並改判 PASS——R1 的 6 題、R10 H-05（DEF-085）、R12 G-01／H-02（DEF-086，Owner 2026-09-30 裁定 A）
R13：否——G-01 的 OBSERVE（DEF-089，規格未定）待 Owner 裁定；先前的 OBSERVE（R1 的 6 題、R10 H-05、R12 G-01／H-02）皆已裁定
R14：是——G-01 的 OBSERVE（DEF-089）經 Owner 2026-10-01 裁定 1C、DEF-091 經裁定 2B，依裁定修正並複驗通過；先前的 OBSERVE 皆已裁定
R15：是——本輪無 OBSERVE；DEF-092 依 Owner 2026-10-02 裁定 A 修正並複驗通過；先前的 OBSERVE 皆已裁定</t>
        </is>
      </c>
    </row>
    <row r="7" ht="15" customHeight="1" s="43">
      <c r="A7" s="78" t="inlineStr">
        <is>
          <t>4</t>
        </is>
      </c>
      <c r="B7" s="48" t="inlineStr">
        <is>
          <t>最後一輪的 J 組回歸快篩全過，且與上一輪相比零回歸</t>
        </is>
      </c>
      <c r="C7" s="79" t="inlineStr">
        <is>
          <t>是：R12（d2e5e08）J-01～J-06 全過，與 R11 相比零回歸（輪次彙總第 15 列；G-01、H-02 的改變為規格衝突，非回歸）
R13：否——J-06 閘門 pytest 1 failed（DEF-087，e8bcf53 起），與 R12 相比 1 處回歸；J-01～J-05 全過（輪次彙總第 16 列）
R14：是——c9a44ac J-01～J-06 全過（J-06 由 R13 的 1 failed 回綠），與 R13 相比無新回歸（輪次彙總第 17 列）
R15：是——d8efc07 J-01～J-06 全過，與 R14 相比零回歸（輪次彙總第 18 列）</t>
        </is>
      </c>
    </row>
    <row r="8" ht="29.25" customHeight="1" s="43">
      <c r="A8" s="78" t="inlineStr">
        <is>
          <t>5</t>
        </is>
      </c>
      <c r="B8" s="48" t="inlineStr">
        <is>
          <t>還原檢查清單 R-1～R-10 全部相符（受測環境已回到基準）</t>
        </is>
      </c>
      <c r="C8" s="79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
R13：不適用——依 Owner 2026-10-01 裁定 6B，本輪寫入留在 demo、不做還原檢查（手冊 §10 結案條件 5、§9 第 2 條）；留在 demo 的資料列於交接紀錄第 35 列
R14：是（依 Owner 2026-09-29 裁定）——本輪各題測完還原，R-1～R-10 相符：帳本列數、已實現、現金池與 14 個部位的股數／成本逐字相同；估值差異只來自辨識時報價驗證連帶更新的 USD/TWD（§五 G）；留在 demo 的 AI 與稽核紀錄逐項列於還原檢查 R-9
R15：是（依 Owner 2026-09-29 裁定）——本輪各題測完還原，R-1～R-10 相符：帳本列數、已實現、配置、現金池與 14 個部位的股數／成本逐字相同；與開跑基準的差異只來自 10-02→10-03 換日（xirr 視窗與 30 日走勢圖）；本輪未花 AI 額度</t>
        </is>
      </c>
    </row>
    <row r="10" ht="15" customHeight="1" s="43">
      <c r="A10" s="62" t="inlineStr">
        <is>
          <t>統計（自動）</t>
        </is>
      </c>
    </row>
    <row r="11" ht="15" customHeight="1" s="43">
      <c r="A11" s="75" t="inlineStr">
        <is>
          <t>總輪次</t>
        </is>
      </c>
      <c r="B11" s="80">
        <f>COUNTA(輪次彙總!$B$4:$B$19)</f>
        <v/>
      </c>
    </row>
    <row r="12" ht="15" customHeight="1" s="43">
      <c r="A12" s="75" t="inlineStr">
        <is>
          <t>測試案例 最終判定 PASS</t>
        </is>
      </c>
      <c r="B12" s="80">
        <f>COUNTIF(測試案例!$M$3:$M$132,"PASS")</f>
        <v/>
      </c>
    </row>
    <row r="13" ht="15" customHeight="1" s="43">
      <c r="A13" s="75" t="inlineStr">
        <is>
          <t>測試案例 最終判定 N/A</t>
        </is>
      </c>
      <c r="B13" s="80">
        <f>COUNTIF(測試案例!$M$3:$M$132,"N/A")</f>
        <v/>
      </c>
    </row>
    <row r="14" ht="15" customHeight="1" s="43">
      <c r="A14" s="75" t="inlineStr">
        <is>
          <t>測試案例 尚未有最終判定</t>
        </is>
      </c>
      <c r="B14" s="80">
        <f>120-COUNTIF(測試案例!$M$3:$M$132,"PASS")-COUNTIF(測試案例!$M$3:$M$132,"N/A")</f>
        <v/>
      </c>
    </row>
    <row r="15" ht="15" customHeight="1" s="43">
      <c r="A15" s="75" t="inlineStr">
        <is>
          <t>缺陷總數</t>
        </is>
      </c>
      <c r="B15" s="80">
        <f>COUNTA(缺陷登記!$I$3:$I$200)</f>
        <v/>
      </c>
    </row>
    <row r="16" ht="15" customHeight="1" s="43">
      <c r="A16" s="75" t="inlineStr">
        <is>
          <t xml:space="preserve">　其中 高</t>
        </is>
      </c>
      <c r="B16" s="80">
        <f>COUNTIF(缺陷登記!$D$3:$D$200,"高")</f>
        <v/>
      </c>
    </row>
    <row r="17" ht="15" customHeight="1" s="43">
      <c r="A17" s="75" t="inlineStr">
        <is>
          <t xml:space="preserve">　其中 中</t>
        </is>
      </c>
      <c r="B17" s="80">
        <f>COUNTIF(缺陷登記!$D$3:$D$200,"中")</f>
        <v/>
      </c>
    </row>
    <row r="18" ht="15" customHeight="1" s="43">
      <c r="A18" s="75" t="inlineStr">
        <is>
          <t xml:space="preserve">　其中 低</t>
        </is>
      </c>
      <c r="B18" s="80">
        <f>COUNTIF(缺陷登記!$D$3:$D$200,"低")</f>
        <v/>
      </c>
    </row>
    <row r="19" ht="15" customHeight="1" s="43">
      <c r="A19" s="75" t="inlineStr">
        <is>
          <t>已結案缺陷</t>
        </is>
      </c>
      <c r="B19" s="80">
        <f>COUNTIF(缺陷登記!$I$3:$I$200,"結案")+COUNTIF(缺陷登記!$I$3:$I$200,"非缺陷")</f>
        <v/>
      </c>
    </row>
    <row r="20" ht="15" customHeight="1" s="43">
      <c r="A20" s="75" t="inlineStr">
        <is>
          <t>未結案缺陷（應為 0）</t>
        </is>
      </c>
      <c r="B20" s="80">
        <f>COUNTA(缺陷登記!$I$3:$I$200)-COUNTIF(缺陷登記!$I$3:$I$200,"結案")-COUNTIF(缺陷登記!$I$3:$I$200,"非缺陷")</f>
        <v/>
      </c>
    </row>
    <row r="22" ht="15" customHeight="1" s="43">
      <c r="A22" s="62" t="inlineStr">
        <is>
          <t>簽核</t>
        </is>
      </c>
    </row>
    <row r="23" ht="15" customHeight="1" s="43">
      <c r="A23" s="62" t="inlineStr">
        <is>
          <t>角色</t>
        </is>
      </c>
      <c r="B23" s="62" t="inlineStr">
        <is>
          <t>姓名</t>
        </is>
      </c>
      <c r="C23" s="62" t="inlineStr">
        <is>
          <t>日期</t>
        </is>
      </c>
      <c r="D23" s="62" t="inlineStr">
        <is>
          <t>簽署意見</t>
        </is>
      </c>
    </row>
    <row r="24" ht="15" customHeight="1" s="43">
      <c r="A24" s="75" t="inlineStr">
        <is>
          <t>檢驗方</t>
        </is>
      </c>
      <c r="B24" s="81" t="inlineStr">
        <is>
          <t>Claude（驗證者）</t>
        </is>
      </c>
      <c r="C24" s="81" t="inlineStr">
        <is>
          <t>2026-10-03</t>
        </is>
      </c>
      <c r="D24" s="79" t="inlineStr">
        <is>
          <t>同意結案（R15 重新簽署）。最終受測版本 v0.1.28 · d8efc07：DEF-092（依 Owner 2026-10-02 裁定 A）經驗證者黑箱重放 R14 原情境、同類抽驗（全部 negative_cash 產生處）與自做變異 7 組全攔後結案；A-11（含 ③）、A-13、A-16、I-07、I-08 與 J 組重跑皆 PASS、無回歸；本輪各題測完還原，還原檢查相符。120 題最終判定 PASS 119／N/A 1，92 張缺陷結案 89、非缺陷 3。另記觀察 1 項交 Owner 裁定（換匯編輯門未檢查換入池，c9a44ac 即如此、非本輪回歸，見交接紀錄第 39 列附註①）；若裁定為缺陷，修正後須再一輪複驗並依新版本重簽本列。本列取代 R14 依 c9a44ac 的簽署</t>
        </is>
      </c>
    </row>
    <row r="25" ht="15" customHeight="1" s="43">
      <c r="A25" s="75" t="inlineStr">
        <is>
          <t>修復方</t>
        </is>
      </c>
      <c r="B25" s="81" t="inlineStr">
        <is>
          <t>Claude（開發者）</t>
        </is>
      </c>
      <c r="C25" s="81" t="inlineStr">
        <is>
          <t>2026-09-30</t>
        </is>
      </c>
      <c r="D25" s="79" t="inlineStr">
        <is>
          <t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      </is>
      </c>
    </row>
    <row r="26" ht="15" customHeight="1" s="43">
      <c r="A26" s="82" t="inlineStr">
        <is>
          <t>Owner</t>
        </is>
      </c>
      <c r="B26" s="81" t="inlineStr">
        <is>
          <t>HFL</t>
        </is>
      </c>
      <c r="C26" s="81" t="inlineStr">
        <is>
          <t>2026-09-30</t>
        </is>
      </c>
      <c r="D26" s="79" t="inlineStr">
        <is>
          <t>同意結案（依 v0.1.28 · d2e5e08）。依 Owner 2026-09-30 在對話中的裁定（交接紀錄第 31 列③），由驗證者代填並經 Owner 2026-10-01 轉交第 32 列指示確認；取代 2026-09-28 依 3a35454 的簽署</t>
        </is>
      </c>
    </row>
    <row r="28" ht="15" customHeight="1" s="43">
      <c r="A28" s="62" t="inlineStr">
        <is>
          <t>最終受測版本（commit）</t>
        </is>
      </c>
      <c r="B28" s="81" t="inlineStr">
        <is>
          <t>v0.1.28 · d8efc07</t>
        </is>
      </c>
    </row>
    <row r="29" ht="15" customHeight="1" s="43">
      <c r="A29" s="62" t="inlineStr">
        <is>
          <t>結案日期</t>
        </is>
      </c>
      <c r="B29" s="81" t="inlineStr">
        <is>
          <t>2026-09-30</t>
        </is>
      </c>
    </row>
    <row r="30" ht="15" customHeight="1" s="43">
      <c r="A30" s="62" t="inlineStr">
        <is>
          <t>結論</t>
        </is>
      </c>
      <c r="B30" s="79" t="inlineStr">
        <is>
          <t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
R13（2026-10-01，上 prod 前在 v0.1.28 · 830056c 整份重跑）：未全數通過——PASS 114／FAIL 3／BLOCKED 1／OBSERVE 1／N/A 1，新開 DEF-087～091（輪次彙總第 16 列、交接紀錄第 35 列）。依 Owner 指示「全部 PASS 後依 R13 改寫第 24 列」，本輪未達，第 24 列維持 R12 依 d2e5e08 的簽署、未依 R13 改寫，第 25、26 列未動。d2e5e08 的結案（2026-09-30）維持為歷史紀錄；830056c 是否可上 prod，待開發者修復 DEF-087／088／090、Owner 裁定 DEF-089／091 與 C-07 的處理後，再一輪複驗（含 J 組），全部 PASS 才依該輪改寫第 24 列
R14（2026-10-02）：上 prod 前的重跑（R13，830056c）所開的 DEF-087～091 已於 c9a44ac 修正並由驗證者複驗通過，R13 未過的題目與 J 組重跑皆 PASS，結案條件 1～5 成立；檢驗方第 24 列已依 R14（c9a44ac）重新簽署，第 28 列最終受測版本改為 v0.1.28 · c9a44ac。第 25、26 列修復方與 Owner 的簽署仍依 d2e5e08，待兩方依 c9a44ac 重新簽署；第 29 列結案日期由 Owner 簽署後更新
R15（2026-10-03）：依 Owner 2026-10-02 裁定 A 所開的 DEF-092 已於 d8efc07 修正並由驗證者複驗通過，A-11（含 ③）、A-13、A-16、I-07、I-08 與 J 組重跑皆 PASS，結案條件 1～5 成立；檢驗方第 24 列已依 R15（d8efc07）重新簽署，第 28 列最終受測版本改為 v0.1.28 · d8efc07。第 25、26 列修復方與 Owner 的簽署待兩方依 d8efc07 重新簽署；第 29 列結案日期由 Owner 簽署後更新。驗證者另記觀察 1 項（換匯編輯門未檢查換入池）交 Owner 裁定，見交接紀錄第 39 列</t>
        </is>
      </c>
    </row>
    <row r="32" ht="15" customHeight="1" s="43">
      <c r="A32" s="75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2026-10-02T19:35:08Z</dcterms:modified>
  <cp:revision>0</cp:revision>
</cp:coreProperties>
</file>