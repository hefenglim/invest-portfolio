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缺陷登記" sheetId="3" state="visible" r:id="rId3"/>
    <sheet xmlns:r="http://schemas.openxmlformats.org/officeDocument/2006/relationships" name="來回記錄" sheetId="4" state="visible" r:id="rId4"/>
    <sheet xmlns:r="http://schemas.openxmlformats.org/officeDocument/2006/relationships" name="交接紀錄" sheetId="5" state="visible" r:id="rId5"/>
    <sheet xmlns:r="http://schemas.openxmlformats.org/officeDocument/2006/relationships" name="輪次彙總" sheetId="6" state="visible" r:id="rId6"/>
    <sheet xmlns:r="http://schemas.openxmlformats.org/officeDocument/2006/relationships" name="還原檢查" sheetId="7" state="visible" r:id="rId7"/>
    <sheet xmlns:r="http://schemas.openxmlformats.org/officeDocument/2006/relationships"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v3.0（2026-09-22）。v1 只有測試案例；v2 加入缺陷登記與來回記錄；v3 加入角色路由、交接紀錄、判讀邏輯與防線盲點欄位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為綠色；③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為扣款色；③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n"/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n"/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顯示「券商費用」（不可與出金混用同一種 chip）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折讓款列**不可編輯**（應為鎖定）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FAIL</t>
        </is>
      </c>
      <c r="M14" s="51" t="n"/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n"/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n"/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n"/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n"/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n"/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n"/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n"/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「當沖」與「放空」互斥的顯示規則正確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FAIL</t>
        </is>
      </c>
      <c r="M30" s="51" t="n"/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n"/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n"/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</t>
        </is>
      </c>
      <c r="L36" s="52" t="inlineStr">
        <is>
          <t>FAIL</t>
        </is>
      </c>
      <c r="M36" s="51" t="n"/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</t>
        </is>
      </c>
      <c r="L37" s="52" t="inlineStr">
        <is>
          <t>FAIL</t>
        </is>
      </c>
      <c r="M37" s="51" t="n"/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</t>
        </is>
      </c>
      <c r="L41" s="52" t="inlineStr">
        <is>
          <t>FAIL</t>
        </is>
      </c>
      <c r="M41" s="51" t="n"/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複驗未過</t>
        </is>
      </c>
      <c r="M43" s="51" t="n"/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股數增加且**成本增加**（與配股不同：DRIP 是拿股利再買進）；② 均價依加權重算；③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n"/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n"/>
      <c r="L52" s="52" t="inlineStr">
        <is>
          <t>BLOCKED</t>
        </is>
      </c>
      <c r="M52" s="51" t="n"/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n"/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n"/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n"/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持倉、均價、成本、目標價、現金全部回到行動前的狀態，逐位元比對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</t>
        </is>
      </c>
      <c r="L64" s="52" t="inlineStr">
        <is>
          <t>FAIL</t>
        </is>
      </c>
      <c r="M64" s="51" t="n"/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複驗未過</t>
        </is>
      </c>
      <c r="M65" s="51" t="n"/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n"/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n"/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n"/>
      <c r="L74" s="52" t="inlineStr">
        <is>
          <t>BLOCKED</t>
        </is>
      </c>
      <c r="M74" s="51" t="n"/>
      <c r="N74" s="51" t="inlineStr">
        <is>
          <t>依手冊 §9 環境前置：demo 依裁定關閉排程器，本案為 BLOCKED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BLOCKED</t>
        </is>
      </c>
      <c r="M75" s="51" t="n"/>
      <c r="N75" s="51" t="inlineStr">
        <is>
          <t>三態中只能實測一態；未以修改資料的方式硬造其他兩態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BLOCKED</t>
        </is>
      </c>
      <c r="M78" s="51" t="n"/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n"/>
      <c r="L80" s="52" t="inlineStr">
        <is>
          <t>BLOCKED</t>
        </is>
      </c>
      <c r="M80" s="51" t="n"/>
      <c r="N80" s="51" t="n"/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n"/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n"/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BLOCKED</t>
        </is>
      </c>
      <c r="M89" s="51" t="n"/>
      <c r="N89" s="51" t="inlineStr">
        <is>
          <t>未把額度真正用罄（需花掉 $3.27，且不可回復）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n"/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n"/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n"/>
      <c r="L96" s="52" t="inlineStr">
        <is>
          <t>PASS</t>
        </is>
      </c>
      <c r="M96" s="51" t="inlineStr">
        <is>
          <t>PASS</t>
        </is>
      </c>
      <c r="N96" s="51" t="n"/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n"/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FAIL</t>
        </is>
      </c>
      <c r="M98" s="51" t="n"/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n"/>
      <c r="L100" s="52" t="inlineStr">
        <is>
          <t>BLOCKED</t>
        </is>
      </c>
      <c r="M100" s="51" t="n"/>
      <c r="N100" s="51" t="inlineStr">
        <is>
          <t>未觸發 generate_calibrations（會花額度且寫入不可回復的校正版本）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</t>
        </is>
      </c>
      <c r="L101" s="52" t="inlineStr">
        <is>
          <t>FAIL</t>
        </is>
      </c>
      <c r="M101" s="51" t="n"/>
      <c r="N101" s="51" t="inlineStr">
        <is>
          <t>R2：DEF-037 複驗通過結案；依 OBS-2 裁定新增期望「僅持有中的標的產卡」→ DEF-041；附帶 DEF-044（排程中心原始帳戶 id）、DEF-046（R1 錯誤卡，裁定刪除）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n"/>
      <c r="L104" s="52" t="inlineStr">
        <is>
          <t>BLOCKED</t>
        </is>
      </c>
      <c r="M104" s="51" t="n"/>
      <c r="N104" s="51" t="inlineStr">
        <is>
          <t>僅確認 設定 › AI 與額度 顯示 4 個已註冊模型（gemini-2.5-flash／gemini-2.5-flash-lite／haiku-4.5／sonnet-5）與角色預設；未讀取或輸入金鑰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n"/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</t>
        </is>
      </c>
      <c r="L106" s="52" t="inlineStr">
        <is>
          <t>FAIL</t>
        </is>
      </c>
      <c r="M106" s="51" t="n"/>
      <c r="N106" s="51" t="inlineStr">
        <is>
          <t>R2：DEF-033 經 Owner 裁定：策略提示詞完整版本記錄 → 待開發者修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n"/>
      <c r="L110" s="52" t="inlineStr">
        <is>
          <t>PASS</t>
        </is>
      </c>
      <c r="M110" s="51" t="inlineStr">
        <is>
          <t>PASS</t>
        </is>
      </c>
      <c r="N110" s="51" t="n"/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n"/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n"/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FAIL</t>
        </is>
      </c>
      <c r="M118" s="51" t="n"/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n"/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n"/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n"/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n"/>
      <c r="I5" s="51" t="inlineStr">
        <is>
          <t>新開</t>
        </is>
      </c>
      <c r="J5" s="51" t="n"/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n"/>
      <c r="I11" s="51" t="inlineStr">
        <is>
          <t>新開</t>
        </is>
      </c>
      <c r="J11" s="51" t="n"/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n"/>
      <c r="I12" s="51" t="inlineStr">
        <is>
          <t>新開</t>
        </is>
      </c>
      <c r="J12" s="51" t="n"/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n"/>
      <c r="I15" s="51" t="inlineStr">
        <is>
          <t>新開</t>
        </is>
      </c>
      <c r="J15" s="51" t="n"/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n"/>
      <c r="I18" s="51" t="inlineStr">
        <is>
          <t>新開</t>
        </is>
      </c>
      <c r="J18" s="51" t="n"/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</t>
        </is>
      </c>
      <c r="I19" s="51" t="inlineStr">
        <is>
          <t>複驗未過</t>
        </is>
      </c>
      <c r="J19" s="51" t="n"/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</t>
        </is>
      </c>
      <c r="I25" s="51" t="inlineStr">
        <is>
          <t>複驗未過</t>
        </is>
      </c>
      <c r="J25" s="51" t="n"/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n"/>
      <c r="I27" s="51" t="inlineStr">
        <is>
          <t>新開</t>
        </is>
      </c>
      <c r="J27" s="51" t="n"/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n"/>
      <c r="I35" s="51" t="inlineStr">
        <is>
          <t>新開</t>
        </is>
      </c>
      <c r="J35" s="51" t="n"/>
      <c r="K35" s="51" t="inlineStr">
        <is>
          <t>Owner 裁定（2026-09-24）：策略提示詞做完整版本記錄：每次儲存留一版，可檢視差異並回復任一版，洞察卡記錄生成時使用的版本。 處置：改程式；H-03 期望不變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n"/>
      <c r="I41" s="51" t="inlineStr">
        <is>
          <t>新開</t>
        </is>
      </c>
      <c r="J41" s="51" t="n"/>
      <c r="K41" s="51" t="inlineStr">
        <is>
          <t>R2 複驗 DEF-027 時發現。同類：/api/input/holdings 的 shares 本來就是 Decimal 原文（例 AAPL 10.00645756457564575645756458），前端凡直接拼字串處都會出現，建議一併掃描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n"/>
      <c r="I42" s="51" t="inlineStr">
        <is>
          <t>新開</t>
        </is>
      </c>
      <c r="J42" s="51" t="n"/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n"/>
      <c r="I43" s="51" t="inlineStr">
        <is>
          <t>新開</t>
        </is>
      </c>
      <c r="J43" s="51" t="n"/>
      <c r="K43" s="51" t="inlineStr">
        <is>
          <t>Owner 裁定（2026-09-24）：預警觸發的「持倉提點」只派發持有中的標的；觀察標的的預警仍列在預警清單，但不產卡。手冊 G-09 補「僅持有中的標的會產卡」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n"/>
      <c r="I44" s="51" t="inlineStr">
        <is>
          <t>新開</t>
        </is>
      </c>
      <c r="J44" s="51" t="n"/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n"/>
      <c r="I45" s="51" t="inlineStr">
        <is>
          <t>新開</t>
        </is>
      </c>
      <c r="J45" s="51" t="n"/>
      <c r="K45" s="51" t="inlineStr">
        <is>
          <t>定位：portfolio_dash/llm_insight/pipeline_status.py:86-87 `_trigger` 只看 f.scheduled，未考慮 scope=on_alert（R1 版本 755c88a 同樣寫法，R1 漏報）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n"/>
      <c r="I46" s="51" t="inlineStr">
        <is>
          <t>新開</t>
        </is>
      </c>
      <c r="J46" s="51" t="n"/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n"/>
      <c r="I47" s="51" t="inlineStr">
        <is>
          <t>新開</t>
        </is>
      </c>
      <c r="J47" s="51" t="n"/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n"/>
      <c r="I48" s="51" t="inlineStr">
        <is>
          <t>新開</t>
        </is>
      </c>
      <c r="J48" s="51" t="n"/>
      <c r="K48" s="51" t="inlineStr">
        <is>
          <t>Owner 裁定（2026-09-24）：刪除該卡（先備份，連同其評分紀錄一併處理並寫稽核紀錄）。程式已修（DEF-037 結案），本項只清資料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n"/>
      <c r="I49" s="51" t="inlineStr">
        <is>
          <t>新開</t>
        </is>
      </c>
      <c r="J49" s="51" t="n"/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n"/>
      <c r="I50" s="51" t="inlineStr">
        <is>
          <t>新開</t>
        </is>
      </c>
      <c r="J50" s="51" t="n"/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</t>
        </is>
      </c>
    </row>
    <row r="51" ht="15" customHeight="1" s="34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</row>
    <row r="52" ht="15" customHeight="1" s="34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</row>
    <row r="53" ht="15" customHeight="1" s="34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</row>
    <row r="54" ht="15" customHeight="1" s="3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</row>
    <row r="55" ht="15" customHeight="1" s="34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</row>
    <row r="56" ht="15" customHeight="1" s="34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</row>
    <row r="57" ht="15" customHeight="1" s="34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</row>
    <row r="58" ht="15" customHeight="1" s="34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</row>
    <row r="59" ht="15" customHeight="1" s="34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</row>
    <row r="60" ht="15" customHeight="1" s="34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</row>
    <row r="61" ht="15" customHeight="1" s="34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</row>
    <row r="62" ht="15" customHeight="1" s="34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</row>
    <row r="63" ht="15" customHeight="1" s="34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</row>
    <row r="64" ht="15" customHeight="1" s="3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</row>
    <row r="65" ht="15" customHeight="1" s="34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</row>
    <row r="66" ht="15" customHeight="1" s="34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</row>
    <row r="67" ht="15" customHeight="1" s="34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</row>
    <row r="68" ht="15" customHeight="1" s="34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</row>
    <row r="69" ht="15" customHeight="1" s="34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</row>
    <row r="70" ht="15" customHeight="1" s="34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</row>
    <row r="71" ht="15" customHeight="1" s="34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</row>
    <row r="72" ht="15" customHeight="1" s="34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</row>
    <row r="73" ht="15" customHeight="1" s="34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</row>
    <row r="74" ht="15" customHeight="1" s="3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</row>
    <row r="75" ht="15" customHeight="1" s="34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</row>
    <row r="76" ht="15" customHeight="1" s="34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</row>
    <row r="77" ht="15" customHeight="1" s="34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</row>
    <row r="78" ht="15" customHeight="1" s="34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</row>
    <row r="79" ht="15" customHeight="1" s="34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</row>
    <row r="80" ht="15" customHeight="1" s="34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</row>
    <row r="81" ht="15" customHeight="1" s="34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</row>
    <row r="82" ht="15" customHeight="1" s="34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</row>
  </sheetData>
  <dataValidations count="4">
    <dataValidation sqref="D3:D82" showDropDown="0" showInputMessage="0" showErrorMessage="0" allowBlank="1" type="list" errorStyle="stop" operator="between">
      <formula1>"高,中,低"</formula1>
      <formula2>0</formula2>
    </dataValidation>
    <dataValidation sqref="E3:E82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2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2 J3:J82" showDropDown="0" showInputMessage="0" showErrorMessage="0" allowBlank="1" type="list" errorStyle="stop" operator="between">
      <formula1>"R1,R2,R3,R4,R5,R6"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15" customHeight="1" s="34">
      <c r="A91" s="51" t="n"/>
      <c r="B91" s="51" t="n"/>
      <c r="C91" s="51" t="n"/>
      <c r="D91" s="51" t="n"/>
      <c r="E91" s="56" t="n"/>
      <c r="F91" s="56" t="n"/>
      <c r="G91" s="56" t="n"/>
      <c r="H91" s="56" t="n"/>
      <c r="I91" s="56" t="n"/>
      <c r="J91" s="56" t="n"/>
      <c r="K91" s="56" t="n"/>
      <c r="L91" s="56" t="n"/>
      <c r="M91" s="57" t="n"/>
      <c r="N91" s="57" t="n"/>
      <c r="O91" s="57" t="n"/>
      <c r="P91" s="57" t="n"/>
      <c r="Q91" s="57" t="n"/>
      <c r="R91" s="57" t="n"/>
    </row>
    <row r="92" ht="15" customHeight="1" s="34">
      <c r="A92" s="51" t="n"/>
      <c r="B92" s="51" t="n"/>
      <c r="C92" s="51" t="n"/>
      <c r="D92" s="51" t="n"/>
      <c r="E92" s="56" t="n"/>
      <c r="F92" s="56" t="n"/>
      <c r="G92" s="56" t="n"/>
      <c r="H92" s="56" t="n"/>
      <c r="I92" s="56" t="n"/>
      <c r="J92" s="56" t="n"/>
      <c r="K92" s="56" t="n"/>
      <c r="L92" s="56" t="n"/>
      <c r="M92" s="57" t="n"/>
      <c r="N92" s="57" t="n"/>
      <c r="O92" s="57" t="n"/>
      <c r="P92" s="57" t="n"/>
      <c r="Q92" s="57" t="n"/>
      <c r="R92" s="57" t="n"/>
    </row>
    <row r="93" ht="15" customHeight="1" s="34">
      <c r="A93" s="51" t="n"/>
      <c r="B93" s="51" t="n"/>
      <c r="C93" s="51" t="n"/>
      <c r="D93" s="51" t="n"/>
      <c r="E93" s="56" t="n"/>
      <c r="F93" s="56" t="n"/>
      <c r="G93" s="56" t="n"/>
      <c r="H93" s="56" t="n"/>
      <c r="I93" s="56" t="n"/>
      <c r="J93" s="56" t="n"/>
      <c r="K93" s="56" t="n"/>
      <c r="L93" s="56" t="n"/>
      <c r="M93" s="57" t="n"/>
      <c r="N93" s="57" t="n"/>
      <c r="O93" s="57" t="n"/>
      <c r="P93" s="57" t="n"/>
      <c r="Q93" s="57" t="n"/>
      <c r="R93" s="57" t="n"/>
    </row>
    <row r="94" ht="15" customHeight="1" s="34">
      <c r="A94" s="51" t="n"/>
      <c r="B94" s="51" t="n"/>
      <c r="C94" s="51" t="n"/>
      <c r="D94" s="51" t="n"/>
      <c r="E94" s="56" t="n"/>
      <c r="F94" s="56" t="n"/>
      <c r="G94" s="56" t="n"/>
      <c r="H94" s="56" t="n"/>
      <c r="I94" s="56" t="n"/>
      <c r="J94" s="56" t="n"/>
      <c r="K94" s="56" t="n"/>
      <c r="L94" s="56" t="n"/>
      <c r="M94" s="57" t="n"/>
      <c r="N94" s="57" t="n"/>
      <c r="O94" s="57" t="n"/>
      <c r="P94" s="57" t="n"/>
      <c r="Q94" s="57" t="n"/>
      <c r="R94" s="57" t="n"/>
    </row>
    <row r="95" ht="15" customHeight="1" s="34">
      <c r="A95" s="51" t="n"/>
      <c r="B95" s="51" t="n"/>
      <c r="C95" s="51" t="n"/>
      <c r="D95" s="51" t="n"/>
      <c r="E95" s="56" t="n"/>
      <c r="F95" s="56" t="n"/>
      <c r="G95" s="56" t="n"/>
      <c r="H95" s="56" t="n"/>
      <c r="I95" s="56" t="n"/>
      <c r="J95" s="56" t="n"/>
      <c r="K95" s="56" t="n"/>
      <c r="L95" s="56" t="n"/>
      <c r="M95" s="57" t="n"/>
      <c r="N95" s="57" t="n"/>
      <c r="O95" s="57" t="n"/>
      <c r="P95" s="57" t="n"/>
      <c r="Q95" s="57" t="n"/>
      <c r="R95" s="57" t="n"/>
    </row>
    <row r="96" ht="15" customHeight="1" s="34">
      <c r="A96" s="51" t="n"/>
      <c r="B96" s="51" t="n"/>
      <c r="C96" s="51" t="n"/>
      <c r="D96" s="51" t="n"/>
      <c r="E96" s="56" t="n"/>
      <c r="F96" s="56" t="n"/>
      <c r="G96" s="56" t="n"/>
      <c r="H96" s="56" t="n"/>
      <c r="I96" s="56" t="n"/>
      <c r="J96" s="56" t="n"/>
      <c r="K96" s="56" t="n"/>
      <c r="L96" s="56" t="n"/>
      <c r="M96" s="57" t="n"/>
      <c r="N96" s="57" t="n"/>
      <c r="O96" s="57" t="n"/>
      <c r="P96" s="57" t="n"/>
      <c r="Q96" s="57" t="n"/>
      <c r="R96" s="57" t="n"/>
    </row>
    <row r="97" ht="15" customHeight="1" s="34">
      <c r="A97" s="51" t="n"/>
      <c r="B97" s="51" t="n"/>
      <c r="C97" s="51" t="n"/>
      <c r="D97" s="51" t="n"/>
      <c r="E97" s="56" t="n"/>
      <c r="F97" s="56" t="n"/>
      <c r="G97" s="56" t="n"/>
      <c r="H97" s="56" t="n"/>
      <c r="I97" s="56" t="n"/>
      <c r="J97" s="56" t="n"/>
      <c r="K97" s="56" t="n"/>
      <c r="L97" s="56" t="n"/>
      <c r="M97" s="57" t="n"/>
      <c r="N97" s="57" t="n"/>
      <c r="O97" s="57" t="n"/>
      <c r="P97" s="57" t="n"/>
      <c r="Q97" s="57" t="n"/>
      <c r="R97" s="57" t="n"/>
    </row>
    <row r="98" ht="15" customHeight="1" s="34">
      <c r="A98" s="51" t="n"/>
      <c r="B98" s="51" t="n"/>
      <c r="C98" s="51" t="n"/>
      <c r="D98" s="51" t="n"/>
      <c r="E98" s="56" t="n"/>
      <c r="F98" s="56" t="n"/>
      <c r="G98" s="56" t="n"/>
      <c r="H98" s="56" t="n"/>
      <c r="I98" s="56" t="n"/>
      <c r="J98" s="56" t="n"/>
      <c r="K98" s="56" t="n"/>
      <c r="L98" s="56" t="n"/>
      <c r="M98" s="57" t="n"/>
      <c r="N98" s="57" t="n"/>
      <c r="O98" s="57" t="n"/>
      <c r="P98" s="57" t="n"/>
      <c r="Q98" s="57" t="n"/>
      <c r="R98" s="57" t="n"/>
    </row>
    <row r="99" ht="15" customHeight="1" s="34">
      <c r="A99" s="51" t="n"/>
      <c r="B99" s="51" t="n"/>
      <c r="C99" s="51" t="n"/>
      <c r="D99" s="51" t="n"/>
      <c r="E99" s="56" t="n"/>
      <c r="F99" s="56" t="n"/>
      <c r="G99" s="56" t="n"/>
      <c r="H99" s="56" t="n"/>
      <c r="I99" s="56" t="n"/>
      <c r="J99" s="56" t="n"/>
      <c r="K99" s="56" t="n"/>
      <c r="L99" s="56" t="n"/>
      <c r="M99" s="57" t="n"/>
      <c r="N99" s="57" t="n"/>
      <c r="O99" s="57" t="n"/>
      <c r="P99" s="57" t="n"/>
      <c r="Q99" s="57" t="n"/>
      <c r="R99" s="57" t="n"/>
    </row>
    <row r="100" ht="15" customHeight="1" s="34">
      <c r="A100" s="51" t="n"/>
      <c r="B100" s="51" t="n"/>
      <c r="C100" s="51" t="n"/>
      <c r="D100" s="51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7" t="n"/>
      <c r="N100" s="57" t="n"/>
      <c r="O100" s="57" t="n"/>
      <c r="P100" s="57" t="n"/>
      <c r="Q100" s="57" t="n"/>
      <c r="R100" s="57" t="n"/>
    </row>
    <row r="101" ht="15" customHeight="1" s="34">
      <c r="A101" s="51" t="n"/>
      <c r="B101" s="51" t="n"/>
      <c r="C101" s="51" t="n"/>
      <c r="D101" s="51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7" t="n"/>
      <c r="N101" s="57" t="n"/>
      <c r="O101" s="57" t="n"/>
      <c r="P101" s="57" t="n"/>
      <c r="Q101" s="57" t="n"/>
      <c r="R101" s="57" t="n"/>
    </row>
    <row r="102" ht="15" customHeight="1" s="34">
      <c r="A102" s="51" t="n"/>
      <c r="B102" s="51" t="n"/>
      <c r="C102" s="51" t="n"/>
      <c r="D102" s="51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7" t="n"/>
      <c r="N102" s="57" t="n"/>
      <c r="O102" s="57" t="n"/>
      <c r="P102" s="57" t="n"/>
      <c r="Q102" s="57" t="n"/>
      <c r="R102" s="57" t="n"/>
    </row>
    <row r="103" ht="15" customHeight="1" s="34">
      <c r="A103" s="51" t="n"/>
      <c r="B103" s="51" t="n"/>
      <c r="C103" s="51" t="n"/>
      <c r="D103" s="51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7" t="n"/>
      <c r="N103" s="57" t="n"/>
      <c r="O103" s="57" t="n"/>
      <c r="P103" s="57" t="n"/>
      <c r="Q103" s="57" t="n"/>
      <c r="R103" s="57" t="n"/>
    </row>
    <row r="104" ht="15" customHeight="1" s="34">
      <c r="A104" s="51" t="n"/>
      <c r="B104" s="51" t="n"/>
      <c r="C104" s="51" t="n"/>
      <c r="D104" s="51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7" t="n"/>
      <c r="N104" s="57" t="n"/>
      <c r="O104" s="57" t="n"/>
      <c r="P104" s="57" t="n"/>
      <c r="Q104" s="57" t="n"/>
      <c r="R104" s="57" t="n"/>
    </row>
    <row r="105" ht="15" customHeight="1" s="34">
      <c r="A105" s="51" t="n"/>
      <c r="B105" s="51" t="n"/>
      <c r="C105" s="51" t="n"/>
      <c r="D105" s="51" t="n"/>
      <c r="E105" s="56" t="n"/>
      <c r="F105" s="56" t="n"/>
      <c r="G105" s="56" t="n"/>
      <c r="H105" s="56" t="n"/>
      <c r="I105" s="56" t="n"/>
      <c r="J105" s="56" t="n"/>
      <c r="K105" s="56" t="n"/>
      <c r="L105" s="56" t="n"/>
      <c r="M105" s="57" t="n"/>
      <c r="N105" s="57" t="n"/>
      <c r="O105" s="57" t="n"/>
      <c r="P105" s="57" t="n"/>
      <c r="Q105" s="57" t="n"/>
      <c r="R105" s="57" t="n"/>
    </row>
    <row r="106" ht="15" customHeight="1" s="34">
      <c r="A106" s="51" t="n"/>
      <c r="B106" s="51" t="n"/>
      <c r="C106" s="51" t="n"/>
      <c r="D106" s="51" t="n"/>
      <c r="E106" s="56" t="n"/>
      <c r="F106" s="56" t="n"/>
      <c r="G106" s="56" t="n"/>
      <c r="H106" s="56" t="n"/>
      <c r="I106" s="56" t="n"/>
      <c r="J106" s="56" t="n"/>
      <c r="K106" s="56" t="n"/>
      <c r="L106" s="56" t="n"/>
      <c r="M106" s="57" t="n"/>
      <c r="N106" s="57" t="n"/>
      <c r="O106" s="57" t="n"/>
      <c r="P106" s="57" t="n"/>
      <c r="Q106" s="57" t="n"/>
      <c r="R106" s="57" t="n"/>
    </row>
    <row r="107" ht="15" customHeight="1" s="34">
      <c r="A107" s="51" t="n"/>
      <c r="B107" s="51" t="n"/>
      <c r="C107" s="51" t="n"/>
      <c r="D107" s="51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7" t="n"/>
      <c r="N107" s="57" t="n"/>
      <c r="O107" s="57" t="n"/>
      <c r="P107" s="57" t="n"/>
      <c r="Q107" s="57" t="n"/>
      <c r="R107" s="57" t="n"/>
    </row>
    <row r="108" ht="15" customHeight="1" s="34">
      <c r="A108" s="51" t="n"/>
      <c r="B108" s="51" t="n"/>
      <c r="C108" s="51" t="n"/>
      <c r="D108" s="51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7" t="n"/>
      <c r="N108" s="57" t="n"/>
      <c r="O108" s="57" t="n"/>
      <c r="P108" s="57" t="n"/>
      <c r="Q108" s="57" t="n"/>
      <c r="R108" s="57" t="n"/>
    </row>
    <row r="109" ht="15" customHeight="1" s="34">
      <c r="A109" s="51" t="n"/>
      <c r="B109" s="51" t="n"/>
      <c r="C109" s="51" t="n"/>
      <c r="D109" s="51" t="n"/>
      <c r="E109" s="56" t="n"/>
      <c r="F109" s="56" t="n"/>
      <c r="G109" s="56" t="n"/>
      <c r="H109" s="56" t="n"/>
      <c r="I109" s="56" t="n"/>
      <c r="J109" s="56" t="n"/>
      <c r="K109" s="56" t="n"/>
      <c r="L109" s="56" t="n"/>
      <c r="M109" s="57" t="n"/>
      <c r="N109" s="57" t="n"/>
      <c r="O109" s="57" t="n"/>
      <c r="P109" s="57" t="n"/>
      <c r="Q109" s="57" t="n"/>
      <c r="R109" s="57" t="n"/>
    </row>
    <row r="110" ht="15" customHeight="1" s="34">
      <c r="A110" s="51" t="n"/>
      <c r="B110" s="51" t="n"/>
      <c r="C110" s="51" t="n"/>
      <c r="D110" s="51" t="n"/>
      <c r="E110" s="56" t="n"/>
      <c r="F110" s="56" t="n"/>
      <c r="G110" s="56" t="n"/>
      <c r="H110" s="56" t="n"/>
      <c r="I110" s="56" t="n"/>
      <c r="J110" s="56" t="n"/>
      <c r="K110" s="56" t="n"/>
      <c r="L110" s="56" t="n"/>
      <c r="M110" s="57" t="n"/>
      <c r="N110" s="57" t="n"/>
      <c r="O110" s="57" t="n"/>
      <c r="P110" s="57" t="n"/>
      <c r="Q110" s="57" t="n"/>
      <c r="R110" s="57" t="n"/>
    </row>
    <row r="111" ht="15" customHeight="1" s="34">
      <c r="A111" s="51" t="n"/>
      <c r="B111" s="51" t="n"/>
      <c r="C111" s="51" t="n"/>
      <c r="D111" s="51" t="n"/>
      <c r="E111" s="56" t="n"/>
      <c r="F111" s="56" t="n"/>
      <c r="G111" s="56" t="n"/>
      <c r="H111" s="56" t="n"/>
      <c r="I111" s="56" t="n"/>
      <c r="J111" s="56" t="n"/>
      <c r="K111" s="56" t="n"/>
      <c r="L111" s="56" t="n"/>
      <c r="M111" s="57" t="n"/>
      <c r="N111" s="57" t="n"/>
      <c r="O111" s="57" t="n"/>
      <c r="P111" s="57" t="n"/>
      <c r="Q111" s="57" t="n"/>
      <c r="R111" s="57" t="n"/>
    </row>
    <row r="112" ht="15" customHeight="1" s="34">
      <c r="A112" s="51" t="n"/>
      <c r="B112" s="51" t="n"/>
      <c r="C112" s="51" t="n"/>
      <c r="D112" s="51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7" t="n"/>
      <c r="N112" s="57" t="n"/>
      <c r="O112" s="57" t="n"/>
      <c r="P112" s="57" t="n"/>
      <c r="Q112" s="57" t="n"/>
      <c r="R112" s="57" t="n"/>
    </row>
    <row r="113" ht="15" customHeight="1" s="34">
      <c r="A113" s="51" t="n"/>
      <c r="B113" s="51" t="n"/>
      <c r="C113" s="51" t="n"/>
      <c r="D113" s="51" t="n"/>
      <c r="E113" s="56" t="n"/>
      <c r="F113" s="56" t="n"/>
      <c r="G113" s="56" t="n"/>
      <c r="H113" s="56" t="n"/>
      <c r="I113" s="56" t="n"/>
      <c r="J113" s="56" t="n"/>
      <c r="K113" s="56" t="n"/>
      <c r="L113" s="56" t="n"/>
      <c r="M113" s="57" t="n"/>
      <c r="N113" s="57" t="n"/>
      <c r="O113" s="57" t="n"/>
      <c r="P113" s="57" t="n"/>
      <c r="Q113" s="57" t="n"/>
      <c r="R113" s="57" t="n"/>
    </row>
    <row r="114" ht="15" customHeight="1" s="34">
      <c r="A114" s="51" t="n"/>
      <c r="B114" s="51" t="n"/>
      <c r="C114" s="51" t="n"/>
      <c r="D114" s="51" t="n"/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7" t="n"/>
      <c r="N114" s="57" t="n"/>
      <c r="O114" s="57" t="n"/>
      <c r="P114" s="57" t="n"/>
      <c r="Q114" s="57" t="n"/>
      <c r="R114" s="57" t="n"/>
    </row>
    <row r="115" ht="15" customHeight="1" s="34">
      <c r="A115" s="51" t="n"/>
      <c r="B115" s="51" t="n"/>
      <c r="C115" s="51" t="n"/>
      <c r="D115" s="51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7" t="n"/>
      <c r="N115" s="57" t="n"/>
      <c r="O115" s="57" t="n"/>
      <c r="P115" s="57" t="n"/>
      <c r="Q115" s="57" t="n"/>
      <c r="R115" s="57" t="n"/>
    </row>
    <row r="116" ht="15" customHeight="1" s="34">
      <c r="A116" s="51" t="n"/>
      <c r="B116" s="51" t="n"/>
      <c r="C116" s="51" t="n"/>
      <c r="D116" s="51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7" t="n"/>
      <c r="N116" s="57" t="n"/>
      <c r="O116" s="57" t="n"/>
      <c r="P116" s="57" t="n"/>
      <c r="Q116" s="57" t="n"/>
      <c r="R116" s="57" t="n"/>
    </row>
    <row r="117" ht="15" customHeight="1" s="34">
      <c r="A117" s="51" t="n"/>
      <c r="B117" s="51" t="n"/>
      <c r="C117" s="51" t="n"/>
      <c r="D117" s="51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7" t="n"/>
      <c r="N117" s="57" t="n"/>
      <c r="O117" s="57" t="n"/>
      <c r="P117" s="57" t="n"/>
      <c r="Q117" s="57" t="n"/>
      <c r="R117" s="57" t="n"/>
    </row>
    <row r="118" ht="15" customHeight="1" s="34">
      <c r="A118" s="51" t="n"/>
      <c r="B118" s="51" t="n"/>
      <c r="C118" s="51" t="n"/>
      <c r="D118" s="51" t="n"/>
      <c r="E118" s="56" t="n"/>
      <c r="F118" s="56" t="n"/>
      <c r="G118" s="56" t="n"/>
      <c r="H118" s="56" t="n"/>
      <c r="I118" s="56" t="n"/>
      <c r="J118" s="56" t="n"/>
      <c r="K118" s="56" t="n"/>
      <c r="L118" s="56" t="n"/>
      <c r="M118" s="57" t="n"/>
      <c r="N118" s="57" t="n"/>
      <c r="O118" s="57" t="n"/>
      <c r="P118" s="57" t="n"/>
      <c r="Q118" s="57" t="n"/>
      <c r="R118" s="57" t="n"/>
    </row>
    <row r="119" ht="15" customHeight="1" s="34">
      <c r="A119" s="51" t="n"/>
      <c r="B119" s="51" t="n"/>
      <c r="C119" s="51" t="n"/>
      <c r="D119" s="51" t="n"/>
      <c r="E119" s="56" t="n"/>
      <c r="F119" s="56" t="n"/>
      <c r="G119" s="56" t="n"/>
      <c r="H119" s="56" t="n"/>
      <c r="I119" s="56" t="n"/>
      <c r="J119" s="56" t="n"/>
      <c r="K119" s="56" t="n"/>
      <c r="L119" s="56" t="n"/>
      <c r="M119" s="57" t="n"/>
      <c r="N119" s="57" t="n"/>
      <c r="O119" s="57" t="n"/>
      <c r="P119" s="57" t="n"/>
      <c r="Q119" s="57" t="n"/>
      <c r="R119" s="57" t="n"/>
    </row>
    <row r="120" ht="15" customHeight="1" s="34">
      <c r="A120" s="51" t="n"/>
      <c r="B120" s="51" t="n"/>
      <c r="C120" s="51" t="n"/>
      <c r="D120" s="51" t="n"/>
      <c r="E120" s="56" t="n"/>
      <c r="F120" s="56" t="n"/>
      <c r="G120" s="56" t="n"/>
      <c r="H120" s="56" t="n"/>
      <c r="I120" s="56" t="n"/>
      <c r="J120" s="56" t="n"/>
      <c r="K120" s="56" t="n"/>
      <c r="L120" s="56" t="n"/>
      <c r="M120" s="57" t="n"/>
      <c r="N120" s="57" t="n"/>
      <c r="O120" s="57" t="n"/>
      <c r="P120" s="57" t="n"/>
      <c r="Q120" s="57" t="n"/>
      <c r="R120" s="57" t="n"/>
    </row>
    <row r="121" ht="15" customHeight="1" s="34">
      <c r="A121" s="51" t="n"/>
      <c r="B121" s="51" t="n"/>
      <c r="C121" s="51" t="n"/>
      <c r="D121" s="51" t="n"/>
      <c r="E121" s="56" t="n"/>
      <c r="F121" s="56" t="n"/>
      <c r="G121" s="56" t="n"/>
      <c r="H121" s="56" t="n"/>
      <c r="I121" s="56" t="n"/>
      <c r="J121" s="56" t="n"/>
      <c r="K121" s="56" t="n"/>
      <c r="L121" s="56" t="n"/>
      <c r="M121" s="57" t="n"/>
      <c r="N121" s="57" t="n"/>
      <c r="O121" s="57" t="n"/>
      <c r="P121" s="57" t="n"/>
      <c r="Q121" s="57" t="n"/>
      <c r="R121" s="57" t="n"/>
    </row>
    <row r="122" ht="15" customHeight="1" s="34">
      <c r="A122" s="51" t="n"/>
      <c r="B122" s="51" t="n"/>
      <c r="C122" s="51" t="n"/>
      <c r="D122" s="51" t="n"/>
      <c r="E122" s="56" t="n"/>
      <c r="F122" s="56" t="n"/>
      <c r="G122" s="56" t="n"/>
      <c r="H122" s="56" t="n"/>
      <c r="I122" s="56" t="n"/>
      <c r="J122" s="56" t="n"/>
      <c r="K122" s="56" t="n"/>
      <c r="L122" s="56" t="n"/>
      <c r="M122" s="57" t="n"/>
      <c r="N122" s="57" t="n"/>
      <c r="O122" s="57" t="n"/>
      <c r="P122" s="57" t="n"/>
      <c r="Q122" s="57" t="n"/>
      <c r="R122" s="57" t="n"/>
    </row>
    <row r="123" ht="15" customHeight="1" s="34">
      <c r="A123" s="51" t="n"/>
      <c r="B123" s="51" t="n"/>
      <c r="C123" s="51" t="n"/>
      <c r="D123" s="51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7" t="n"/>
      <c r="N123" s="57" t="n"/>
      <c r="O123" s="57" t="n"/>
      <c r="P123" s="57" t="n"/>
      <c r="Q123" s="57" t="n"/>
      <c r="R123" s="57" t="n"/>
    </row>
    <row r="124" ht="15" customHeight="1" s="34">
      <c r="A124" s="51" t="n"/>
      <c r="B124" s="51" t="n"/>
      <c r="C124" s="51" t="n"/>
      <c r="D124" s="51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7" t="n"/>
      <c r="N124" s="57" t="n"/>
      <c r="O124" s="57" t="n"/>
      <c r="P124" s="57" t="n"/>
      <c r="Q124" s="57" t="n"/>
      <c r="R124" s="57" t="n"/>
    </row>
  </sheetData>
  <mergeCells count="1">
    <mergeCell ref="A1:R1"/>
  </mergeCells>
  <dataValidations count="2">
    <dataValidation sqref="A5:A124" showDropDown="0" showInputMessage="0" showErrorMessage="0" allowBlank="1" type="list" errorStyle="stop" operator="between">
      <formula1>"R1,R2,R3,R4,R5,R6"</formula1>
      <formula2>0</formula2>
    </dataValidation>
    <dataValidation sqref="P5:P124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15" customHeight="1" s="34">
      <c r="A7" s="51" t="n"/>
      <c r="B7" s="51" t="n"/>
      <c r="C7" s="51" t="n"/>
      <c r="D7" s="51" t="n"/>
      <c r="E7" s="51" t="n"/>
      <c r="F7" s="51" t="n"/>
    </row>
    <row r="8" ht="15" customHeight="1" s="34">
      <c r="A8" s="51" t="n"/>
      <c r="B8" s="51" t="n"/>
      <c r="C8" s="51" t="n"/>
      <c r="D8" s="51" t="n"/>
      <c r="E8" s="51" t="n"/>
      <c r="F8" s="51" t="n"/>
    </row>
    <row r="9" ht="15" customHeight="1" s="34">
      <c r="A9" s="51" t="n"/>
      <c r="B9" s="51" t="n"/>
      <c r="C9" s="51" t="n"/>
      <c r="D9" s="51" t="n"/>
      <c r="E9" s="51" t="n"/>
      <c r="F9" s="51" t="n"/>
    </row>
    <row r="10" ht="15" customHeight="1" s="34">
      <c r="A10" s="51" t="n"/>
      <c r="B10" s="51" t="n"/>
      <c r="C10" s="51" t="n"/>
      <c r="D10" s="51" t="n"/>
      <c r="E10" s="51" t="n"/>
      <c r="F10" s="51" t="n"/>
    </row>
    <row r="11" ht="15" customHeight="1" s="34">
      <c r="A11" s="51" t="n"/>
      <c r="B11" s="51" t="n"/>
      <c r="C11" s="51" t="n"/>
      <c r="D11" s="51" t="n"/>
      <c r="E11" s="51" t="n"/>
      <c r="F11" s="51" t="n"/>
    </row>
    <row r="12" ht="15" customHeight="1" s="34">
      <c r="A12" s="51" t="n"/>
      <c r="B12" s="51" t="n"/>
      <c r="C12" s="51" t="n"/>
      <c r="D12" s="51" t="n"/>
      <c r="E12" s="51" t="n"/>
      <c r="F12" s="51" t="n"/>
    </row>
    <row r="13" ht="15" customHeight="1" s="34">
      <c r="A13" s="51" t="n"/>
      <c r="B13" s="51" t="n"/>
      <c r="C13" s="51" t="n"/>
      <c r="D13" s="51" t="n"/>
      <c r="E13" s="51" t="n"/>
      <c r="F13" s="51" t="n"/>
    </row>
    <row r="14" ht="15" customHeight="1" s="34">
      <c r="A14" s="51" t="n"/>
      <c r="B14" s="51" t="n"/>
      <c r="C14" s="51" t="n"/>
      <c r="D14" s="51" t="n"/>
      <c r="E14" s="51" t="n"/>
      <c r="F14" s="51" t="n"/>
    </row>
    <row r="15" ht="15" customHeight="1" s="34">
      <c r="A15" s="51" t="n"/>
      <c r="B15" s="51" t="n"/>
      <c r="C15" s="51" t="n"/>
      <c r="D15" s="51" t="n"/>
      <c r="E15" s="51" t="n"/>
      <c r="F15" s="51" t="n"/>
    </row>
    <row r="16" ht="15" customHeight="1" s="34">
      <c r="A16" s="51" t="n"/>
      <c r="B16" s="51" t="n"/>
      <c r="C16" s="51" t="n"/>
      <c r="D16" s="51" t="n"/>
      <c r="E16" s="51" t="n"/>
      <c r="F16" s="51" t="n"/>
    </row>
    <row r="17" ht="15" customHeight="1" s="34">
      <c r="A17" s="51" t="n"/>
      <c r="B17" s="51" t="n"/>
      <c r="C17" s="51" t="n"/>
      <c r="D17" s="51" t="n"/>
      <c r="E17" s="51" t="n"/>
      <c r="F17" s="51" t="n"/>
    </row>
    <row r="18" ht="15" customHeight="1" s="34">
      <c r="A18" s="51" t="n"/>
      <c r="B18" s="51" t="n"/>
      <c r="C18" s="51" t="n"/>
      <c r="D18" s="51" t="n"/>
      <c r="E18" s="51" t="n"/>
      <c r="F18" s="51" t="n"/>
    </row>
    <row r="19" ht="15" customHeight="1" s="34">
      <c r="A19" s="51" t="n"/>
      <c r="B19" s="51" t="n"/>
      <c r="C19" s="51" t="n"/>
      <c r="D19" s="51" t="n"/>
      <c r="E19" s="51" t="n"/>
      <c r="F19" s="51" t="n"/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COUNTIF(缺陷登記!$F$3:$F$82,$A4)</f>
        <v/>
      </c>
      <c r="K4" s="60">
        <f>COUNTIF(缺陷登記!$J$3:$J$82,$A4)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COUNTIF(缺陷登記!$F$3:$F$82,$A5)</f>
        <v/>
      </c>
      <c r="K5" s="60">
        <f>COUNTIF(缺陷登記!$J$3:$J$82,$A5)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n"/>
      <c r="C6" s="59" t="n"/>
      <c r="D6" s="59" t="n"/>
      <c r="E6" s="59" t="n"/>
      <c r="F6" s="59" t="n"/>
      <c r="G6" s="59" t="n"/>
      <c r="H6" s="59" t="n"/>
      <c r="I6" s="59" t="n"/>
      <c r="J6" s="60">
        <f>COUNTIF(缺陷登記!$F$3:$F$82,$A6)</f>
        <v/>
      </c>
      <c r="K6" s="60">
        <f>COUNTIF(缺陷登記!$J$3:$J$82,$A6)</f>
        <v/>
      </c>
      <c r="L6" s="60">
        <f>SUM($J$4:$J6)-SUM($K$4:$K6)</f>
        <v/>
      </c>
      <c r="M6" s="59" t="n"/>
      <c r="N6" s="59" t="n"/>
    </row>
    <row r="7" ht="15" customHeight="1" s="34">
      <c r="A7" s="48" t="inlineStr">
        <is>
          <t>R4</t>
        </is>
      </c>
      <c r="B7" s="59" t="n"/>
      <c r="C7" s="59" t="n"/>
      <c r="D7" s="59" t="n"/>
      <c r="E7" s="59" t="n"/>
      <c r="F7" s="59" t="n"/>
      <c r="G7" s="59" t="n"/>
      <c r="H7" s="59" t="n"/>
      <c r="I7" s="59" t="n"/>
      <c r="J7" s="60">
        <f>COUNTIF(缺陷登記!$F$3:$F$82,$A7)</f>
        <v/>
      </c>
      <c r="K7" s="60">
        <f>COUNTIF(缺陷登記!$J$3:$J$82,$A7)</f>
        <v/>
      </c>
      <c r="L7" s="60">
        <f>SUM($J$4:$J7)-SUM($K$4:$K7)</f>
        <v/>
      </c>
      <c r="M7" s="59" t="n"/>
      <c r="N7" s="59" t="n"/>
    </row>
    <row r="8" ht="15" customHeight="1" s="34">
      <c r="A8" s="48" t="inlineStr">
        <is>
          <t>R5</t>
        </is>
      </c>
      <c r="B8" s="59" t="n"/>
      <c r="C8" s="59" t="n"/>
      <c r="D8" s="59" t="n"/>
      <c r="E8" s="59" t="n"/>
      <c r="F8" s="59" t="n"/>
      <c r="G8" s="59" t="n"/>
      <c r="H8" s="59" t="n"/>
      <c r="I8" s="59" t="n"/>
      <c r="J8" s="60">
        <f>COUNTIF(缺陷登記!$F$3:$F$82,$A8)</f>
        <v/>
      </c>
      <c r="K8" s="60">
        <f>COUNTIF(缺陷登記!$J$3:$J$82,$A8)</f>
        <v/>
      </c>
      <c r="L8" s="60">
        <f>SUM($J$4:$J8)-SUM($K$4:$K8)</f>
        <v/>
      </c>
      <c r="M8" s="59" t="n"/>
      <c r="N8" s="59" t="n"/>
    </row>
    <row r="9" ht="15" customHeight="1" s="34">
      <c r="A9" s="48" t="inlineStr">
        <is>
          <t>R6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60">
        <f>COUNTIF(缺陷登記!$F$3:$F$82,$A9)</f>
        <v/>
      </c>
      <c r="K9" s="60">
        <f>COUNTIF(缺陷登記!$J$3:$J$82,$A9)</f>
        <v/>
      </c>
      <c r="L9" s="60">
        <f>SUM($J$4:$J9)-SUM($K$4:$K9)</f>
        <v/>
      </c>
      <c r="M9" s="59" t="n"/>
      <c r="N9" s="59" t="n"/>
    </row>
    <row r="11" ht="15" customHeight="1" s="34">
      <c r="A11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1:N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56（R2_START 2026-09-24 02:05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R2_START 四段 JSON 原文（kpis／holdings／realized／allocation）</t>
        </is>
      </c>
      <c r="E9" s="59" t="inlineStr">
        <is>
          <t>四段字串完全相同（本輪未更新報價）</t>
        </is>
      </c>
      <c r="F9" s="59" t="inlineStr">
        <is>
          <t>是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兩段字串完全相同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批（本輪建立的批次 11、12 已復原／隨帳本清除）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檔、目標價皆空</t>
        </is>
      </c>
      <c r="E12" s="59" t="inlineStr">
        <is>
          <t>26 檔、目標價皆空（2884／2882／2330 測試用目標價已清回）；暫存洞察任務 #11 已刪，任務清單 1／2／7／8／9 皆啟用；自動 AI 辨識 true、低額度閾值 1.00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$3.2720718</t>
        </is>
      </c>
      <c r="E13" s="59" t="inlineStr">
        <is>
          <t>剩餘額度 $3.2684400；本輪花費 $0.0036318＝insight:7 run #180 $0.0023063＋AI 輸入解析 $0.0005936＋insight:9 run #184 $0.0007319</t>
        </is>
      </c>
      <c r="F13" s="59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n"/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n"/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n"/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n"/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n"/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COUNTA(輪次彙總!$B$4:$B$9)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COUNTA(缺陷登記!$I$3:$I$82)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COUNTIF(缺陷登記!$D$3:$D$82,"高")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COUNTIF(缺陷登記!$D$3:$D$82,"中")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COUNTIF(缺陷登記!$D$3:$D$82,"低")</f>
        <v/>
      </c>
    </row>
    <row r="19" ht="15" customHeight="1" s="34">
      <c r="A19" s="61" t="inlineStr">
        <is>
          <t>已結案缺陷</t>
        </is>
      </c>
      <c r="B19" s="65">
        <f>COUNTIF(缺陷登記!$I$3:$I$82,"結案")+COUNTIF(缺陷登記!$I$3:$I$82,"非缺陷")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COUNTA(缺陷登記!$I$3:$I$82)-COUNTIF(缺陷登記!$I$3:$I$82,"結案")-COUNTIF(缺陷登記!$I$3:$I$82,"非缺陷")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n"/>
      <c r="C24" s="64" t="n"/>
      <c r="D24" s="64" t="n"/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n"/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n"/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2026-09-22T17:50:57Z</dcterms:created>
  <dcterms:modified xmlns:dcterms="http://purl.org/dc/terms/" xmlns:xsi="http://www.w3.org/2001/XMLSchema-instance" xsi:type="dcterms:W3CDTF">2026-09-24T01:49:04Z</dcterms:modified>
  <cp:revision>0</cp:revision>
</cp:coreProperties>
</file>