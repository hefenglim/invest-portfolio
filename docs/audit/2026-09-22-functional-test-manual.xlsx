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說明" sheetId="1" state="visible" r:id="rId1"/>
    <sheet name="測試案例" sheetId="2" state="visible" r:id="rId2"/>
    <sheet name="缺陷登記" sheetId="3" state="visible" r:id="rId3"/>
    <sheet name="來回記錄" sheetId="4" state="visible" r:id="rId4"/>
    <sheet name="交接紀錄" sheetId="5" state="visible" r:id="rId5"/>
    <sheet name="輪次彙總" sheetId="6" state="visible" r:id="rId6"/>
    <sheet name="還原檢查" sheetId="7" state="visible" r:id="rId7"/>
    <sheet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n"/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n"/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n"/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n"/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n"/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n"/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n"/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n"/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n"/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n"/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n"/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結案</t>
        </is>
      </c>
      <c r="M37" s="51" t="inlineStr">
        <is>
          <t>PASS</t>
        </is>
      </c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n"/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inlineStr">
        <is>
          <t>DEF-072</t>
        </is>
      </c>
      <c r="L52" s="52" t="inlineStr">
        <is>
          <t>結案</t>
        </is>
      </c>
      <c r="M52" s="51" t="inlineStr">
        <is>
          <t>PASS</t>
        </is>
      </c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n"/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n"/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n"/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DEF-060, DEF-063</t>
        </is>
      </c>
      <c r="L64" s="52" t="inlineStr">
        <is>
          <t>結案</t>
        </is>
      </c>
      <c r="M64" s="51" t="inlineStr">
        <is>
          <t>PASS</t>
        </is>
      </c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n"/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n"/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inlineStr">
        <is>
          <t>DEF-067, DEF-073</t>
        </is>
      </c>
      <c r="L74" s="52" t="inlineStr">
        <is>
          <t>結案</t>
        </is>
      </c>
      <c r="M74" s="51" t="inlineStr">
        <is>
          <t>PASS</t>
        </is>
      </c>
      <c r="N74" s="51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PASS</t>
        </is>
      </c>
      <c r="M75" s="51" t="inlineStr">
        <is>
          <t>PASS</t>
        </is>
      </c>
      <c r="N75" s="51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PASS</t>
        </is>
      </c>
      <c r="M78" s="51" t="inlineStr">
        <is>
          <t>PASS</t>
        </is>
      </c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inlineStr">
        <is>
          <t>DEF-068</t>
        </is>
      </c>
      <c r="L80" s="52" t="inlineStr">
        <is>
          <t>結案</t>
        </is>
      </c>
      <c r="M80" s="51" t="inlineStr">
        <is>
          <t>PASS</t>
        </is>
      </c>
      <c r="N80" s="5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</t>
        </is>
      </c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n"/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n"/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PASS</t>
        </is>
      </c>
      <c r="M89" s="51" t="inlineStr">
        <is>
          <t>PASS</t>
        </is>
      </c>
      <c r="N89" s="51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n"/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n"/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n"/>
      <c r="L96" s="52" t="inlineStr">
        <is>
          <t>PASS</t>
        </is>
      </c>
      <c r="M96" s="51" t="inlineStr">
        <is>
          <t>PASS</t>
        </is>
      </c>
      <c r="N96" s="51" t="n"/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n"/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inlineStr">
        <is>
          <t>DEF-069, DEF-070, DEF-071, DEF-073, DEF-079, DEF-080</t>
        </is>
      </c>
      <c r="L100" s="52" t="inlineStr">
        <is>
          <t>結案</t>
        </is>
      </c>
      <c r="M100" s="51" t="inlineStr">
        <is>
          <t>PASS</t>
        </is>
      </c>
      <c r="N100" s="51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DEF-054, DEF-066</t>
        </is>
      </c>
      <c r="L101" s="52" t="inlineStr">
        <is>
          <t>結案</t>
        </is>
      </c>
      <c r="M101" s="51" t="inlineStr">
        <is>
          <t>PASS</t>
        </is>
      </c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inlineStr">
        <is>
          <t>DEF-078</t>
        </is>
      </c>
      <c r="L104" s="52" t="inlineStr">
        <is>
          <t>PASS</t>
        </is>
      </c>
      <c r="M104" s="51" t="inlineStr">
        <is>
          <t>PASS</t>
        </is>
      </c>
      <c r="N104" s="51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n"/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DEF-059, DEF-062, DEF-064, DEF-074, DEF-075, DEF-076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n"/>
      <c r="L110" s="52" t="inlineStr">
        <is>
          <t>PASS</t>
        </is>
      </c>
      <c r="M110" s="51" t="inlineStr">
        <is>
          <t>PASS</t>
        </is>
      </c>
      <c r="N110" s="51" t="n"/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n"/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n"/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n"/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inlineStr">
        <is>
          <t>DEF-077</t>
        </is>
      </c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inlineStr">
        <is>
          <t>DEF-065</t>
        </is>
      </c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1" t="inlineStr">
        <is>
          <t>結案</t>
        </is>
      </c>
      <c r="J42" s="51" t="inlineStr">
        <is>
          <t>R4</t>
        </is>
      </c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1" t="inlineStr">
        <is>
          <t>結案</t>
        </is>
      </c>
      <c r="J51" s="51" t="inlineStr">
        <is>
          <t>R4</t>
        </is>
      </c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1" t="inlineStr">
        <is>
          <t>結案</t>
        </is>
      </c>
      <c r="J52" s="51" t="inlineStr">
        <is>
          <t>R4</t>
        </is>
      </c>
      <c r="K52" s="51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inlineStr">
        <is>
          <t>web/settings-scheduler.js:548 `_toast('已排入執行', 'ok', j.id + ' #' + ((resp &amp;&amp; resp.run_id) || '?'));`</t>
        </is>
      </c>
      <c r="I53" s="51" t="inlineStr">
        <is>
          <t>結案</t>
        </is>
      </c>
      <c r="J53" s="51" t="inlineStr">
        <is>
          <t>R4</t>
        </is>
      </c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1" t="inlineStr">
        <is>
          <t>結案</t>
        </is>
      </c>
      <c r="J54" s="51" t="inlineStr">
        <is>
          <t>R4</t>
        </is>
      </c>
      <c r="K54" s="51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inlineStr">
        <is>
          <t>web/pipeline-wizard.js:374 `payload.name + (payload.enabled ? '' : '：on_alert 任務預設停用，確認監聽規則後再啟用'));`</t>
        </is>
      </c>
      <c r="I55" s="51" t="inlineStr">
        <is>
          <t>結案</t>
        </is>
      </c>
      <c r="J55" s="51" t="inlineStr">
        <is>
          <t>R4</t>
        </is>
      </c>
      <c r="K55" s="51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1" t="inlineStr">
        <is>
          <t>結案</t>
        </is>
      </c>
      <c r="J56" s="51" t="inlineStr">
        <is>
          <t>R4</t>
        </is>
      </c>
      <c r="K56" s="5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1" t="inlineStr">
        <is>
          <t>結案</t>
        </is>
      </c>
      <c r="J57" s="51" t="inlineStr">
        <is>
          <t>R4</t>
        </is>
      </c>
      <c r="K57" s="5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1" t="inlineStr">
        <is>
          <t>結案</t>
        </is>
      </c>
      <c r="J58" s="51" t="inlineStr">
        <is>
          <t>R5</t>
        </is>
      </c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1" t="inlineStr">
        <is>
          <t>結案</t>
        </is>
      </c>
      <c r="J59" s="51" t="inlineStr">
        <is>
          <t>R4</t>
        </is>
      </c>
      <c r="K59" s="5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1" t="inlineStr">
        <is>
          <t>結案</t>
        </is>
      </c>
      <c r="J60" s="51" t="inlineStr">
        <is>
          <t>R4</t>
        </is>
      </c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1" t="inlineStr">
        <is>
          <t>結案</t>
        </is>
      </c>
      <c r="J61" s="51" t="inlineStr">
        <is>
          <t>R4</t>
        </is>
      </c>
      <c r="K61" s="5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1" t="inlineStr">
        <is>
          <t>結案</t>
        </is>
      </c>
      <c r="J62" s="51" t="inlineStr">
        <is>
          <t>R4</t>
        </is>
      </c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1" t="inlineStr">
        <is>
          <t>結案</t>
        </is>
      </c>
      <c r="J63" s="51" t="inlineStr">
        <is>
          <t>R4</t>
        </is>
      </c>
      <c r="K63" s="5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34">
      <c r="A64" s="51" t="inlineStr">
        <is>
          <t>DEF-062</t>
        </is>
      </c>
      <c r="B64" s="51" t="inlineStr">
        <is>
          <t>H-04（附帶）</t>
        </is>
      </c>
      <c r="C64" s="51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1" t="inlineStr">
        <is>
          <t>低</t>
        </is>
      </c>
      <c r="E64" s="51" t="inlineStr">
        <is>
          <t>程式缺陷</t>
        </is>
      </c>
      <c r="F64" s="51" t="inlineStr">
        <is>
          <t>R4</t>
        </is>
      </c>
      <c r="G64" s="51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5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1" t="inlineStr">
        <is>
          <t>結案</t>
        </is>
      </c>
      <c r="J64" s="51" t="inlineStr">
        <is>
          <t>R5</t>
        </is>
      </c>
      <c r="K64" s="51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34">
      <c r="A65" s="51" t="inlineStr">
        <is>
          <t>DEF-063</t>
        </is>
      </c>
      <c r="B65" s="51" t="inlineStr">
        <is>
          <t>D-10（附帶）</t>
        </is>
      </c>
      <c r="C65" s="51" t="inlineStr">
        <is>
          <t>demo 上 R2／R3 期間留下的孤兒起始價（source manual、簽章完整、沒有任何分拆擁有），R4 起不會再被覆蓋或刪除，畫面上也沒有地方能移除</t>
        </is>
      </c>
      <c r="D65" s="51" t="inlineStr">
        <is>
          <t>低</t>
        </is>
      </c>
      <c r="E65" s="51" t="inlineStr">
        <is>
          <t>資料殘留</t>
        </is>
      </c>
      <c r="F65" s="51" t="inlineStr">
        <is>
          <t>R4</t>
        </is>
      </c>
      <c r="G65" s="51" t="inlineStr">
        <is>
          <t>開發者 R4 決策項 ④；R4 的 write_seed_price 只寫空白日期、刪除只收回 child_seed_json 記錄的列，舊孤兒因此永久留下</t>
        </is>
      </c>
      <c r="H65" s="51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1" t="inlineStr">
        <is>
          <t>結案</t>
        </is>
      </c>
      <c r="J65" s="51" t="inlineStr">
        <is>
          <t>R5</t>
        </is>
      </c>
      <c r="K65" s="5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34">
      <c r="A66" s="51" t="inlineStr">
        <is>
          <t>DEF-064</t>
        </is>
      </c>
      <c r="B66" s="51" t="inlineStr">
        <is>
          <t>H-04（附帶）</t>
        </is>
      </c>
      <c r="C66" s="51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1" t="inlineStr">
        <is>
          <t>低</t>
        </is>
      </c>
      <c r="E66" s="51" t="inlineStr">
        <is>
          <t>規格未定</t>
        </is>
      </c>
      <c r="F66" s="51" t="inlineStr">
        <is>
          <t>R4</t>
        </is>
      </c>
      <c r="G66" s="51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5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1" t="inlineStr">
        <is>
          <t>結案</t>
        </is>
      </c>
      <c r="J66" s="51" t="inlineStr">
        <is>
          <t>R5</t>
        </is>
      </c>
      <c r="K66" s="5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34">
      <c r="A67" s="51" t="inlineStr">
        <is>
          <t>DEF-065</t>
        </is>
      </c>
      <c r="B67" s="51" t="inlineStr">
        <is>
          <t>J-06（附帶）</t>
        </is>
      </c>
      <c r="C67" s="51" t="inlineStr">
        <is>
          <t>GET /api/ui-prefs 間歇性回 500 internal_error，使 e2e 全套不穩定（驗證者 3 次全套中 2 次各有 1～2 則失敗，都只因 console 出現 500）</t>
        </is>
      </c>
      <c r="D67" s="51" t="inlineStr">
        <is>
          <t>低</t>
        </is>
      </c>
      <c r="E67" s="51" t="inlineStr">
        <is>
          <t>程式缺陷</t>
        </is>
      </c>
      <c r="F67" s="51" t="inlineStr">
        <is>
          <t>R4</t>
        </is>
      </c>
      <c r="G67" s="5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5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1" t="inlineStr">
        <is>
          <t>結案</t>
        </is>
      </c>
      <c r="J67" s="51" t="inlineStr">
        <is>
          <t>R5</t>
        </is>
      </c>
      <c r="K67" s="51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34">
      <c r="A68" s="51" t="inlineStr">
        <is>
          <t>DEF-066</t>
        </is>
      </c>
      <c r="B68" s="51" t="inlineStr">
        <is>
          <t>G-09（附帶）</t>
        </is>
      </c>
      <c r="C68" s="5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1" t="inlineStr">
        <is>
          <t>中</t>
        </is>
      </c>
      <c r="E68" s="51" t="inlineStr">
        <is>
          <t>程式缺陷</t>
        </is>
      </c>
      <c r="F68" s="51" t="inlineStr">
        <is>
          <t>R5</t>
        </is>
      </c>
      <c r="G68" s="5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51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51" t="inlineStr">
        <is>
          <t>結案</t>
        </is>
      </c>
      <c r="J68" s="51" t="inlineStr">
        <is>
          <t>R6</t>
        </is>
      </c>
      <c r="K68" s="51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34">
      <c r="A69" s="51" t="inlineStr">
        <is>
          <t>DEF-067</t>
        </is>
      </c>
      <c r="B69" s="51" t="inlineStr">
        <is>
          <t>E-05</t>
        </is>
      </c>
      <c r="C69" s="51" t="inlineStr">
        <is>
          <t>dividends_daily 全部標的失敗仍記為「成功」：排程中心顯示「成功　0 檔事件已更新，10 檔失敗（…）」，狀態與明細互相矛盾（E-05 ③）</t>
        </is>
      </c>
      <c r="D69" s="51" t="inlineStr">
        <is>
          <t>中</t>
        </is>
      </c>
      <c r="E69" s="51" t="inlineStr">
        <is>
          <t>程式缺陷</t>
        </is>
      </c>
      <c r="F69" s="51" t="inlineStr">
        <is>
          <t>R5</t>
        </is>
      </c>
      <c r="G69" s="51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51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51" t="inlineStr">
        <is>
          <t>結案</t>
        </is>
      </c>
      <c r="J69" s="51" t="inlineStr">
        <is>
          <t>R6</t>
        </is>
      </c>
      <c r="K69" s="51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34">
      <c r="A70" s="51" t="inlineStr">
        <is>
          <t>DEF-068</t>
        </is>
      </c>
      <c r="B70" s="51" t="inlineStr">
        <is>
          <t>E-11</t>
        </is>
      </c>
      <c r="C70" s="51" t="inlineStr">
        <is>
          <t>更新報價全部失敗時，提示仍說「其餘已更新，重新整理頁面即可看到新價」，且不提匯率失敗（E-11）</t>
        </is>
      </c>
      <c r="D70" s="51" t="inlineStr">
        <is>
          <t>低</t>
        </is>
      </c>
      <c r="E70" s="51" t="inlineStr">
        <is>
          <t>程式缺陷</t>
        </is>
      </c>
      <c r="F70" s="51" t="inlineStr">
        <is>
          <t>R5</t>
        </is>
      </c>
      <c r="G70" s="51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51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51" t="inlineStr">
        <is>
          <t>結案</t>
        </is>
      </c>
      <c r="J70" s="51" t="inlineStr">
        <is>
          <t>R6</t>
        </is>
      </c>
      <c r="K70" s="51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34">
      <c r="A71" s="51" t="inlineStr">
        <is>
          <t>DEF-069</t>
        </is>
      </c>
      <c r="B71" s="51" t="inlineStr">
        <is>
          <t>G-08</t>
        </is>
      </c>
      <c r="C71" s="51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1" t="inlineStr">
        <is>
          <t>中</t>
        </is>
      </c>
      <c r="E71" s="51" t="inlineStr">
        <is>
          <t>程式缺陷</t>
        </is>
      </c>
      <c r="F71" s="51" t="inlineStr">
        <is>
          <t>R5</t>
        </is>
      </c>
      <c r="G71" s="51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51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51" t="inlineStr">
        <is>
          <t>結案</t>
        </is>
      </c>
      <c r="J71" s="51" t="inlineStr">
        <is>
          <t>R6</t>
        </is>
      </c>
      <c r="K71" s="51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34">
      <c r="A72" s="51" t="inlineStr">
        <is>
          <t>DEF-070</t>
        </is>
      </c>
      <c r="B72" s="51" t="inlineStr">
        <is>
          <t>G-08</t>
        </is>
      </c>
      <c r="C72" s="51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1" t="inlineStr">
        <is>
          <t>中</t>
        </is>
      </c>
      <c r="E72" s="51" t="inlineStr">
        <is>
          <t>程式缺陷</t>
        </is>
      </c>
      <c r="F72" s="51" t="inlineStr">
        <is>
          <t>R5</t>
        </is>
      </c>
      <c r="G72" s="51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51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51" t="inlineStr">
        <is>
          <t>結案</t>
        </is>
      </c>
      <c r="J72" s="51" t="inlineStr">
        <is>
          <t>R6</t>
        </is>
      </c>
      <c r="K72" s="51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34">
      <c r="A73" s="51" t="inlineStr">
        <is>
          <t>DEF-071</t>
        </is>
      </c>
      <c r="B73" s="51" t="inlineStr">
        <is>
          <t>G-08</t>
        </is>
      </c>
      <c r="C73" s="51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1" t="inlineStr">
        <is>
          <t>中</t>
        </is>
      </c>
      <c r="E73" s="51" t="inlineStr">
        <is>
          <t>程式缺陷</t>
        </is>
      </c>
      <c r="F73" s="51" t="inlineStr">
        <is>
          <t>R5</t>
        </is>
      </c>
      <c r="G73" s="51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51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51" t="inlineStr">
        <is>
          <t>結案</t>
        </is>
      </c>
      <c r="J73" s="51" t="inlineStr">
        <is>
          <t>R6</t>
        </is>
      </c>
      <c r="K73" s="51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34">
      <c r="A74" s="51" t="inlineStr">
        <is>
          <t>DEF-072</t>
        </is>
      </c>
      <c r="B74" s="51" t="inlineStr">
        <is>
          <t>D-00</t>
        </is>
      </c>
      <c r="C74" s="51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1" t="inlineStr">
        <is>
          <t>低</t>
        </is>
      </c>
      <c r="E74" s="51" t="inlineStr">
        <is>
          <t>程式缺陷</t>
        </is>
      </c>
      <c r="F74" s="51" t="inlineStr">
        <is>
          <t>R5</t>
        </is>
      </c>
      <c r="G74" s="51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51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51" t="inlineStr">
        <is>
          <t>結案</t>
        </is>
      </c>
      <c r="J74" s="51" t="inlineStr">
        <is>
          <t>R6</t>
        </is>
      </c>
      <c r="K74" s="51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34">
      <c r="A75" s="51" t="inlineStr">
        <is>
          <t>DEF-073</t>
        </is>
      </c>
      <c r="B75" s="51" t="inlineStr">
        <is>
          <t>E-05</t>
        </is>
      </c>
      <c r="C75" s="51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1" t="inlineStr">
        <is>
          <t>低</t>
        </is>
      </c>
      <c r="E75" s="51" t="inlineStr">
        <is>
          <t>程式缺陷</t>
        </is>
      </c>
      <c r="F75" s="51" t="inlineStr">
        <is>
          <t>R5</t>
        </is>
      </c>
      <c r="G75" s="5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51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51" t="inlineStr">
        <is>
          <t>結案</t>
        </is>
      </c>
      <c r="J75" s="51" t="inlineStr">
        <is>
          <t>R6</t>
        </is>
      </c>
      <c r="K75" s="51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34">
      <c r="A76" s="51" t="inlineStr">
        <is>
          <t>DEF-074</t>
        </is>
      </c>
      <c r="B76" s="51" t="inlineStr">
        <is>
          <t>H-04（附帶）</t>
        </is>
      </c>
      <c r="C76" s="51" t="inlineStr">
        <is>
          <t>股利收件匣的掃描宇宙（api/dividend_inbox.py:216-222）仍含已封存但有買入歷史的標的，同一排程的後備路徑卻已排除封存——同一工作兩套口徑</t>
        </is>
      </c>
      <c r="D76" s="51" t="inlineStr">
        <is>
          <t>低</t>
        </is>
      </c>
      <c r="E76" s="51" t="inlineStr">
        <is>
          <t>規格未定</t>
        </is>
      </c>
      <c r="F76" s="51" t="inlineStr">
        <is>
          <t>R5</t>
        </is>
      </c>
      <c r="G76" s="51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51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51" t="inlineStr">
        <is>
          <t>結案</t>
        </is>
      </c>
      <c r="J76" s="51" t="inlineStr">
        <is>
          <t>R6</t>
        </is>
      </c>
      <c r="K76" s="51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34">
      <c r="A77" s="51" t="inlineStr">
        <is>
          <t>DEF-075</t>
        </is>
      </c>
      <c r="B77" s="51" t="inlineStr">
        <is>
          <t>H-04（附帶）</t>
        </is>
      </c>
      <c r="C77" s="51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1" t="inlineStr">
        <is>
          <t>低</t>
        </is>
      </c>
      <c r="E77" s="51" t="inlineStr">
        <is>
          <t>程式缺陷</t>
        </is>
      </c>
      <c r="F77" s="51" t="inlineStr">
        <is>
          <t>R5</t>
        </is>
      </c>
      <c r="G77" s="51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51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51" t="inlineStr">
        <is>
          <t>結案</t>
        </is>
      </c>
      <c r="J77" s="51" t="inlineStr">
        <is>
          <t>R6</t>
        </is>
      </c>
      <c r="K77" s="51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34">
      <c r="A78" s="51" t="inlineStr">
        <is>
          <t>DEF-076</t>
        </is>
      </c>
      <c r="B78" s="51" t="inlineStr">
        <is>
          <t>H-04（附帶）</t>
        </is>
      </c>
      <c r="C78" s="51" t="inlineStr">
        <is>
          <t>quota_low 的事件標題是「LLM 額度偏低」（strategy/alerts.py:357），規則名是「AI 額度偏低」——同一條預警兩種名稱</t>
        </is>
      </c>
      <c r="D78" s="51" t="inlineStr">
        <is>
          <t>低</t>
        </is>
      </c>
      <c r="E78" s="51" t="inlineStr">
        <is>
          <t>規格未定</t>
        </is>
      </c>
      <c r="F78" s="51" t="inlineStr">
        <is>
          <t>R5</t>
        </is>
      </c>
      <c r="G78" s="51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51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51" t="inlineStr">
        <is>
          <t>結案</t>
        </is>
      </c>
      <c r="J78" s="51" t="inlineStr">
        <is>
          <t>R6</t>
        </is>
      </c>
      <c r="K78" s="5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34">
      <c r="A79" s="51" t="inlineStr">
        <is>
          <t>DEF-077</t>
        </is>
      </c>
      <c r="B79" s="51" t="inlineStr">
        <is>
          <t>J-01（附帶）</t>
        </is>
      </c>
      <c r="C79" s="51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1" t="inlineStr">
        <is>
          <t>低</t>
        </is>
      </c>
      <c r="E79" s="51" t="inlineStr">
        <is>
          <t>程式缺陷</t>
        </is>
      </c>
      <c r="F79" s="51" t="inlineStr">
        <is>
          <t>R5</t>
        </is>
      </c>
      <c r="G79" s="51" t="inlineStr">
        <is>
          <t>demo：GET /api/dashboard 的 fx_triangulation；USD/TWD 已更新到新日期、USD/MYR 尚未更新時，推導值只到兩腿都有的舊日期，與直接值不同日相比而判紅</t>
        </is>
      </c>
      <c r="H79" s="51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51" t="inlineStr">
        <is>
          <t>待複驗</t>
        </is>
      </c>
      <c r="J79" s="51" t="n"/>
      <c r="K79" s="51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</t>
        </is>
      </c>
    </row>
    <row r="80" ht="15" customHeight="1" s="34">
      <c r="A80" s="51" t="inlineStr">
        <is>
          <t>DEF-078</t>
        </is>
      </c>
      <c r="B80" s="51" t="inlineStr">
        <is>
          <t>H-01（附帶）</t>
        </is>
      </c>
      <c r="C80" s="5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1" t="inlineStr">
        <is>
          <t>低</t>
        </is>
      </c>
      <c r="E80" s="51" t="inlineStr">
        <is>
          <t>規格未定</t>
        </is>
      </c>
      <c r="F80" s="51" t="inlineStr">
        <is>
          <t>R5</t>
        </is>
      </c>
      <c r="G80" s="51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51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51" t="inlineStr">
        <is>
          <t>結案</t>
        </is>
      </c>
      <c r="J80" s="51" t="inlineStr">
        <is>
          <t>R6</t>
        </is>
      </c>
      <c r="K80" s="51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34">
      <c r="A81" s="51" t="inlineStr">
        <is>
          <t>DEF-079</t>
        </is>
      </c>
      <c r="B81" s="51" t="inlineStr">
        <is>
          <t>G-08（附帶）</t>
        </is>
      </c>
      <c r="C81" s="51" t="inlineStr">
        <is>
          <t>校正版本以錯誤依據產生：沒有生效版時第一版的失誤樣本為 0 筆，之後的版本以最新版而非生效版的內文為底</t>
        </is>
      </c>
      <c r="D81" s="51" t="inlineStr">
        <is>
          <t>中</t>
        </is>
      </c>
      <c r="E81" s="51" t="inlineStr">
        <is>
          <t>程式缺陷</t>
        </is>
      </c>
      <c r="F81" s="51" t="inlineStr">
        <is>
          <t>R6</t>
        </is>
      </c>
      <c r="G81" s="51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51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51" t="inlineStr">
        <is>
          <t>結案</t>
        </is>
      </c>
      <c r="J81" s="51" t="inlineStr">
        <is>
          <t>R6</t>
        </is>
      </c>
      <c r="K81" s="51" t="inlineStr">
        <is>
          <t>開發者 R6 修 DEF-070 時發現；owner 2026-09-26 在對話中裁定本輪一起修。
R6 複驗通過（黑箱重放＋驗證者變異）</t>
        </is>
      </c>
    </row>
    <row r="82" ht="15" customHeight="1" s="34">
      <c r="A82" s="51" t="inlineStr">
        <is>
          <t>DEF-080</t>
        </is>
      </c>
      <c r="B82" s="51" t="inlineStr">
        <is>
          <t>G-08（附帶）</t>
        </is>
      </c>
      <c r="C82" s="51" t="inlineStr">
        <is>
          <t>校正產生的觸發條件讀取任務全部歷史，同一批舊失誤每週重複觸發產生新版本</t>
        </is>
      </c>
      <c r="D82" s="51" t="inlineStr">
        <is>
          <t>低</t>
        </is>
      </c>
      <c r="E82" s="51" t="inlineStr">
        <is>
          <t>程式缺陷</t>
        </is>
      </c>
      <c r="F82" s="51" t="inlineStr">
        <is>
          <t>R6</t>
        </is>
      </c>
      <c r="G82" s="51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51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51" t="inlineStr">
        <is>
          <t>結案</t>
        </is>
      </c>
      <c r="J82" s="51" t="inlineStr">
        <is>
          <t>R6</t>
        </is>
      </c>
      <c r="K82" s="51" t="inlineStr">
        <is>
          <t>開發者 R6 修 DEF-070 時發現；owner 2026-09-26 在對話中裁定本輪一起修。
R6 複驗通過（黑箱重放＋驗證者變異）</t>
        </is>
      </c>
    </row>
    <row r="83" ht="15" customHeight="1" s="34">
      <c r="A83" s="51" t="inlineStr">
        <is>
          <t>DEF-081</t>
        </is>
      </c>
      <c r="B83" s="51" t="inlineStr">
        <is>
          <t>H-07（附帶）</t>
        </is>
      </c>
      <c r="C83" s="51" t="inlineStr">
        <is>
          <t>AI 戰績「各洞察任務命中率」與「預測明細」以「任務 #2」稱呼洞察任務，不是任務名稱</t>
        </is>
      </c>
      <c r="D83" s="51" t="inlineStr">
        <is>
          <t>低</t>
        </is>
      </c>
      <c r="E83" s="51" t="inlineStr">
        <is>
          <t>程式缺陷</t>
        </is>
      </c>
      <c r="F83" s="51" t="inlineStr">
        <is>
          <t>R7</t>
        </is>
      </c>
      <c r="G83" s="51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51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51" t="inlineStr">
        <is>
          <t>待複驗</t>
        </is>
      </c>
      <c r="J83" s="51" t="n"/>
      <c r="K83" s="51" t="inlineStr">
        <is>
          <t>驗證者 R5 觀察 5、R6 規格 §2 觀察 3（未裁定）。Owner 2026-09-26 在對話中裁定：本輪改顯示任務名稱，滑鼠提示保留 #編號；已刪除的任務比照排程中心寫法。</t>
        </is>
      </c>
    </row>
  </sheetData>
  <dataValidations count="4">
    <dataValidation sqref="D3:D83" showDropDown="0" showInputMessage="0" showErrorMessage="0" allowBlank="1" type="list" errorStyle="stop" operator="between">
      <formula1>"高,中,低"</formula1>
      <formula2>0</formula2>
    </dataValidation>
    <dataValidation sqref="E3:E83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3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3 J3:J83" showDropDown="0" showInputMessage="0" showErrorMessage="0" allowBlank="1" type="list" errorStyle="stop" operator="between">
      <formula1>"R1,R2,R3,R4,R5,R6,R7"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220" customHeight="1" s="34">
      <c r="A123" s="51" t="inlineStr">
        <is>
          <t>R4</t>
        </is>
      </c>
      <c r="B123" s="51" t="inlineStr">
        <is>
          <t>DEF-040</t>
        </is>
      </c>
      <c r="C123" s="51" t="inlineStr">
        <is>
          <t>D-10</t>
        </is>
      </c>
      <c r="D123" s="51" t="inlineStr">
        <is>
          <t>2026-09-25</t>
        </is>
      </c>
      <c r="E123" s="5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5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5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5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5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5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56" t="inlineStr">
        <is>
          <t>1ee7771（已部署 demo）</t>
        </is>
      </c>
      <c r="L12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5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5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57" t="inlineStr">
        <is>
          <t>有報價的日期不寫入、存前即說明；存檔與刪除後價格列逐字不變；cmp D040R4 same:true</t>
        </is>
      </c>
      <c r="P123" s="57" t="inlineStr">
        <is>
          <t>複驗通過 → 結案</t>
        </is>
      </c>
      <c r="Q123" s="57" t="inlineStr">
        <is>
          <t>owner 2026-09-25 裁定 ④：R2／R3 留下的孤兒起始價寫清理腳本 → 開 DEF-063</t>
        </is>
      </c>
      <c r="R123" s="57" t="inlineStr">
        <is>
          <t>檢驗方 2026-09-25</t>
        </is>
      </c>
    </row>
    <row r="124" ht="220" customHeight="1" s="34">
      <c r="A124" s="51" t="inlineStr">
        <is>
          <t>R4</t>
        </is>
      </c>
      <c r="B124" s="51" t="inlineStr">
        <is>
          <t>DEF-049</t>
        </is>
      </c>
      <c r="C124" s="51" t="inlineStr">
        <is>
          <t>I-08</t>
        </is>
      </c>
      <c r="D124" s="51" t="inlineStr">
        <is>
          <t>2026-09-25</t>
        </is>
      </c>
      <c r="E124" s="5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5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5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5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5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5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56" t="inlineStr">
        <is>
          <t>1ee7771（已部署 demo）</t>
        </is>
      </c>
      <c r="L12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5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5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57" t="inlineStr">
        <is>
          <t>批次復原與公司行動刪除造成賣超時皆 422＋同款確認框；取消不寫；測畢 cmp D049R4 same:true</t>
        </is>
      </c>
      <c r="P124" s="57" t="inlineStr">
        <is>
          <t>複驗通過 → 結案</t>
        </is>
      </c>
      <c r="Q124" s="5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57" t="inlineStr">
        <is>
          <t>檢驗方 2026-09-25</t>
        </is>
      </c>
    </row>
    <row r="125" ht="220" customHeight="1" s="34">
      <c r="A125" s="51" t="inlineStr">
        <is>
          <t>R4</t>
        </is>
      </c>
      <c r="B125" s="51" t="inlineStr">
        <is>
          <t>DEF-057</t>
        </is>
      </c>
      <c r="C125" s="51" t="inlineStr">
        <is>
          <t>H-03</t>
        </is>
      </c>
      <c r="D125" s="51" t="inlineStr">
        <is>
          <t>2026-09-25</t>
        </is>
      </c>
      <c r="E125" s="5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56" t="inlineStr">
        <is>
          <t>portfolio_dash/llm_insight/system_prompt.py:68；portfolio_dash/news/organizer_prompt.py:83；api/routers/prompts.py:182、:204、:231、:240</t>
        </is>
      </c>
      <c r="G125" s="5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5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5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5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56" t="inlineStr">
        <is>
          <t>1ee7771（已部署 demo）</t>
        </is>
      </c>
      <c r="L12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5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5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5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57" t="inlineStr">
        <is>
          <t>複驗通過 → 結案</t>
        </is>
      </c>
      <c r="Q125" s="5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57" t="inlineStr">
        <is>
          <t>檢驗方 2026-09-25</t>
        </is>
      </c>
    </row>
    <row r="126" ht="220" customHeight="1" s="34">
      <c r="A126" s="51" t="inlineStr">
        <is>
          <t>R4</t>
        </is>
      </c>
      <c r="B126" s="51" t="inlineStr">
        <is>
          <t>DEF-050</t>
        </is>
      </c>
      <c r="C126" s="51" t="inlineStr">
        <is>
          <t>J-05／A-16</t>
        </is>
      </c>
      <c r="D126" s="51" t="inlineStr">
        <is>
          <t>2026-09-25</t>
        </is>
      </c>
      <c r="E126" s="56" t="inlineStr">
        <is>
          <t>同意。真實 Chromium 390×844 實測 scrollWidth 849、clientWidth 333（驗證者量到 349，差在捲軸寬度）。</t>
        </is>
      </c>
      <c r="F126" s="56" t="inlineStr">
        <is>
          <t>web/styles.css:1942-1945</t>
        </is>
      </c>
      <c r="G126" s="5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5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5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5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56" t="inlineStr">
        <is>
          <t>1ee7771（已部署 demo）</t>
        </is>
      </c>
      <c r="L12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5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5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57" t="inlineStr">
        <is>
          <t>390px：57 個副標題 0 截斷、20 頁 0 橫捲；關鍵句全文可見；桌機一行</t>
        </is>
      </c>
      <c r="P126" s="57" t="inlineStr">
        <is>
          <t>複驗通過 → 結案</t>
        </is>
      </c>
      <c r="Q126" s="57" t="inlineStr">
        <is>
          <t>無</t>
        </is>
      </c>
      <c r="R126" s="57" t="inlineStr">
        <is>
          <t>檢驗方 2026-09-25</t>
        </is>
      </c>
    </row>
    <row r="127" ht="220" customHeight="1" s="34">
      <c r="A127" s="51" t="inlineStr">
        <is>
          <t>R4</t>
        </is>
      </c>
      <c r="B127" s="51" t="inlineStr">
        <is>
          <t>DEF-051</t>
        </is>
      </c>
      <c r="C127" s="51" t="inlineStr">
        <is>
          <t>H-04</t>
        </is>
      </c>
      <c r="D127" s="51" t="inlineStr">
        <is>
          <t>2026-09-25</t>
        </is>
      </c>
      <c r="E127" s="56" t="inlineStr">
        <is>
          <t>同意。同頁的啟用與排程時間 toast、每日摘要卡的 toast 也是同一種寫法，一併修。</t>
        </is>
      </c>
      <c r="F127" s="56" t="inlineStr">
        <is>
          <t>web/settings-scheduler.js:548（同類 :466、:490；web/settings-digest.js:95、:135、:153）</t>
        </is>
      </c>
      <c r="G127" s="5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5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5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5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56" t="inlineStr">
        <is>
          <t>1ee7771（已部署 demo）</t>
        </is>
      </c>
      <c r="L127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5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5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57" t="inlineStr">
        <is>
          <t>4 種操作 6 則 toast 皆以名稱為主詞；兩個開關還原後 /api/scheduler/jobs（id、enabled、cron、timezone）與測前逐字相同</t>
        </is>
      </c>
      <c r="P127" s="57" t="inlineStr">
        <is>
          <t>複驗通過 → 結案</t>
        </is>
      </c>
      <c r="Q127" s="57" t="inlineStr">
        <is>
          <t>未測：摘要「立即產生」與發送時間編輯（前者會寫入摘要紀錄，後者改排程時間；開發者 e2e 已涵蓋）</t>
        </is>
      </c>
      <c r="R127" s="57" t="inlineStr">
        <is>
          <t>檢驗方 2026-09-25</t>
        </is>
      </c>
    </row>
    <row r="128" ht="220" customHeight="1" s="34">
      <c r="A128" s="51" t="inlineStr">
        <is>
          <t>R4</t>
        </is>
      </c>
      <c r="B128" s="51" t="inlineStr">
        <is>
          <t>DEF-052</t>
        </is>
      </c>
      <c r="C128" s="51" t="inlineStr">
        <is>
          <t>D-10</t>
        </is>
      </c>
      <c r="D128" s="51" t="inlineStr">
        <is>
          <t>2026-09-25</t>
        </is>
      </c>
      <c r="E128" s="56" t="inlineStr">
        <is>
          <t>同意。列印的帳本報告也沒有費用欄，註腳還寫「公司行動不移動現金」，但這筆行動實際上連帶了 50 TWD 出金，一併修。</t>
        </is>
      </c>
      <c r="F128" s="56" t="inlineStr">
        <is>
          <t>web/ledger.js:1119 renderActions 未讀 a.reorg_fee；portfolio_dash/export/ledgers_report.py:372（表格無費用欄）、:384（註腳）</t>
        </is>
      </c>
      <c r="G128" s="5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5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5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5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56" t="inlineStr">
        <is>
          <t>1ee7771（已部署 demo）</t>
        </is>
      </c>
      <c r="L128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5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5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57" t="inlineStr">
        <is>
          <t>帳本列徽章、報告欄位與註腳皆在；刪除後 cmp R4_FX same:true（公司行動 0、資金 34）</t>
        </is>
      </c>
      <c r="P128" s="57" t="inlineStr">
        <is>
          <t>複驗通過 → 結案</t>
        </is>
      </c>
      <c r="Q128" s="57" t="inlineStr">
        <is>
          <t>無</t>
        </is>
      </c>
      <c r="R128" s="57" t="inlineStr">
        <is>
          <t>檢驗方 2026-09-25</t>
        </is>
      </c>
    </row>
    <row r="129" ht="220" customHeight="1" s="34">
      <c r="A129" s="51" t="inlineStr">
        <is>
          <t>R4</t>
        </is>
      </c>
      <c r="B129" s="51" t="inlineStr">
        <is>
          <t>DEF-053</t>
        </is>
      </c>
      <c r="C129" s="51" t="inlineStr">
        <is>
          <t>H-04</t>
        </is>
      </c>
      <c r="D129" s="51" t="inlineStr">
        <is>
          <t>2026-09-25</t>
        </is>
      </c>
      <c r="E129" s="56" t="inlineStr">
        <is>
          <t>同意。類別掃描另找到 6 處同類，其中 R1 閘門訊息把範圍識別字原樣插入（「per_symbol 變數 … 不可用於 portfolio 範圍組合」），一併修。</t>
        </is>
      </c>
      <c r="F129" s="5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5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5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5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5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56" t="inlineStr">
        <is>
          <t>1ee7771（已部署 demo）</t>
        </is>
      </c>
      <c r="L129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5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5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57" t="inlineStr">
        <is>
          <t>toast 與預檢無範圍識別字；任務已刪除；cmp R4_FX same:true</t>
        </is>
      </c>
      <c r="P129" s="57" t="inlineStr">
        <is>
          <t>複驗通過 → 結案</t>
        </is>
      </c>
      <c r="Q129" s="5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57" t="inlineStr">
        <is>
          <t>檢驗方 2026-09-25</t>
        </is>
      </c>
    </row>
    <row r="130" ht="220" customHeight="1" s="34">
      <c r="A130" s="51" t="inlineStr">
        <is>
          <t>R4</t>
        </is>
      </c>
      <c r="B130" s="51" t="inlineStr">
        <is>
          <t>DEF-054</t>
        </is>
      </c>
      <c r="C130" s="51" t="inlineStr">
        <is>
          <t>G-09</t>
        </is>
      </c>
      <c r="D130" s="51" t="inlineStr">
        <is>
          <t>2026-09-25</t>
        </is>
      </c>
      <c r="E130" s="56" t="inlineStr">
        <is>
          <t>同意，依 owner 裁定刪除。刪除前先以內容（代號、標題、日期）從資料庫重新確認對象，不以編號為準。</t>
        </is>
      </c>
      <c r="F130" s="56" t="inlineStr">
        <is>
          <t>demo 資料 insights #97（依附評分列 insight_evaluations #65）</t>
        </is>
      </c>
      <c r="G130" s="5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5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56" t="inlineStr">
        <is>
          <t>demo 上 symbol 含 moomoo 的卡 刪除前 共 1（#97）／刪除 1／白名單 0；刪除後 0 張</t>
        </is>
      </c>
      <c r="J130" s="5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56" t="inlineStr">
        <is>
          <t>1ee7771（已部署 demo）</t>
        </is>
      </c>
      <c r="L130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57" t="inlineStr">
        <is>
          <t>真實瀏覽器讀 /api/insights 全量（limit 300）、/api/ai-score；AI 洞察頁以 moomoo 搜尋卡片</t>
        </is>
      </c>
      <c r="N130" s="5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57" t="inlineStr">
        <is>
          <t>#97 不存在、moomoo 卡 0、評分 totals 不變（n 94）</t>
        </is>
      </c>
      <c r="P130" s="57" t="inlineStr">
        <is>
          <t>複驗通過 → 結案</t>
        </is>
      </c>
      <c r="Q130" s="57" t="inlineStr">
        <is>
          <t>無</t>
        </is>
      </c>
      <c r="R130" s="57" t="inlineStr">
        <is>
          <t>檢驗方 2026-09-25</t>
        </is>
      </c>
    </row>
    <row r="131" ht="220" customHeight="1" s="34">
      <c r="A131" s="51" t="inlineStr">
        <is>
          <t>R4</t>
        </is>
      </c>
      <c r="B131" s="51" t="inlineStr">
        <is>
          <t>DEF-055</t>
        </is>
      </c>
      <c r="C131" s="51" t="inlineStr">
        <is>
          <t>B-16</t>
        </is>
      </c>
      <c r="D131" s="51" t="inlineStr">
        <is>
          <t>2026-09-25</t>
        </is>
      </c>
      <c r="E131" s="5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56" t="inlineStr">
        <is>
          <t>portfolio_dash/api/routers/input_center.py:957-958（預覽的 rebate_estimate 讀 rule.discount）</t>
        </is>
      </c>
      <c r="G131" s="5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5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5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5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56" t="inlineStr">
        <is>
          <t>1ee7771（已部署 demo）</t>
        </is>
      </c>
      <c r="L131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5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5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57" t="inlineStr">
        <is>
          <t>#33／#44 已清；雙重優惠列 0；#29 編輯預覽 rebate_estimate null；取消未寫入</t>
        </is>
      </c>
      <c r="P131" s="57" t="inlineStr">
        <is>
          <t>複驗通過 → 結案</t>
        </is>
      </c>
      <c r="Q131" s="57" t="inlineStr">
        <is>
          <t>無</t>
        </is>
      </c>
      <c r="R131" s="57" t="inlineStr">
        <is>
          <t>檢驗方 2026-09-25</t>
        </is>
      </c>
    </row>
    <row r="132" ht="220" customHeight="1" s="34">
      <c r="A132" s="51" t="inlineStr">
        <is>
          <t>R4</t>
        </is>
      </c>
      <c r="B132" s="51" t="inlineStr">
        <is>
          <t>DEF-056</t>
        </is>
      </c>
      <c r="C132" s="51" t="inlineStr">
        <is>
          <t>B-17</t>
        </is>
      </c>
      <c r="D132" s="51" t="inlineStr">
        <is>
          <t>2026-09-25</t>
        </is>
      </c>
      <c r="E132" s="5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5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5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5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5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5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56" t="inlineStr">
        <is>
          <t>1ee7771（已部署 demo）</t>
        </is>
      </c>
      <c r="L132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5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5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57" t="inlineStr">
        <is>
          <t>估值六段不變、兩個列表與列印報告有標示；畫面上的現金收支明細未標示未來列；測畢 cmp D056R4 same:true</t>
        </is>
      </c>
      <c r="P132" s="57" t="inlineStr">
        <is>
          <t>部分通過</t>
        </is>
      </c>
      <c r="Q132" s="5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57" t="inlineStr">
        <is>
          <t>檢驗方 2026-09-25</t>
        </is>
      </c>
    </row>
    <row r="133" ht="220" customHeight="1" s="34">
      <c r="A133" s="51" t="inlineStr">
        <is>
          <t>R4</t>
        </is>
      </c>
      <c r="B133" s="51" t="inlineStr">
        <is>
          <t>DEF-058</t>
        </is>
      </c>
      <c r="C133" s="51" t="inlineStr">
        <is>
          <t>H-04</t>
        </is>
      </c>
      <c r="D133" s="51" t="inlineStr">
        <is>
          <t>2026-09-25</t>
        </is>
      </c>
      <c r="E133" s="56" t="inlineStr">
        <is>
          <t>同意。卡數與成本用了兩種口徑。</t>
        </is>
      </c>
      <c r="F133" s="56" t="inlineStr">
        <is>
          <t>portfolio_dash/api/insight_service.py:1174、:1185（卡數在 :1179）</t>
        </is>
      </c>
      <c r="G133" s="5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5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5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5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56" t="inlineStr">
        <is>
          <t>1ee7771（已部署 demo）</t>
        </is>
      </c>
      <c r="L13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5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5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57" t="inlineStr">
        <is>
          <t>last_batch 3 卡／$0.0022367／1 run，三方相符；頁首顯示一致</t>
        </is>
      </c>
      <c r="P133" s="57" t="inlineStr">
        <is>
          <t>複驗通過 → 結案</t>
        </is>
      </c>
      <c r="Q133" s="57" t="inlineStr">
        <is>
          <t>觀察：/api/insight-tasks/status 單次約 5.6 秒，頁首要 18 秒才出現（多個請求排隊時更久）；不影響正確性，列為觀察</t>
        </is>
      </c>
      <c r="R133" s="57" t="inlineStr">
        <is>
          <t>檢驗方 2026-09-25</t>
        </is>
      </c>
    </row>
    <row r="134" ht="220" customHeight="1" s="34">
      <c r="A134" s="51" t="inlineStr">
        <is>
          <t>R4</t>
        </is>
      </c>
      <c r="B134" s="51" t="inlineStr">
        <is>
          <t>DEF-059</t>
        </is>
      </c>
      <c r="C134" s="51" t="inlineStr">
        <is>
          <t>H-04</t>
        </is>
      </c>
      <c r="D134" s="51" t="inlineStr">
        <is>
          <t>2026-09-25</t>
        </is>
      </c>
      <c r="E134" s="56" t="inlineStr">
        <is>
          <t>同意，依 owner 裁定排除已封存標的。後端與前端各有一份宇宙規則，兩份都含封存。</t>
        </is>
      </c>
      <c r="F134" s="56" t="inlineStr">
        <is>
          <t>portfolio_dash/api/insight_service.py:152（另 :170、:1267 兩份複本）；web/pipeline.js:176</t>
        </is>
      </c>
      <c r="G134" s="5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5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5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5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56" t="inlineStr">
        <is>
          <t>1ee7771（已部署 demo）</t>
        </is>
      </c>
      <c r="L13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5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5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57" t="inlineStr">
        <is>
          <t>26 → 25（隱藏 2449）→ 26（還原）；精靈檔數與預估同步</t>
        </is>
      </c>
      <c r="P134" s="57" t="inlineStr">
        <is>
          <t>複驗通過 → 結案</t>
        </is>
      </c>
      <c r="Q134" s="5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57" t="inlineStr">
        <is>
          <t>檢驗方 2026-09-25</t>
        </is>
      </c>
    </row>
    <row r="135" ht="220" customHeight="1" s="34">
      <c r="A135" s="51" t="inlineStr">
        <is>
          <t>R4</t>
        </is>
      </c>
      <c r="B135" s="51" t="inlineStr">
        <is>
          <t>DEF-060</t>
        </is>
      </c>
      <c r="C135" s="51" t="inlineStr">
        <is>
          <t>D-10</t>
        </is>
      </c>
      <c r="D135" s="51" t="inlineStr">
        <is>
          <t>2026-09-25</t>
        </is>
      </c>
      <c r="E135" s="5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56" t="inlineStr">
        <is>
          <t>portfolio_dash/api/routers/ledgers.py:2169 `return {"ok": True, "id": action_id, "prices_restated": restated,`（edit_corporate_action :2055 起，無起始價處理）</t>
        </is>
      </c>
      <c r="G135" s="56" t="inlineStr">
        <is>
          <t>沒有守門：R3 的 DEF-040 測試只涵蓋 POST 與 DELETE，沒有 PUT。新增契約 11 則＋e2e 1 則。</t>
        </is>
      </c>
      <c r="H135" s="5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5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5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56" t="inlineStr">
        <is>
          <t>1ee7771（已部署 demo）</t>
        </is>
      </c>
      <c r="L13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5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5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57" t="inlineStr">
        <is>
          <t>搬移、跳過與移除皆依規則並有說明；刪除後 cmp D040R4 same:true</t>
        </is>
      </c>
      <c r="P135" s="57" t="inlineStr">
        <is>
          <t>複驗通過 → 結案</t>
        </is>
      </c>
      <c r="Q135" s="57" t="inlineStr">
        <is>
          <t>owner 決策項 ⑤（新日期已有正式報價時，舊日期起始價移除而不保留）：2026-09-25 裁定維持本輪實作，不開單</t>
        </is>
      </c>
      <c r="R135" s="57" t="inlineStr">
        <is>
          <t>檢驗方 2026-09-25</t>
        </is>
      </c>
    </row>
    <row r="136" ht="220" customHeight="1" s="34">
      <c r="A136" s="51" t="inlineStr">
        <is>
          <t>R4</t>
        </is>
      </c>
      <c r="B136" s="51" t="inlineStr">
        <is>
          <t>DEF-061</t>
        </is>
      </c>
      <c r="C136" s="51" t="inlineStr">
        <is>
          <t>C-02</t>
        </is>
      </c>
      <c r="D136" s="51" t="inlineStr">
        <is>
          <t>2026-09-25</t>
        </is>
      </c>
      <c r="E136" s="5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56" t="inlineStr">
        <is>
          <t>portfolio_dash/api/routers/ledgers.py:800（只做金額守恆）、:793（型別字串）、:770（withhold 必填）；web/ledger.js:679（空白送 '0'）</t>
        </is>
      </c>
      <c r="G136" s="5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5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5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5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56" t="inlineStr">
        <is>
          <t>1ee7771（已部署 demo）</t>
        </is>
      </c>
      <c r="L13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5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5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57" t="inlineStr">
        <is>
          <t>軟性 1 項需勾選才可存；硬性 1 項 PUT 400；兩道門判定相同；帳本未變</t>
        </is>
      </c>
      <c r="P136" s="57" t="inlineStr">
        <is>
          <t>複驗通過 → 結案</t>
        </is>
      </c>
      <c r="Q136" s="57" t="inlineStr">
        <is>
          <t>owner 2026-09-25 裁定 ⑥：股利新增門的市場一致性檢查維持現狀，不開單</t>
        </is>
      </c>
      <c r="R136" s="57" t="inlineStr">
        <is>
          <t>檢驗方 2026-09-25</t>
        </is>
      </c>
    </row>
    <row r="137" ht="220" customHeight="1" s="34">
      <c r="A137" s="51" t="inlineStr">
        <is>
          <t>R4</t>
        </is>
      </c>
      <c r="B137" s="51" t="inlineStr">
        <is>
          <t>DEF-062</t>
        </is>
      </c>
      <c r="C137" s="51" t="inlineStr">
        <is>
          <t>H-04</t>
        </is>
      </c>
      <c r="D137" s="51" t="inlineStr">
        <is>
          <t>2026-09-25</t>
        </is>
      </c>
      <c r="E137" s="56" t="inlineStr">
        <is>
          <t>—（本輪由檢驗方發現／Owner 裁定）</t>
        </is>
      </c>
      <c r="F137" s="56" t="inlineStr">
        <is>
          <t>—</t>
        </is>
      </c>
      <c r="G137" s="56" t="inlineStr">
        <is>
          <t>—</t>
        </is>
      </c>
      <c r="H137" s="56" t="inlineStr">
        <is>
          <t>—</t>
        </is>
      </c>
      <c r="I137" s="56" t="inlineStr">
        <is>
          <t>—</t>
        </is>
      </c>
      <c r="J137" s="56" t="inlineStr">
        <is>
          <t>—</t>
        </is>
      </c>
      <c r="K137" s="56" t="inlineStr">
        <is>
          <t>—</t>
        </is>
      </c>
      <c r="L137" s="56" t="inlineStr">
        <is>
          <t>—</t>
        </is>
      </c>
      <c r="M137" s="57" t="inlineStr">
        <is>
          <t>真實瀏覽器走精靈至監聽規則，讀 15 個 label 的文字與 value</t>
        </is>
      </c>
      <c r="N137" s="5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57" t="inlineStr">
        <is>
          <t>15 條中 8 條顯示 id</t>
        </is>
      </c>
      <c r="P137" s="57" t="inlineStr">
        <is>
          <t>FAIL</t>
        </is>
      </c>
      <c r="Q137" s="57" t="inlineStr">
        <is>
          <t>開 DEF-062</t>
        </is>
      </c>
      <c r="R137" s="57" t="inlineStr">
        <is>
          <t>檢驗方 2026-09-25</t>
        </is>
      </c>
    </row>
    <row r="138" ht="220" customHeight="1" s="34">
      <c r="A138" s="51" t="inlineStr">
        <is>
          <t>R4</t>
        </is>
      </c>
      <c r="B138" s="51" t="inlineStr">
        <is>
          <t>DEF-063</t>
        </is>
      </c>
      <c r="C138" s="51" t="inlineStr">
        <is>
          <t>D-10</t>
        </is>
      </c>
      <c r="D138" s="51" t="inlineStr">
        <is>
          <t>2026-09-25</t>
        </is>
      </c>
      <c r="E138" s="56" t="inlineStr">
        <is>
          <t>—（本輪由檢驗方發現／Owner 裁定）</t>
        </is>
      </c>
      <c r="F138" s="56" t="inlineStr">
        <is>
          <t>—</t>
        </is>
      </c>
      <c r="G138" s="56" t="inlineStr">
        <is>
          <t>—</t>
        </is>
      </c>
      <c r="H138" s="56" t="inlineStr">
        <is>
          <t>—</t>
        </is>
      </c>
      <c r="I138" s="56" t="inlineStr">
        <is>
          <t>—</t>
        </is>
      </c>
      <c r="J138" s="56" t="inlineStr">
        <is>
          <t>—</t>
        </is>
      </c>
      <c r="K138" s="56" t="inlineStr">
        <is>
          <t>—</t>
        </is>
      </c>
      <c r="L138" s="56" t="inlineStr">
        <is>
          <t>—</t>
        </is>
      </c>
      <c r="M138" s="57" t="inlineStr">
        <is>
          <t>讀開發者交接決策項＋讀碼 pricing/seed.py</t>
        </is>
      </c>
      <c r="N138" s="57" t="inlineStr">
        <is>
          <t>規格未定→owner 已裁定（資料殘留）</t>
        </is>
      </c>
      <c r="O138" s="57" t="inlineStr">
        <is>
          <t>—</t>
        </is>
      </c>
      <c r="P138" s="57" t="inlineStr">
        <is>
          <t>待裁定</t>
        </is>
      </c>
      <c r="Q138" s="57" t="inlineStr">
        <is>
          <t>開 DEF-063，owner 已裁定寫清理腳本</t>
        </is>
      </c>
      <c r="R138" s="57" t="inlineStr">
        <is>
          <t>檢驗方 2026-09-25</t>
        </is>
      </c>
    </row>
    <row r="139" ht="220" customHeight="1" s="34">
      <c r="A139" s="51" t="inlineStr">
        <is>
          <t>R4</t>
        </is>
      </c>
      <c r="B139" s="51" t="inlineStr">
        <is>
          <t>DEF-064</t>
        </is>
      </c>
      <c r="C139" s="51" t="inlineStr">
        <is>
          <t>H-04</t>
        </is>
      </c>
      <c r="D139" s="51" t="inlineStr">
        <is>
          <t>2026-09-25</t>
        </is>
      </c>
      <c r="E139" s="56" t="inlineStr">
        <is>
          <t>—（本輪由檢驗方發現／Owner 裁定）</t>
        </is>
      </c>
      <c r="F139" s="56" t="inlineStr">
        <is>
          <t>—</t>
        </is>
      </c>
      <c r="G139" s="56" t="inlineStr">
        <is>
          <t>—</t>
        </is>
      </c>
      <c r="H139" s="56" t="inlineStr">
        <is>
          <t>—</t>
        </is>
      </c>
      <c r="I139" s="56" t="inlineStr">
        <is>
          <t>—</t>
        </is>
      </c>
      <c r="J139" s="56" t="inlineStr">
        <is>
          <t>—</t>
        </is>
      </c>
      <c r="K139" s="56" t="inlineStr">
        <is>
          <t>—</t>
        </is>
      </c>
      <c r="L139" s="56" t="inlineStr">
        <is>
          <t>—</t>
        </is>
      </c>
      <c r="M139" s="57" t="inlineStr">
        <is>
          <t>讀開發者交接決策項＋讀碼</t>
        </is>
      </c>
      <c r="N139" s="57" t="inlineStr">
        <is>
          <t>規格未定→owner 已裁定</t>
        </is>
      </c>
      <c r="O139" s="57" t="inlineStr">
        <is>
          <t>—</t>
        </is>
      </c>
      <c r="P139" s="57" t="inlineStr">
        <is>
          <t>待裁定</t>
        </is>
      </c>
      <c r="Q139" s="57" t="inlineStr">
        <is>
          <t>開 DEF-064，owner 已裁定全部排除</t>
        </is>
      </c>
      <c r="R139" s="57" t="inlineStr">
        <is>
          <t>檢驗方 2026-09-25</t>
        </is>
      </c>
    </row>
    <row r="140" ht="220" customHeight="1" s="34">
      <c r="A140" s="51" t="inlineStr">
        <is>
          <t>R4</t>
        </is>
      </c>
      <c r="B140" s="51" t="inlineStr">
        <is>
          <t>DEF-065</t>
        </is>
      </c>
      <c r="C140" s="51" t="inlineStr">
        <is>
          <t>J-06</t>
        </is>
      </c>
      <c r="D140" s="51" t="inlineStr">
        <is>
          <t>2026-09-25</t>
        </is>
      </c>
      <c r="E140" s="56" t="inlineStr">
        <is>
          <t>—（本輪由檢驗方發現／Owner 裁定）</t>
        </is>
      </c>
      <c r="F140" s="56" t="inlineStr">
        <is>
          <t>—</t>
        </is>
      </c>
      <c r="G140" s="56" t="inlineStr">
        <is>
          <t>—</t>
        </is>
      </c>
      <c r="H140" s="56" t="inlineStr">
        <is>
          <t>—</t>
        </is>
      </c>
      <c r="I140" s="56" t="inlineStr">
        <is>
          <t>—</t>
        </is>
      </c>
      <c r="J140" s="56" t="inlineStr">
        <is>
          <t>—</t>
        </is>
      </c>
      <c r="K140" s="56" t="inlineStr">
        <is>
          <t>—</t>
        </is>
      </c>
      <c r="L140" s="56" t="inlineStr">
        <is>
          <t>—</t>
        </is>
      </c>
      <c r="M140" s="57" t="inlineStr">
        <is>
          <t>repo 1ee7771 e2e 全套 ×3、單獨重跑、壓力重跑、並發探測；以 page.on("response") 記錄 5xx</t>
        </is>
      </c>
      <c r="N140" s="5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57" t="inlineStr">
        <is>
          <t>全套 287/1、287/2、289/0；5xx 1 筆（GET /api/ui-prefs）</t>
        </is>
      </c>
      <c r="P140" s="57" t="inlineStr">
        <is>
          <t>FAIL</t>
        </is>
      </c>
      <c r="Q140" s="57" t="inlineStr">
        <is>
          <t>開 DEF-065</t>
        </is>
      </c>
      <c r="R140" s="57" t="inlineStr">
        <is>
          <t>檢驗方 2026-09-25</t>
        </is>
      </c>
    </row>
    <row r="141" ht="220" customHeight="1" s="34">
      <c r="A141" s="33" t="inlineStr">
        <is>
          <t>R5</t>
        </is>
      </c>
      <c r="B141" s="33" t="inlineStr">
        <is>
          <t>DEF-056</t>
        </is>
      </c>
      <c r="C141" s="33" t="inlineStr">
        <is>
          <t>B-17</t>
        </is>
      </c>
      <c r="D141" s="33" t="inlineStr">
        <is>
          <t>2026-09-25</t>
        </is>
      </c>
      <c r="E141" s="33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33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33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33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33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33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33" t="inlineStr">
        <is>
          <t>3be67db（已部署 demo）</t>
        </is>
      </c>
      <c r="L141" s="33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33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33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33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33" t="inlineStr">
        <is>
          <t>複驗通過 → 結案</t>
        </is>
      </c>
      <c r="Q141" s="33" t="inlineStr">
        <is>
          <t>觀察：寫入未來股利期間收件匣由 7 變 6（該筆被視為已記入），刪除後回到 7，行為一致</t>
        </is>
      </c>
      <c r="R141" s="33" t="inlineStr">
        <is>
          <t>檢驗方 2026-09-25</t>
        </is>
      </c>
    </row>
    <row r="142" ht="220" customHeight="1" s="34">
      <c r="A142" s="51" t="inlineStr">
        <is>
          <t>R5</t>
        </is>
      </c>
      <c r="B142" s="51" t="inlineStr">
        <is>
          <t>DEF-065</t>
        </is>
      </c>
      <c r="C142" s="51" t="inlineStr">
        <is>
          <t>J-06</t>
        </is>
      </c>
      <c r="D142" s="51" t="inlineStr">
        <is>
          <t>2026-09-25</t>
        </is>
      </c>
      <c r="E142" s="56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56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56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56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56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56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56" t="inlineStr">
        <is>
          <t>3be67db（已部署 demo）</t>
        </is>
      </c>
      <c r="L142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5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57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5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57" t="inlineStr">
        <is>
          <t>複驗通過 → 結案</t>
        </is>
      </c>
      <c r="Q142" s="57" t="inlineStr">
        <is>
          <t>同類：開發者稱 81 個 GET 中 22 個原本會寫入；驗證者抽驗 /api/insight-tasks/status 並發 10 個全 200（R4 量到約 5.6 秒，本輪 812 ms）</t>
        </is>
      </c>
      <c r="R142" s="57" t="inlineStr">
        <is>
          <t>檢驗方 2026-09-25</t>
        </is>
      </c>
    </row>
    <row r="143" ht="220" customHeight="1" s="34">
      <c r="A143" s="51" t="inlineStr">
        <is>
          <t>R5</t>
        </is>
      </c>
      <c r="B143" s="51" t="inlineStr">
        <is>
          <t>DEF-062</t>
        </is>
      </c>
      <c r="C143" s="51" t="inlineStr">
        <is>
          <t>H-04</t>
        </is>
      </c>
      <c r="D143" s="51" t="inlineStr">
        <is>
          <t>2026-09-25</t>
        </is>
      </c>
      <c r="E143" s="56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56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56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56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56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56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56" t="inlineStr">
        <is>
          <t>3be67db（已部署 demo）</t>
        </is>
      </c>
      <c r="L143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57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57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57" t="inlineStr">
        <is>
          <t>精靈 15/15 中文且與 API／預警規則頁逐字相同；排程明細與卡片晶片皆為中文</t>
        </is>
      </c>
      <c r="P143" s="57" t="inlineStr">
        <is>
          <t>複驗通過 → 結案</t>
        </is>
      </c>
      <c r="Q143" s="57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57" t="inlineStr">
        <is>
          <t>檢驗方 2026-09-25</t>
        </is>
      </c>
    </row>
    <row r="144" ht="220" customHeight="1" s="34">
      <c r="A144" s="51" t="inlineStr">
        <is>
          <t>R5</t>
        </is>
      </c>
      <c r="B144" s="51" t="inlineStr">
        <is>
          <t>DEF-064</t>
        </is>
      </c>
      <c r="C144" s="51" t="inlineStr">
        <is>
          <t>H-04</t>
        </is>
      </c>
      <c r="D144" s="51" t="inlineStr">
        <is>
          <t>2026-09-25</t>
        </is>
      </c>
      <c r="E144" s="56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56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56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56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56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56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56" t="inlineStr">
        <is>
          <t>3be67db（已部署 demo）</t>
        </is>
      </c>
      <c r="L144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57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57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57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57" t="inlineStr">
        <is>
          <t>複驗通過 → 結案</t>
        </is>
      </c>
      <c r="Q144" s="5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57" t="inlineStr">
        <is>
          <t>檢驗方 2026-09-25</t>
        </is>
      </c>
    </row>
    <row r="145" ht="220" customHeight="1" s="34">
      <c r="A145" s="51" t="inlineStr">
        <is>
          <t>R5</t>
        </is>
      </c>
      <c r="B145" s="51" t="inlineStr">
        <is>
          <t>DEF-063</t>
        </is>
      </c>
      <c r="C145" s="51" t="inlineStr">
        <is>
          <t>D-10</t>
        </is>
      </c>
      <c r="D145" s="51" t="inlineStr">
        <is>
          <t>2026-09-25</t>
        </is>
      </c>
      <c r="E145" s="56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56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56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56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56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56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56" t="inlineStr">
        <is>
          <t>3be67db（已部署 demo）</t>
        </is>
      </c>
      <c r="L145" s="5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57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57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5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57" t="inlineStr">
        <is>
          <t>複驗通過 → 結案</t>
        </is>
      </c>
      <c r="Q145" s="57" t="inlineStr">
        <is>
          <t>無</t>
        </is>
      </c>
      <c r="R145" s="57" t="inlineStr">
        <is>
          <t>檢驗方 2026-09-25</t>
        </is>
      </c>
    </row>
    <row r="146" ht="220" customHeight="1" s="34">
      <c r="A146" s="51" t="inlineStr">
        <is>
          <t>R5</t>
        </is>
      </c>
      <c r="B146" s="51" t="inlineStr">
        <is>
          <t>DEF-066</t>
        </is>
      </c>
      <c r="C146" s="51" t="inlineStr">
        <is>
          <t>G-09</t>
        </is>
      </c>
      <c r="D146" s="51" t="inlineStr">
        <is>
          <t>2026-09-25</t>
        </is>
      </c>
      <c r="E146" s="56" t="inlineStr">
        <is>
          <t>—（本輪由檢驗方發現）</t>
        </is>
      </c>
      <c r="F146" s="56" t="inlineStr">
        <is>
          <t>—</t>
        </is>
      </c>
      <c r="G146" s="56" t="inlineStr">
        <is>
          <t>—</t>
        </is>
      </c>
      <c r="H146" s="56" t="inlineStr">
        <is>
          <t>—</t>
        </is>
      </c>
      <c r="I146" s="56" t="inlineStr">
        <is>
          <t>—</t>
        </is>
      </c>
      <c r="J146" s="56" t="inlineStr">
        <is>
          <t>—</t>
        </is>
      </c>
      <c r="K146" s="56" t="inlineStr">
        <is>
          <t>—</t>
        </is>
      </c>
      <c r="L146" s="56" t="inlineStr">
        <is>
          <t>—</t>
        </is>
      </c>
      <c r="M146" s="57" t="inlineStr">
        <is>
          <t>demo 真實瀏覽器：排程中心 alert_scan 立即執行 → 讀 insight:9 各 run 狀態與明細；本機 venv 檢查相依</t>
        </is>
      </c>
      <c r="N146" s="57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57" t="inlineStr">
        <is>
          <t>3/7 run partial；明細為英文例外原文</t>
        </is>
      </c>
      <c r="P146" s="57" t="inlineStr">
        <is>
          <t>FAIL</t>
        </is>
      </c>
      <c r="Q146" s="57" t="inlineStr">
        <is>
          <t>開 DEF-066</t>
        </is>
      </c>
      <c r="R146" s="57" t="inlineStr">
        <is>
          <t>檢驗方 2026-09-25</t>
        </is>
      </c>
    </row>
    <row r="147" ht="220" customHeight="1" s="34">
      <c r="A147" s="51" t="inlineStr">
        <is>
          <t>R5</t>
        </is>
      </c>
      <c r="B147" s="51" t="inlineStr">
        <is>
          <t>DEF-067</t>
        </is>
      </c>
      <c r="C147" s="51" t="inlineStr">
        <is>
          <t>E-05</t>
        </is>
      </c>
      <c r="D147" s="51" t="inlineStr">
        <is>
          <t>2026-09-25</t>
        </is>
      </c>
      <c r="E147" s="56" t="inlineStr">
        <is>
          <t>—（本輪由檢驗方發現）</t>
        </is>
      </c>
      <c r="F147" s="56" t="inlineStr">
        <is>
          <t>—</t>
        </is>
      </c>
      <c r="G147" s="56" t="inlineStr">
        <is>
          <t>—</t>
        </is>
      </c>
      <c r="H147" s="56" t="inlineStr">
        <is>
          <t>—</t>
        </is>
      </c>
      <c r="I147" s="56" t="inlineStr">
        <is>
          <t>—</t>
        </is>
      </c>
      <c r="J147" s="56" t="inlineStr">
        <is>
          <t>—</t>
        </is>
      </c>
      <c r="K147" s="56" t="inlineStr">
        <is>
          <t>—</t>
        </is>
      </c>
      <c r="L147" s="56" t="inlineStr">
        <is>
          <t>—</t>
        </is>
      </c>
      <c r="M147" s="57" t="inlineStr">
        <is>
          <t>本機：排程中心畫面改 cron → 等 22:38 自然觸發 → 讀 排程中心 各列與 /api/scheduler/runs → 畫面還原 cron</t>
        </is>
      </c>
      <c r="N147" s="57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57" t="inlineStr">
        <is>
          <t>dividends_daily 0/10 成功、狀態 ok</t>
        </is>
      </c>
      <c r="P147" s="57" t="inlineStr">
        <is>
          <t>FAIL</t>
        </is>
      </c>
      <c r="Q147" s="57" t="inlineStr">
        <is>
          <t>開 DEF-067</t>
        </is>
      </c>
      <c r="R147" s="57" t="inlineStr">
        <is>
          <t>檢驗方 2026-09-25</t>
        </is>
      </c>
    </row>
    <row r="148" ht="220" customHeight="1" s="34">
      <c r="A148" s="51" t="inlineStr">
        <is>
          <t>R5</t>
        </is>
      </c>
      <c r="B148" s="51" t="inlineStr">
        <is>
          <t>DEF-068</t>
        </is>
      </c>
      <c r="C148" s="51" t="inlineStr">
        <is>
          <t>E-11</t>
        </is>
      </c>
      <c r="D148" s="51" t="inlineStr">
        <is>
          <t>2026-09-25</t>
        </is>
      </c>
      <c r="E148" s="56" t="inlineStr">
        <is>
          <t>—（本輪由檢驗方發現）</t>
        </is>
      </c>
      <c r="F148" s="56" t="inlineStr">
        <is>
          <t>—</t>
        </is>
      </c>
      <c r="G148" s="56" t="inlineStr">
        <is>
          <t>—</t>
        </is>
      </c>
      <c r="H148" s="56" t="inlineStr">
        <is>
          <t>—</t>
        </is>
      </c>
      <c r="I148" s="56" t="inlineStr">
        <is>
          <t>—</t>
        </is>
      </c>
      <c r="J148" s="56" t="inlineStr">
        <is>
          <t>—</t>
        </is>
      </c>
      <c r="K148" s="56" t="inlineStr">
        <is>
          <t>—</t>
        </is>
      </c>
      <c r="L148" s="56" t="inlineStr">
        <is>
          <t>—</t>
        </is>
      </c>
      <c r="M148" s="57" t="inlineStr">
        <is>
          <t>本機 Playwright：儀表板 重新整理 › 更新報價，攔截 /api/actions/refresh-quotes 回應與提示文字，前後比對 prices 表</t>
        </is>
      </c>
      <c r="N148" s="57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57" t="inlineStr">
        <is>
          <t>提示宣稱其餘已更新；實際 0 更新；匯率失敗未提</t>
        </is>
      </c>
      <c r="P148" s="57" t="inlineStr">
        <is>
          <t>FAIL</t>
        </is>
      </c>
      <c r="Q148" s="57" t="inlineStr">
        <is>
          <t>開 DEF-068</t>
        </is>
      </c>
      <c r="R148" s="57" t="inlineStr">
        <is>
          <t>檢驗方 2026-09-25</t>
        </is>
      </c>
    </row>
    <row r="149" ht="220" customHeight="1" s="34">
      <c r="A149" s="51" t="inlineStr">
        <is>
          <t>R5</t>
        </is>
      </c>
      <c r="B149" s="51" t="inlineStr">
        <is>
          <t>DEF-069</t>
        </is>
      </c>
      <c r="C149" s="51" t="inlineStr">
        <is>
          <t>G-08</t>
        </is>
      </c>
      <c r="D149" s="51" t="inlineStr">
        <is>
          <t>2026-09-25</t>
        </is>
      </c>
      <c r="E149" s="56" t="inlineStr">
        <is>
          <t>—（本輪由檢驗方發現）</t>
        </is>
      </c>
      <c r="F149" s="56" t="inlineStr">
        <is>
          <t>—</t>
        </is>
      </c>
      <c r="G149" s="56" t="inlineStr">
        <is>
          <t>—</t>
        </is>
      </c>
      <c r="H149" s="56" t="inlineStr">
        <is>
          <t>—</t>
        </is>
      </c>
      <c r="I149" s="56" t="inlineStr">
        <is>
          <t>—</t>
        </is>
      </c>
      <c r="J149" s="56" t="inlineStr">
        <is>
          <t>—</t>
        </is>
      </c>
      <c r="K149" s="56" t="inlineStr">
        <is>
          <t>—</t>
        </is>
      </c>
      <c r="L149" s="56" t="inlineStr">
        <is>
          <t>—</t>
        </is>
      </c>
      <c r="M149" s="57" t="inlineStr">
        <is>
          <t>本機 Playwright：AI 洞察 › 持倉健診 讀每檔標題卡；API 三種形狀計數</t>
        </is>
      </c>
      <c r="N149" s="57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57" t="inlineStr">
        <is>
          <t>27 張中 9 張影子進正式清單；持倉健診 9/9 標題為影子卡</t>
        </is>
      </c>
      <c r="P149" s="57" t="inlineStr">
        <is>
          <t>FAIL</t>
        </is>
      </c>
      <c r="Q149" s="57" t="inlineStr">
        <is>
          <t>開 DEF-069</t>
        </is>
      </c>
      <c r="R149" s="57" t="inlineStr">
        <is>
          <t>檢驗方 2026-09-25</t>
        </is>
      </c>
    </row>
    <row r="150" ht="220" customHeight="1" s="34">
      <c r="A150" s="51" t="inlineStr">
        <is>
          <t>R5</t>
        </is>
      </c>
      <c r="B150" s="51" t="inlineStr">
        <is>
          <t>DEF-070</t>
        </is>
      </c>
      <c r="C150" s="51" t="inlineStr">
        <is>
          <t>G-08</t>
        </is>
      </c>
      <c r="D150" s="51" t="inlineStr">
        <is>
          <t>2026-09-25</t>
        </is>
      </c>
      <c r="E150" s="56" t="inlineStr">
        <is>
          <t>—（本輪由檢驗方發現）</t>
        </is>
      </c>
      <c r="F150" s="56" t="inlineStr">
        <is>
          <t>—</t>
        </is>
      </c>
      <c r="G150" s="56" t="inlineStr">
        <is>
          <t>—</t>
        </is>
      </c>
      <c r="H150" s="56" t="inlineStr">
        <is>
          <t>—</t>
        </is>
      </c>
      <c r="I150" s="56" t="inlineStr">
        <is>
          <t>—</t>
        </is>
      </c>
      <c r="J150" s="56" t="inlineStr">
        <is>
          <t>—</t>
        </is>
      </c>
      <c r="K150" s="56" t="inlineStr">
        <is>
          <t>—</t>
        </is>
      </c>
      <c r="L150" s="56" t="inlineStr">
        <is>
          <t>—</t>
        </is>
      </c>
      <c r="M150" s="57" t="inlineStr">
        <is>
          <t>本機時間推進（freezegun）＋合成價格：逐日執行任務、評分、產生校正、晉升，讀 insights 表與假模型請求紀錄</t>
        </is>
      </c>
      <c r="N150" s="57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57" t="inlineStr">
        <is>
          <t>第一批 9 張（上限 2）；之後 0 張；v3 無法評估</t>
        </is>
      </c>
      <c r="P150" s="57" t="inlineStr">
        <is>
          <t>FAIL</t>
        </is>
      </c>
      <c r="Q150" s="57" t="inlineStr">
        <is>
          <t>開 DEF-070</t>
        </is>
      </c>
      <c r="R150" s="57" t="inlineStr">
        <is>
          <t>檢驗方 2026-09-25</t>
        </is>
      </c>
    </row>
    <row r="151" ht="220" customHeight="1" s="34">
      <c r="A151" s="51" t="inlineStr">
        <is>
          <t>R5</t>
        </is>
      </c>
      <c r="B151" s="51" t="inlineStr">
        <is>
          <t>DEF-071</t>
        </is>
      </c>
      <c r="C151" s="51" t="inlineStr">
        <is>
          <t>G-08</t>
        </is>
      </c>
      <c r="D151" s="51" t="inlineStr">
        <is>
          <t>2026-09-25</t>
        </is>
      </c>
      <c r="E151" s="56" t="inlineStr">
        <is>
          <t>—（本輪由檢驗方發現）</t>
        </is>
      </c>
      <c r="F151" s="56" t="inlineStr">
        <is>
          <t>—</t>
        </is>
      </c>
      <c r="G151" s="56" t="inlineStr">
        <is>
          <t>—</t>
        </is>
      </c>
      <c r="H151" s="56" t="inlineStr">
        <is>
          <t>—</t>
        </is>
      </c>
      <c r="I151" s="56" t="inlineStr">
        <is>
          <t>—</t>
        </is>
      </c>
      <c r="J151" s="56" t="inlineStr">
        <is>
          <t>—</t>
        </is>
      </c>
      <c r="K151" s="56" t="inlineStr">
        <is>
          <t>—</t>
        </is>
      </c>
      <c r="L151" s="56" t="inlineStr">
        <is>
          <t>—</t>
        </is>
      </c>
      <c r="M151" s="57" t="inlineStr">
        <is>
          <t>本機 Playwright：任務抽屜校正版本鏈、進化設定說明、診斷 G7；搜尋 web/ 呼叫點</t>
        </is>
      </c>
      <c r="N151" s="57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57" t="inlineStr">
        <is>
          <t>版本鏈只有封存；0 個生效控制項</t>
        </is>
      </c>
      <c r="P151" s="57" t="inlineStr">
        <is>
          <t>FAIL</t>
        </is>
      </c>
      <c r="Q151" s="57" t="inlineStr">
        <is>
          <t>開 DEF-071</t>
        </is>
      </c>
      <c r="R151" s="57" t="inlineStr">
        <is>
          <t>檢驗方 2026-09-25</t>
        </is>
      </c>
    </row>
    <row r="152" ht="220" customHeight="1" s="34">
      <c r="A152" s="51" t="inlineStr">
        <is>
          <t>R5</t>
        </is>
      </c>
      <c r="B152" s="51" t="inlineStr">
        <is>
          <t>DEF-072</t>
        </is>
      </c>
      <c r="C152" s="51" t="inlineStr">
        <is>
          <t>D-00</t>
        </is>
      </c>
      <c r="D152" s="51" t="inlineStr">
        <is>
          <t>2026-09-25</t>
        </is>
      </c>
      <c r="E152" s="56" t="inlineStr">
        <is>
          <t>—（本輪由檢驗方發現）</t>
        </is>
      </c>
      <c r="F152" s="56" t="inlineStr">
        <is>
          <t>—</t>
        </is>
      </c>
      <c r="G152" s="56" t="inlineStr">
        <is>
          <t>—</t>
        </is>
      </c>
      <c r="H152" s="56" t="inlineStr">
        <is>
          <t>—</t>
        </is>
      </c>
      <c r="I152" s="56" t="inlineStr">
        <is>
          <t>—</t>
        </is>
      </c>
      <c r="J152" s="56" t="inlineStr">
        <is>
          <t>—</t>
        </is>
      </c>
      <c r="K152" s="56" t="inlineStr">
        <is>
          <t>—</t>
        </is>
      </c>
      <c r="L152" s="56" t="inlineStr">
        <is>
          <t>—</t>
        </is>
      </c>
      <c r="M152" s="57" t="inlineStr">
        <is>
          <t>本機 Playwright：儀表板開 2330 抽屜 → 門 2 → 讀表單欄位；另開門 1 比對欄位；前置以 SQLite 備份還原</t>
        </is>
      </c>
      <c r="N152" s="57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57" t="inlineStr">
        <is>
          <t>代號 2330 ✓、帳戶 Moomoo MY ✗（應為台灣券商）</t>
        </is>
      </c>
      <c r="P152" s="57" t="inlineStr">
        <is>
          <t>FAIL</t>
        </is>
      </c>
      <c r="Q152" s="57" t="inlineStr">
        <is>
          <t>開 DEF-072</t>
        </is>
      </c>
      <c r="R152" s="57" t="inlineStr">
        <is>
          <t>檢驗方 2026-09-25</t>
        </is>
      </c>
    </row>
    <row r="153" ht="220" customHeight="1" s="34">
      <c r="A153" s="51" t="inlineStr">
        <is>
          <t>R5</t>
        </is>
      </c>
      <c r="B153" s="51" t="inlineStr">
        <is>
          <t>DEF-073</t>
        </is>
      </c>
      <c r="C153" s="51" t="inlineStr">
        <is>
          <t>E-05</t>
        </is>
      </c>
      <c r="D153" s="51" t="inlineStr">
        <is>
          <t>2026-09-25</t>
        </is>
      </c>
      <c r="E153" s="56" t="inlineStr">
        <is>
          <t>—（本輪由檢驗方發現）</t>
        </is>
      </c>
      <c r="F153" s="56" t="inlineStr">
        <is>
          <t>—</t>
        </is>
      </c>
      <c r="G153" s="56" t="inlineStr">
        <is>
          <t>—</t>
        </is>
      </c>
      <c r="H153" s="56" t="inlineStr">
        <is>
          <t>—</t>
        </is>
      </c>
      <c r="I153" s="56" t="inlineStr">
        <is>
          <t>—</t>
        </is>
      </c>
      <c r="J153" s="56" t="inlineStr">
        <is>
          <t>—</t>
        </is>
      </c>
      <c r="K153" s="56" t="inlineStr">
        <is>
          <t>—</t>
        </is>
      </c>
      <c r="L153" s="56" t="inlineStr">
        <is>
          <t>—</t>
        </is>
      </c>
      <c r="M153" s="57" t="inlineStr">
        <is>
          <t>讀排程中心各列明細（demo＋本機）</t>
        </is>
      </c>
      <c r="N153" s="57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57" t="inlineStr">
        <is>
          <t>5 個工作的明細含英文；校正工作 3 種結果同一句</t>
        </is>
      </c>
      <c r="P153" s="57" t="inlineStr">
        <is>
          <t>FAIL</t>
        </is>
      </c>
      <c r="Q153" s="57" t="inlineStr">
        <is>
          <t>開 DEF-073</t>
        </is>
      </c>
      <c r="R153" s="57" t="inlineStr">
        <is>
          <t>檢驗方 2026-09-25</t>
        </is>
      </c>
    </row>
    <row r="154" ht="220" customHeight="1" s="34">
      <c r="A154" s="51" t="inlineStr">
        <is>
          <t>R5</t>
        </is>
      </c>
      <c r="B154" s="51" t="inlineStr">
        <is>
          <t>DEF-074</t>
        </is>
      </c>
      <c r="C154" s="51" t="inlineStr">
        <is>
          <t>H-04</t>
        </is>
      </c>
      <c r="D154" s="51" t="inlineStr">
        <is>
          <t>2026-09-26</t>
        </is>
      </c>
      <c r="E154" s="56" t="inlineStr">
        <is>
          <t>—（Owner 裁定）</t>
        </is>
      </c>
      <c r="F154" s="56" t="inlineStr">
        <is>
          <t>—</t>
        </is>
      </c>
      <c r="G154" s="56" t="inlineStr">
        <is>
          <t>—</t>
        </is>
      </c>
      <c r="H154" s="56" t="inlineStr">
        <is>
          <t>—</t>
        </is>
      </c>
      <c r="I154" s="56" t="inlineStr">
        <is>
          <t>—</t>
        </is>
      </c>
      <c r="J154" s="56" t="inlineStr">
        <is>
          <t>—</t>
        </is>
      </c>
      <c r="K154" s="56" t="inlineStr">
        <is>
          <t>—</t>
        </is>
      </c>
      <c r="L154" s="56" t="inlineStr">
        <is>
          <t>—</t>
        </is>
      </c>
      <c r="M154" s="57" t="inlineStr">
        <is>
          <t>讀開發者交接決策項＋讀碼</t>
        </is>
      </c>
      <c r="N154" s="57" t="inlineStr">
        <is>
          <t>規格未定→owner 已裁定（2026-09-26）</t>
        </is>
      </c>
      <c r="O154" s="57" t="inlineStr">
        <is>
          <t>—</t>
        </is>
      </c>
      <c r="P154" s="57" t="inlineStr">
        <is>
          <t>待裁定</t>
        </is>
      </c>
      <c r="Q154" s="57" t="inlineStr">
        <is>
          <t>開 DEF-074，owner 已裁定 ① B</t>
        </is>
      </c>
      <c r="R154" s="57" t="inlineStr">
        <is>
          <t>檢驗方 2026-09-26</t>
        </is>
      </c>
    </row>
    <row r="155" ht="220" customHeight="1" s="34">
      <c r="A155" s="51" t="inlineStr">
        <is>
          <t>R5</t>
        </is>
      </c>
      <c r="B155" s="51" t="inlineStr">
        <is>
          <t>DEF-075</t>
        </is>
      </c>
      <c r="C155" s="51" t="inlineStr">
        <is>
          <t>H-04</t>
        </is>
      </c>
      <c r="D155" s="51" t="inlineStr">
        <is>
          <t>2026-09-26</t>
        </is>
      </c>
      <c r="E155" s="56" t="inlineStr">
        <is>
          <t>—（Owner 裁定）</t>
        </is>
      </c>
      <c r="F155" s="56" t="inlineStr">
        <is>
          <t>—</t>
        </is>
      </c>
      <c r="G155" s="56" t="inlineStr">
        <is>
          <t>—</t>
        </is>
      </c>
      <c r="H155" s="56" t="inlineStr">
        <is>
          <t>—</t>
        </is>
      </c>
      <c r="I155" s="56" t="inlineStr">
        <is>
          <t>—</t>
        </is>
      </c>
      <c r="J155" s="56" t="inlineStr">
        <is>
          <t>—</t>
        </is>
      </c>
      <c r="K155" s="56" t="inlineStr">
        <is>
          <t>—</t>
        </is>
      </c>
      <c r="L155" s="56" t="inlineStr">
        <is>
          <t>—</t>
        </is>
      </c>
      <c r="M155" s="57" t="inlineStr">
        <is>
          <t>讀開發者交接決策項＋讀碼＋本機重現（0056 未來日期賣出清倉）</t>
        </is>
      </c>
      <c r="N155" s="57" t="inlineStr">
        <is>
          <t>決策項→owner 已裁定（2026-09-26），屬程式缺陷</t>
        </is>
      </c>
      <c r="O155" s="57" t="inlineStr">
        <is>
          <t>—</t>
        </is>
      </c>
      <c r="P155" s="57" t="inlineStr">
        <is>
          <t>待裁定</t>
        </is>
      </c>
      <c r="Q155" s="57" t="inlineStr">
        <is>
          <t>開 DEF-075，owner 已裁定 ② B</t>
        </is>
      </c>
      <c r="R155" s="57" t="inlineStr">
        <is>
          <t>檢驗方 2026-09-26</t>
        </is>
      </c>
    </row>
    <row r="156" ht="220" customHeight="1" s="34">
      <c r="A156" s="51" t="inlineStr">
        <is>
          <t>R5</t>
        </is>
      </c>
      <c r="B156" s="51" t="inlineStr">
        <is>
          <t>DEF-076</t>
        </is>
      </c>
      <c r="C156" s="51" t="inlineStr">
        <is>
          <t>H-04</t>
        </is>
      </c>
      <c r="D156" s="51" t="inlineStr">
        <is>
          <t>2026-09-26</t>
        </is>
      </c>
      <c r="E156" s="56" t="inlineStr">
        <is>
          <t>—（Owner 裁定）</t>
        </is>
      </c>
      <c r="F156" s="56" t="inlineStr">
        <is>
          <t>—</t>
        </is>
      </c>
      <c r="G156" s="56" t="inlineStr">
        <is>
          <t>—</t>
        </is>
      </c>
      <c r="H156" s="56" t="inlineStr">
        <is>
          <t>—</t>
        </is>
      </c>
      <c r="I156" s="56" t="inlineStr">
        <is>
          <t>—</t>
        </is>
      </c>
      <c r="J156" s="56" t="inlineStr">
        <is>
          <t>—</t>
        </is>
      </c>
      <c r="K156" s="56" t="inlineStr">
        <is>
          <t>—</t>
        </is>
      </c>
      <c r="L156" s="56" t="inlineStr">
        <is>
          <t>—</t>
        </is>
      </c>
      <c r="M156" s="57" t="inlineStr">
        <is>
          <t>讀開發者交接決策項＋讀碼</t>
        </is>
      </c>
      <c r="N156" s="57" t="inlineStr">
        <is>
          <t>規格未定→owner 已裁定（2026-09-26）</t>
        </is>
      </c>
      <c r="O156" s="57" t="inlineStr">
        <is>
          <t>—</t>
        </is>
      </c>
      <c r="P156" s="57" t="inlineStr">
        <is>
          <t>待裁定</t>
        </is>
      </c>
      <c r="Q156" s="57" t="inlineStr">
        <is>
          <t>開 DEF-076，owner 已裁定 ⑤ 統一為「AI 額度偏低」</t>
        </is>
      </c>
      <c r="R156" s="57" t="inlineStr">
        <is>
          <t>檢驗方 2026-09-26</t>
        </is>
      </c>
    </row>
    <row r="157" ht="220" customHeight="1" s="34">
      <c r="A157" s="51" t="inlineStr">
        <is>
          <t>R5</t>
        </is>
      </c>
      <c r="B157" s="51" t="inlineStr">
        <is>
          <t>DEF-077</t>
        </is>
      </c>
      <c r="C157" s="51" t="inlineStr">
        <is>
          <t>J-01</t>
        </is>
      </c>
      <c r="D157" s="51" t="inlineStr">
        <is>
          <t>2026-09-26</t>
        </is>
      </c>
      <c r="E157" s="56" t="inlineStr">
        <is>
          <t>—（Owner 裁定）</t>
        </is>
      </c>
      <c r="F157" s="56" t="inlineStr">
        <is>
          <t>—</t>
        </is>
      </c>
      <c r="G157" s="56" t="inlineStr">
        <is>
          <t>—</t>
        </is>
      </c>
      <c r="H157" s="56" t="inlineStr">
        <is>
          <t>—</t>
        </is>
      </c>
      <c r="I157" s="56" t="inlineStr">
        <is>
          <t>—</t>
        </is>
      </c>
      <c r="J157" s="56" t="inlineStr">
        <is>
          <t>—</t>
        </is>
      </c>
      <c r="K157" s="56" t="inlineStr">
        <is>
          <t>—</t>
        </is>
      </c>
      <c r="L157" s="56" t="inlineStr">
        <is>
          <t>—</t>
        </is>
      </c>
      <c r="M157" s="57" t="inlineStr">
        <is>
          <t>讀開發者交接決策項＋讀碼</t>
        </is>
      </c>
      <c r="N157" s="57" t="inlineStr">
        <is>
          <t>決策項→owner 已裁定（2026-09-26），屬程式缺陷</t>
        </is>
      </c>
      <c r="O157" s="57" t="inlineStr">
        <is>
          <t>—</t>
        </is>
      </c>
      <c r="P157" s="57" t="inlineStr">
        <is>
          <t>待裁定</t>
        </is>
      </c>
      <c r="Q157" s="57" t="inlineStr">
        <is>
          <t>開 DEF-077，owner 已裁定 ⑥ A</t>
        </is>
      </c>
      <c r="R157" s="57" t="inlineStr">
        <is>
          <t>檢驗方 2026-09-26</t>
        </is>
      </c>
    </row>
    <row r="158" ht="220" customHeight="1" s="34">
      <c r="A158" s="51" t="inlineStr">
        <is>
          <t>R5</t>
        </is>
      </c>
      <c r="B158" s="51" t="inlineStr">
        <is>
          <t>DEF-078</t>
        </is>
      </c>
      <c r="C158" s="51" t="inlineStr">
        <is>
          <t>H-01</t>
        </is>
      </c>
      <c r="D158" s="51" t="inlineStr">
        <is>
          <t>2026-09-26</t>
        </is>
      </c>
      <c r="E158" s="56" t="inlineStr">
        <is>
          <t>—（Owner 裁定）</t>
        </is>
      </c>
      <c r="F158" s="56" t="inlineStr">
        <is>
          <t>—</t>
        </is>
      </c>
      <c r="G158" s="56" t="inlineStr">
        <is>
          <t>—</t>
        </is>
      </c>
      <c r="H158" s="56" t="inlineStr">
        <is>
          <t>—</t>
        </is>
      </c>
      <c r="I158" s="56" t="inlineStr">
        <is>
          <t>—</t>
        </is>
      </c>
      <c r="J158" s="56" t="inlineStr">
        <is>
          <t>—</t>
        </is>
      </c>
      <c r="K158" s="56" t="inlineStr">
        <is>
          <t>—</t>
        </is>
      </c>
      <c r="L158" s="56" t="inlineStr">
        <is>
          <t>—</t>
        </is>
      </c>
      <c r="M158" s="57" t="inlineStr">
        <is>
          <t>讀開發者交接決策項＋讀碼</t>
        </is>
      </c>
      <c r="N158" s="57" t="inlineStr">
        <is>
          <t>規格未定→owner 已裁定（2026-09-26）</t>
        </is>
      </c>
      <c r="O158" s="57" t="inlineStr">
        <is>
          <t>—</t>
        </is>
      </c>
      <c r="P158" s="57" t="inlineStr">
        <is>
          <t>待裁定</t>
        </is>
      </c>
      <c r="Q158" s="57" t="inlineStr">
        <is>
          <t>開 DEF-078，owner 已裁定 ⑦ A＋前後 6 字元明文</t>
        </is>
      </c>
      <c r="R158" s="57" t="inlineStr">
        <is>
          <t>檢驗方 2026-09-26</t>
        </is>
      </c>
    </row>
    <row r="159" ht="220" customHeight="1" s="34">
      <c r="A159" s="33" t="inlineStr">
        <is>
          <t>R6</t>
        </is>
      </c>
      <c r="B159" s="33" t="inlineStr">
        <is>
          <t>DEF-066</t>
        </is>
      </c>
      <c r="C159" s="33" t="inlineStr">
        <is>
          <t>G-09（附帶）；DEF-062 複驗（demo alert_scan #195 → insight:9 #196～#202）；H-01 測試連線</t>
        </is>
      </c>
      <c r="D159" s="33" t="inlineStr">
        <is>
          <t>2026-09-26</t>
        </is>
      </c>
      <c r="E159" s="33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33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33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33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33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33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33" t="inlineStr">
        <is>
          <t>696934e（已部署 demo）</t>
        </is>
      </c>
      <c r="L159" s="33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33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33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33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33" t="inlineStr">
        <is>
          <t>複驗通過 → 結案</t>
        </is>
      </c>
      <c r="Q159" s="33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33" t="inlineStr">
        <is>
          <t>檢驗方 2026-09-26</t>
        </is>
      </c>
    </row>
    <row r="160" ht="220" customHeight="1" s="34">
      <c r="A160" s="51" t="inlineStr">
        <is>
          <t>R6</t>
        </is>
      </c>
      <c r="B160" s="51" t="inlineStr">
        <is>
          <t>DEF-067</t>
        </is>
      </c>
      <c r="C160" s="51" t="inlineStr">
        <is>
          <t>E-05</t>
        </is>
      </c>
      <c r="D160" s="51" t="inlineStr">
        <is>
          <t>2026-09-26</t>
        </is>
      </c>
      <c r="E160" s="56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56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56" t="inlineStr">
        <is>
          <t>M10-02 只替報價工作引入 JobOutcome 並只測報價；其他回傳字串的工作沒有任何狀態斷言，_outcome_of 的「字串＝成功」預設沒有測試盯著。</t>
        </is>
      </c>
      <c r="H160" s="56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56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56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56" t="inlineStr">
        <is>
          <t>696934e（已部署 demo）</t>
        </is>
      </c>
      <c r="L16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57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57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57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57" t="inlineStr">
        <is>
          <t>複驗通過 → 結案</t>
        </is>
      </c>
      <c r="Q160" s="57" t="inlineStr">
        <is>
          <t>無</t>
        </is>
      </c>
      <c r="R160" s="57" t="inlineStr">
        <is>
          <t>檢驗方 2026-09-26</t>
        </is>
      </c>
    </row>
    <row r="161" ht="220" customHeight="1" s="34">
      <c r="A161" s="51" t="inlineStr">
        <is>
          <t>R6</t>
        </is>
      </c>
      <c r="B161" s="51" t="inlineStr">
        <is>
          <t>DEF-069</t>
        </is>
      </c>
      <c r="C161" s="51" t="inlineStr">
        <is>
          <t>G-08</t>
        </is>
      </c>
      <c r="D161" s="51" t="inlineStr">
        <is>
          <t>2026-09-26</t>
        </is>
      </c>
      <c r="E161" s="56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56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56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56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56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56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56" t="inlineStr">
        <is>
          <t>696934e（已部署 demo）</t>
        </is>
      </c>
      <c r="L16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57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57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57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57" t="inlineStr">
        <is>
          <t>複驗通過 → 結案</t>
        </is>
      </c>
      <c r="Q161" s="57" t="inlineStr">
        <is>
          <t>無</t>
        </is>
      </c>
      <c r="R161" s="57" t="inlineStr">
        <is>
          <t>檢驗方 2026-09-26</t>
        </is>
      </c>
    </row>
    <row r="162" ht="220" customHeight="1" s="34">
      <c r="A162" s="51" t="inlineStr">
        <is>
          <t>R6</t>
        </is>
      </c>
      <c r="B162" s="51" t="inlineStr">
        <is>
          <t>DEF-070</t>
        </is>
      </c>
      <c r="C162" s="51" t="inlineStr">
        <is>
          <t>G-08</t>
        </is>
      </c>
      <c r="D162" s="51" t="inlineStr">
        <is>
          <t>2026-09-26</t>
        </is>
      </c>
      <c r="E162" s="56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56" t="inlineStr">
        <is>
          <t>portfolio_dash/api/insight_service.py:402-407（_shadow_card_count）、:436（上限判斷）、:1004-1005（晉升成績混算）</t>
        </is>
      </c>
      <c r="G162" s="56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56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56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56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56" t="inlineStr">
        <is>
          <t>696934e（已部署 demo）</t>
        </is>
      </c>
      <c r="L16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57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57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57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57" t="inlineStr">
        <is>
          <t>複驗通過 → 結案</t>
        </is>
      </c>
      <c r="Q162" s="57" t="inlineStr">
        <is>
          <t>無</t>
        </is>
      </c>
      <c r="R162" s="57" t="inlineStr">
        <is>
          <t>檢驗方 2026-09-26</t>
        </is>
      </c>
    </row>
    <row r="163" ht="220" customHeight="1" s="34">
      <c r="A163" s="51" t="inlineStr">
        <is>
          <t>R6</t>
        </is>
      </c>
      <c r="B163" s="51" t="inlineStr">
        <is>
          <t>DEF-071</t>
        </is>
      </c>
      <c r="C163" s="51" t="inlineStr">
        <is>
          <t>G-08</t>
        </is>
      </c>
      <c r="D163" s="51" t="inlineStr">
        <is>
          <t>2026-09-26</t>
        </is>
      </c>
      <c r="E163" s="56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56" t="inlineStr">
        <is>
          <t>web/pipeline.js:780-830（loadCalibrations）、:56（FIX_KINDS）；tests/contract/test_api_routes_have_frontend_callers.py:59-63（白名單）</t>
        </is>
      </c>
      <c r="G163" s="56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56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56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56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56" t="inlineStr">
        <is>
          <t>696934e（已部署 demo）</t>
        </is>
      </c>
      <c r="L16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57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57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57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57" t="inlineStr">
        <is>
          <t>複驗通過 → 結案</t>
        </is>
      </c>
      <c r="Q163" s="57" t="inlineStr">
        <is>
          <t>無</t>
        </is>
      </c>
      <c r="R163" s="57" t="inlineStr">
        <is>
          <t>檢驗方 2026-09-26</t>
        </is>
      </c>
    </row>
    <row r="164" ht="220" customHeight="1" s="34">
      <c r="A164" s="51" t="inlineStr">
        <is>
          <t>R6</t>
        </is>
      </c>
      <c r="B164" s="51" t="inlineStr">
        <is>
          <t>DEF-079</t>
        </is>
      </c>
      <c r="C164" s="51" t="inlineStr">
        <is>
          <t>G-08（附帶）</t>
        </is>
      </c>
      <c r="D164" s="51" t="inlineStr">
        <is>
          <t>2026-09-26</t>
        </is>
      </c>
      <c r="E164" s="56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56" t="inlineStr">
        <is>
          <t>portfolio_dash/api/insight_service.py:900-905（_generate_one）</t>
        </is>
      </c>
      <c r="G164" s="56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56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56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56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56" t="inlineStr">
        <is>
          <t>696934e（已部署 demo）</t>
        </is>
      </c>
      <c r="L164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57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57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57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57" t="inlineStr">
        <is>
          <t>複驗通過 → 結案</t>
        </is>
      </c>
      <c r="Q164" s="57" t="inlineStr">
        <is>
          <t>無</t>
        </is>
      </c>
      <c r="R164" s="57" t="inlineStr">
        <is>
          <t>檢驗方 2026-09-26</t>
        </is>
      </c>
    </row>
    <row r="165" ht="220" customHeight="1" s="34">
      <c r="A165" s="51" t="inlineStr">
        <is>
          <t>R6</t>
        </is>
      </c>
      <c r="B165" s="51" t="inlineStr">
        <is>
          <t>DEF-080</t>
        </is>
      </c>
      <c r="C165" s="51" t="inlineStr">
        <is>
          <t>G-08（附帶）</t>
        </is>
      </c>
      <c r="D165" s="51" t="inlineStr">
        <is>
          <t>2026-09-26</t>
        </is>
      </c>
      <c r="E165" s="56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56" t="inlineStr">
        <is>
          <t>portfolio_dash/api/insight_service.py:891-893（_generate_one 的觸發條件）</t>
        </is>
      </c>
      <c r="G165" s="56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56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56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56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56" t="inlineStr">
        <is>
          <t>696934e（已部署 demo）</t>
        </is>
      </c>
      <c r="L165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57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57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57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57" t="inlineStr">
        <is>
          <t>複驗通過 → 結案</t>
        </is>
      </c>
      <c r="Q165" s="57" t="inlineStr">
        <is>
          <t>無</t>
        </is>
      </c>
      <c r="R165" s="57" t="inlineStr">
        <is>
          <t>檢驗方 2026-09-26</t>
        </is>
      </c>
    </row>
    <row r="166" ht="220" customHeight="1" s="34">
      <c r="A166" s="51" t="inlineStr">
        <is>
          <t>R6</t>
        </is>
      </c>
      <c r="B166" s="51" t="inlineStr">
        <is>
          <t>DEF-068</t>
        </is>
      </c>
      <c r="C166" s="51" t="inlineStr">
        <is>
          <t>E-11</t>
        </is>
      </c>
      <c r="D166" s="51" t="inlineStr">
        <is>
          <t>2026-09-26</t>
        </is>
      </c>
      <c r="E166" s="56" t="inlineStr">
        <is>
          <t>同意。另外 API 原本就缺「已更新數」，前端要說「N 檔已更新」只能自己算，所以一併由 API 補上計數。</t>
        </is>
      </c>
      <c r="F166" s="56" t="inlineStr">
        <is>
          <t>web/shell.js:467-470；portfolio_dash/scheduler/jobs.py _quote_outcome（results 缺已更新數）</t>
        </is>
      </c>
      <c r="G166" s="56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56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56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56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56" t="inlineStr">
        <is>
          <t>696934e（已部署 demo）</t>
        </is>
      </c>
      <c r="L166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57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57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57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57" t="inlineStr">
        <is>
          <t>複驗通過 → 結案</t>
        </is>
      </c>
      <c r="Q166" s="57" t="inlineStr">
        <is>
          <t>無</t>
        </is>
      </c>
      <c r="R166" s="57" t="inlineStr">
        <is>
          <t>檢驗方 2026-09-26</t>
        </is>
      </c>
    </row>
    <row r="167" ht="220" customHeight="1" s="34">
      <c r="A167" s="51" t="inlineStr">
        <is>
          <t>R6</t>
        </is>
      </c>
      <c r="B167" s="51" t="inlineStr">
        <is>
          <t>DEF-073</t>
        </is>
      </c>
      <c r="C167" s="51" t="inlineStr">
        <is>
          <t>E-05、G-08（附帶）</t>
        </is>
      </c>
      <c r="D167" s="51" t="inlineStr">
        <is>
          <t>2026-09-26</t>
        </is>
      </c>
      <c r="E167" s="56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56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56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56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56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56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56" t="inlineStr">
        <is>
          <t>696934e（已部署 demo）</t>
        </is>
      </c>
      <c r="L167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57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57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57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57" t="inlineStr">
        <is>
          <t>複驗通過 → 結案</t>
        </is>
      </c>
      <c r="Q167" s="57" t="inlineStr">
        <is>
          <t>附註：失敗時的例外原文（failure_detail）依 DEF-030 保留英文類別名與原文，未列入本張</t>
        </is>
      </c>
      <c r="R167" s="57" t="inlineStr">
        <is>
          <t>檢驗方 2026-09-26</t>
        </is>
      </c>
    </row>
    <row r="168" ht="220" customHeight="1" s="34">
      <c r="A168" s="51" t="inlineStr">
        <is>
          <t>R6</t>
        </is>
      </c>
      <c r="B168" s="51" t="inlineStr">
        <is>
          <t>DEF-072</t>
        </is>
      </c>
      <c r="C168" s="51" t="inlineStr">
        <is>
          <t>D-00</t>
        </is>
      </c>
      <c r="D168" s="51" t="inlineStr">
        <is>
          <t>2026-09-26</t>
        </is>
      </c>
      <c r="E168" s="56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56" t="inlineStr">
        <is>
          <t>web/detail.js:1272（門 2 預填）；web/corp-action-form.js:798（空字串時由瀏覽器預設第一個）；同類 web/ledger.js:1294（門 3 不帶帳戶籤）</t>
        </is>
      </c>
      <c r="G168" s="56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56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56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56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56" t="inlineStr">
        <is>
          <t>696934e（已部署 demo）</t>
        </is>
      </c>
      <c r="L168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57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57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57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57" t="inlineStr">
        <is>
          <t>複驗通過 → 結案</t>
        </is>
      </c>
      <c r="Q168" s="57" t="inlineStr">
        <is>
          <t>無</t>
        </is>
      </c>
      <c r="R168" s="57" t="inlineStr">
        <is>
          <t>檢驗方 2026-09-26</t>
        </is>
      </c>
    </row>
    <row r="169" ht="220" customHeight="1" s="34">
      <c r="A169" s="51" t="inlineStr">
        <is>
          <t>R6</t>
        </is>
      </c>
      <c r="B169" s="51" t="inlineStr">
        <is>
          <t>DEF-075</t>
        </is>
      </c>
      <c r="C169" s="51" t="inlineStr">
        <is>
          <t>H-04（附帶）</t>
        </is>
      </c>
      <c r="D169" s="51" t="inlineStr">
        <is>
          <t>2026-09-26</t>
        </is>
      </c>
      <c r="E169" s="56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56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56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56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56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56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56" t="inlineStr">
        <is>
          <t>696934e（已部署 demo）</t>
        </is>
      </c>
      <c r="L169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57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57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57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57" t="inlineStr">
        <is>
          <t>複驗通過 → 結案</t>
        </is>
      </c>
      <c r="Q169" s="57" t="inlineStr">
        <is>
          <t>無</t>
        </is>
      </c>
      <c r="R169" s="57" t="inlineStr">
        <is>
          <t>檢驗方 2026-09-26</t>
        </is>
      </c>
    </row>
    <row r="170" ht="220" customHeight="1" s="34">
      <c r="A170" s="51" t="inlineStr">
        <is>
          <t>R6</t>
        </is>
      </c>
      <c r="B170" s="51" t="inlineStr">
        <is>
          <t>DEF-074</t>
        </is>
      </c>
      <c r="C170" s="51" t="inlineStr">
        <is>
          <t>H-04（附帶）</t>
        </is>
      </c>
      <c r="D170" s="51" t="inlineStr">
        <is>
          <t>2026-09-26</t>
        </is>
      </c>
      <c r="E170" s="56" t="inlineStr">
        <is>
          <t>同意，依 owner ① B 改走共用判定。detect()（dividend_inbox.py:267）讀的是已存的事件、不是抓取宇宙，列白名單（理由見 I）。</t>
        </is>
      </c>
      <c r="F170" s="56" t="inlineStr">
        <is>
          <t>portfolio_dash/api/dividend_inbox.py:220</t>
        </is>
      </c>
      <c r="G170" s="56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56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56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56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56" t="inlineStr">
        <is>
          <t>696934e（已部署 demo）</t>
        </is>
      </c>
      <c r="L170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57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57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57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57" t="inlineStr">
        <is>
          <t>複驗通過 → 結案</t>
        </is>
      </c>
      <c r="Q170" s="57" t="inlineStr">
        <is>
          <t>無</t>
        </is>
      </c>
      <c r="R170" s="57" t="inlineStr">
        <is>
          <t>檢驗方 2026-09-26</t>
        </is>
      </c>
    </row>
    <row r="171" ht="220" customHeight="1" s="34">
      <c r="A171" s="51" t="inlineStr">
        <is>
          <t>R6</t>
        </is>
      </c>
      <c r="B171" s="51" t="inlineStr">
        <is>
          <t>DEF-078</t>
        </is>
      </c>
      <c r="C171" s="51" t="inlineStr">
        <is>
          <t>H-01（附帶）</t>
        </is>
      </c>
      <c r="D171" s="51" t="inlineStr">
        <is>
          <t>2026-09-26</t>
        </is>
      </c>
      <c r="E171" s="56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56" t="inlineStr">
        <is>
          <t>web/settings.html:533、:550、:631；web/settings-datasources.js:218</t>
        </is>
      </c>
      <c r="G171" s="56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56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56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56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56" t="inlineStr">
        <is>
          <t>696934e（已部署 demo）</t>
        </is>
      </c>
      <c r="L171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57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57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57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57" t="inlineStr">
        <is>
          <t>複驗通過 → 結案</t>
        </is>
      </c>
      <c r="Q171" s="57" t="inlineStr">
        <is>
          <t>無</t>
        </is>
      </c>
      <c r="R171" s="57" t="inlineStr">
        <is>
          <t>檢驗方 2026-09-26</t>
        </is>
      </c>
    </row>
    <row r="172" ht="220" customHeight="1" s="34">
      <c r="A172" s="51" t="inlineStr">
        <is>
          <t>R6</t>
        </is>
      </c>
      <c r="B172" s="51" t="inlineStr">
        <is>
          <t>DEF-077</t>
        </is>
      </c>
      <c r="C172" s="51" t="inlineStr">
        <is>
          <t>J-01（附帶）</t>
        </is>
      </c>
      <c r="D172" s="51" t="inlineStr">
        <is>
          <t>2026-09-26</t>
        </is>
      </c>
      <c r="E172" s="56" t="inlineStr">
        <is>
          <t>同意，依 owner ⑥ A。</t>
        </is>
      </c>
      <c r="F172" s="56" t="inlineStr">
        <is>
          <t>portfolio_dash/portfolio/dashboard.py:196-197、:210、:982</t>
        </is>
      </c>
      <c r="G172" s="56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56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56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56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56" t="inlineStr">
        <is>
          <t>696934e（已部署 demo）</t>
        </is>
      </c>
      <c r="L172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57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57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57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57" t="inlineStr">
        <is>
          <t>複驗未過</t>
        </is>
      </c>
      <c r="Q172" s="57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57" t="inlineStr">
        <is>
          <t>檢驗方 2026-09-26</t>
        </is>
      </c>
    </row>
    <row r="173" ht="220" customHeight="1" s="34">
      <c r="A173" s="51" t="inlineStr">
        <is>
          <t>R6</t>
        </is>
      </c>
      <c r="B173" s="51" t="inlineStr">
        <is>
          <t>DEF-076</t>
        </is>
      </c>
      <c r="C173" s="51" t="inlineStr">
        <is>
          <t>H-04（附帶）</t>
        </is>
      </c>
      <c r="D173" s="51" t="inlineStr">
        <is>
          <t>2026-09-26</t>
        </is>
      </c>
      <c r="E173" s="56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56" t="inlineStr">
        <is>
          <t>portfolio_dash/strategy/alerts.py:357；portfolio_dash/shared/whatsnew.py:1317</t>
        </is>
      </c>
      <c r="G173" s="56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56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56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56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56" t="inlineStr">
        <is>
          <t>696934e（已部署 demo）</t>
        </is>
      </c>
      <c r="L173" s="56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57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57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57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57" t="inlineStr">
        <is>
          <t>複驗通過 → 結案</t>
        </is>
      </c>
      <c r="Q173" s="57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57" t="inlineStr">
        <is>
          <t>檢驗方 2026-09-26</t>
        </is>
      </c>
    </row>
    <row r="174" ht="220" customHeight="1" s="34">
      <c r="A174" s="51" t="inlineStr">
        <is>
          <t>R7</t>
        </is>
      </c>
      <c r="B174" s="51" t="inlineStr">
        <is>
          <t>DEF-077</t>
        </is>
      </c>
      <c r="C174" s="51" t="inlineStr">
        <is>
          <t>J-01（附帶）</t>
        </is>
      </c>
      <c r="D174" s="51" t="inlineStr">
        <is>
          <t>2026-09-26</t>
        </is>
      </c>
      <c r="E174" s="56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56" t="inlineStr">
        <is>
          <t>web/styles.css:1240（.fresh-note 預設琥珀）、web/app.js:1393／:1399（696934e）；同類 web/settings-llm.js:71-74、:81-83，web/app.js:1360</t>
        </is>
      </c>
      <c r="G174" s="56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56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56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56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56" t="inlineStr">
        <is>
          <t>a16210a（已部署 demo）</t>
        </is>
      </c>
      <c r="L174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57" t="n"/>
      <c r="N174" s="57" t="n"/>
      <c r="O174" s="57" t="n"/>
      <c r="P174" s="57" t="n"/>
      <c r="Q174" s="57" t="n"/>
      <c r="R174" s="57" t="n"/>
    </row>
    <row r="175" ht="220" customHeight="1" s="34">
      <c r="A175" s="51" t="inlineStr">
        <is>
          <t>R7</t>
        </is>
      </c>
      <c r="B175" s="51" t="inlineStr">
        <is>
          <t>DEF-081</t>
        </is>
      </c>
      <c r="C175" s="51" t="inlineStr">
        <is>
          <t>H-07（附帶）</t>
        </is>
      </c>
      <c r="D175" s="51" t="inlineStr">
        <is>
          <t>2026-09-26</t>
        </is>
      </c>
      <c r="E175" s="56" t="inlineStr">
        <is>
          <t>新開，owner 2026-09-26 在對話中裁定本輪改顯示名稱（驗證者 R5 觀察 5、R6 規格 §2 觀察 3）。</t>
        </is>
      </c>
      <c r="F175" s="56" t="inlineStr">
        <is>
          <t>web/insights.html:688、:725；portfolio_dash/api/routers/insights.py:914（696934e）</t>
        </is>
      </c>
      <c r="G175" s="56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56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56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56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56" t="inlineStr">
        <is>
          <t>a16210a（已部署 demo）</t>
        </is>
      </c>
      <c r="L175" s="56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57" t="n"/>
      <c r="N175" s="57" t="n"/>
      <c r="O175" s="57" t="n"/>
      <c r="P175" s="57" t="n"/>
      <c r="Q175" s="57" t="n"/>
      <c r="R175" s="57" t="n"/>
    </row>
  </sheetData>
  <mergeCells count="1">
    <mergeCell ref="A1:R1"/>
  </mergeCells>
  <dataValidations count="2">
    <dataValidation sqref="A5:A175" showDropDown="0" showInputMessage="0" showErrorMessage="0" allowBlank="1" type="list" errorStyle="stop" operator="between">
      <formula1>"R1,R2,R3,R4,R5,R6,R7"</formula1>
      <formula2>0</formula2>
    </dataValidation>
    <dataValidation sqref="P5:P175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20" customHeight="1" s="34">
      <c r="A9" s="51" t="inlineStr">
        <is>
          <t>2026-09-25</t>
        </is>
      </c>
      <c r="B9" s="51" t="inlineStr">
        <is>
          <t>開發者 → 驗證者</t>
        </is>
      </c>
      <c r="C9" s="51" t="inlineStr">
        <is>
          <t>1ee7771</t>
        </is>
      </c>
      <c r="D9" s="5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5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34">
      <c r="A10" s="51" t="inlineStr">
        <is>
          <t>2026-09-25</t>
        </is>
      </c>
      <c r="B10" s="51" t="inlineStr">
        <is>
          <t>驗證者 → 開發者</t>
        </is>
      </c>
      <c r="C10" s="51" t="inlineStr">
        <is>
          <t>1ee7771</t>
        </is>
      </c>
      <c r="D10" s="5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1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5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20" customHeight="1" s="34">
      <c r="A11" s="51" t="inlineStr">
        <is>
          <t>2026-09-25</t>
        </is>
      </c>
      <c r="B11" s="51" t="inlineStr">
        <is>
          <t>開發者 → 驗證者</t>
        </is>
      </c>
      <c r="C11" s="51" t="inlineStr">
        <is>
          <t>3be67db</t>
        </is>
      </c>
      <c r="D11" s="5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1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5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34">
      <c r="A12" s="51" t="inlineStr">
        <is>
          <t>2026-09-26</t>
        </is>
      </c>
      <c r="B12" s="51" t="inlineStr">
        <is>
          <t>驗證者 → 開發者</t>
        </is>
      </c>
      <c r="C12" s="51" t="inlineStr">
        <is>
          <t>3be67db</t>
        </is>
      </c>
      <c r="D12" s="5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1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5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20" customHeight="1" s="34">
      <c r="A13" s="51" t="inlineStr">
        <is>
          <t>2026-09-26</t>
        </is>
      </c>
      <c r="B13" s="51" t="inlineStr">
        <is>
          <t>開發者 → 驗證者</t>
        </is>
      </c>
      <c r="C13" s="51" t="inlineStr">
        <is>
          <t>696934e</t>
        </is>
      </c>
      <c r="D13" s="51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51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51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20" customHeight="1" s="34">
      <c r="A14" s="51" t="inlineStr">
        <is>
          <t>2026-09-26</t>
        </is>
      </c>
      <c r="B14" s="51" t="inlineStr">
        <is>
          <t>驗證者 → 開發者</t>
        </is>
      </c>
      <c r="C14" s="51" t="inlineStr">
        <is>
          <t>696934e</t>
        </is>
      </c>
      <c r="D14" s="51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51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51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20" customHeight="1" s="34">
      <c r="A15" s="51" t="inlineStr">
        <is>
          <t>2026-09-27</t>
        </is>
      </c>
      <c r="B15" s="51" t="inlineStr">
        <is>
          <t>開發者 → 驗證者</t>
        </is>
      </c>
      <c r="C15" s="51" t="inlineStr">
        <is>
          <t>a16210a</t>
        </is>
      </c>
      <c r="D15" s="51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51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51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15" customHeight="1" s="34">
      <c r="A16" s="51" t="n"/>
      <c r="B16" s="51" t="n"/>
      <c r="C16" s="51" t="n"/>
      <c r="D16" s="51" t="n"/>
      <c r="E16" s="51" t="n"/>
      <c r="F16" s="51" t="n"/>
    </row>
    <row r="17" ht="15" customHeight="1" s="34">
      <c r="A17" s="51" t="n"/>
      <c r="B17" s="51" t="n"/>
      <c r="C17" s="51" t="n"/>
      <c r="D17" s="51" t="n"/>
      <c r="E17" s="51" t="n"/>
      <c r="F17" s="51" t="n"/>
    </row>
    <row r="18" ht="15" customHeight="1" s="34">
      <c r="A18" s="51" t="n"/>
      <c r="B18" s="51" t="n"/>
      <c r="C18" s="51" t="n"/>
      <c r="D18" s="51" t="n"/>
      <c r="E18" s="51" t="n"/>
      <c r="F18" s="51" t="n"/>
    </row>
    <row r="19" ht="15" customHeight="1" s="34">
      <c r="A19" s="51" t="n"/>
      <c r="B19" s="51" t="n"/>
      <c r="C19" s="51" t="n"/>
      <c r="D19" s="51" t="n"/>
      <c r="E19" s="51" t="n"/>
      <c r="F19" s="51" t="n"/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COUNTIF(缺陷登記!$F$3:$F$83,$A4)</f>
        <v/>
      </c>
      <c r="K4" s="60">
        <f>COUNTIF(缺陷登記!$J$3:$J$83,$A4)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COUNTIF(缺陷登記!$F$3:$F$83,$A5)</f>
        <v/>
      </c>
      <c r="K5" s="60">
        <f>COUNTIF(缺陷登記!$J$3:$J$83,$A5)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COUNTIF(缺陷登記!$F$3:$F$83,$A6)</f>
        <v/>
      </c>
      <c r="K6" s="60">
        <f>COUNTIF(缺陷登記!$J$3:$J$83,$A6)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inlineStr">
        <is>
          <t>2026-09-25</t>
        </is>
      </c>
      <c r="C7" s="59" t="inlineStr">
        <is>
          <t>1ee7771</t>
        </is>
      </c>
      <c r="D7" s="59" t="n">
        <v>16</v>
      </c>
      <c r="E7" s="59" t="n">
        <v>15</v>
      </c>
      <c r="F7" s="59" t="n">
        <v>1</v>
      </c>
      <c r="G7" s="59" t="n">
        <v>0</v>
      </c>
      <c r="H7" s="59" t="n">
        <v>0</v>
      </c>
      <c r="I7" s="59" t="n">
        <v>0</v>
      </c>
      <c r="J7" s="60">
        <f>COUNTIF(缺陷登記!$F$3:$F$83,$A7)</f>
        <v/>
      </c>
      <c r="K7" s="60">
        <f>COUNTIF(缺陷登記!$J$3:$J$83,$A7)</f>
        <v/>
      </c>
      <c r="L7" s="60">
        <f>SUM($J$4:$J7)-SUM($K$4:$K7)</f>
        <v/>
      </c>
      <c r="M7" s="59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59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34">
      <c r="A8" s="48" t="inlineStr">
        <is>
          <t>R5</t>
        </is>
      </c>
      <c r="B8" s="59" t="inlineStr">
        <is>
          <t>2026-09-25</t>
        </is>
      </c>
      <c r="C8" s="59" t="inlineStr">
        <is>
          <t>3be67db</t>
        </is>
      </c>
      <c r="D8" s="59" t="n">
        <v>17</v>
      </c>
      <c r="E8" s="59" t="n">
        <v>13</v>
      </c>
      <c r="F8" s="59" t="n">
        <v>4</v>
      </c>
      <c r="G8" s="59" t="n">
        <v>0</v>
      </c>
      <c r="H8" s="59" t="n">
        <v>0</v>
      </c>
      <c r="I8" s="59" t="n">
        <v>0</v>
      </c>
      <c r="J8" s="60">
        <f>COUNTIF(缺陷登記!$F$3:$F$83,$A8)</f>
        <v/>
      </c>
      <c r="K8" s="60">
        <f>COUNTIF(缺陷登記!$J$3:$J$83,$A8)</f>
        <v/>
      </c>
      <c r="L8" s="60">
        <f>SUM($J$4:$J8)-SUM($K$4:$K8)</f>
        <v/>
      </c>
      <c r="M8" s="59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59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34">
      <c r="A9" s="48" t="inlineStr">
        <is>
          <t>R6</t>
        </is>
      </c>
      <c r="B9" s="59" t="inlineStr">
        <is>
          <t>2026-09-26</t>
        </is>
      </c>
      <c r="C9" s="59" t="inlineStr">
        <is>
          <t>696934e</t>
        </is>
      </c>
      <c r="D9" s="59" t="n">
        <v>13</v>
      </c>
      <c r="E9" s="59" t="n">
        <v>13</v>
      </c>
      <c r="F9" s="59" t="n">
        <v>0</v>
      </c>
      <c r="G9" s="59" t="n">
        <v>0</v>
      </c>
      <c r="H9" s="59" t="n">
        <v>0</v>
      </c>
      <c r="I9" s="59" t="n">
        <v>0</v>
      </c>
      <c r="J9" s="60">
        <f>COUNTIF(缺陷登記!$F$3:$F$83,$A9)</f>
        <v/>
      </c>
      <c r="K9" s="60">
        <f>COUNTIF(缺陷登記!$J$3:$J$83,$A9)</f>
        <v/>
      </c>
      <c r="L9" s="60">
        <f>SUM($J$4:$J9)-SUM($K$4:$K9)</f>
        <v/>
      </c>
      <c r="M9" s="59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59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34">
      <c r="A10" s="48" t="inlineStr">
        <is>
          <t>R7</t>
        </is>
      </c>
      <c r="B10" s="59" t="n"/>
      <c r="C10" s="59" t="n"/>
      <c r="D10" s="59" t="n"/>
      <c r="E10" s="59" t="n"/>
      <c r="F10" s="59" t="n"/>
      <c r="G10" s="59" t="n"/>
      <c r="H10" s="59" t="n"/>
      <c r="I10" s="59" t="n"/>
      <c r="J10" s="60">
        <f>COUNTIF(缺陷登記!$F$3:$F$83,$A10)</f>
        <v/>
      </c>
      <c r="K10" s="60">
        <f>COUNTIF(缺陷登記!$J$3:$J$83,$A10)</f>
        <v/>
      </c>
      <c r="L10" s="60">
        <f>SUM($J$4:$J10)-SUM($K$4:$K10)</f>
        <v/>
      </c>
      <c r="M10" s="59" t="n"/>
      <c r="N10" s="59" t="n"/>
    </row>
    <row r="11" ht="15" customHeight="1" s="34">
      <c r="A11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1:N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56（R6_START 2026-09-26 13:08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R6_START 四段 JSON 原文</t>
        </is>
      </c>
      <c r="E9" s="59" t="inlineStr">
        <is>
          <t>kpis／holdings／realized／allocation 逐字相同（QA.cmp R6_START same:true）</t>
        </is>
      </c>
      <c r="F9" s="59" t="inlineStr">
        <is>
          <t>是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兩者逐字相同</t>
        </is>
      </c>
      <c r="F10" s="59" t="inlineStr">
        <is>
          <t>是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檔、0 封存、目標價皆空；任務 1／2／7／8／9 啟用；25 個排程</t>
        </is>
      </c>
      <c r="E12" s="59" t="inlineStr">
        <is>
          <t>26 檔、0 封存、目標價皆空（0056 held:true）；任務 1／2／7／8／9 皆啟用；25 個排程皆啟用（本輪未在 demo 改任何排程）；收件匣 7、折讓款 3、期初 1 與起點相同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$3.2577460；低額度警示門檻 $1.00</t>
        </is>
      </c>
      <c r="E13" s="59" t="inlineStr">
        <is>
          <t>剩餘額度 $3.2577460（本輪 demo 未呼叫 AI）；門檻為 DEF-076 驗證改 4.00 後已改回 1.00（系統紀錄 2 列「AI 設定變更」）</t>
        </is>
      </c>
      <c r="F13" s="59" t="inlineStr">
        <is>
          <t>是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n"/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n"/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n"/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n"/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n"/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COUNTA(輪次彙總!$B$4:$B$9)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COUNTA(缺陷登記!$I$3:$I$82)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COUNTIF(缺陷登記!$D$3:$D$82,"高")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COUNTIF(缺陷登記!$D$3:$D$82,"中")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COUNTIF(缺陷登記!$D$3:$D$82,"低")</f>
        <v/>
      </c>
    </row>
    <row r="19" ht="15" customHeight="1" s="34">
      <c r="A19" s="61" t="inlineStr">
        <is>
          <t>已結案缺陷</t>
        </is>
      </c>
      <c r="B19" s="65">
        <f>COUNTIF(缺陷登記!$I$3:$I$82,"結案")+COUNTIF(缺陷登記!$I$3:$I$82,"非缺陷")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COUNTA(缺陷登記!$I$3:$I$82)-COUNTIF(缺陷登記!$I$3:$I$82,"結案")-COUNTIF(缺陷登記!$I$3:$I$82,"非缺陷")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n"/>
      <c r="C24" s="64" t="n"/>
      <c r="D24" s="64" t="n"/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n"/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n"/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2026-09-22T17:50:57Z</dcterms:created>
  <dcterms:modified xsi:type="dcterms:W3CDTF">2026-09-26T16:01:10Z</dcterms:modified>
  <cp:revision>0</cp:revision>
</cp:coreProperties>
</file>