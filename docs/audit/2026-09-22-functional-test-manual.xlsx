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n"/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n"/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n"/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n"/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n"/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n"/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n"/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n"/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n"/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n"/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n"/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n"/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inlineStr">
        <is>
          <t>DEF-072</t>
        </is>
      </c>
      <c r="L52" s="52" t="inlineStr">
        <is>
          <t>FAIL</t>
        </is>
      </c>
      <c r="M52" s="51" t="n"/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n"/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n"/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n"/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n"/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n"/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inlineStr">
        <is>
          <t>DEF-067, DEF-073</t>
        </is>
      </c>
      <c r="L74" s="52" t="inlineStr">
        <is>
          <t>FAIL</t>
        </is>
      </c>
      <c r="M74" s="51" t="n"/>
      <c r="N74" s="51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PASS</t>
        </is>
      </c>
      <c r="M75" s="51" t="inlineStr">
        <is>
          <t>PASS</t>
        </is>
      </c>
      <c r="N75" s="51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PASS</t>
        </is>
      </c>
      <c r="M78" s="51" t="inlineStr">
        <is>
          <t>PASS</t>
        </is>
      </c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inlineStr">
        <is>
          <t>DEF-068</t>
        </is>
      </c>
      <c r="L80" s="52" t="inlineStr">
        <is>
          <t>FAIL</t>
        </is>
      </c>
      <c r="M80" s="51" t="n"/>
      <c r="N80" s="5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</t>
        </is>
      </c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n"/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n"/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PASS</t>
        </is>
      </c>
      <c r="M89" s="51" t="inlineStr">
        <is>
          <t>PASS</t>
        </is>
      </c>
      <c r="N89" s="51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n"/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n"/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n"/>
      <c r="L96" s="52" t="inlineStr">
        <is>
          <t>PASS</t>
        </is>
      </c>
      <c r="M96" s="51" t="inlineStr">
        <is>
          <t>PASS</t>
        </is>
      </c>
      <c r="N96" s="51" t="n"/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n"/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inlineStr">
        <is>
          <t>DEF-069, DEF-070, DEF-071, DEF-073</t>
        </is>
      </c>
      <c r="L100" s="52" t="inlineStr">
        <is>
          <t>FAIL</t>
        </is>
      </c>
      <c r="M100" s="51" t="n"/>
      <c r="N100" s="51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DEF-054, DEF-066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inlineStr">
        <is>
          <t>DEF-078</t>
        </is>
      </c>
      <c r="L104" s="52" t="inlineStr">
        <is>
          <t>PASS</t>
        </is>
      </c>
      <c r="M104" s="51" t="inlineStr">
        <is>
          <t>PASS</t>
        </is>
      </c>
      <c r="N104" s="51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n"/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DEF-064, DEF-074, DEF-075, DEF-076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n"/>
      <c r="L110" s="52" t="inlineStr">
        <is>
          <t>PASS</t>
        </is>
      </c>
      <c r="M110" s="51" t="inlineStr">
        <is>
          <t>PASS</t>
        </is>
      </c>
      <c r="N110" s="51" t="n"/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n"/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n"/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n"/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inlineStr">
        <is>
          <t>DEF-077</t>
        </is>
      </c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1" t="inlineStr">
        <is>
          <t>結案</t>
        </is>
      </c>
      <c r="J58" s="51" t="inlineStr">
        <is>
          <t>R5</t>
        </is>
      </c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1" t="inlineStr">
        <is>
          <t>結案</t>
        </is>
      </c>
      <c r="J64" s="51" t="inlineStr">
        <is>
          <t>R5</t>
        </is>
      </c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1" t="inlineStr">
        <is>
          <t>結案</t>
        </is>
      </c>
      <c r="J65" s="51" t="inlineStr">
        <is>
          <t>R5</t>
        </is>
      </c>
      <c r="K65" s="5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1" t="inlineStr">
        <is>
          <t>結案</t>
        </is>
      </c>
      <c r="J66" s="51" t="inlineStr">
        <is>
          <t>R5</t>
        </is>
      </c>
      <c r="K66" s="5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1" t="inlineStr">
        <is>
          <t>結案</t>
        </is>
      </c>
      <c r="J67" s="51" t="inlineStr">
        <is>
          <t>R5</t>
        </is>
      </c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34">
      <c r="A68" s="51" t="inlineStr">
        <is>
          <t>DEF-066</t>
        </is>
      </c>
      <c r="B68" s="51" t="inlineStr">
        <is>
          <t>G-09（附帶）</t>
        </is>
      </c>
      <c r="C68" s="5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1" t="inlineStr">
        <is>
          <t>中</t>
        </is>
      </c>
      <c r="E68" s="51" t="inlineStr">
        <is>
          <t>程式缺陷</t>
        </is>
      </c>
      <c r="F68" s="51" t="inlineStr">
        <is>
          <t>R5</t>
        </is>
      </c>
      <c r="G68" s="5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51" t="n"/>
      <c r="I68" s="51" t="inlineStr">
        <is>
          <t>新開</t>
        </is>
      </c>
      <c r="J68" s="51" t="n"/>
      <c r="K68" s="51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</t>
        </is>
      </c>
    </row>
    <row r="69" ht="15" customHeight="1" s="34">
      <c r="A69" s="51" t="inlineStr">
        <is>
          <t>DEF-067</t>
        </is>
      </c>
      <c r="B69" s="51" t="inlineStr">
        <is>
          <t>E-05</t>
        </is>
      </c>
      <c r="C69" s="51" t="inlineStr">
        <is>
          <t>dividends_daily 全部標的失敗仍記為「成功」：排程中心顯示「成功　0 檔事件已更新，10 檔失敗（…）」，狀態與明細互相矛盾（E-05 ③）</t>
        </is>
      </c>
      <c r="D69" s="51" t="inlineStr">
        <is>
          <t>中</t>
        </is>
      </c>
      <c r="E69" s="51" t="inlineStr">
        <is>
          <t>程式缺陷</t>
        </is>
      </c>
      <c r="F69" s="51" t="inlineStr">
        <is>
          <t>R5</t>
        </is>
      </c>
      <c r="G69" s="51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51" t="n"/>
      <c r="I69" s="51" t="inlineStr">
        <is>
          <t>新開</t>
        </is>
      </c>
      <c r="J69" s="51" t="n"/>
      <c r="K69" s="51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</t>
        </is>
      </c>
    </row>
    <row r="70" ht="15" customHeight="1" s="34">
      <c r="A70" s="51" t="inlineStr">
        <is>
          <t>DEF-068</t>
        </is>
      </c>
      <c r="B70" s="51" t="inlineStr">
        <is>
          <t>E-11</t>
        </is>
      </c>
      <c r="C70" s="51" t="inlineStr">
        <is>
          <t>更新報價全部失敗時，提示仍說「其餘已更新，重新整理頁面即可看到新價」，且不提匯率失敗（E-11）</t>
        </is>
      </c>
      <c r="D70" s="51" t="inlineStr">
        <is>
          <t>低</t>
        </is>
      </c>
      <c r="E70" s="51" t="inlineStr">
        <is>
          <t>程式缺陷</t>
        </is>
      </c>
      <c r="F70" s="51" t="inlineStr">
        <is>
          <t>R5</t>
        </is>
      </c>
      <c r="G70" s="51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51" t="n"/>
      <c r="I70" s="51" t="inlineStr">
        <is>
          <t>新開</t>
        </is>
      </c>
      <c r="J70" s="51" t="n"/>
      <c r="K70" s="51" t="inlineStr">
        <is>
          <t>驗證者 R5 新發現（E-11 首次可執行）。定位：web/shell.js:463-470 partial 分支固定接「其餘已更新」、只讀 held_failed。規格見 docs/audit/2026-09-25-r5-dev-specs.md §6</t>
        </is>
      </c>
    </row>
    <row r="71" ht="15" customHeight="1" s="34">
      <c r="A71" s="51" t="inlineStr">
        <is>
          <t>DEF-069</t>
        </is>
      </c>
      <c r="B71" s="51" t="inlineStr">
        <is>
          <t>G-08</t>
        </is>
      </c>
      <c r="C71" s="51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1" t="inlineStr">
        <is>
          <t>中</t>
        </is>
      </c>
      <c r="E71" s="51" t="inlineStr">
        <is>
          <t>程式缺陷</t>
        </is>
      </c>
      <c r="F71" s="51" t="inlineStr">
        <is>
          <t>R5</t>
        </is>
      </c>
      <c r="G71" s="51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51" t="n"/>
      <c r="I71" s="51" t="inlineStr">
        <is>
          <t>新開</t>
        </is>
      </c>
      <c r="J71" s="51" t="n"/>
      <c r="K71" s="51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</t>
        </is>
      </c>
    </row>
    <row r="72" ht="15" customHeight="1" s="34">
      <c r="A72" s="51" t="inlineStr">
        <is>
          <t>DEF-070</t>
        </is>
      </c>
      <c r="B72" s="51" t="inlineStr">
        <is>
          <t>G-08</t>
        </is>
      </c>
      <c r="C72" s="51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1" t="inlineStr">
        <is>
          <t>中</t>
        </is>
      </c>
      <c r="E72" s="51" t="inlineStr">
        <is>
          <t>程式缺陷</t>
        </is>
      </c>
      <c r="F72" s="51" t="inlineStr">
        <is>
          <t>R5</t>
        </is>
      </c>
      <c r="G72" s="51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51" t="n"/>
      <c r="I72" s="51" t="inlineStr">
        <is>
          <t>新開</t>
        </is>
      </c>
      <c r="J72" s="51" t="n"/>
      <c r="K72" s="51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</t>
        </is>
      </c>
    </row>
    <row r="73" ht="15" customHeight="1" s="34">
      <c r="A73" s="51" t="inlineStr">
        <is>
          <t>DEF-071</t>
        </is>
      </c>
      <c r="B73" s="51" t="inlineStr">
        <is>
          <t>G-08</t>
        </is>
      </c>
      <c r="C73" s="51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1" t="inlineStr">
        <is>
          <t>中</t>
        </is>
      </c>
      <c r="E73" s="51" t="inlineStr">
        <is>
          <t>程式缺陷</t>
        </is>
      </c>
      <c r="F73" s="51" t="inlineStr">
        <is>
          <t>R5</t>
        </is>
      </c>
      <c r="G73" s="51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51" t="n"/>
      <c r="I73" s="51" t="inlineStr">
        <is>
          <t>新開</t>
        </is>
      </c>
      <c r="J73" s="51" t="n"/>
      <c r="K73" s="51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</t>
        </is>
      </c>
    </row>
    <row r="74" ht="15" customHeight="1" s="34">
      <c r="A74" s="51" t="inlineStr">
        <is>
          <t>DEF-072</t>
        </is>
      </c>
      <c r="B74" s="51" t="inlineStr">
        <is>
          <t>D-00</t>
        </is>
      </c>
      <c r="C74" s="51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1" t="inlineStr">
        <is>
          <t>低</t>
        </is>
      </c>
      <c r="E74" s="51" t="inlineStr">
        <is>
          <t>程式缺陷</t>
        </is>
      </c>
      <c r="F74" s="51" t="inlineStr">
        <is>
          <t>R5</t>
        </is>
      </c>
      <c r="G74" s="51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51" t="n"/>
      <c r="I74" s="51" t="inlineStr">
        <is>
          <t>新開</t>
        </is>
      </c>
      <c r="J74" s="51" t="n"/>
      <c r="K74" s="51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</t>
        </is>
      </c>
    </row>
    <row r="75" ht="15" customHeight="1" s="34">
      <c r="A75" s="51" t="inlineStr">
        <is>
          <t>DEF-073</t>
        </is>
      </c>
      <c r="B75" s="51" t="inlineStr">
        <is>
          <t>E-05</t>
        </is>
      </c>
      <c r="C75" s="51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1" t="inlineStr">
        <is>
          <t>低</t>
        </is>
      </c>
      <c r="E75" s="51" t="inlineStr">
        <is>
          <t>程式缺陷</t>
        </is>
      </c>
      <c r="F75" s="51" t="inlineStr">
        <is>
          <t>R5</t>
        </is>
      </c>
      <c r="G75" s="5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51" t="n"/>
      <c r="I75" s="51" t="inlineStr">
        <is>
          <t>新開</t>
        </is>
      </c>
      <c r="J75" s="51" t="n"/>
      <c r="K75" s="51" t="inlineStr">
        <is>
          <t>驗證者 R5 新發現（E-05 ①「detail 正確且為全形標點」、G-08 附帶）。定位：scheduler/jobs.py:1077、:1092、:1136 等（請附同類掃描數字）。規格見 docs/audit/2026-09-25-r5-dev-specs.md §7</t>
        </is>
      </c>
    </row>
    <row r="76" ht="15" customHeight="1" s="34">
      <c r="A76" s="51" t="inlineStr">
        <is>
          <t>DEF-074</t>
        </is>
      </c>
      <c r="B76" s="51" t="inlineStr">
        <is>
          <t>H-04（附帶）</t>
        </is>
      </c>
      <c r="C76" s="51" t="inlineStr">
        <is>
          <t>股利收件匣的掃描宇宙（api/dividend_inbox.py:216-222）仍含已封存但有買入歷史的標的，同一排程的後備路徑卻已排除封存——同一工作兩套口徑</t>
        </is>
      </c>
      <c r="D76" s="51" t="inlineStr">
        <is>
          <t>低</t>
        </is>
      </c>
      <c r="E76" s="51" t="inlineStr">
        <is>
          <t>規格未定</t>
        </is>
      </c>
      <c r="F76" s="51" t="inlineStr">
        <is>
          <t>R5</t>
        </is>
      </c>
      <c r="G76" s="51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51" t="n"/>
      <c r="I76" s="51" t="inlineStr">
        <is>
          <t>新開</t>
        </is>
      </c>
      <c r="J76" s="51" t="n"/>
      <c r="K76" s="51" t="inlineStr">
        <is>
          <t>Owner 裁定（2026-09-26）①：B——改走共用判定，排除已封存（持有中的標的不會被封存，不影響持倉配息）。規格見 docs/audit/2026-09-25-r5-dev-specs.md §11</t>
        </is>
      </c>
    </row>
    <row r="77" ht="15" customHeight="1" s="34">
      <c r="A77" s="51" t="inlineStr">
        <is>
          <t>DEF-075</t>
        </is>
      </c>
      <c r="B77" s="51" t="inlineStr">
        <is>
          <t>H-04（附帶）</t>
        </is>
      </c>
      <c r="C77" s="51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1" t="inlineStr">
        <is>
          <t>低</t>
        </is>
      </c>
      <c r="E77" s="51" t="inlineStr">
        <is>
          <t>程式缺陷</t>
        </is>
      </c>
      <c r="F77" s="51" t="inlineStr">
        <is>
          <t>R5</t>
        </is>
      </c>
      <c r="G77" s="51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51" t="n"/>
      <c r="I77" s="51" t="inlineStr">
        <is>
          <t>新開</t>
        </is>
      </c>
      <c r="J77" s="51" t="n"/>
      <c r="K77" s="51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</t>
        </is>
      </c>
    </row>
    <row r="78" ht="15" customHeight="1" s="34">
      <c r="A78" s="51" t="inlineStr">
        <is>
          <t>DEF-076</t>
        </is>
      </c>
      <c r="B78" s="51" t="inlineStr">
        <is>
          <t>H-04（附帶）</t>
        </is>
      </c>
      <c r="C78" s="51" t="inlineStr">
        <is>
          <t>quota_low 的事件標題是「LLM 額度偏低」（strategy/alerts.py:357），規則名是「AI 額度偏低」——同一條預警兩種名稱</t>
        </is>
      </c>
      <c r="D78" s="51" t="inlineStr">
        <is>
          <t>低</t>
        </is>
      </c>
      <c r="E78" s="51" t="inlineStr">
        <is>
          <t>規格未定</t>
        </is>
      </c>
      <c r="F78" s="51" t="inlineStr">
        <is>
          <t>R5</t>
        </is>
      </c>
      <c r="G78" s="51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51" t="n"/>
      <c r="I78" s="51" t="inlineStr">
        <is>
          <t>新開</t>
        </is>
      </c>
      <c r="J78" s="51" t="n"/>
      <c r="K78" s="5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</t>
        </is>
      </c>
    </row>
    <row r="79" ht="15" customHeight="1" s="34">
      <c r="A79" s="51" t="inlineStr">
        <is>
          <t>DEF-077</t>
        </is>
      </c>
      <c r="B79" s="51" t="inlineStr">
        <is>
          <t>J-01（附帶）</t>
        </is>
      </c>
      <c r="C79" s="51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1" t="inlineStr">
        <is>
          <t>低</t>
        </is>
      </c>
      <c r="E79" s="51" t="inlineStr">
        <is>
          <t>程式缺陷</t>
        </is>
      </c>
      <c r="F79" s="51" t="inlineStr">
        <is>
          <t>R5</t>
        </is>
      </c>
      <c r="G79" s="51" t="inlineStr">
        <is>
          <t>demo：GET /api/dashboard 的 fx_triangulation；USD/TWD 已更新到新日期、USD/MYR 尚未更新時，推導值只到兩腿都有的舊日期，與直接值不同日相比而判紅</t>
        </is>
      </c>
      <c r="H79" s="51" t="n"/>
      <c r="I79" s="51" t="inlineStr">
        <is>
          <t>新開</t>
        </is>
      </c>
      <c r="J79" s="51" t="n"/>
      <c r="K79" s="51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</t>
        </is>
      </c>
    </row>
    <row r="80" ht="15" customHeight="1" s="34">
      <c r="A80" s="51" t="inlineStr">
        <is>
          <t>DEF-078</t>
        </is>
      </c>
      <c r="B80" s="51" t="inlineStr">
        <is>
          <t>H-01（附帶）</t>
        </is>
      </c>
      <c r="C80" s="5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1" t="inlineStr">
        <is>
          <t>低</t>
        </is>
      </c>
      <c r="E80" s="51" t="inlineStr">
        <is>
          <t>規格未定</t>
        </is>
      </c>
      <c r="F80" s="51" t="inlineStr">
        <is>
          <t>R5</t>
        </is>
      </c>
      <c r="G80" s="51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51" t="n"/>
      <c r="I80" s="51" t="inlineStr">
        <is>
          <t>新開</t>
        </is>
      </c>
      <c r="J80" s="51" t="n"/>
      <c r="K80" s="51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</t>
        </is>
      </c>
    </row>
    <row r="81" ht="15" customHeight="1" s="34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</row>
    <row r="82" ht="15" customHeight="1" s="34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</row>
  </sheetData>
  <dataValidations count="4">
    <dataValidation sqref="D3:D82" showDropDown="0" showInputMessage="0" showErrorMessage="0" allowBlank="1" type="list" errorStyle="stop" operator="between">
      <formula1>"高,中,低"</formula1>
      <formula2>0</formula2>
    </dataValidation>
    <dataValidation sqref="E3:E82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2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2 J3:J82" showDropDown="0" showInputMessage="0" showErrorMessage="0" allowBlank="1" type="list" errorStyle="stop" operator="between">
      <formula1>"R1,R2,R3,R4,R5,R6"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  <row r="141" ht="220" customHeight="1" s="34">
      <c r="A141" s="33" t="inlineStr">
        <is>
          <t>R5</t>
        </is>
      </c>
      <c r="B141" s="33" t="inlineStr">
        <is>
          <t>DEF-056</t>
        </is>
      </c>
      <c r="C141" s="33" t="inlineStr">
        <is>
          <t>B-17</t>
        </is>
      </c>
      <c r="D141" s="33" t="inlineStr">
        <is>
          <t>2026-09-25</t>
        </is>
      </c>
      <c r="E141" s="33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33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33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33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33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33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33" t="inlineStr">
        <is>
          <t>3be67db（已部署 demo）</t>
        </is>
      </c>
      <c r="L141" s="33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33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33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33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33" t="inlineStr">
        <is>
          <t>複驗通過 → 結案</t>
        </is>
      </c>
      <c r="Q141" s="33" t="inlineStr">
        <is>
          <t>觀察：寫入未來股利期間收件匣由 7 變 6（該筆被視為已記入），刪除後回到 7，行為一致</t>
        </is>
      </c>
      <c r="R141" s="33" t="inlineStr">
        <is>
          <t>檢驗方 2026-09-25</t>
        </is>
      </c>
    </row>
    <row r="142" ht="220" customHeight="1" s="34">
      <c r="A142" s="51" t="inlineStr">
        <is>
          <t>R5</t>
        </is>
      </c>
      <c r="B142" s="51" t="inlineStr">
        <is>
          <t>DEF-065</t>
        </is>
      </c>
      <c r="C142" s="51" t="inlineStr">
        <is>
          <t>J-06</t>
        </is>
      </c>
      <c r="D142" s="51" t="inlineStr">
        <is>
          <t>2026-09-25</t>
        </is>
      </c>
      <c r="E142" s="5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5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5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5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5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5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56" t="inlineStr">
        <is>
          <t>3be67db（已部署 demo）</t>
        </is>
      </c>
      <c r="L142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5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5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5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57" t="inlineStr">
        <is>
          <t>複驗通過 → 結案</t>
        </is>
      </c>
      <c r="Q142" s="57" t="inlineStr">
        <is>
          <t>同類：開發者稱 81 個 GET 中 22 個原本會寫入；驗證者抽驗 /api/insight-tasks/status 並發 10 個全 200（R4 量到約 5.6 秒，本輪 812 ms）</t>
        </is>
      </c>
      <c r="R142" s="57" t="inlineStr">
        <is>
          <t>檢驗方 2026-09-25</t>
        </is>
      </c>
    </row>
    <row r="143" ht="220" customHeight="1" s="34">
      <c r="A143" s="51" t="inlineStr">
        <is>
          <t>R5</t>
        </is>
      </c>
      <c r="B143" s="51" t="inlineStr">
        <is>
          <t>DEF-062</t>
        </is>
      </c>
      <c r="C143" s="51" t="inlineStr">
        <is>
          <t>H-04</t>
        </is>
      </c>
      <c r="D143" s="51" t="inlineStr">
        <is>
          <t>2026-09-25</t>
        </is>
      </c>
      <c r="E143" s="5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5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5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5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5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5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56" t="inlineStr">
        <is>
          <t>3be67db（已部署 demo）</t>
        </is>
      </c>
      <c r="L143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5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5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57" t="inlineStr">
        <is>
          <t>精靈 15/15 中文且與 API／預警規則頁逐字相同；排程明細與卡片晶片皆為中文</t>
        </is>
      </c>
      <c r="P143" s="57" t="inlineStr">
        <is>
          <t>複驗通過 → 結案</t>
        </is>
      </c>
      <c r="Q143" s="5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57" t="inlineStr">
        <is>
          <t>檢驗方 2026-09-25</t>
        </is>
      </c>
    </row>
    <row r="144" ht="220" customHeight="1" s="34">
      <c r="A144" s="51" t="inlineStr">
        <is>
          <t>R5</t>
        </is>
      </c>
      <c r="B144" s="51" t="inlineStr">
        <is>
          <t>DEF-064</t>
        </is>
      </c>
      <c r="C144" s="51" t="inlineStr">
        <is>
          <t>H-04</t>
        </is>
      </c>
      <c r="D144" s="51" t="inlineStr">
        <is>
          <t>2026-09-25</t>
        </is>
      </c>
      <c r="E144" s="5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5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5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5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5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5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56" t="inlineStr">
        <is>
          <t>3be67db（已部署 demo）</t>
        </is>
      </c>
      <c r="L144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5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5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5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57" t="inlineStr">
        <is>
          <t>複驗通過 → 結案</t>
        </is>
      </c>
      <c r="Q144" s="5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57" t="inlineStr">
        <is>
          <t>檢驗方 2026-09-25</t>
        </is>
      </c>
    </row>
    <row r="145" ht="220" customHeight="1" s="34">
      <c r="A145" s="51" t="inlineStr">
        <is>
          <t>R5</t>
        </is>
      </c>
      <c r="B145" s="51" t="inlineStr">
        <is>
          <t>DEF-063</t>
        </is>
      </c>
      <c r="C145" s="51" t="inlineStr">
        <is>
          <t>D-10</t>
        </is>
      </c>
      <c r="D145" s="51" t="inlineStr">
        <is>
          <t>2026-09-25</t>
        </is>
      </c>
      <c r="E145" s="5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5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5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5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5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5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56" t="inlineStr">
        <is>
          <t>3be67db（已部署 demo）</t>
        </is>
      </c>
      <c r="L145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5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5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5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57" t="inlineStr">
        <is>
          <t>複驗通過 → 結案</t>
        </is>
      </c>
      <c r="Q145" s="57" t="inlineStr">
        <is>
          <t>無</t>
        </is>
      </c>
      <c r="R145" s="57" t="inlineStr">
        <is>
          <t>檢驗方 2026-09-25</t>
        </is>
      </c>
    </row>
    <row r="146" ht="220" customHeight="1" s="34">
      <c r="A146" s="51" t="inlineStr">
        <is>
          <t>R5</t>
        </is>
      </c>
      <c r="B146" s="51" t="inlineStr">
        <is>
          <t>DEF-066</t>
        </is>
      </c>
      <c r="C146" s="51" t="inlineStr">
        <is>
          <t>G-09</t>
        </is>
      </c>
      <c r="D146" s="51" t="inlineStr">
        <is>
          <t>2026-09-25</t>
        </is>
      </c>
      <c r="E146" s="56" t="inlineStr">
        <is>
          <t>—（本輪由檢驗方發現）</t>
        </is>
      </c>
      <c r="F146" s="56" t="inlineStr">
        <is>
          <t>—</t>
        </is>
      </c>
      <c r="G146" s="56" t="inlineStr">
        <is>
          <t>—</t>
        </is>
      </c>
      <c r="H146" s="56" t="inlineStr">
        <is>
          <t>—</t>
        </is>
      </c>
      <c r="I146" s="56" t="inlineStr">
        <is>
          <t>—</t>
        </is>
      </c>
      <c r="J146" s="56" t="inlineStr">
        <is>
          <t>—</t>
        </is>
      </c>
      <c r="K146" s="56" t="inlineStr">
        <is>
          <t>—</t>
        </is>
      </c>
      <c r="L146" s="56" t="inlineStr">
        <is>
          <t>—</t>
        </is>
      </c>
      <c r="M146" s="57" t="inlineStr">
        <is>
          <t>demo 真實瀏覽器：排程中心 alert_scan 立即執行 → 讀 insight:9 各 run 狀態與明細；本機 venv 檢查相依</t>
        </is>
      </c>
      <c r="N146" s="5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57" t="inlineStr">
        <is>
          <t>3/7 run partial；明細為英文例外原文</t>
        </is>
      </c>
      <c r="P146" s="57" t="inlineStr">
        <is>
          <t>FAIL</t>
        </is>
      </c>
      <c r="Q146" s="57" t="inlineStr">
        <is>
          <t>開 DEF-066</t>
        </is>
      </c>
      <c r="R146" s="57" t="inlineStr">
        <is>
          <t>檢驗方 2026-09-25</t>
        </is>
      </c>
    </row>
    <row r="147" ht="220" customHeight="1" s="34">
      <c r="A147" s="51" t="inlineStr">
        <is>
          <t>R5</t>
        </is>
      </c>
      <c r="B147" s="51" t="inlineStr">
        <is>
          <t>DEF-067</t>
        </is>
      </c>
      <c r="C147" s="51" t="inlineStr">
        <is>
          <t>E-05</t>
        </is>
      </c>
      <c r="D147" s="51" t="inlineStr">
        <is>
          <t>2026-09-25</t>
        </is>
      </c>
      <c r="E147" s="56" t="inlineStr">
        <is>
          <t>—（本輪由檢驗方發現）</t>
        </is>
      </c>
      <c r="F147" s="56" t="inlineStr">
        <is>
          <t>—</t>
        </is>
      </c>
      <c r="G147" s="56" t="inlineStr">
        <is>
          <t>—</t>
        </is>
      </c>
      <c r="H147" s="56" t="inlineStr">
        <is>
          <t>—</t>
        </is>
      </c>
      <c r="I147" s="56" t="inlineStr">
        <is>
          <t>—</t>
        </is>
      </c>
      <c r="J147" s="56" t="inlineStr">
        <is>
          <t>—</t>
        </is>
      </c>
      <c r="K147" s="56" t="inlineStr">
        <is>
          <t>—</t>
        </is>
      </c>
      <c r="L147" s="56" t="inlineStr">
        <is>
          <t>—</t>
        </is>
      </c>
      <c r="M147" s="57" t="inlineStr">
        <is>
          <t>本機：排程中心畫面改 cron → 等 22:38 自然觸發 → 讀 排程中心 各列與 /api/scheduler/runs → 畫面還原 cron</t>
        </is>
      </c>
      <c r="N147" s="5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57" t="inlineStr">
        <is>
          <t>dividends_daily 0/10 成功、狀態 ok</t>
        </is>
      </c>
      <c r="P147" s="57" t="inlineStr">
        <is>
          <t>FAIL</t>
        </is>
      </c>
      <c r="Q147" s="57" t="inlineStr">
        <is>
          <t>開 DEF-067</t>
        </is>
      </c>
      <c r="R147" s="57" t="inlineStr">
        <is>
          <t>檢驗方 2026-09-25</t>
        </is>
      </c>
    </row>
    <row r="148" ht="220" customHeight="1" s="34">
      <c r="A148" s="51" t="inlineStr">
        <is>
          <t>R5</t>
        </is>
      </c>
      <c r="B148" s="51" t="inlineStr">
        <is>
          <t>DEF-068</t>
        </is>
      </c>
      <c r="C148" s="51" t="inlineStr">
        <is>
          <t>E-11</t>
        </is>
      </c>
      <c r="D148" s="51" t="inlineStr">
        <is>
          <t>2026-09-25</t>
        </is>
      </c>
      <c r="E148" s="56" t="inlineStr">
        <is>
          <t>—（本輪由檢驗方發現）</t>
        </is>
      </c>
      <c r="F148" s="56" t="inlineStr">
        <is>
          <t>—</t>
        </is>
      </c>
      <c r="G148" s="56" t="inlineStr">
        <is>
          <t>—</t>
        </is>
      </c>
      <c r="H148" s="56" t="inlineStr">
        <is>
          <t>—</t>
        </is>
      </c>
      <c r="I148" s="56" t="inlineStr">
        <is>
          <t>—</t>
        </is>
      </c>
      <c r="J148" s="56" t="inlineStr">
        <is>
          <t>—</t>
        </is>
      </c>
      <c r="K148" s="56" t="inlineStr">
        <is>
          <t>—</t>
        </is>
      </c>
      <c r="L148" s="56" t="inlineStr">
        <is>
          <t>—</t>
        </is>
      </c>
      <c r="M148" s="57" t="inlineStr">
        <is>
          <t>本機 Playwright：儀表板 重新整理 › 更新報價，攔截 /api/actions/refresh-quotes 回應與提示文字，前後比對 prices 表</t>
        </is>
      </c>
      <c r="N148" s="5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57" t="inlineStr">
        <is>
          <t>提示宣稱其餘已更新；實際 0 更新；匯率失敗未提</t>
        </is>
      </c>
      <c r="P148" s="57" t="inlineStr">
        <is>
          <t>FAIL</t>
        </is>
      </c>
      <c r="Q148" s="57" t="inlineStr">
        <is>
          <t>開 DEF-068</t>
        </is>
      </c>
      <c r="R148" s="57" t="inlineStr">
        <is>
          <t>檢驗方 2026-09-25</t>
        </is>
      </c>
    </row>
    <row r="149" ht="220" customHeight="1" s="34">
      <c r="A149" s="51" t="inlineStr">
        <is>
          <t>R5</t>
        </is>
      </c>
      <c r="B149" s="51" t="inlineStr">
        <is>
          <t>DEF-069</t>
        </is>
      </c>
      <c r="C149" s="51" t="inlineStr">
        <is>
          <t>G-08</t>
        </is>
      </c>
      <c r="D149" s="51" t="inlineStr">
        <is>
          <t>2026-09-25</t>
        </is>
      </c>
      <c r="E149" s="56" t="inlineStr">
        <is>
          <t>—（本輪由檢驗方發現）</t>
        </is>
      </c>
      <c r="F149" s="56" t="inlineStr">
        <is>
          <t>—</t>
        </is>
      </c>
      <c r="G149" s="56" t="inlineStr">
        <is>
          <t>—</t>
        </is>
      </c>
      <c r="H149" s="56" t="inlineStr">
        <is>
          <t>—</t>
        </is>
      </c>
      <c r="I149" s="56" t="inlineStr">
        <is>
          <t>—</t>
        </is>
      </c>
      <c r="J149" s="56" t="inlineStr">
        <is>
          <t>—</t>
        </is>
      </c>
      <c r="K149" s="56" t="inlineStr">
        <is>
          <t>—</t>
        </is>
      </c>
      <c r="L149" s="56" t="inlineStr">
        <is>
          <t>—</t>
        </is>
      </c>
      <c r="M149" s="57" t="inlineStr">
        <is>
          <t>本機 Playwright：AI 洞察 › 持倉健診 讀每檔標題卡；API 三種形狀計數</t>
        </is>
      </c>
      <c r="N149" s="5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57" t="inlineStr">
        <is>
          <t>27 張中 9 張影子進正式清單；持倉健診 9/9 標題為影子卡</t>
        </is>
      </c>
      <c r="P149" s="57" t="inlineStr">
        <is>
          <t>FAIL</t>
        </is>
      </c>
      <c r="Q149" s="57" t="inlineStr">
        <is>
          <t>開 DEF-069</t>
        </is>
      </c>
      <c r="R149" s="57" t="inlineStr">
        <is>
          <t>檢驗方 2026-09-25</t>
        </is>
      </c>
    </row>
    <row r="150" ht="220" customHeight="1" s="34">
      <c r="A150" s="51" t="inlineStr">
        <is>
          <t>R5</t>
        </is>
      </c>
      <c r="B150" s="51" t="inlineStr">
        <is>
          <t>DEF-070</t>
        </is>
      </c>
      <c r="C150" s="51" t="inlineStr">
        <is>
          <t>G-08</t>
        </is>
      </c>
      <c r="D150" s="51" t="inlineStr">
        <is>
          <t>2026-09-25</t>
        </is>
      </c>
      <c r="E150" s="56" t="inlineStr">
        <is>
          <t>—（本輪由檢驗方發現）</t>
        </is>
      </c>
      <c r="F150" s="56" t="inlineStr">
        <is>
          <t>—</t>
        </is>
      </c>
      <c r="G150" s="56" t="inlineStr">
        <is>
          <t>—</t>
        </is>
      </c>
      <c r="H150" s="56" t="inlineStr">
        <is>
          <t>—</t>
        </is>
      </c>
      <c r="I150" s="56" t="inlineStr">
        <is>
          <t>—</t>
        </is>
      </c>
      <c r="J150" s="56" t="inlineStr">
        <is>
          <t>—</t>
        </is>
      </c>
      <c r="K150" s="56" t="inlineStr">
        <is>
          <t>—</t>
        </is>
      </c>
      <c r="L150" s="56" t="inlineStr">
        <is>
          <t>—</t>
        </is>
      </c>
      <c r="M150" s="57" t="inlineStr">
        <is>
          <t>本機時間推進（freezegun）＋合成價格：逐日執行任務、評分、產生校正、晉升，讀 insights 表與假模型請求紀錄</t>
        </is>
      </c>
      <c r="N150" s="5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57" t="inlineStr">
        <is>
          <t>第一批 9 張（上限 2）；之後 0 張；v3 無法評估</t>
        </is>
      </c>
      <c r="P150" s="57" t="inlineStr">
        <is>
          <t>FAIL</t>
        </is>
      </c>
      <c r="Q150" s="57" t="inlineStr">
        <is>
          <t>開 DEF-070</t>
        </is>
      </c>
      <c r="R150" s="57" t="inlineStr">
        <is>
          <t>檢驗方 2026-09-25</t>
        </is>
      </c>
    </row>
    <row r="151" ht="220" customHeight="1" s="34">
      <c r="A151" s="51" t="inlineStr">
        <is>
          <t>R5</t>
        </is>
      </c>
      <c r="B151" s="51" t="inlineStr">
        <is>
          <t>DEF-071</t>
        </is>
      </c>
      <c r="C151" s="51" t="inlineStr">
        <is>
          <t>G-08</t>
        </is>
      </c>
      <c r="D151" s="51" t="inlineStr">
        <is>
          <t>2026-09-25</t>
        </is>
      </c>
      <c r="E151" s="56" t="inlineStr">
        <is>
          <t>—（本輪由檢驗方發現）</t>
        </is>
      </c>
      <c r="F151" s="56" t="inlineStr">
        <is>
          <t>—</t>
        </is>
      </c>
      <c r="G151" s="56" t="inlineStr">
        <is>
          <t>—</t>
        </is>
      </c>
      <c r="H151" s="56" t="inlineStr">
        <is>
          <t>—</t>
        </is>
      </c>
      <c r="I151" s="56" t="inlineStr">
        <is>
          <t>—</t>
        </is>
      </c>
      <c r="J151" s="56" t="inlineStr">
        <is>
          <t>—</t>
        </is>
      </c>
      <c r="K151" s="56" t="inlineStr">
        <is>
          <t>—</t>
        </is>
      </c>
      <c r="L151" s="56" t="inlineStr">
        <is>
          <t>—</t>
        </is>
      </c>
      <c r="M151" s="57" t="inlineStr">
        <is>
          <t>本機 Playwright：任務抽屜校正版本鏈、進化設定說明、診斷 G7；搜尋 web/ 呼叫點</t>
        </is>
      </c>
      <c r="N151" s="5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57" t="inlineStr">
        <is>
          <t>版本鏈只有封存；0 個生效控制項</t>
        </is>
      </c>
      <c r="P151" s="57" t="inlineStr">
        <is>
          <t>FAIL</t>
        </is>
      </c>
      <c r="Q151" s="57" t="inlineStr">
        <is>
          <t>開 DEF-071</t>
        </is>
      </c>
      <c r="R151" s="57" t="inlineStr">
        <is>
          <t>檢驗方 2026-09-25</t>
        </is>
      </c>
    </row>
    <row r="152" ht="220" customHeight="1" s="34">
      <c r="A152" s="51" t="inlineStr">
        <is>
          <t>R5</t>
        </is>
      </c>
      <c r="B152" s="51" t="inlineStr">
        <is>
          <t>DEF-072</t>
        </is>
      </c>
      <c r="C152" s="51" t="inlineStr">
        <is>
          <t>D-00</t>
        </is>
      </c>
      <c r="D152" s="51" t="inlineStr">
        <is>
          <t>2026-09-25</t>
        </is>
      </c>
      <c r="E152" s="56" t="inlineStr">
        <is>
          <t>—（本輪由檢驗方發現）</t>
        </is>
      </c>
      <c r="F152" s="56" t="inlineStr">
        <is>
          <t>—</t>
        </is>
      </c>
      <c r="G152" s="56" t="inlineStr">
        <is>
          <t>—</t>
        </is>
      </c>
      <c r="H152" s="56" t="inlineStr">
        <is>
          <t>—</t>
        </is>
      </c>
      <c r="I152" s="56" t="inlineStr">
        <is>
          <t>—</t>
        </is>
      </c>
      <c r="J152" s="56" t="inlineStr">
        <is>
          <t>—</t>
        </is>
      </c>
      <c r="K152" s="56" t="inlineStr">
        <is>
          <t>—</t>
        </is>
      </c>
      <c r="L152" s="56" t="inlineStr">
        <is>
          <t>—</t>
        </is>
      </c>
      <c r="M152" s="57" t="inlineStr">
        <is>
          <t>本機 Playwright：儀表板開 2330 抽屜 → 門 2 → 讀表單欄位；另開門 1 比對欄位；前置以 SQLite 備份還原</t>
        </is>
      </c>
      <c r="N152" s="5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57" t="inlineStr">
        <is>
          <t>代號 2330 ✓、帳戶 Moomoo MY ✗（應為台灣券商）</t>
        </is>
      </c>
      <c r="P152" s="57" t="inlineStr">
        <is>
          <t>FAIL</t>
        </is>
      </c>
      <c r="Q152" s="57" t="inlineStr">
        <is>
          <t>開 DEF-072</t>
        </is>
      </c>
      <c r="R152" s="57" t="inlineStr">
        <is>
          <t>檢驗方 2026-09-25</t>
        </is>
      </c>
    </row>
    <row r="153" ht="220" customHeight="1" s="34">
      <c r="A153" s="51" t="inlineStr">
        <is>
          <t>R5</t>
        </is>
      </c>
      <c r="B153" s="51" t="inlineStr">
        <is>
          <t>DEF-073</t>
        </is>
      </c>
      <c r="C153" s="51" t="inlineStr">
        <is>
          <t>E-05</t>
        </is>
      </c>
      <c r="D153" s="51" t="inlineStr">
        <is>
          <t>2026-09-25</t>
        </is>
      </c>
      <c r="E153" s="56" t="inlineStr">
        <is>
          <t>—（本輪由檢驗方發現）</t>
        </is>
      </c>
      <c r="F153" s="56" t="inlineStr">
        <is>
          <t>—</t>
        </is>
      </c>
      <c r="G153" s="56" t="inlineStr">
        <is>
          <t>—</t>
        </is>
      </c>
      <c r="H153" s="56" t="inlineStr">
        <is>
          <t>—</t>
        </is>
      </c>
      <c r="I153" s="56" t="inlineStr">
        <is>
          <t>—</t>
        </is>
      </c>
      <c r="J153" s="56" t="inlineStr">
        <is>
          <t>—</t>
        </is>
      </c>
      <c r="K153" s="56" t="inlineStr">
        <is>
          <t>—</t>
        </is>
      </c>
      <c r="L153" s="56" t="inlineStr">
        <is>
          <t>—</t>
        </is>
      </c>
      <c r="M153" s="57" t="inlineStr">
        <is>
          <t>讀排程中心各列明細（demo＋本機）</t>
        </is>
      </c>
      <c r="N153" s="5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57" t="inlineStr">
        <is>
          <t>5 個工作的明細含英文；校正工作 3 種結果同一句</t>
        </is>
      </c>
      <c r="P153" s="57" t="inlineStr">
        <is>
          <t>FAIL</t>
        </is>
      </c>
      <c r="Q153" s="57" t="inlineStr">
        <is>
          <t>開 DEF-073</t>
        </is>
      </c>
      <c r="R153" s="57" t="inlineStr">
        <is>
          <t>檢驗方 2026-09-25</t>
        </is>
      </c>
    </row>
    <row r="154" ht="220" customHeight="1" s="34">
      <c r="A154" s="51" t="inlineStr">
        <is>
          <t>R5</t>
        </is>
      </c>
      <c r="B154" s="51" t="inlineStr">
        <is>
          <t>DEF-074</t>
        </is>
      </c>
      <c r="C154" s="51" t="inlineStr">
        <is>
          <t>H-04</t>
        </is>
      </c>
      <c r="D154" s="51" t="inlineStr">
        <is>
          <t>2026-09-26</t>
        </is>
      </c>
      <c r="E154" s="56" t="inlineStr">
        <is>
          <t>—（Owner 裁定）</t>
        </is>
      </c>
      <c r="F154" s="56" t="inlineStr">
        <is>
          <t>—</t>
        </is>
      </c>
      <c r="G154" s="56" t="inlineStr">
        <is>
          <t>—</t>
        </is>
      </c>
      <c r="H154" s="56" t="inlineStr">
        <is>
          <t>—</t>
        </is>
      </c>
      <c r="I154" s="56" t="inlineStr">
        <is>
          <t>—</t>
        </is>
      </c>
      <c r="J154" s="56" t="inlineStr">
        <is>
          <t>—</t>
        </is>
      </c>
      <c r="K154" s="56" t="inlineStr">
        <is>
          <t>—</t>
        </is>
      </c>
      <c r="L154" s="56" t="inlineStr">
        <is>
          <t>—</t>
        </is>
      </c>
      <c r="M154" s="57" t="inlineStr">
        <is>
          <t>讀開發者交接決策項＋讀碼</t>
        </is>
      </c>
      <c r="N154" s="57" t="inlineStr">
        <is>
          <t>規格未定→owner 已裁定（2026-09-26）</t>
        </is>
      </c>
      <c r="O154" s="57" t="inlineStr">
        <is>
          <t>—</t>
        </is>
      </c>
      <c r="P154" s="57" t="inlineStr">
        <is>
          <t>待裁定</t>
        </is>
      </c>
      <c r="Q154" s="57" t="inlineStr">
        <is>
          <t>開 DEF-074，owner 已裁定 ① B</t>
        </is>
      </c>
      <c r="R154" s="57" t="inlineStr">
        <is>
          <t>檢驗方 2026-09-26</t>
        </is>
      </c>
    </row>
    <row r="155" ht="220" customHeight="1" s="34">
      <c r="A155" s="51" t="inlineStr">
        <is>
          <t>R5</t>
        </is>
      </c>
      <c r="B155" s="51" t="inlineStr">
        <is>
          <t>DEF-075</t>
        </is>
      </c>
      <c r="C155" s="51" t="inlineStr">
        <is>
          <t>H-04</t>
        </is>
      </c>
      <c r="D155" s="51" t="inlineStr">
        <is>
          <t>2026-09-26</t>
        </is>
      </c>
      <c r="E155" s="56" t="inlineStr">
        <is>
          <t>—（Owner 裁定）</t>
        </is>
      </c>
      <c r="F155" s="56" t="inlineStr">
        <is>
          <t>—</t>
        </is>
      </c>
      <c r="G155" s="56" t="inlineStr">
        <is>
          <t>—</t>
        </is>
      </c>
      <c r="H155" s="56" t="inlineStr">
        <is>
          <t>—</t>
        </is>
      </c>
      <c r="I155" s="56" t="inlineStr">
        <is>
          <t>—</t>
        </is>
      </c>
      <c r="J155" s="56" t="inlineStr">
        <is>
          <t>—</t>
        </is>
      </c>
      <c r="K155" s="56" t="inlineStr">
        <is>
          <t>—</t>
        </is>
      </c>
      <c r="L155" s="56" t="inlineStr">
        <is>
          <t>—</t>
        </is>
      </c>
      <c r="M155" s="57" t="inlineStr">
        <is>
          <t>讀開發者交接決策項＋讀碼＋本機重現（0056 未來日期賣出清倉）</t>
        </is>
      </c>
      <c r="N155" s="57" t="inlineStr">
        <is>
          <t>決策項→owner 已裁定（2026-09-26），屬程式缺陷</t>
        </is>
      </c>
      <c r="O155" s="57" t="inlineStr">
        <is>
          <t>—</t>
        </is>
      </c>
      <c r="P155" s="57" t="inlineStr">
        <is>
          <t>待裁定</t>
        </is>
      </c>
      <c r="Q155" s="57" t="inlineStr">
        <is>
          <t>開 DEF-075，owner 已裁定 ② B</t>
        </is>
      </c>
      <c r="R155" s="57" t="inlineStr">
        <is>
          <t>檢驗方 2026-09-26</t>
        </is>
      </c>
    </row>
    <row r="156" ht="220" customHeight="1" s="34">
      <c r="A156" s="51" t="inlineStr">
        <is>
          <t>R5</t>
        </is>
      </c>
      <c r="B156" s="51" t="inlineStr">
        <is>
          <t>DEF-076</t>
        </is>
      </c>
      <c r="C156" s="51" t="inlineStr">
        <is>
          <t>H-04</t>
        </is>
      </c>
      <c r="D156" s="51" t="inlineStr">
        <is>
          <t>2026-09-26</t>
        </is>
      </c>
      <c r="E156" s="56" t="inlineStr">
        <is>
          <t>—（Owner 裁定）</t>
        </is>
      </c>
      <c r="F156" s="56" t="inlineStr">
        <is>
          <t>—</t>
        </is>
      </c>
      <c r="G156" s="56" t="inlineStr">
        <is>
          <t>—</t>
        </is>
      </c>
      <c r="H156" s="56" t="inlineStr">
        <is>
          <t>—</t>
        </is>
      </c>
      <c r="I156" s="56" t="inlineStr">
        <is>
          <t>—</t>
        </is>
      </c>
      <c r="J156" s="56" t="inlineStr">
        <is>
          <t>—</t>
        </is>
      </c>
      <c r="K156" s="56" t="inlineStr">
        <is>
          <t>—</t>
        </is>
      </c>
      <c r="L156" s="56" t="inlineStr">
        <is>
          <t>—</t>
        </is>
      </c>
      <c r="M156" s="57" t="inlineStr">
        <is>
          <t>讀開發者交接決策項＋讀碼</t>
        </is>
      </c>
      <c r="N156" s="57" t="inlineStr">
        <is>
          <t>規格未定→owner 已裁定（2026-09-26）</t>
        </is>
      </c>
      <c r="O156" s="57" t="inlineStr">
        <is>
          <t>—</t>
        </is>
      </c>
      <c r="P156" s="57" t="inlineStr">
        <is>
          <t>待裁定</t>
        </is>
      </c>
      <c r="Q156" s="57" t="inlineStr">
        <is>
          <t>開 DEF-076，owner 已裁定 ⑤ 統一為「AI 額度偏低」</t>
        </is>
      </c>
      <c r="R156" s="57" t="inlineStr">
        <is>
          <t>檢驗方 2026-09-26</t>
        </is>
      </c>
    </row>
    <row r="157" ht="220" customHeight="1" s="34">
      <c r="A157" s="51" t="inlineStr">
        <is>
          <t>R5</t>
        </is>
      </c>
      <c r="B157" s="51" t="inlineStr">
        <is>
          <t>DEF-077</t>
        </is>
      </c>
      <c r="C157" s="51" t="inlineStr">
        <is>
          <t>J-01</t>
        </is>
      </c>
      <c r="D157" s="51" t="inlineStr">
        <is>
          <t>2026-09-26</t>
        </is>
      </c>
      <c r="E157" s="56" t="inlineStr">
        <is>
          <t>—（Owner 裁定）</t>
        </is>
      </c>
      <c r="F157" s="56" t="inlineStr">
        <is>
          <t>—</t>
        </is>
      </c>
      <c r="G157" s="56" t="inlineStr">
        <is>
          <t>—</t>
        </is>
      </c>
      <c r="H157" s="56" t="inlineStr">
        <is>
          <t>—</t>
        </is>
      </c>
      <c r="I157" s="56" t="inlineStr">
        <is>
          <t>—</t>
        </is>
      </c>
      <c r="J157" s="56" t="inlineStr">
        <is>
          <t>—</t>
        </is>
      </c>
      <c r="K157" s="56" t="inlineStr">
        <is>
          <t>—</t>
        </is>
      </c>
      <c r="L157" s="56" t="inlineStr">
        <is>
          <t>—</t>
        </is>
      </c>
      <c r="M157" s="57" t="inlineStr">
        <is>
          <t>讀開發者交接決策項＋讀碼</t>
        </is>
      </c>
      <c r="N157" s="57" t="inlineStr">
        <is>
          <t>決策項→owner 已裁定（2026-09-26），屬程式缺陷</t>
        </is>
      </c>
      <c r="O157" s="57" t="inlineStr">
        <is>
          <t>—</t>
        </is>
      </c>
      <c r="P157" s="57" t="inlineStr">
        <is>
          <t>待裁定</t>
        </is>
      </c>
      <c r="Q157" s="57" t="inlineStr">
        <is>
          <t>開 DEF-077，owner 已裁定 ⑥ A</t>
        </is>
      </c>
      <c r="R157" s="57" t="inlineStr">
        <is>
          <t>檢驗方 2026-09-26</t>
        </is>
      </c>
    </row>
    <row r="158" ht="220" customHeight="1" s="34">
      <c r="A158" s="51" t="inlineStr">
        <is>
          <t>R5</t>
        </is>
      </c>
      <c r="B158" s="51" t="inlineStr">
        <is>
          <t>DEF-078</t>
        </is>
      </c>
      <c r="C158" s="51" t="inlineStr">
        <is>
          <t>H-01</t>
        </is>
      </c>
      <c r="D158" s="51" t="inlineStr">
        <is>
          <t>2026-09-26</t>
        </is>
      </c>
      <c r="E158" s="56" t="inlineStr">
        <is>
          <t>—（Owner 裁定）</t>
        </is>
      </c>
      <c r="F158" s="56" t="inlineStr">
        <is>
          <t>—</t>
        </is>
      </c>
      <c r="G158" s="56" t="inlineStr">
        <is>
          <t>—</t>
        </is>
      </c>
      <c r="H158" s="56" t="inlineStr">
        <is>
          <t>—</t>
        </is>
      </c>
      <c r="I158" s="56" t="inlineStr">
        <is>
          <t>—</t>
        </is>
      </c>
      <c r="J158" s="56" t="inlineStr">
        <is>
          <t>—</t>
        </is>
      </c>
      <c r="K158" s="56" t="inlineStr">
        <is>
          <t>—</t>
        </is>
      </c>
      <c r="L158" s="56" t="inlineStr">
        <is>
          <t>—</t>
        </is>
      </c>
      <c r="M158" s="57" t="inlineStr">
        <is>
          <t>讀開發者交接決策項＋讀碼</t>
        </is>
      </c>
      <c r="N158" s="57" t="inlineStr">
        <is>
          <t>規格未定→owner 已裁定（2026-09-26）</t>
        </is>
      </c>
      <c r="O158" s="57" t="inlineStr">
        <is>
          <t>—</t>
        </is>
      </c>
      <c r="P158" s="57" t="inlineStr">
        <is>
          <t>待裁定</t>
        </is>
      </c>
      <c r="Q158" s="57" t="inlineStr">
        <is>
          <t>開 DEF-078，owner 已裁定 ⑦ A＋前後 6 字元明文</t>
        </is>
      </c>
      <c r="R158" s="57" t="inlineStr">
        <is>
          <t>檢驗方 2026-09-26</t>
        </is>
      </c>
    </row>
  </sheetData>
  <mergeCells count="1">
    <mergeCell ref="A1:R1"/>
  </mergeCells>
  <dataValidations count="2">
    <dataValidation sqref="A5:A160" showDropDown="0" showInputMessage="0" showErrorMessage="0" allowBlank="1" type="list" errorStyle="stop" operator="between">
      <formula1>"R1,R2,R3,R4,R5,R6"</formula1>
      <formula2>0</formula2>
    </dataValidation>
    <dataValidation sqref="P5:P160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20" customHeight="1" s="34">
      <c r="A11" s="51" t="inlineStr">
        <is>
          <t>2026-09-25</t>
        </is>
      </c>
      <c r="B11" s="51" t="inlineStr">
        <is>
          <t>開發者 → 驗證者</t>
        </is>
      </c>
      <c r="C11" s="51" t="inlineStr">
        <is>
          <t>3be67db</t>
        </is>
      </c>
      <c r="D11" s="5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5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34">
      <c r="A12" s="51" t="inlineStr">
        <is>
          <t>2026-09-26</t>
        </is>
      </c>
      <c r="B12" s="51" t="inlineStr">
        <is>
          <t>驗證者 → 開發者</t>
        </is>
      </c>
      <c r="C12" s="51" t="inlineStr">
        <is>
          <t>3be67db</t>
        </is>
      </c>
      <c r="D12" s="5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1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5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15" customHeight="1" s="34">
      <c r="A13" s="51" t="n"/>
      <c r="B13" s="51" t="n"/>
      <c r="C13" s="51" t="n"/>
      <c r="D13" s="51" t="n"/>
      <c r="E13" s="51" t="n"/>
      <c r="F13" s="51" t="n"/>
    </row>
    <row r="14" ht="15" customHeight="1" s="34">
      <c r="A14" s="51" t="n"/>
      <c r="B14" s="51" t="n"/>
      <c r="C14" s="51" t="n"/>
      <c r="D14" s="51" t="n"/>
      <c r="E14" s="51" t="n"/>
      <c r="F14" s="51" t="n"/>
    </row>
    <row r="15" ht="15" customHeight="1" s="34">
      <c r="A15" s="51" t="n"/>
      <c r="B15" s="51" t="n"/>
      <c r="C15" s="51" t="n"/>
      <c r="D15" s="51" t="n"/>
      <c r="E15" s="51" t="n"/>
      <c r="F15" s="51" t="n"/>
    </row>
    <row r="16" ht="15" customHeight="1" s="34">
      <c r="A16" s="51" t="n"/>
      <c r="B16" s="51" t="n"/>
      <c r="C16" s="51" t="n"/>
      <c r="D16" s="51" t="n"/>
      <c r="E16" s="51" t="n"/>
      <c r="F16" s="51" t="n"/>
    </row>
    <row r="17" ht="15" customHeight="1" s="34">
      <c r="A17" s="51" t="n"/>
      <c r="B17" s="51" t="n"/>
      <c r="C17" s="51" t="n"/>
      <c r="D17" s="51" t="n"/>
      <c r="E17" s="51" t="n"/>
      <c r="F17" s="51" t="n"/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COUNTIF(缺陷登記!$F$3:$F$82,$A4)</f>
        <v/>
      </c>
      <c r="K4" s="60">
        <f>COUNTIF(缺陷登記!$J$3:$J$82,$A4)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COUNTIF(缺陷登記!$F$3:$F$82,$A5)</f>
        <v/>
      </c>
      <c r="K5" s="60">
        <f>COUNTIF(缺陷登記!$J$3:$J$82,$A5)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COUNTIF(缺陷登記!$F$3:$F$82,$A6)</f>
        <v/>
      </c>
      <c r="K6" s="60">
        <f>COUNTIF(缺陷登記!$J$3:$J$82,$A6)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COUNTIF(缺陷登記!$F$3:$F$82,$A7)</f>
        <v/>
      </c>
      <c r="K7" s="60">
        <f>COUNTIF(缺陷登記!$J$3:$J$82,$A7)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inlineStr">
        <is>
          <t>2026-09-25</t>
        </is>
      </c>
      <c r="C8" s="59" t="inlineStr">
        <is>
          <t>3be67db</t>
        </is>
      </c>
      <c r="D8" s="59" t="n">
        <v>17</v>
      </c>
      <c r="E8" s="59" t="n">
        <v>13</v>
      </c>
      <c r="F8" s="59" t="n">
        <v>4</v>
      </c>
      <c r="G8" s="59" t="n">
        <v>0</v>
      </c>
      <c r="H8" s="59" t="n">
        <v>0</v>
      </c>
      <c r="I8" s="59" t="n">
        <v>0</v>
      </c>
      <c r="J8" s="60">
        <f>COUNTIF(缺陷登記!$F$3:$F$82,$A8)</f>
        <v/>
      </c>
      <c r="K8" s="60">
        <f>COUNTIF(缺陷登記!$J$3:$J$82,$A8)</f>
        <v/>
      </c>
      <c r="L8" s="60">
        <f>SUM($J$4:$J8)-SUM($K$4:$K8)</f>
        <v/>
      </c>
      <c r="M8" s="59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59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34">
      <c r="A9" s="48" t="inlineStr">
        <is>
          <t>R6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60">
        <f>COUNTIF(缺陷登記!$F$3:$F$82,$A9)</f>
        <v/>
      </c>
      <c r="K9" s="60">
        <f>COUNTIF(缺陷登記!$J$3:$J$82,$A9)</f>
        <v/>
      </c>
      <c r="L9" s="60">
        <f>SUM($J$4:$J9)-SUM($K$4:$K9)</f>
        <v/>
      </c>
      <c r="M9" s="59" t="n"/>
      <c r="N9" s="59" t="n"/>
    </row>
    <row r="11" ht="15" customHeight="1" s="34">
      <c r="A11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1:N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56（R5_START 2026-09-25 22:17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R5_START 四段 JSON 原文</t>
        </is>
      </c>
      <c r="E9" s="59" t="inlineStr">
        <is>
          <t>kpis／holdings／realized／allocation 逐字相同（QA.cmp R5_START）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兩者逐字相同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檔、0 封存、目標價皆空；任務 1／2／7／8／9 啟用；25 個排程</t>
        </is>
      </c>
      <c r="E12" s="59" t="inlineStr">
        <is>
          <t>26 檔、0 封存、目標價皆空；任務 1／2／7／8／9 皆啟用；25 個排程 id／enabled／cron 與 R4 記錄逐字相同；收件匣 7、折讓款 3、期初 1 與起點相同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$3.2606018</t>
        </is>
      </c>
      <c r="E13" s="59" t="inlineStr">
        <is>
          <t>剩餘額度 $3.2577460；本輪花費 $0.0028558＝DEF-062 複驗依開發者指示執行 alert_scan（#195）派發 insight:9 run #196～#202 產生卡 #222～#225；另 3 個 run 因 DEF-066 失敗、成本 0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n"/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n"/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n"/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n"/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n"/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COUNTA(輪次彙總!$B$4:$B$9)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COUNTA(缺陷登記!$I$3:$I$82)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COUNTIF(缺陷登記!$D$3:$D$82,"高")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COUNTIF(缺陷登記!$D$3:$D$82,"中")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COUNTIF(缺陷登記!$D$3:$D$82,"低")</f>
        <v/>
      </c>
    </row>
    <row r="19" ht="15" customHeight="1" s="34">
      <c r="A19" s="61" t="inlineStr">
        <is>
          <t>已結案缺陷</t>
        </is>
      </c>
      <c r="B19" s="65">
        <f>COUNTIF(缺陷登記!$I$3:$I$82,"結案")+COUNTIF(缺陷登記!$I$3:$I$82,"非缺陷")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COUNTA(缺陷登記!$I$3:$I$82)-COUNTIF(缺陷登記!$I$3:$I$82,"結案")-COUNTIF(缺陷登記!$I$3:$I$82,"非缺陷")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n"/>
      <c r="C24" s="64" t="n"/>
      <c r="D24" s="64" t="n"/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n"/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n"/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2026-09-25T16:05:20Z</dcterms:modified>
  <cp:revision>0</cp:revision>
</cp:coreProperties>
</file>