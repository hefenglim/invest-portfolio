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v3.0（2026-09-22）。v1 只有測試案例；v2 加入缺陷登記與來回記錄；v3 加入角色路由、交接紀錄、判讀邏輯與防線盲點欄位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為綠色；③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OBSERVE</t>
        </is>
      </c>
      <c r="M4" s="51" t="n"/>
      <c r="N4" s="51" t="inlineStr">
        <is>
          <t>chip 顏色與設計衝突：web/styles.css:382 註解「neutral direction chips（買賣是方向不是損益 — 不用紅綠）」，入金＝實心灰、出金＝外框灰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FAIL</t>
        </is>
      </c>
      <c r="M5" s="51" t="n"/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為扣款色；③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FAIL</t>
        </is>
      </c>
      <c r="M8" s="51" t="n"/>
      <c r="N8" s="51" t="inlineStr">
        <is>
          <t>同一錯誤碼在 A-06（過去日期）會點名日期，當日出金走的訊息分支沒有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n"/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n"/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顯示「券商費用」（不可與出金混用同一種 chip）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折讓款列**不可編輯**（應為鎖定）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OBSERVE</t>
        </is>
      </c>
      <c r="M14" s="51" t="n"/>
      <c r="N14" s="51" t="inlineStr">
        <is>
          <t>實作為「部分鎖定、可改金額」且有說明，與手冊「不可編輯」不同，屬規格未定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n"/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PASS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n"/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n"/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n"/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n"/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n"/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n"/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「當沖」與「放空」互斥的顯示規則正確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OBSERVE</t>
        </is>
      </c>
      <c r="M30" s="51" t="n"/>
      <c r="N30" s="51" t="inlineStr">
        <is>
          <t>台股「現股當沖先賣後買」本身即放空＋當沖，兩者是否應互斥屬規格問題；交易帳本列本身也沒有「空」標記（僅「賣」）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n"/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n"/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</t>
        </is>
      </c>
      <c r="L36" s="52" t="inlineStr">
        <is>
          <t>PASS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</t>
        </is>
      </c>
      <c r="L37" s="52" t="inlineStr">
        <is>
          <t>FAIL</t>
        </is>
      </c>
      <c r="M37" s="51" t="n"/>
      <c r="N37" s="51" t="inlineStr">
        <is>
          <t>demo 既有資料中 8299 已有 2026-07-17、07-20 兩筆早於期初庫存日的買進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FAIL</t>
        </is>
      </c>
      <c r="M38" s="51" t="n"/>
      <c r="N38" s="51" t="inlineStr">
        <is>
          <t>同一筆賣出的已實現損益在「之後」補登同日買進後被回溯改寫（−1,580 → −1,223）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</t>
        </is>
      </c>
      <c r="L40" s="52" t="inlineStr">
        <is>
          <t>FAIL</t>
        </is>
      </c>
      <c r="M40" s="51" t="n"/>
      <c r="N40" s="51" t="n"/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</t>
        </is>
      </c>
      <c r="L41" s="52" t="inlineStr">
        <is>
          <t>PASS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PASS</t>
        </is>
      </c>
      <c r="M43" s="51" t="inlineStr">
        <is>
          <t>PASS</t>
        </is>
      </c>
      <c r="N43" s="51" t="inlineStr">
        <is>
          <t>附帶發現 DEF-017：手動股利表單走 CSV 匯入寫入，會產生匯入批次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股數增加且**成本增加**（與配股不同：DRIP 是拿股利再買進）；② 均價依加權重算；③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OBSERVE</t>
        </is>
      </c>
      <c r="M44" s="51" t="n"/>
      <c r="N44" s="51" t="inlineStr">
        <is>
          <t>系統以 $0 成本入帳是明示的會計模型（表單文案），與手冊期望衝突，交 owner 裁定；附帶發現：復原後交易表單代號清單未重載（DEF-019）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n"/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n"/>
      <c r="L52" s="52" t="inlineStr">
        <is>
          <t>BLOCKED</t>
        </is>
      </c>
      <c r="M52" s="51" t="n"/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FAIL</t>
        </is>
      </c>
      <c r="M54" s="51" t="n"/>
      <c r="N54" s="51" t="inlineStr">
        <is>
          <t>以 JS 設值與真實鍵盤輸入兩種方式各測一次，結果相同（排除量測方式）；測畢按取消，公司行動帳本仍 0 列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n"/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n"/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n"/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持倉、均價、成本、目標價、現金全部回到行動前的狀態，逐位元比對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</t>
        </is>
      </c>
      <c r="L64" s="52" t="inlineStr">
        <is>
          <t>FAIL</t>
        </is>
      </c>
      <c r="M64" s="51" t="n"/>
      <c r="N64" s="51" t="inlineStr">
        <is>
          <t>兩處皆以手動方式還原（資金管理刪除出金；觀察清單改回目標價）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FAIL</t>
        </is>
      </c>
      <c r="M65" s="51" t="n"/>
      <c r="N65" s="51" t="inlineStr">
        <is>
          <t>個股抽屜同時顯示「0 股 ✓ 對帳一致」與「⚠ 公司行動未套用」；另：前置步驟的分割試算誤報目標價「設定於 2026-09-22、早於這筆分割」（見 DEF-022）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PASS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n"/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n"/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n"/>
      <c r="L74" s="52" t="inlineStr">
        <is>
          <t>BLOCKED</t>
        </is>
      </c>
      <c r="M74" s="51" t="n"/>
      <c r="N74" s="51" t="inlineStr">
        <is>
          <t>依手冊 §9 環境前置：demo 依裁定關閉排程器，本案為 BLOCKED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BLOCKED</t>
        </is>
      </c>
      <c r="M75" s="51" t="n"/>
      <c r="N75" s="51" t="inlineStr">
        <is>
          <t>三態中只能實測一態；未以修改資料的方式硬造其他兩態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BLOCKED</t>
        </is>
      </c>
      <c r="M78" s="51" t="n"/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n"/>
      <c r="L80" s="52" t="inlineStr">
        <is>
          <t>BLOCKED</t>
        </is>
      </c>
      <c r="M80" s="51" t="n"/>
      <c r="N80" s="51" t="n"/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n"/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n"/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PASS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FAIL</t>
        </is>
      </c>
      <c r="M86" s="51" t="n"/>
      <c r="N86" s="51" t="n"/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FAIL</t>
        </is>
      </c>
      <c r="M87" s="51" t="n"/>
      <c r="N87" s="51" t="inlineStr">
        <is>
          <t>本輪未寫入；賣超列的預設勾選與通用確認同 DEF-025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BLOCKED</t>
        </is>
      </c>
      <c r="M89" s="51" t="n"/>
      <c r="N89" s="51" t="inlineStr">
        <is>
          <t>未把額度真正用罄（需花掉 $3.27，且不可回復）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n"/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n"/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n"/>
      <c r="L96" s="52" t="inlineStr">
        <is>
          <t>PASS</t>
        </is>
      </c>
      <c r="M96" s="51" t="inlineStr">
        <is>
          <t>PASS</t>
        </is>
      </c>
      <c r="N96" s="51" t="n"/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n"/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OBSERVE</t>
        </is>
      </c>
      <c r="M98" s="51" t="n"/>
      <c r="N98" s="51" t="inlineStr">
        <is>
          <t>web/insights.html:317 以 confidence 是否為 null 決定顯示，與手冊「無預測顯示純描述・無預測」的判準（prediction）不同；需 owner 裁定以哪個欄位為準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n"/>
      <c r="L100" s="52" t="inlineStr">
        <is>
          <t>BLOCKED</t>
        </is>
      </c>
      <c r="M100" s="51" t="n"/>
      <c r="N100" s="51" t="inlineStr">
        <is>
          <t>未觸發 generate_calibrations（會花額度且寫入不可回復的校正版本）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</t>
        </is>
      </c>
      <c r="L101" s="52" t="inlineStr">
        <is>
          <t>FAIL</t>
        </is>
      </c>
      <c r="M101" s="51" t="n"/>
      <c r="N101" s="51" t="n"/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n"/>
      <c r="L104" s="52" t="inlineStr">
        <is>
          <t>BLOCKED</t>
        </is>
      </c>
      <c r="M104" s="51" t="n"/>
      <c r="N104" s="51" t="inlineStr">
        <is>
          <t>僅確認 設定 › AI 與額度 顯示 4 個已註冊模型（gemini-2.5-flash／gemini-2.5-flash-lite／haiku-4.5／sonnet-5）與角色預設；未讀取或輸入金鑰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n"/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</t>
        </is>
      </c>
      <c r="L106" s="52" t="inlineStr">
        <is>
          <t>OBSERVE</t>
        </is>
      </c>
      <c r="M106" s="51" t="n"/>
      <c r="N106" s="51" t="n"/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</t>
        </is>
      </c>
      <c r="L107" s="52" t="inlineStr">
        <is>
          <t>FAIL</t>
        </is>
      </c>
      <c r="M107" s="51" t="n"/>
      <c r="N107" s="51" t="inlineStr">
        <is>
          <t>排程中心的 insight 工作只顯示「insight:10」不顯示任務名；任務暫停後排程中心該列開關仍為開啟；job_runs 留下 #153～#156 四列運行記錄（屬歷史，無法刪除）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</t>
        </is>
      </c>
      <c r="L108" s="52" t="inlineStr">
        <is>
          <t>FAIL</t>
        </is>
      </c>
      <c r="M108" s="51" t="n"/>
      <c r="N108" s="51" t="inlineStr">
        <is>
          <t>可測的兩種情境（模板停用、價格過期）結論都明確寫出會不會中斷；R2 情境因 DEF-031 無法建立；R6／缺價受 demo 限制未測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n"/>
      <c r="L110" s="52" t="inlineStr">
        <is>
          <t>PASS</t>
        </is>
      </c>
      <c r="M110" s="51" t="inlineStr">
        <is>
          <t>PASS</t>
        </is>
      </c>
      <c r="N110" s="51" t="n"/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n"/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n"/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FAIL</t>
        </is>
      </c>
      <c r="M115" s="51" t="n"/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PASS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FAIL</t>
        </is>
      </c>
      <c r="M118" s="51" t="n"/>
      <c r="N118" s="51" t="inlineStr">
        <is>
          <t>所有測試均未寫入：每次按寫入後六段 JSON＋計數與 I06 基準逐位元相同；賣超確認框按取消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n"/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</t>
        </is>
      </c>
      <c r="L120" s="52" t="inlineStr">
        <is>
          <t>PASS</t>
        </is>
      </c>
      <c r="M120" s="51" t="inlineStr">
        <is>
          <t>PASS</t>
        </is>
      </c>
      <c r="N120" s="51" t="inlineStr">
        <is>
          <t>復原後交易表單代號清單未重載的問題見 DEF-019（C 組已登記）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</t>
        </is>
      </c>
      <c r="L122" s="52" t="inlineStr">
        <is>
          <t>FAIL</t>
        </is>
      </c>
      <c r="M122" s="51" t="n"/>
      <c r="N122" s="51" t="inlineStr">
        <is>
          <t>一次匯入會拆成多個批次（交易／資金各一），需逐批復原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FAIL</t>
        </is>
      </c>
      <c r="M123" s="51" t="n"/>
      <c r="N123" s="51" t="n"/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FAIL</t>
        </is>
      </c>
      <c r="M125" s="51" t="n"/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n"/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n"/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n"/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n"/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</t>
        </is>
      </c>
      <c r="L131" s="52" t="inlineStr">
        <is>
          <t>FAIL</t>
        </is>
      </c>
      <c r="M131" s="51" t="n"/>
      <c r="N131" s="51" t="inlineStr">
        <is>
          <t>初測量器對「收合中的 details」誤判為溢位（內容未渲染但有 layout），已改為展開後實測並截圖確認，排除量測誤報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n"/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待複驗</t>
        </is>
      </c>
      <c r="J3" s="51" t="n"/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待複驗</t>
        </is>
      </c>
      <c r="J4" s="51" t="n"/>
      <c r="K4" s="51" t="n"/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n"/>
      <c r="I5" s="51" t="inlineStr">
        <is>
          <t>待裁定</t>
        </is>
      </c>
      <c r="J5" s="51" t="n"/>
      <c r="K5" s="51" t="inlineStr">
        <is>
          <t>待 owner 裁定（規格未定／期望值衝突，理由見來回記錄 N 欄）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待複驗</t>
        </is>
      </c>
      <c r="J6" s="51" t="n"/>
      <c r="K6" s="51" t="n"/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待複驗</t>
        </is>
      </c>
      <c r="J7" s="51" t="n"/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待裁定</t>
        </is>
      </c>
      <c r="J8" s="51" t="n"/>
      <c r="K8" s="51" t="inlineStr">
        <is>
          <t>待 owner 裁定（規格未定／期望值衝突，理由見來回記錄 N 欄）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待複驗</t>
        </is>
      </c>
      <c r="J9" s="51" t="n"/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待複驗</t>
        </is>
      </c>
      <c r="J10" s="51" t="n"/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n"/>
      <c r="I11" s="51" t="inlineStr">
        <is>
          <t>待裁定</t>
        </is>
      </c>
      <c r="J11" s="51" t="n"/>
      <c r="K11" s="51" t="inlineStr">
        <is>
          <t>待 owner 裁定（規格未定／期望值衝突，理由見來回記錄 N 欄）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n"/>
      <c r="I12" s="51" t="inlineStr">
        <is>
          <t>待裁定</t>
        </is>
      </c>
      <c r="J12" s="51" t="n"/>
      <c r="K12" s="51" t="inlineStr">
        <is>
          <t>待 owner 裁定（規格未定／期望值衝突，理由見來回記錄 N 欄）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待複驗</t>
        </is>
      </c>
      <c r="J13" s="51" t="n"/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待複驗</t>
        </is>
      </c>
      <c r="J14" s="51" t="n"/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n"/>
      <c r="I15" s="51" t="inlineStr">
        <is>
          <t>待裁定</t>
        </is>
      </c>
      <c r="J15" s="51" t="n"/>
      <c r="K15" s="51" t="inlineStr">
        <is>
          <t>待 owner 裁定（規格未定／期望值衝突，理由見來回記錄 N 欄）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待複驗</t>
        </is>
      </c>
      <c r="J16" s="51" t="n"/>
      <c r="K16" s="51" t="n"/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待複驗</t>
        </is>
      </c>
      <c r="J17" s="51" t="n"/>
      <c r="K17" s="51" t="n"/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n"/>
      <c r="I18" s="51" t="inlineStr">
        <is>
          <t>待裁定</t>
        </is>
      </c>
      <c r="J18" s="51" t="n"/>
      <c r="K18" s="51" t="inlineStr">
        <is>
          <t>待 owner 裁定（規格未定／期望值衝突，理由見來回記錄 N 欄）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</t>
        </is>
      </c>
      <c r="I19" s="51" t="inlineStr">
        <is>
          <t>待複驗</t>
        </is>
      </c>
      <c r="J19" s="51" t="n"/>
      <c r="K19" s="51" t="n"/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待裁定</t>
        </is>
      </c>
      <c r="J20" s="51" t="n"/>
      <c r="K20" s="51" t="inlineStr">
        <is>
          <t>待 owner 裁定（規格未定／期望值衝突，理由見來回記錄 N 欄）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待複驗</t>
        </is>
      </c>
      <c r="J21" s="51" t="n"/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待複驗</t>
        </is>
      </c>
      <c r="J22" s="51" t="n"/>
      <c r="K22" s="51" t="n"/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待複驗</t>
        </is>
      </c>
      <c r="J23" s="51" t="n"/>
      <c r="K23" s="51" t="n"/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待複驗</t>
        </is>
      </c>
      <c r="J24" s="51" t="n"/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</t>
        </is>
      </c>
      <c r="I25" s="51" t="inlineStr">
        <is>
          <t>待複驗</t>
        </is>
      </c>
      <c r="J25" s="51" t="n"/>
      <c r="K25" s="51" t="n"/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待複驗</t>
        </is>
      </c>
      <c r="J26" s="51" t="n"/>
      <c r="K26" s="51" t="n"/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n"/>
      <c r="I27" s="51" t="inlineStr">
        <is>
          <t>待裁定</t>
        </is>
      </c>
      <c r="J27" s="51" t="n"/>
      <c r="K27" s="51" t="inlineStr">
        <is>
          <t>待 owner 裁定（規格未定／期望值衝突，理由見來回記錄 N 欄）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待複驗</t>
        </is>
      </c>
      <c r="J28" s="51" t="n"/>
      <c r="K28" s="51" t="n"/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待複驗</t>
        </is>
      </c>
      <c r="J29" s="51" t="n"/>
      <c r="K29" s="51" t="n"/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待複驗</t>
        </is>
      </c>
      <c r="J30" s="51" t="n"/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待複驗</t>
        </is>
      </c>
      <c r="J31" s="51" t="n"/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待複驗</t>
        </is>
      </c>
      <c r="J32" s="51" t="n"/>
      <c r="K32" s="51" t="n"/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待複驗</t>
        </is>
      </c>
      <c r="J33" s="51" t="n"/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待複驗</t>
        </is>
      </c>
      <c r="J34" s="51" t="n"/>
      <c r="K34" s="51" t="n"/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n"/>
      <c r="I35" s="51" t="inlineStr">
        <is>
          <t>待裁定</t>
        </is>
      </c>
      <c r="J35" s="51" t="n"/>
      <c r="K35" s="51" t="inlineStr">
        <is>
          <t>待 owner 裁定（規格未定／期望值衝突，理由見來回記錄 N 欄）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待複驗</t>
        </is>
      </c>
      <c r="J36" s="51" t="n"/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待複驗</t>
        </is>
      </c>
      <c r="J37" s="51" t="n"/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待複驗</t>
        </is>
      </c>
      <c r="J38" s="51" t="n"/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待複驗</t>
        </is>
      </c>
      <c r="J39" s="51" t="n"/>
      <c r="K39" s="51" t="n"/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待複驗</t>
        </is>
      </c>
      <c r="J40" s="51" t="n"/>
      <c r="K40" s="51" t="n"/>
    </row>
    <row r="41" ht="15" customHeight="1" s="34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</row>
    <row r="42" ht="15" customHeight="1" s="34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</row>
    <row r="43" ht="15" customHeight="1" s="34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</row>
    <row r="44" ht="15" customHeight="1" s="3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</row>
    <row r="45" ht="15" customHeight="1" s="34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</row>
    <row r="46" ht="15" customHeight="1" s="34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</row>
    <row r="47" ht="15" customHeight="1" s="34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</row>
    <row r="48" ht="15" customHeight="1" s="34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</row>
    <row r="49" ht="15" customHeight="1" s="34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</row>
    <row r="50" ht="15" customHeight="1" s="34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</row>
    <row r="51" ht="15" customHeight="1" s="34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</row>
    <row r="52" ht="15" customHeight="1" s="34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</row>
    <row r="53" ht="15" customHeight="1" s="34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</row>
    <row r="54" ht="15" customHeight="1" s="3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</row>
    <row r="55" ht="15" customHeight="1" s="34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</row>
    <row r="56" ht="15" customHeight="1" s="34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</row>
    <row r="57" ht="15" customHeight="1" s="34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</row>
    <row r="58" ht="15" customHeight="1" s="34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</row>
    <row r="59" ht="15" customHeight="1" s="34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</row>
    <row r="60" ht="15" customHeight="1" s="34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</row>
    <row r="61" ht="15" customHeight="1" s="34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</row>
    <row r="62" ht="15" customHeight="1" s="34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</row>
    <row r="63" ht="15" customHeight="1" s="34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</row>
    <row r="64" ht="15" customHeight="1" s="3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</row>
    <row r="65" ht="15" customHeight="1" s="34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</row>
    <row r="66" ht="15" customHeight="1" s="34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</row>
    <row r="67" ht="15" customHeight="1" s="34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</row>
    <row r="68" ht="15" customHeight="1" s="34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</row>
    <row r="69" ht="15" customHeight="1" s="34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</row>
    <row r="70" ht="15" customHeight="1" s="34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</row>
    <row r="71" ht="15" customHeight="1" s="34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</row>
    <row r="72" ht="15" customHeight="1" s="34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</row>
    <row r="73" ht="15" customHeight="1" s="34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</row>
    <row r="74" ht="15" customHeight="1" s="3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</row>
    <row r="75" ht="15" customHeight="1" s="34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</row>
    <row r="76" ht="15" customHeight="1" s="34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</row>
    <row r="77" ht="15" customHeight="1" s="34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</row>
    <row r="78" ht="15" customHeight="1" s="34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</row>
    <row r="79" ht="15" customHeight="1" s="34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</row>
    <row r="80" ht="15" customHeight="1" s="34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</row>
    <row r="81" ht="15" customHeight="1" s="34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</row>
    <row r="82" ht="15" customHeight="1" s="34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</row>
  </sheetData>
  <dataValidations count="4">
    <dataValidation sqref="D3:D82" showDropDown="0" showInputMessage="0" showErrorMessage="0" allowBlank="1" type="list" errorStyle="stop" operator="between">
      <formula1>"高,中,低"</formula1>
      <formula2>0</formula2>
    </dataValidation>
    <dataValidation sqref="E3:E82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2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2 J3:J82" showDropDown="0" showInputMessage="0" showErrorMessage="0" allowBlank="1" type="list" errorStyle="stop" operator="between">
      <formula1>"R1,R2,R3,R4,R5,R6"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n"/>
      <c r="N43" s="57" t="n"/>
      <c r="O43" s="57" t="n"/>
      <c r="P43" s="57" t="n"/>
      <c r="Q43" s="57" t="n"/>
      <c r="R43" s="57" t="n"/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n"/>
      <c r="N44" s="57" t="n"/>
      <c r="O44" s="57" t="n"/>
      <c r="P44" s="57" t="n"/>
      <c r="Q44" s="57" t="n"/>
      <c r="R44" s="57" t="n"/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n"/>
      <c r="N45" s="57" t="n"/>
      <c r="O45" s="57" t="n"/>
      <c r="P45" s="57" t="n"/>
      <c r="Q45" s="57" t="n"/>
      <c r="R45" s="57" t="n"/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n"/>
      <c r="N46" s="57" t="n"/>
      <c r="O46" s="57" t="n"/>
      <c r="P46" s="57" t="n"/>
      <c r="Q46" s="57" t="n"/>
      <c r="R46" s="57" t="n"/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n"/>
      <c r="N47" s="57" t="n"/>
      <c r="O47" s="57" t="n"/>
      <c r="P47" s="57" t="n"/>
      <c r="Q47" s="57" t="n"/>
      <c r="R47" s="57" t="n"/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n"/>
      <c r="N48" s="57" t="n"/>
      <c r="O48" s="57" t="n"/>
      <c r="P48" s="57" t="n"/>
      <c r="Q48" s="57" t="n"/>
      <c r="R48" s="57" t="n"/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n"/>
      <c r="N49" s="57" t="n"/>
      <c r="O49" s="57" t="n"/>
      <c r="P49" s="57" t="n"/>
      <c r="Q49" s="57" t="n"/>
      <c r="R49" s="57" t="n"/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n"/>
      <c r="N50" s="57" t="n"/>
      <c r="O50" s="57" t="n"/>
      <c r="P50" s="57" t="n"/>
      <c r="Q50" s="57" t="n"/>
      <c r="R50" s="57" t="n"/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n"/>
      <c r="N51" s="57" t="n"/>
      <c r="O51" s="57" t="n"/>
      <c r="P51" s="57" t="n"/>
      <c r="Q51" s="57" t="n"/>
      <c r="R51" s="57" t="n"/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n"/>
      <c r="N52" s="57" t="n"/>
      <c r="O52" s="57" t="n"/>
      <c r="P52" s="57" t="n"/>
      <c r="Q52" s="57" t="n"/>
      <c r="R52" s="57" t="n"/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n"/>
      <c r="N53" s="57" t="n"/>
      <c r="O53" s="57" t="n"/>
      <c r="P53" s="57" t="n"/>
      <c r="Q53" s="57" t="n"/>
      <c r="R53" s="57" t="n"/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n"/>
      <c r="N54" s="57" t="n"/>
      <c r="O54" s="57" t="n"/>
      <c r="P54" s="57" t="n"/>
      <c r="Q54" s="57" t="n"/>
      <c r="R54" s="57" t="n"/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n"/>
      <c r="N55" s="57" t="n"/>
      <c r="O55" s="57" t="n"/>
      <c r="P55" s="57" t="n"/>
      <c r="Q55" s="57" t="n"/>
      <c r="R55" s="57" t="n"/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n"/>
      <c r="N56" s="57" t="n"/>
      <c r="O56" s="57" t="n"/>
      <c r="P56" s="57" t="n"/>
      <c r="Q56" s="57" t="n"/>
      <c r="R56" s="57" t="n"/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n"/>
      <c r="N57" s="57" t="n"/>
      <c r="O57" s="57" t="n"/>
      <c r="P57" s="57" t="n"/>
      <c r="Q57" s="57" t="n"/>
      <c r="R57" s="57" t="n"/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n"/>
      <c r="N58" s="57" t="n"/>
      <c r="O58" s="57" t="n"/>
      <c r="P58" s="57" t="n"/>
      <c r="Q58" s="57" t="n"/>
      <c r="R58" s="57" t="n"/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n"/>
      <c r="N59" s="57" t="n"/>
      <c r="O59" s="57" t="n"/>
      <c r="P59" s="57" t="n"/>
      <c r="Q59" s="57" t="n"/>
      <c r="R59" s="57" t="n"/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n"/>
      <c r="N60" s="57" t="n"/>
      <c r="O60" s="57" t="n"/>
      <c r="P60" s="57" t="n"/>
      <c r="Q60" s="57" t="n"/>
      <c r="R60" s="57" t="n"/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n"/>
      <c r="N61" s="57" t="n"/>
      <c r="O61" s="57" t="n"/>
      <c r="P61" s="57" t="n"/>
      <c r="Q61" s="57" t="n"/>
      <c r="R61" s="57" t="n"/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n"/>
      <c r="N62" s="57" t="n"/>
      <c r="O62" s="57" t="n"/>
      <c r="P62" s="57" t="n"/>
      <c r="Q62" s="57" t="n"/>
      <c r="R62" s="57" t="n"/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n"/>
      <c r="N63" s="57" t="n"/>
      <c r="O63" s="57" t="n"/>
      <c r="P63" s="57" t="n"/>
      <c r="Q63" s="57" t="n"/>
      <c r="R63" s="57" t="n"/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n"/>
      <c r="N64" s="57" t="n"/>
      <c r="O64" s="57" t="n"/>
      <c r="P64" s="57" t="n"/>
      <c r="Q64" s="57" t="n"/>
      <c r="R64" s="57" t="n"/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n"/>
      <c r="N65" s="57" t="n"/>
      <c r="O65" s="57" t="n"/>
      <c r="P65" s="57" t="n"/>
      <c r="Q65" s="57" t="n"/>
      <c r="R65" s="57" t="n"/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n"/>
      <c r="N66" s="57" t="n"/>
      <c r="O66" s="57" t="n"/>
      <c r="P66" s="57" t="n"/>
      <c r="Q66" s="57" t="n"/>
      <c r="R66" s="57" t="n"/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n"/>
      <c r="N67" s="57" t="n"/>
      <c r="O67" s="57" t="n"/>
      <c r="P67" s="57" t="n"/>
      <c r="Q67" s="57" t="n"/>
      <c r="R67" s="57" t="n"/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n"/>
      <c r="N68" s="57" t="n"/>
      <c r="O68" s="57" t="n"/>
      <c r="P68" s="57" t="n"/>
      <c r="Q68" s="57" t="n"/>
      <c r="R68" s="57" t="n"/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n"/>
      <c r="N69" s="57" t="n"/>
      <c r="O69" s="57" t="n"/>
      <c r="P69" s="57" t="n"/>
      <c r="Q69" s="57" t="n"/>
      <c r="R69" s="57" t="n"/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n"/>
      <c r="N70" s="57" t="n"/>
      <c r="O70" s="57" t="n"/>
      <c r="P70" s="57" t="n"/>
      <c r="Q70" s="57" t="n"/>
      <c r="R70" s="57" t="n"/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n"/>
      <c r="N71" s="57" t="n"/>
      <c r="O71" s="57" t="n"/>
      <c r="P71" s="57" t="n"/>
      <c r="Q71" s="57" t="n"/>
      <c r="R71" s="57" t="n"/>
    </row>
    <row r="72" ht="15" customHeight="1" s="34">
      <c r="A72" s="51" t="n"/>
      <c r="B72" s="51" t="n"/>
      <c r="C72" s="51" t="n"/>
      <c r="D72" s="51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7" t="n"/>
      <c r="N72" s="57" t="n"/>
      <c r="O72" s="57" t="n"/>
      <c r="P72" s="57" t="n"/>
      <c r="Q72" s="57" t="n"/>
      <c r="R72" s="57" t="n"/>
    </row>
    <row r="73" ht="15" customHeight="1" s="34">
      <c r="A73" s="51" t="n"/>
      <c r="B73" s="51" t="n"/>
      <c r="C73" s="51" t="n"/>
      <c r="D73" s="51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7" t="n"/>
      <c r="N73" s="57" t="n"/>
      <c r="O73" s="57" t="n"/>
      <c r="P73" s="57" t="n"/>
      <c r="Q73" s="57" t="n"/>
      <c r="R73" s="57" t="n"/>
    </row>
    <row r="74" ht="15" customHeight="1" s="34">
      <c r="A74" s="51" t="n"/>
      <c r="B74" s="51" t="n"/>
      <c r="C74" s="51" t="n"/>
      <c r="D74" s="51" t="n"/>
      <c r="E74" s="56" t="n"/>
      <c r="F74" s="56" t="n"/>
      <c r="G74" s="56" t="n"/>
      <c r="H74" s="56" t="n"/>
      <c r="I74" s="56" t="n"/>
      <c r="J74" s="56" t="n"/>
      <c r="K74" s="56" t="n"/>
      <c r="L74" s="56" t="n"/>
      <c r="M74" s="57" t="n"/>
      <c r="N74" s="57" t="n"/>
      <c r="O74" s="57" t="n"/>
      <c r="P74" s="57" t="n"/>
      <c r="Q74" s="57" t="n"/>
      <c r="R74" s="57" t="n"/>
    </row>
    <row r="75" ht="15" customHeight="1" s="34">
      <c r="A75" s="51" t="n"/>
      <c r="B75" s="51" t="n"/>
      <c r="C75" s="51" t="n"/>
      <c r="D75" s="51" t="n"/>
      <c r="E75" s="56" t="n"/>
      <c r="F75" s="56" t="n"/>
      <c r="G75" s="56" t="n"/>
      <c r="H75" s="56" t="n"/>
      <c r="I75" s="56" t="n"/>
      <c r="J75" s="56" t="n"/>
      <c r="K75" s="56" t="n"/>
      <c r="L75" s="56" t="n"/>
      <c r="M75" s="57" t="n"/>
      <c r="N75" s="57" t="n"/>
      <c r="O75" s="57" t="n"/>
      <c r="P75" s="57" t="n"/>
      <c r="Q75" s="57" t="n"/>
      <c r="R75" s="57" t="n"/>
    </row>
    <row r="76" ht="15" customHeight="1" s="34">
      <c r="A76" s="51" t="n"/>
      <c r="B76" s="51" t="n"/>
      <c r="C76" s="51" t="n"/>
      <c r="D76" s="51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7" t="n"/>
      <c r="N76" s="57" t="n"/>
      <c r="O76" s="57" t="n"/>
      <c r="P76" s="57" t="n"/>
      <c r="Q76" s="57" t="n"/>
      <c r="R76" s="57" t="n"/>
    </row>
    <row r="77" ht="15" customHeight="1" s="34">
      <c r="A77" s="51" t="n"/>
      <c r="B77" s="51" t="n"/>
      <c r="C77" s="51" t="n"/>
      <c r="D77" s="51" t="n"/>
      <c r="E77" s="56" t="n"/>
      <c r="F77" s="56" t="n"/>
      <c r="G77" s="56" t="n"/>
      <c r="H77" s="56" t="n"/>
      <c r="I77" s="56" t="n"/>
      <c r="J77" s="56" t="n"/>
      <c r="K77" s="56" t="n"/>
      <c r="L77" s="56" t="n"/>
      <c r="M77" s="57" t="n"/>
      <c r="N77" s="57" t="n"/>
      <c r="O77" s="57" t="n"/>
      <c r="P77" s="57" t="n"/>
      <c r="Q77" s="57" t="n"/>
      <c r="R77" s="57" t="n"/>
    </row>
    <row r="78" ht="15" customHeight="1" s="34">
      <c r="A78" s="51" t="n"/>
      <c r="B78" s="51" t="n"/>
      <c r="C78" s="51" t="n"/>
      <c r="D78" s="51" t="n"/>
      <c r="E78" s="56" t="n"/>
      <c r="F78" s="56" t="n"/>
      <c r="G78" s="56" t="n"/>
      <c r="H78" s="56" t="n"/>
      <c r="I78" s="56" t="n"/>
      <c r="J78" s="56" t="n"/>
      <c r="K78" s="56" t="n"/>
      <c r="L78" s="56" t="n"/>
      <c r="M78" s="57" t="n"/>
      <c r="N78" s="57" t="n"/>
      <c r="O78" s="57" t="n"/>
      <c r="P78" s="57" t="n"/>
      <c r="Q78" s="57" t="n"/>
      <c r="R78" s="57" t="n"/>
    </row>
    <row r="79" ht="15" customHeight="1" s="34">
      <c r="A79" s="51" t="n"/>
      <c r="B79" s="51" t="n"/>
      <c r="C79" s="51" t="n"/>
      <c r="D79" s="51" t="n"/>
      <c r="E79" s="56" t="n"/>
      <c r="F79" s="56" t="n"/>
      <c r="G79" s="56" t="n"/>
      <c r="H79" s="56" t="n"/>
      <c r="I79" s="56" t="n"/>
      <c r="J79" s="56" t="n"/>
      <c r="K79" s="56" t="n"/>
      <c r="L79" s="56" t="n"/>
      <c r="M79" s="57" t="n"/>
      <c r="N79" s="57" t="n"/>
      <c r="O79" s="57" t="n"/>
      <c r="P79" s="57" t="n"/>
      <c r="Q79" s="57" t="n"/>
      <c r="R79" s="57" t="n"/>
    </row>
    <row r="80" ht="15" customHeight="1" s="34">
      <c r="A80" s="51" t="n"/>
      <c r="B80" s="51" t="n"/>
      <c r="C80" s="51" t="n"/>
      <c r="D80" s="51" t="n"/>
      <c r="E80" s="56" t="n"/>
      <c r="F80" s="56" t="n"/>
      <c r="G80" s="56" t="n"/>
      <c r="H80" s="56" t="n"/>
      <c r="I80" s="56" t="n"/>
      <c r="J80" s="56" t="n"/>
      <c r="K80" s="56" t="n"/>
      <c r="L80" s="56" t="n"/>
      <c r="M80" s="57" t="n"/>
      <c r="N80" s="57" t="n"/>
      <c r="O80" s="57" t="n"/>
      <c r="P80" s="57" t="n"/>
      <c r="Q80" s="57" t="n"/>
      <c r="R80" s="57" t="n"/>
    </row>
    <row r="81" ht="15" customHeight="1" s="34">
      <c r="A81" s="51" t="n"/>
      <c r="B81" s="51" t="n"/>
      <c r="C81" s="51" t="n"/>
      <c r="D81" s="51" t="n"/>
      <c r="E81" s="56" t="n"/>
      <c r="F81" s="56" t="n"/>
      <c r="G81" s="56" t="n"/>
      <c r="H81" s="56" t="n"/>
      <c r="I81" s="56" t="n"/>
      <c r="J81" s="56" t="n"/>
      <c r="K81" s="56" t="n"/>
      <c r="L81" s="56" t="n"/>
      <c r="M81" s="57" t="n"/>
      <c r="N81" s="57" t="n"/>
      <c r="O81" s="57" t="n"/>
      <c r="P81" s="57" t="n"/>
      <c r="Q81" s="57" t="n"/>
      <c r="R81" s="57" t="n"/>
    </row>
    <row r="82" ht="15" customHeight="1" s="34">
      <c r="A82" s="51" t="n"/>
      <c r="B82" s="51" t="n"/>
      <c r="C82" s="51" t="n"/>
      <c r="D82" s="51" t="n"/>
      <c r="E82" s="56" t="n"/>
      <c r="F82" s="56" t="n"/>
      <c r="G82" s="56" t="n"/>
      <c r="H82" s="56" t="n"/>
      <c r="I82" s="56" t="n"/>
      <c r="J82" s="56" t="n"/>
      <c r="K82" s="56" t="n"/>
      <c r="L82" s="56" t="n"/>
      <c r="M82" s="57" t="n"/>
      <c r="N82" s="57" t="n"/>
      <c r="O82" s="57" t="n"/>
      <c r="P82" s="57" t="n"/>
      <c r="Q82" s="57" t="n"/>
      <c r="R82" s="57" t="n"/>
    </row>
    <row r="83" ht="15" customHeight="1" s="34">
      <c r="A83" s="51" t="n"/>
      <c r="B83" s="51" t="n"/>
      <c r="C83" s="51" t="n"/>
      <c r="D83" s="51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7" t="n"/>
      <c r="N83" s="57" t="n"/>
      <c r="O83" s="57" t="n"/>
      <c r="P83" s="57" t="n"/>
      <c r="Q83" s="57" t="n"/>
      <c r="R83" s="57" t="n"/>
    </row>
    <row r="84" ht="15" customHeight="1" s="34">
      <c r="A84" s="51" t="n"/>
      <c r="B84" s="51" t="n"/>
      <c r="C84" s="51" t="n"/>
      <c r="D84" s="51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7" t="n"/>
      <c r="N84" s="57" t="n"/>
      <c r="O84" s="57" t="n"/>
      <c r="P84" s="57" t="n"/>
      <c r="Q84" s="57" t="n"/>
      <c r="R84" s="57" t="n"/>
    </row>
    <row r="85" ht="15" customHeight="1" s="34">
      <c r="A85" s="51" t="n"/>
      <c r="B85" s="51" t="n"/>
      <c r="C85" s="51" t="n"/>
      <c r="D85" s="51" t="n"/>
      <c r="E85" s="56" t="n"/>
      <c r="F85" s="56" t="n"/>
      <c r="G85" s="56" t="n"/>
      <c r="H85" s="56" t="n"/>
      <c r="I85" s="56" t="n"/>
      <c r="J85" s="56" t="n"/>
      <c r="K85" s="56" t="n"/>
      <c r="L85" s="56" t="n"/>
      <c r="M85" s="57" t="n"/>
      <c r="N85" s="57" t="n"/>
      <c r="O85" s="57" t="n"/>
      <c r="P85" s="57" t="n"/>
      <c r="Q85" s="57" t="n"/>
      <c r="R85" s="57" t="n"/>
    </row>
    <row r="86" ht="15" customHeight="1" s="34">
      <c r="A86" s="51" t="n"/>
      <c r="B86" s="51" t="n"/>
      <c r="C86" s="51" t="n"/>
      <c r="D86" s="51" t="n"/>
      <c r="E86" s="56" t="n"/>
      <c r="F86" s="56" t="n"/>
      <c r="G86" s="56" t="n"/>
      <c r="H86" s="56" t="n"/>
      <c r="I86" s="56" t="n"/>
      <c r="J86" s="56" t="n"/>
      <c r="K86" s="56" t="n"/>
      <c r="L86" s="56" t="n"/>
      <c r="M86" s="57" t="n"/>
      <c r="N86" s="57" t="n"/>
      <c r="O86" s="57" t="n"/>
      <c r="P86" s="57" t="n"/>
      <c r="Q86" s="57" t="n"/>
      <c r="R86" s="57" t="n"/>
    </row>
    <row r="87" ht="15" customHeight="1" s="34">
      <c r="A87" s="51" t="n"/>
      <c r="B87" s="51" t="n"/>
      <c r="C87" s="51" t="n"/>
      <c r="D87" s="51" t="n"/>
      <c r="E87" s="56" t="n"/>
      <c r="F87" s="56" t="n"/>
      <c r="G87" s="56" t="n"/>
      <c r="H87" s="56" t="n"/>
      <c r="I87" s="56" t="n"/>
      <c r="J87" s="56" t="n"/>
      <c r="K87" s="56" t="n"/>
      <c r="L87" s="56" t="n"/>
      <c r="M87" s="57" t="n"/>
      <c r="N87" s="57" t="n"/>
      <c r="O87" s="57" t="n"/>
      <c r="P87" s="57" t="n"/>
      <c r="Q87" s="57" t="n"/>
      <c r="R87" s="57" t="n"/>
    </row>
    <row r="88" ht="15" customHeight="1" s="34">
      <c r="A88" s="51" t="n"/>
      <c r="B88" s="51" t="n"/>
      <c r="C88" s="51" t="n"/>
      <c r="D88" s="51" t="n"/>
      <c r="E88" s="56" t="n"/>
      <c r="F88" s="56" t="n"/>
      <c r="G88" s="56" t="n"/>
      <c r="H88" s="56" t="n"/>
      <c r="I88" s="56" t="n"/>
      <c r="J88" s="56" t="n"/>
      <c r="K88" s="56" t="n"/>
      <c r="L88" s="56" t="n"/>
      <c r="M88" s="57" t="n"/>
      <c r="N88" s="57" t="n"/>
      <c r="O88" s="57" t="n"/>
      <c r="P88" s="57" t="n"/>
      <c r="Q88" s="57" t="n"/>
      <c r="R88" s="57" t="n"/>
    </row>
    <row r="89" ht="15" customHeight="1" s="34">
      <c r="A89" s="51" t="n"/>
      <c r="B89" s="51" t="n"/>
      <c r="C89" s="51" t="n"/>
      <c r="D89" s="51" t="n"/>
      <c r="E89" s="56" t="n"/>
      <c r="F89" s="56" t="n"/>
      <c r="G89" s="56" t="n"/>
      <c r="H89" s="56" t="n"/>
      <c r="I89" s="56" t="n"/>
      <c r="J89" s="56" t="n"/>
      <c r="K89" s="56" t="n"/>
      <c r="L89" s="56" t="n"/>
      <c r="M89" s="57" t="n"/>
      <c r="N89" s="57" t="n"/>
      <c r="O89" s="57" t="n"/>
      <c r="P89" s="57" t="n"/>
      <c r="Q89" s="57" t="n"/>
      <c r="R89" s="57" t="n"/>
    </row>
    <row r="90" ht="15" customHeight="1" s="34">
      <c r="A90" s="51" t="n"/>
      <c r="B90" s="51" t="n"/>
      <c r="C90" s="51" t="n"/>
      <c r="D90" s="51" t="n"/>
      <c r="E90" s="56" t="n"/>
      <c r="F90" s="56" t="n"/>
      <c r="G90" s="56" t="n"/>
      <c r="H90" s="56" t="n"/>
      <c r="I90" s="56" t="n"/>
      <c r="J90" s="56" t="n"/>
      <c r="K90" s="56" t="n"/>
      <c r="L90" s="56" t="n"/>
      <c r="M90" s="57" t="n"/>
      <c r="N90" s="57" t="n"/>
      <c r="O90" s="57" t="n"/>
      <c r="P90" s="57" t="n"/>
      <c r="Q90" s="57" t="n"/>
      <c r="R90" s="57" t="n"/>
    </row>
    <row r="91" ht="15" customHeight="1" s="34">
      <c r="A91" s="51" t="n"/>
      <c r="B91" s="51" t="n"/>
      <c r="C91" s="51" t="n"/>
      <c r="D91" s="51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7" t="n"/>
      <c r="N91" s="57" t="n"/>
      <c r="O91" s="57" t="n"/>
      <c r="P91" s="57" t="n"/>
      <c r="Q91" s="57" t="n"/>
      <c r="R91" s="57" t="n"/>
    </row>
    <row r="92" ht="15" customHeight="1" s="34">
      <c r="A92" s="51" t="n"/>
      <c r="B92" s="51" t="n"/>
      <c r="C92" s="51" t="n"/>
      <c r="D92" s="51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7" t="n"/>
      <c r="N92" s="57" t="n"/>
      <c r="O92" s="57" t="n"/>
      <c r="P92" s="57" t="n"/>
      <c r="Q92" s="57" t="n"/>
      <c r="R92" s="57" t="n"/>
    </row>
    <row r="93" ht="15" customHeight="1" s="34">
      <c r="A93" s="51" t="n"/>
      <c r="B93" s="51" t="n"/>
      <c r="C93" s="51" t="n"/>
      <c r="D93" s="51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7" t="n"/>
      <c r="N93" s="57" t="n"/>
      <c r="O93" s="57" t="n"/>
      <c r="P93" s="57" t="n"/>
      <c r="Q93" s="57" t="n"/>
      <c r="R93" s="57" t="n"/>
    </row>
    <row r="94" ht="15" customHeight="1" s="34">
      <c r="A94" s="51" t="n"/>
      <c r="B94" s="51" t="n"/>
      <c r="C94" s="51" t="n"/>
      <c r="D94" s="51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7" t="n"/>
      <c r="N94" s="57" t="n"/>
      <c r="O94" s="57" t="n"/>
      <c r="P94" s="57" t="n"/>
      <c r="Q94" s="57" t="n"/>
      <c r="R94" s="57" t="n"/>
    </row>
    <row r="95" ht="15" customHeight="1" s="34">
      <c r="A95" s="51" t="n"/>
      <c r="B95" s="51" t="n"/>
      <c r="C95" s="51" t="n"/>
      <c r="D95" s="51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7" t="n"/>
      <c r="N95" s="57" t="n"/>
      <c r="O95" s="57" t="n"/>
      <c r="P95" s="57" t="n"/>
      <c r="Q95" s="57" t="n"/>
      <c r="R95" s="57" t="n"/>
    </row>
    <row r="96" ht="15" customHeight="1" s="34">
      <c r="A96" s="51" t="n"/>
      <c r="B96" s="51" t="n"/>
      <c r="C96" s="51" t="n"/>
      <c r="D96" s="51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7" t="n"/>
      <c r="N96" s="57" t="n"/>
      <c r="O96" s="57" t="n"/>
      <c r="P96" s="57" t="n"/>
      <c r="Q96" s="57" t="n"/>
      <c r="R96" s="57" t="n"/>
    </row>
    <row r="97" ht="15" customHeight="1" s="34">
      <c r="A97" s="51" t="n"/>
      <c r="B97" s="51" t="n"/>
      <c r="C97" s="51" t="n"/>
      <c r="D97" s="51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7" t="n"/>
      <c r="N97" s="57" t="n"/>
      <c r="O97" s="57" t="n"/>
      <c r="P97" s="57" t="n"/>
      <c r="Q97" s="57" t="n"/>
      <c r="R97" s="57" t="n"/>
    </row>
    <row r="98" ht="15" customHeight="1" s="34">
      <c r="A98" s="51" t="n"/>
      <c r="B98" s="51" t="n"/>
      <c r="C98" s="51" t="n"/>
      <c r="D98" s="51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7" t="n"/>
      <c r="N98" s="57" t="n"/>
      <c r="O98" s="57" t="n"/>
      <c r="P98" s="57" t="n"/>
      <c r="Q98" s="57" t="n"/>
      <c r="R98" s="57" t="n"/>
    </row>
    <row r="99" ht="15" customHeight="1" s="34">
      <c r="A99" s="51" t="n"/>
      <c r="B99" s="51" t="n"/>
      <c r="C99" s="51" t="n"/>
      <c r="D99" s="51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7" t="n"/>
      <c r="N99" s="57" t="n"/>
      <c r="O99" s="57" t="n"/>
      <c r="P99" s="57" t="n"/>
      <c r="Q99" s="57" t="n"/>
      <c r="R99" s="57" t="n"/>
    </row>
    <row r="100" ht="15" customHeight="1" s="34">
      <c r="A100" s="51" t="n"/>
      <c r="B100" s="51" t="n"/>
      <c r="C100" s="51" t="n"/>
      <c r="D100" s="51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7" t="n"/>
      <c r="N100" s="57" t="n"/>
      <c r="O100" s="57" t="n"/>
      <c r="P100" s="57" t="n"/>
      <c r="Q100" s="57" t="n"/>
      <c r="R100" s="57" t="n"/>
    </row>
    <row r="101" ht="15" customHeight="1" s="34">
      <c r="A101" s="51" t="n"/>
      <c r="B101" s="51" t="n"/>
      <c r="C101" s="51" t="n"/>
      <c r="D101" s="51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7" t="n"/>
      <c r="N101" s="57" t="n"/>
      <c r="O101" s="57" t="n"/>
      <c r="P101" s="57" t="n"/>
      <c r="Q101" s="57" t="n"/>
      <c r="R101" s="57" t="n"/>
    </row>
    <row r="102" ht="15" customHeight="1" s="34">
      <c r="A102" s="51" t="n"/>
      <c r="B102" s="51" t="n"/>
      <c r="C102" s="51" t="n"/>
      <c r="D102" s="51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7" t="n"/>
      <c r="N102" s="57" t="n"/>
      <c r="O102" s="57" t="n"/>
      <c r="P102" s="57" t="n"/>
      <c r="Q102" s="57" t="n"/>
      <c r="R102" s="57" t="n"/>
    </row>
    <row r="103" ht="15" customHeight="1" s="34">
      <c r="A103" s="51" t="n"/>
      <c r="B103" s="51" t="n"/>
      <c r="C103" s="51" t="n"/>
      <c r="D103" s="51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7" t="n"/>
      <c r="N103" s="57" t="n"/>
      <c r="O103" s="57" t="n"/>
      <c r="P103" s="57" t="n"/>
      <c r="Q103" s="57" t="n"/>
      <c r="R103" s="57" t="n"/>
    </row>
    <row r="104" ht="15" customHeight="1" s="34">
      <c r="A104" s="51" t="n"/>
      <c r="B104" s="51" t="n"/>
      <c r="C104" s="51" t="n"/>
      <c r="D104" s="51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7" t="n"/>
      <c r="N104" s="57" t="n"/>
      <c r="O104" s="57" t="n"/>
      <c r="P104" s="57" t="n"/>
      <c r="Q104" s="57" t="n"/>
      <c r="R104" s="57" t="n"/>
    </row>
    <row r="105" ht="15" customHeight="1" s="34">
      <c r="A105" s="51" t="n"/>
      <c r="B105" s="51" t="n"/>
      <c r="C105" s="51" t="n"/>
      <c r="D105" s="51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7" t="n"/>
      <c r="N105" s="57" t="n"/>
      <c r="O105" s="57" t="n"/>
      <c r="P105" s="57" t="n"/>
      <c r="Q105" s="57" t="n"/>
      <c r="R105" s="57" t="n"/>
    </row>
    <row r="106" ht="15" customHeight="1" s="34">
      <c r="A106" s="51" t="n"/>
      <c r="B106" s="51" t="n"/>
      <c r="C106" s="51" t="n"/>
      <c r="D106" s="51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7" t="n"/>
      <c r="N106" s="57" t="n"/>
      <c r="O106" s="57" t="n"/>
      <c r="P106" s="57" t="n"/>
      <c r="Q106" s="57" t="n"/>
      <c r="R106" s="57" t="n"/>
    </row>
    <row r="107" ht="15" customHeight="1" s="34">
      <c r="A107" s="51" t="n"/>
      <c r="B107" s="51" t="n"/>
      <c r="C107" s="51" t="n"/>
      <c r="D107" s="51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7" t="n"/>
      <c r="N107" s="57" t="n"/>
      <c r="O107" s="57" t="n"/>
      <c r="P107" s="57" t="n"/>
      <c r="Q107" s="57" t="n"/>
      <c r="R107" s="57" t="n"/>
    </row>
    <row r="108" ht="15" customHeight="1" s="34">
      <c r="A108" s="51" t="n"/>
      <c r="B108" s="51" t="n"/>
      <c r="C108" s="51" t="n"/>
      <c r="D108" s="51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7" t="n"/>
      <c r="N108" s="57" t="n"/>
      <c r="O108" s="57" t="n"/>
      <c r="P108" s="57" t="n"/>
      <c r="Q108" s="57" t="n"/>
      <c r="R108" s="57" t="n"/>
    </row>
    <row r="109" ht="15" customHeight="1" s="34">
      <c r="A109" s="51" t="n"/>
      <c r="B109" s="51" t="n"/>
      <c r="C109" s="51" t="n"/>
      <c r="D109" s="51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7" t="n"/>
      <c r="N109" s="57" t="n"/>
      <c r="O109" s="57" t="n"/>
      <c r="P109" s="57" t="n"/>
      <c r="Q109" s="57" t="n"/>
      <c r="R109" s="57" t="n"/>
    </row>
    <row r="110" ht="15" customHeight="1" s="34">
      <c r="A110" s="51" t="n"/>
      <c r="B110" s="51" t="n"/>
      <c r="C110" s="51" t="n"/>
      <c r="D110" s="51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7" t="n"/>
      <c r="N110" s="57" t="n"/>
      <c r="O110" s="57" t="n"/>
      <c r="P110" s="57" t="n"/>
      <c r="Q110" s="57" t="n"/>
      <c r="R110" s="57" t="n"/>
    </row>
    <row r="111" ht="15" customHeight="1" s="34">
      <c r="A111" s="51" t="n"/>
      <c r="B111" s="51" t="n"/>
      <c r="C111" s="51" t="n"/>
      <c r="D111" s="51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7" t="n"/>
      <c r="N111" s="57" t="n"/>
      <c r="O111" s="57" t="n"/>
      <c r="P111" s="57" t="n"/>
      <c r="Q111" s="57" t="n"/>
      <c r="R111" s="57" t="n"/>
    </row>
    <row r="112" ht="15" customHeight="1" s="34">
      <c r="A112" s="51" t="n"/>
      <c r="B112" s="51" t="n"/>
      <c r="C112" s="51" t="n"/>
      <c r="D112" s="51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7" t="n"/>
      <c r="N112" s="57" t="n"/>
      <c r="O112" s="57" t="n"/>
      <c r="P112" s="57" t="n"/>
      <c r="Q112" s="57" t="n"/>
      <c r="R112" s="57" t="n"/>
    </row>
    <row r="113" ht="15" customHeight="1" s="34">
      <c r="A113" s="51" t="n"/>
      <c r="B113" s="51" t="n"/>
      <c r="C113" s="51" t="n"/>
      <c r="D113" s="51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7" t="n"/>
      <c r="N113" s="57" t="n"/>
      <c r="O113" s="57" t="n"/>
      <c r="P113" s="57" t="n"/>
      <c r="Q113" s="57" t="n"/>
      <c r="R113" s="57" t="n"/>
    </row>
    <row r="114" ht="15" customHeight="1" s="34">
      <c r="A114" s="51" t="n"/>
      <c r="B114" s="51" t="n"/>
      <c r="C114" s="51" t="n"/>
      <c r="D114" s="51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7" t="n"/>
      <c r="N114" s="57" t="n"/>
      <c r="O114" s="57" t="n"/>
      <c r="P114" s="57" t="n"/>
      <c r="Q114" s="57" t="n"/>
      <c r="R114" s="57" t="n"/>
    </row>
    <row r="115" ht="15" customHeight="1" s="34">
      <c r="A115" s="51" t="n"/>
      <c r="B115" s="51" t="n"/>
      <c r="C115" s="51" t="n"/>
      <c r="D115" s="51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7" t="n"/>
      <c r="N115" s="57" t="n"/>
      <c r="O115" s="57" t="n"/>
      <c r="P115" s="57" t="n"/>
      <c r="Q115" s="57" t="n"/>
      <c r="R115" s="57" t="n"/>
    </row>
    <row r="116" ht="15" customHeight="1" s="34">
      <c r="A116" s="51" t="n"/>
      <c r="B116" s="51" t="n"/>
      <c r="C116" s="51" t="n"/>
      <c r="D116" s="51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7" t="n"/>
      <c r="N116" s="57" t="n"/>
      <c r="O116" s="57" t="n"/>
      <c r="P116" s="57" t="n"/>
      <c r="Q116" s="57" t="n"/>
      <c r="R116" s="57" t="n"/>
    </row>
    <row r="117" ht="15" customHeight="1" s="34">
      <c r="A117" s="51" t="n"/>
      <c r="B117" s="51" t="n"/>
      <c r="C117" s="51" t="n"/>
      <c r="D117" s="51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7" t="n"/>
      <c r="N117" s="57" t="n"/>
      <c r="O117" s="57" t="n"/>
      <c r="P117" s="57" t="n"/>
      <c r="Q117" s="57" t="n"/>
      <c r="R117" s="57" t="n"/>
    </row>
    <row r="118" ht="15" customHeight="1" s="34">
      <c r="A118" s="51" t="n"/>
      <c r="B118" s="51" t="n"/>
      <c r="C118" s="51" t="n"/>
      <c r="D118" s="51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7" t="n"/>
      <c r="N118" s="57" t="n"/>
      <c r="O118" s="57" t="n"/>
      <c r="P118" s="57" t="n"/>
      <c r="Q118" s="57" t="n"/>
      <c r="R118" s="57" t="n"/>
    </row>
    <row r="119" ht="15" customHeight="1" s="34">
      <c r="A119" s="51" t="n"/>
      <c r="B119" s="51" t="n"/>
      <c r="C119" s="51" t="n"/>
      <c r="D119" s="51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7" t="n"/>
      <c r="N119" s="57" t="n"/>
      <c r="O119" s="57" t="n"/>
      <c r="P119" s="57" t="n"/>
      <c r="Q119" s="57" t="n"/>
      <c r="R119" s="57" t="n"/>
    </row>
    <row r="120" ht="15" customHeight="1" s="34">
      <c r="A120" s="51" t="n"/>
      <c r="B120" s="51" t="n"/>
      <c r="C120" s="51" t="n"/>
      <c r="D120" s="51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7" t="n"/>
      <c r="N120" s="57" t="n"/>
      <c r="O120" s="57" t="n"/>
      <c r="P120" s="57" t="n"/>
      <c r="Q120" s="57" t="n"/>
      <c r="R120" s="57" t="n"/>
    </row>
    <row r="121" ht="15" customHeight="1" s="34">
      <c r="A121" s="51" t="n"/>
      <c r="B121" s="51" t="n"/>
      <c r="C121" s="51" t="n"/>
      <c r="D121" s="51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7" t="n"/>
      <c r="N121" s="57" t="n"/>
      <c r="O121" s="57" t="n"/>
      <c r="P121" s="57" t="n"/>
      <c r="Q121" s="57" t="n"/>
      <c r="R121" s="57" t="n"/>
    </row>
    <row r="122" ht="15" customHeight="1" s="34">
      <c r="A122" s="51" t="n"/>
      <c r="B122" s="51" t="n"/>
      <c r="C122" s="51" t="n"/>
      <c r="D122" s="51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7" t="n"/>
      <c r="N122" s="57" t="n"/>
      <c r="O122" s="57" t="n"/>
      <c r="P122" s="57" t="n"/>
      <c r="Q122" s="57" t="n"/>
      <c r="R122" s="57" t="n"/>
    </row>
    <row r="123" ht="15" customHeight="1" s="34">
      <c r="A123" s="51" t="n"/>
      <c r="B123" s="51" t="n"/>
      <c r="C123" s="51" t="n"/>
      <c r="D123" s="51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7" t="n"/>
      <c r="N123" s="57" t="n"/>
      <c r="O123" s="57" t="n"/>
      <c r="P123" s="57" t="n"/>
      <c r="Q123" s="57" t="n"/>
      <c r="R123" s="57" t="n"/>
    </row>
    <row r="124" ht="15" customHeight="1" s="34">
      <c r="A124" s="51" t="n"/>
      <c r="B124" s="51" t="n"/>
      <c r="C124" s="51" t="n"/>
      <c r="D124" s="51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7" t="n"/>
      <c r="N124" s="57" t="n"/>
      <c r="O124" s="57" t="n"/>
      <c r="P124" s="57" t="n"/>
      <c r="Q124" s="57" t="n"/>
      <c r="R124" s="57" t="n"/>
    </row>
  </sheetData>
  <mergeCells count="1">
    <mergeCell ref="A1:R1"/>
  </mergeCells>
  <dataValidations count="2">
    <dataValidation sqref="A5:A124" showDropDown="0" showInputMessage="0" showErrorMessage="0" allowBlank="1" type="list" errorStyle="stop" operator="between">
      <formula1>"R1,R2,R3,R4,R5,R6"</formula1>
      <formula2>0</formula2>
    </dataValidation>
    <dataValidation sqref="P5:P124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n"/>
      <c r="B6" s="51" t="n"/>
      <c r="C6" s="51" t="n"/>
      <c r="D6" s="51" t="n"/>
      <c r="E6" s="51" t="n"/>
      <c r="F6" s="51" t="n"/>
    </row>
    <row r="7" ht="15" customHeight="1" s="34">
      <c r="A7" s="51" t="n"/>
      <c r="B7" s="51" t="n"/>
      <c r="C7" s="51" t="n"/>
      <c r="D7" s="51" t="n"/>
      <c r="E7" s="51" t="n"/>
      <c r="F7" s="51" t="n"/>
    </row>
    <row r="8" ht="15" customHeight="1" s="34">
      <c r="A8" s="51" t="n"/>
      <c r="B8" s="51" t="n"/>
      <c r="C8" s="51" t="n"/>
      <c r="D8" s="51" t="n"/>
      <c r="E8" s="51" t="n"/>
      <c r="F8" s="51" t="n"/>
    </row>
    <row r="9" ht="15" customHeight="1" s="34">
      <c r="A9" s="51" t="n"/>
      <c r="B9" s="51" t="n"/>
      <c r="C9" s="51" t="n"/>
      <c r="D9" s="51" t="n"/>
      <c r="E9" s="51" t="n"/>
      <c r="F9" s="51" t="n"/>
    </row>
    <row r="10" ht="15" customHeight="1" s="34">
      <c r="A10" s="51" t="n"/>
      <c r="B10" s="51" t="n"/>
      <c r="C10" s="51" t="n"/>
      <c r="D10" s="51" t="n"/>
      <c r="E10" s="51" t="n"/>
      <c r="F10" s="51" t="n"/>
    </row>
    <row r="11" ht="15" customHeight="1" s="34">
      <c r="A11" s="51" t="n"/>
      <c r="B11" s="51" t="n"/>
      <c r="C11" s="51" t="n"/>
      <c r="D11" s="51" t="n"/>
      <c r="E11" s="51" t="n"/>
      <c r="F11" s="51" t="n"/>
    </row>
    <row r="12" ht="15" customHeight="1" s="34">
      <c r="A12" s="51" t="n"/>
      <c r="B12" s="51" t="n"/>
      <c r="C12" s="51" t="n"/>
      <c r="D12" s="51" t="n"/>
      <c r="E12" s="51" t="n"/>
      <c r="F12" s="51" t="n"/>
    </row>
    <row r="13" ht="15" customHeight="1" s="34">
      <c r="A13" s="51" t="n"/>
      <c r="B13" s="51" t="n"/>
      <c r="C13" s="51" t="n"/>
      <c r="D13" s="51" t="n"/>
      <c r="E13" s="51" t="n"/>
      <c r="F13" s="51" t="n"/>
    </row>
    <row r="14" ht="15" customHeight="1" s="34">
      <c r="A14" s="51" t="n"/>
      <c r="B14" s="51" t="n"/>
      <c r="C14" s="51" t="n"/>
      <c r="D14" s="51" t="n"/>
      <c r="E14" s="51" t="n"/>
      <c r="F14" s="51" t="n"/>
    </row>
    <row r="15" ht="15" customHeight="1" s="34">
      <c r="A15" s="51" t="n"/>
      <c r="B15" s="51" t="n"/>
      <c r="C15" s="51" t="n"/>
      <c r="D15" s="51" t="n"/>
      <c r="E15" s="51" t="n"/>
      <c r="F15" s="51" t="n"/>
    </row>
    <row r="16" ht="15" customHeight="1" s="34">
      <c r="A16" s="51" t="n"/>
      <c r="B16" s="51" t="n"/>
      <c r="C16" s="51" t="n"/>
      <c r="D16" s="51" t="n"/>
      <c r="E16" s="51" t="n"/>
      <c r="F16" s="51" t="n"/>
    </row>
    <row r="17" ht="15" customHeight="1" s="34">
      <c r="A17" s="51" t="n"/>
      <c r="B17" s="51" t="n"/>
      <c r="C17" s="51" t="n"/>
      <c r="D17" s="51" t="n"/>
      <c r="E17" s="51" t="n"/>
      <c r="F17" s="51" t="n"/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COUNTIF(缺陷登記!$F$3:$F$82,$A4)</f>
        <v/>
      </c>
      <c r="K4" s="60">
        <f>COUNTIF(缺陷登記!$J$3:$J$82,$A4)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n"/>
      <c r="C5" s="59" t="n"/>
      <c r="D5" s="59" t="n"/>
      <c r="E5" s="59" t="n"/>
      <c r="F5" s="59" t="n"/>
      <c r="G5" s="59" t="n"/>
      <c r="H5" s="59" t="n"/>
      <c r="I5" s="59" t="n"/>
      <c r="J5" s="60">
        <f>COUNTIF(缺陷登記!$F$3:$F$82,$A5)</f>
        <v/>
      </c>
      <c r="K5" s="60">
        <f>COUNTIF(缺陷登記!$J$3:$J$82,$A5)</f>
        <v/>
      </c>
      <c r="L5" s="60">
        <f>SUM($J$4:$J5)-SUM($K$4:$K5)</f>
        <v/>
      </c>
      <c r="M5" s="59" t="n"/>
      <c r="N5" s="59" t="n"/>
    </row>
    <row r="6" ht="15" customHeight="1" s="34">
      <c r="A6" s="48" t="inlineStr">
        <is>
          <t>R3</t>
        </is>
      </c>
      <c r="B6" s="59" t="n"/>
      <c r="C6" s="59" t="n"/>
      <c r="D6" s="59" t="n"/>
      <c r="E6" s="59" t="n"/>
      <c r="F6" s="59" t="n"/>
      <c r="G6" s="59" t="n"/>
      <c r="H6" s="59" t="n"/>
      <c r="I6" s="59" t="n"/>
      <c r="J6" s="60">
        <f>COUNTIF(缺陷登記!$F$3:$F$82,$A6)</f>
        <v/>
      </c>
      <c r="K6" s="60">
        <f>COUNTIF(缺陷登記!$J$3:$J$82,$A6)</f>
        <v/>
      </c>
      <c r="L6" s="60">
        <f>SUM($J$4:$J6)-SUM($K$4:$K6)</f>
        <v/>
      </c>
      <c r="M6" s="59" t="n"/>
      <c r="N6" s="59" t="n"/>
    </row>
    <row r="7" ht="15" customHeight="1" s="34">
      <c r="A7" s="48" t="inlineStr">
        <is>
          <t>R4</t>
        </is>
      </c>
      <c r="B7" s="59" t="n"/>
      <c r="C7" s="59" t="n"/>
      <c r="D7" s="59" t="n"/>
      <c r="E7" s="59" t="n"/>
      <c r="F7" s="59" t="n"/>
      <c r="G7" s="59" t="n"/>
      <c r="H7" s="59" t="n"/>
      <c r="I7" s="59" t="n"/>
      <c r="J7" s="60">
        <f>COUNTIF(缺陷登記!$F$3:$F$82,$A7)</f>
        <v/>
      </c>
      <c r="K7" s="60">
        <f>COUNTIF(缺陷登記!$J$3:$J$82,$A7)</f>
        <v/>
      </c>
      <c r="L7" s="60">
        <f>SUM($J$4:$J7)-SUM($K$4:$K7)</f>
        <v/>
      </c>
      <c r="M7" s="59" t="n"/>
      <c r="N7" s="59" t="n"/>
    </row>
    <row r="8" ht="15" customHeight="1" s="34">
      <c r="A8" s="48" t="inlineStr">
        <is>
          <t>R5</t>
        </is>
      </c>
      <c r="B8" s="59" t="n"/>
      <c r="C8" s="59" t="n"/>
      <c r="D8" s="59" t="n"/>
      <c r="E8" s="59" t="n"/>
      <c r="F8" s="59" t="n"/>
      <c r="G8" s="59" t="n"/>
      <c r="H8" s="59" t="n"/>
      <c r="I8" s="59" t="n"/>
      <c r="J8" s="60">
        <f>COUNTIF(缺陷登記!$F$3:$F$82,$A8)</f>
        <v/>
      </c>
      <c r="K8" s="60">
        <f>COUNTIF(缺陷登記!$J$3:$J$82,$A8)</f>
        <v/>
      </c>
      <c r="L8" s="60">
        <f>SUM($J$4:$J8)-SUM($K$4:$K8)</f>
        <v/>
      </c>
      <c r="M8" s="59" t="n"/>
      <c r="N8" s="59" t="n"/>
    </row>
    <row r="9" ht="15" customHeight="1" s="34">
      <c r="A9" s="48" t="inlineStr">
        <is>
          <t>R6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60">
        <f>COUNTIF(缺陷登記!$F$3:$F$82,$A9)</f>
        <v/>
      </c>
      <c r="K9" s="60">
        <f>COUNTIF(缺陷登記!$J$3:$J$82,$A9)</f>
        <v/>
      </c>
      <c r="L9" s="60">
        <f>SUM($J$4:$J9)-SUM($K$4:$K9)</f>
        <v/>
      </c>
      <c r="M9" s="59" t="n"/>
      <c r="N9" s="59" t="n"/>
    </row>
    <row r="11" ht="15" customHeight="1" s="34">
      <c r="A11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1:N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R1_START（2026-09-23 02:49 台北）四段 JSON 原文；realized sha 同基準</t>
        </is>
      </c>
      <c r="E9" s="59" t="inlineStr">
        <is>
          <t>realized 字串完全相同；holdings 14 列的股數／原始・調整成本／均價等非價格欄位全部相同；kpis、allocation 與 holdings 的價格類欄位（market_price／market_value／unrealized／weight／price_as_of）不同</t>
        </is>
      </c>
      <c r="F9" s="59" t="inlineStr">
        <is>
          <t>部分：差異全部來自 E-01 更新報價（price_as_of 09-16→09-22）與 E-10 查新代號連帶更新匯率（已裁定為預期）；帳本造成的差異為 0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原幣餘額（cash_balances）；報告幣別合計 25,240,265.647465180</t>
        </is>
      </c>
      <c r="E10" s="59" t="inlineStr">
        <is>
          <t>原幣餘額字串完全相同；報告幣別合計 25,226,192.686296940</t>
        </is>
      </c>
      <c r="F10" s="59" t="inlineStr">
        <is>
          <t>是（原幣）；報告幣別合計差額由匯率更新造成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批（本輪建立的批次 4～10 皆已復原）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檔、目標價皆空</t>
        </is>
      </c>
      <c r="E12" s="59" t="inlineStr">
        <is>
          <t>26 檔、目標價皆空；ZZZZ9、2618（長榮航）、虛構名稱皆未加入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$3.2993543</t>
        </is>
      </c>
      <c r="E13" s="59" t="inlineStr">
        <is>
          <t>剩餘額度 $3.2720718；llm-usage 本輪 72 列（insight_generate 18、master_score 49、ai_instrument_resolve 3、ai_agents_input 2）合計 $0.0272825＝扣減額</t>
        </is>
      </c>
      <c r="F13" s="59" t="inlineStr">
        <is>
          <t>是（已與 H-02 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n"/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n"/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n"/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n"/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n"/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COUNTA(輪次彙總!$B$4:$B$9)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COUNTA(缺陷登記!$I$3:$I$82)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COUNTIF(缺陷登記!$D$3:$D$82,"高")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COUNTIF(缺陷登記!$D$3:$D$82,"中")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COUNTIF(缺陷登記!$D$3:$D$82,"低")</f>
        <v/>
      </c>
    </row>
    <row r="19" ht="15" customHeight="1" s="34">
      <c r="A19" s="61" t="inlineStr">
        <is>
          <t>已結案缺陷</t>
        </is>
      </c>
      <c r="B19" s="65">
        <f>COUNTIF(缺陷登記!$I$3:$I$82,"結案")+COUNTIF(缺陷登記!$I$3:$I$82,"非缺陷")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COUNTA(缺陷登記!$I$3:$I$82)-COUNTIF(缺陷登記!$I$3:$I$82,"結案")-COUNTIF(缺陷登記!$I$3:$I$82,"非缺陷")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n"/>
      <c r="C24" s="64" t="n"/>
      <c r="D24" s="64" t="n"/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n"/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n"/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2026-09-23T17:33:35Z</dcterms:modified>
  <cp:revision>0</cp:revision>
</cp:coreProperties>
</file>