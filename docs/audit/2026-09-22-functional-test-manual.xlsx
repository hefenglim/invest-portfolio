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說明" sheetId="1" state="visible" r:id="rId1"/>
    <sheet name="測試案例" sheetId="2" state="visible" r:id="rId2"/>
    <sheet name="缺陷登記" sheetId="3" state="visible" r:id="rId3"/>
    <sheet name="來回記錄" sheetId="4" state="visible" r:id="rId4"/>
    <sheet name="交接紀錄" sheetId="5" state="visible" r:id="rId5"/>
    <sheet name="輪次彙總" sheetId="6" state="visible" r:id="rId6"/>
    <sheet name="還原檢查" sheetId="7" state="visible" r:id="rId7"/>
    <sheet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為**中性色外框**（入金實心、出金外框——2026-09-24 owner 裁定 DEF-006）；③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
R8（a16210a 全面重跑）：台灣券商 TWD 池 6,067,595（半數 3,033,797.5）→ 出金 3,033,797.5：後端 400「TWD 金額最小單位為 1，3033797.5 無法完整記錄…例如 3033798」未寫入；改 3,033,797（POST 201 #57）→ ① 池 6,067,595.0000→3,033,798.0000 ✓；② 出金 chip dir-sell 透明底、灰框 rgb(94,107,124)，入金 chip dir-buy 實心 rgb(154,166,181) ✓（DEF-006 裁定）；③ holdings、total_market_value、total_return 字串不變 ✓。刪除確認框「2026-09-27・出金 3,033,797 TWD（台灣券商）」→ DELETE 200，cmp R8_START same:true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inlineStr">
        <is>
          <t>R8（a16210a 全面重跑）：利息／嘉信 Schwab／USD 12.34（2026-09-23，POST 201 #58；外幣利息不出現取得成本欄）→ ① USD 池 398,497.90→398,510.24（+12.34）✓；② 列「2026-09-23 嘉信 Schwab 利息 12.34 USD」✓；③ holdings、realized 字串不變，realized_total 45101.53593772372085596050866 不變、total_return 與 xirr 10.445450386050704 不變 ✓；④ 現金對帳單匯出 {schwab,USD} 含「2026-09-23,USD,interest,…,QA-R8-A07,12.34,398510.24」✓。刪除後 cmp R8_START same:true</t>
        </is>
      </c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inlineStr">
        <is>
          <t>R8（a16210a 全面重跑）：融資利息／嘉信 Schwab／USD 5.00（2026-09-23，POST kind interest_expense 201）→ ① USD 池 398,497.90→398,492.90（−5.00）✓；② chip dir-sell（扣款外框）、文字「融資利息」✓；③ holdings 字串不變 ✓；trading_financing_cost 191→32.68500000（＝191−5×31.663）、total_return_fx_complete −158.315，total_return 不變，符合「交易與融資成本」口徑。刪除後逐位元還原</t>
        </is>
      </c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
R8（a16210a 全面重跑）：券商費用／嘉信 Schwab／USD 3.00（2026-09-23，POST kind broker_fee 201，toast「✓ 寫入成功 券商費用 3.00」）→ ① USD 池 −3.00（398,494.90）✓；② chip dir-sell 外框（透明底、灰框 rgb(94,107,124)），文字「券商費用」與出金列「出金」以文字區分 ✓（DEF-006 裁定）；③ holdings 不變 ✓；trading_financing_cost 191→96.01100000（＝191−3×31.663），total_return 不變。刪除後逐位元還原（R1 的暫時性 502 本輪未出現）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結案</t>
        </is>
      </c>
      <c r="M14" s="51" t="inlineStr">
        <is>
          <t>PASS</t>
        </is>
      </c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inlineStr">
        <is>
          <t>R8（a16210a 全面重跑）：換匯中心：Moomoo MY 賣出 MYR 4,000 → 買入 USD 自動試算 978.59（2026-09-24 匯率 0.2446；隱含 1 USD = 4.0875 MYR）→ 確認寫入 POST /api/cash/fx 201 #22、toast「✓ 換匯已寫入 4000 MYR → 978.59 USD」→ ① MYR 508,466.420→504,466.420（−4,000）、USD 56,384.10→57,362.69（+978.59）✓；② 取得均價 4.384338038040251696433279862→4.379477739744650974529852491，反推舊覆蓋量＝58,785.10 USD＝外幣現金 56,384.10＋持股成本 2,401，加權公式成立 ✓；③ total_return 字串完全不變 ✓（reporting_total 差 +29.11 TWD，為成交隱含匯率與市場匯率差）；④ 換匯帳本 19→20 列，implied_rate 4.0875136…、implied_unit_ccy USD（較值錢者＝1）✓。由交易帳本 › 換匯分頁刪除（確認框「確定刪除這筆換匯？統計將由其餘帳本紀錄重建。」→ DELETE /api/ledgers/fx/22 200），現金池、均價 4.384338038040251696433279862、reporting_total 與六段 JSON 逐位元還原</t>
        </is>
      </c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inlineStr">
        <is>
          <t>R8（a16210a 全面重跑）：手動交易 台灣券商 2884 買 1,000@45.20（2026-09-23）：草稿 成交 45,200、手續費 64（floor(64.41)）、總成本 45,264、持股 100→1,100、均價 93.20→49.62、現金 6,067,595→6,022,331；確認寫入 POST /api/input/manual/commit 201 #121、toast「✓ 寫入成功 交易已寫入帳本 （#121）」→ shares 1100、original_avg 49.62181818181818181818181818（＝(9,320+45,264)/1,100）、TWD 池 −45,264.0000 ✓。測畢刪除 #121，cmp R8_START same:true</t>
        </is>
      </c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inlineStr">
        <is>
          <t>R8（a16210a 全面重跑）：承 B-01（持有 1,100）賣 2884 100@46.00：草稿 手續費 20、交易稅 13、淨收 4,567、調整成本移除 4,962、已實現 −395 → 寫入 #122 → realized.rows 11→12，新列 kind sale、original_cost_removed 4962.181818181818181818181818（＝100×加權均價）、realized −395.181818…；持股 1,100→1,000、均價 49.62181818… 不變；realized.by_currency.TWD 42004.556→41609.374。刪除 #122 → 已實現回 11 列、by_currency.TWD 回 42004.55597014925373134328360</t>
        </is>
      </c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inlineStr">
        <is>
          <t>R8（a16210a 全面重跑）：承 B-01 同日有買進：賣 2884 100@46.00 未勾當沖 → preview tax 13（0.3%）；勾「當沖」→ tax 6（floor(4,600×0.15%)=6）、淨收 4,574；寫入 #123 本文 daytrade:true，帳本列「賣當沖 100 46.00 20 6 +4,574 TWD」。刪除 #123 與 #121 後 cmp R8_START same:true</t>
        </is>
      </c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inlineStr">
        <is>
          <t>R8（a16210a 全面重跑）：手動交易 台灣券商 2884 買 0.5 股 @45.20：preview issues=[{sev:error, code:shares_not_integer}]，草稿顯示「✕ 台股股數必須是整數（零股以 1 股為單位），目前是 0.5」，#m-confirm disabled ✓</t>
        </is>
      </c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inlineStr">
        <is>
          <t>R8（a16210a 全面重跑）：嘉信 Schwab 買 AAPL 1 股 @339.75（#126）→ ① USD 池 398,497.90→398,158.15（−339.75）、TWD 池 800,000 不動 ✓；② schwab 帳戶報告幣市值 3,654,938.1681→3,665,752.0708（+10,813.90275＝339.75×31.829000 current_spot）✓；③ 原始成本以 USD 記錄 13,515→13,854.75 ✓。刪除 #126，逐位元還原</t>
        </is>
      </c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inlineStr">
        <is>
          <t>R8（a16210a 全面重跑）：Moomoo MY 1155：股數 0.5 → 「馬股股數必須是整數（零股以 1 股為單位），目前是 0.5」、確認 disabled ✓；買 100@10.42（#127）→ 成交 1,042.00、手續費 3.91（規則「佣金 0.0300%・平台費 RM3.00・清算 0.0300%・SST 8.00%」）、交易稅 2.00（印花 ceil(1042/1000)×RM1）、總成本 1,047.91 → MYR 池 508,466.420→507,418.510（−1,047.91）、USD 池不動 ✓。刪除 #127，cmp R8_START same:true</t>
        </is>
      </c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結案</t>
        </is>
      </c>
      <c r="M30" s="51" t="inlineStr">
        <is>
          <t>PASS</t>
        </is>
      </c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inlineStr">
        <is>
          <t>R8（a16210a 全面重跑）：自建 #130（台灣券商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200→100 股／均價 93.2、2317 500→600 股、成本 101,645→106,185（均價 176.975）兩邊重建 ✓③；再把帳戶改嘉信 Schwab → PUT 400「2317 屬 TW 市場，不可登錄於 美股帳戶」、toast「✕ 編輯失敗 …」、2317 仍 600 股未變更 ②。刪除 #130，cmp R8_START same:true</t>
        </is>
      </c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inlineStr">
        <is>
          <t>R8（a16210a 全面重跑）：展開台灣券商交易列顯示「費率規則快照 engine: v2 rounding: floor brokerage: 0.001425 discount: 1 min_fee: 20 rebate_rate: 0.77」（2026-07-20 8299、07-05／06-25 2609），與系統設定 › 帳戶與費率 tw 規則集 effective 值（GET /api/fee-rules：brokerage 0.001425／discount 1／min_fee 20／rebate_rate 0.77／rounding floor）一致 ✓。2026-07 三筆 discount 0.23 的快照另附「rebate_rate_was: 0.77 cleaned: DEF-010（owner 裁定 2026-09-24）…」，為歷史快照與裁定清理紀錄，符合「歷史交易以交易列快照為準」；更早的列為 v1 格式快照（無 engine 欄）</t>
        </is>
      </c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DEF-010, DEF-055</t>
        </is>
      </c>
      <c r="L36" s="52" t="inlineStr">
        <is>
          <t>結案</t>
        </is>
      </c>
      <c r="M36" s="51" t="inlineStr">
        <is>
          <t>PASS</t>
        </is>
      </c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DEF-048, DEF-056</t>
        </is>
      </c>
      <c r="L37" s="52" t="inlineStr">
        <is>
          <t>結案</t>
        </is>
      </c>
      <c r="M37" s="51" t="inlineStr">
        <is>
          <t>PASS</t>
        </is>
      </c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
R3：DEF-047 複驗通過結案（TSLA 歸無配息紀錄、toast-ok）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DEF-016, DEF-061</t>
        </is>
      </c>
      <c r="L41" s="52" t="inlineStr">
        <is>
          <t>結案</t>
        </is>
      </c>
      <c r="M41" s="51" t="inlineStr">
        <is>
          <t>PASS</t>
        </is>
      </c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結案</t>
        </is>
      </c>
      <c r="M43" s="51" t="inlineStr">
        <is>
          <t>PASS</t>
        </is>
      </c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inlineStr">
        <is>
          <t>R8（a16210a 全面重跑）：收件匣 1155 Maybank（除息 2026-09-23，預估 930.00 MYR）→ 略過 → POST /api/dividend-inbox/skip {fingerprints:[div:moomoo_my:1155:2026-09-23]} 200 skipped 1、toast「✓ 已略過 1155 2026-09-23・可於「已忽略」取消忽略」→ ① 待確認 7→6；② 股利帳本 23 不變，cmp R8_START 只差收件匣計數；③ 出現在「已忽略（2）」清單（「已忽略於 2026-09-27・預估 930.00 MYR」，/api/dividend-inbox/skipped 含該 fingerprint 與完整 detail）並可「取消忽略」。還原：取消忽略 → POST /unskip 200、toast「✓ 已取消忽略 項目將重新出現在收件匣」→ 待確認回到 7、已忽略只剩既有的 NVDA 2026-06-04，cmp same:true</t>
        </is>
      </c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
R8（a16210a 全面重跑）：交易帳本 › 股利分頁 23 列 vs 匯出 ledger_dividends（POST /api/export/ledger {kind:dividends} 200）23 列：以 日期＋帳戶＋代號＋gross＋withholding＋net 逐列配對，23/23 全部配對、0 列多出；畫面為格式化值（5,200），CSV 為原始精度，Decimal 數值相等（CSV 依 id 排序、畫面依日期新→舊）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inlineStr">
        <is>
          <t>DEF-072</t>
        </is>
      </c>
      <c r="L52" s="52" t="inlineStr">
        <is>
          <t>結案</t>
        </is>
      </c>
      <c r="M52" s="51" t="inlineStr">
        <is>
          <t>PASS</t>
        </is>
      </c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inlineStr">
        <is>
          <t>R8（a16210a 全面重跑）：每持有 5 股→1 股（2884，2026-09-27）：試算「行動前 100 股 均價 93.20 成本 9,320 → 行動後 20 股 均價 466.00 成本 9,320 ✓ 成本不變」；登錄 #25 → shares 20 ①、original_avg 466 ②、成本 9,320 不變 ③、現價以 46.05×5＝230.25 讀出、市值 4,605 不變；100 可被 5 整除無零股，④ 餘數處理見 D-05（登錄後彈出「產生零股…補登零股賣出」）。刪除 #25，cmp R8_START same:true</t>
        </is>
      </c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inlineStr">
        <is>
          <t>R8（a16210a 全面重跑）：台灣券商 2884（100 股、成本 9,320）選「原持股不變，另外多拿到一檔新股票」→ 每 1 股另外配發 1 股 2882、成本分攤比例 0.3（2026-09-27）：試算「行動後 2884 100 股 均價 65.24 成本 6,524；2882 100 股 均價 27.96 成本 2,796；✓ 成本合計不變 9,320 → 9,320」；登錄（#32）→ ① 2884 仍 100 股 ✓；② 2882 新部位 100 股 ✓；③ 6,524＋2,796＝9,320，分攤比例 0.3 顯示在公司行動帳本「成本分攤」欄（列「分拆 2884 玉山金控 2882 國泰金 每 1 股 → 1 股 0.3」）✓；④ 均價 65.24、27.96（original 與 adjusted 皆同）✓。刪除 #32 後 cmp R8_START same:true、觀察清單 26 檔／0 封存／目標價 0</t>
        </is>
      </c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inlineStr">
        <is>
          <t>R8（a16210a 全面重跑）：承 D-03（已拆股 300 股、均價 31.0667）賣出 150@15.50（2026-09-27）：草稿 手續費 20、交易稅 6、淨收 2,299、調整成本移除 4,660、已實現 −2,361；寫入 #131 → realized 列 original_cost_removed 4660.0（＝150×31.0667）、realized −2361.00（＝2,299−4,660）、剩 150 股均價 31.0667 不變。#131 與行動 #24 皆刪除後 cmp R8_START same:true</t>
        </is>
      </c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DEF-040, DEF-052, DEF-060, DEF-063</t>
        </is>
      </c>
      <c r="L64" s="52" t="inlineStr">
        <is>
          <t>結案</t>
        </is>
      </c>
      <c r="M64" s="51" t="inlineStr">
        <is>
          <t>PASS</t>
        </is>
      </c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結案</t>
        </is>
      </c>
      <c r="M65" s="51" t="inlineStr">
        <is>
          <t>PASS</t>
        </is>
      </c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inlineStr">
        <is>
          <t>R8（a16210a 全面重跑）：本機專用測試環境（a16210a、demo 資料副本；外網封鎖，價格供應商以本機假資料取代——與假 LLM 同性質的測試替身）：台股 0056 回 2026-09-26、2330 仍回 2026-09-25（落後同市場）→ 儀表板 ⟳ 重新整理 › 更新報價 → ① quotes_tw.lagging ＝ ["2330"] ✓；② 完成 toast「✓ 報價更新完成 quotes_tw / quotes_us / quotes_my 已執行；1 檔資料來源未提供更新（仍為舊日期）：2330，正在重新整理…」點名，並另出一則 warn「! 部分報價仍為舊日期 2330 的資料來源尚未提供新收盤價；可稍後再按一次更新報價」✓；③ quotes_tw status＝ok、detail「5 項已更新（來源 derived:USD：MYRTWD；twse：0056、2330；yfinance：USDMYR、USDTWD）」✓（抓取本身沒失敗）。demo 本輪更新報價時 26 檔皆為最新、lagging 為空，無法自然重現，故改在本機製造</t>
        </is>
      </c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inlineStr">
        <is>
          <t>R8（a16210a 全面重跑）：儀表板 ⟳ 重新整理 › 更新報價（demo，quotes_tw／us／my 皆 ok，26 檔全數更新、lagging 空）前後比對（基準 R8_PREQ）：① 14 列 original_cost_total／adjusted_cost_total 字串完全相同 ✓（14 列價格皆變動，如 2330 2,460→2,475、8299 2,185→2,125、AAPL 339.75→341.07）；② 14 列 unrealized_pnl ＝ market_value − adjusted_cost_total 以 Decimal 逐列驗算 0 誤差 ✓；③ Σweight ＝ 0.99999999999999999999999999989（與 1 差 1e−29）✓；④ /api/dashboard 原始字串重算 94 項恆等式 94/94，最大誤差 1e−20，另 3 項幣別市值加總與三角一致性 ok ✓。總市值 36,214,648.90→35,630,718.95、XIRR 10.4362→10.0974</t>
        </is>
      </c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inlineStr">
        <is>
          <t>DEF-067, DEF-073</t>
        </is>
      </c>
      <c r="L74" s="52" t="inlineStr">
        <is>
          <t>結案</t>
        </is>
      </c>
      <c r="M74" s="51" t="inlineStr">
        <is>
          <t>PASS</t>
        </is>
      </c>
      <c r="N74" s="51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PASS</t>
        </is>
      </c>
      <c r="M75" s="51" t="inlineStr">
        <is>
          <t>PASS</t>
        </is>
      </c>
      <c r="N75" s="51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PASS</t>
        </is>
      </c>
      <c r="M78" s="51" t="inlineStr">
        <is>
          <t>PASS</t>
        </is>
      </c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inlineStr">
        <is>
          <t>DEF-068</t>
        </is>
      </c>
      <c r="L80" s="52" t="inlineStr">
        <is>
          <t>結案</t>
        </is>
      </c>
      <c r="M80" s="51" t="inlineStr">
        <is>
          <t>PASS</t>
        </is>
      </c>
      <c r="N80" s="51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</t>
        </is>
      </c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inlineStr">
        <is>
          <t>R8（a16210a 全面重跑）：承 E-10 的匯率變動：14 個持倉列除 weight 外所有欄位（shares、original／adjusted cost、market_price、market_value、unrealized（原幣）等）與變動前字串完全相同 ✓；只有報告幣別數字改變：principal_fx_effect −21,475.91→−33,331.71、fx_unrealized −130,096.02→−163,738.00、unrealized_total −3,974.00、realized_total −13.04（外幣已實現以現價換算）、total_return −3,987.04（＝未實現差＋已實現差，自算相符）</t>
        </is>
      </c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inlineStr">
        <is>
          <t>R8（a16210a 全面重跑）：觀察清單 › 快速加入，市場美股、輸入「ZZZZ9」→ ＋加入 → GET /api/instruments/lookup?symbol=ZZZZ9&amp;market=US 200 {found:false}；全程 POST /api/instruments/ai-resolve 0 次 ✓（ui-prefs auto_ai_resolve 為 true，純代號仍不觸發）；對話框提示「查無報價 — 請確認代號與市場；若是用名稱找，可按「AI 辨識」（使用 AI 額度）」✓；額度前後皆 3.2577460（零花費）</t>
        </is>
      </c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PASS</t>
        </is>
      </c>
      <c r="M89" s="51" t="inlineStr">
        <is>
          <t>PASS</t>
        </is>
      </c>
      <c r="N89" s="51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n"/>
      <c r="L90" s="52" t="inlineStr">
        <is>
          <t>PASS</t>
        </is>
      </c>
      <c r="M90" s="51" t="inlineStr">
        <is>
          <t>PASS</t>
        </is>
      </c>
      <c r="N90" s="51" t="inlineStr">
        <is>
          <t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inlineStr">
        <is>
          <t>R8（a16210a 全面重跑）：⌘K 搜尋（頁首「搜尋標的」）：「2330」→ 2330 台積電 台股・持倉；中文「台積」→ 2330、「聯發」→ 2454 聯發科 台股・觀察；英文「apple」「appl」→ AAPL 美股・持倉、「maybank」→ 1155 馬股・持倉、「tsl」→ TSLA、「Evergreen」→ 2603；「ZZZQ」→「查無標的 — 可至「觀察清單」註冊新標的」；輸入「maybank」後 ↓＋Enter → 開啟 1155 抽屜（location.hash=#sym=1155）。全程無 instruments/lookup 或 ai-resolve 請求</t>
        </is>
      </c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
R8（a16210a 全面重跑）：GET /api/insights 209 張：snapshot=checked 67 張，其中 11 張有 unverified_figures。R1 的 4 張真陽性未變：#188 NVDA「5,200 億」、#185 8299「458.92 億」、#172 8299「497.43 萬」、#173 AAPL「95.0457」「15,916.00」；其後新增 7 張皆為模型自行加總或推算、母體中沒有的數字：#220「86.15%」（＝56.96＋17.66＋11.53）、「36,396,555.00」（標為台股總市值，實際台股市值 31,974,740）、#219「98.8%」「2.4 萬」「68.75%」與斷開的「4575」「7075」、#210「114,074.98」、#200「156／290」（推算價位）、#197「94.7%」（18/19）、#216「14%」與 #221「32%」（母體為 14.8%、32.54%，差距 &gt;0.5%）。AI 洞察頁這些卡顯示「數值待核」，tooltip「對不上的數字：… 這些數字未出現在餵給模型的資料中，請以儀表板數字為準」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inlineStr">
        <is>
          <t>R8（a16210a 全面重跑）：67 張有母體的卡片中，R1 的「兆」例 #186 AAPL 4.51 兆、#187 MSFT 3.59 兆、#189 TSLA 1.43 兆、#180 2330 62.5 兆 仍皆 unverified_figures=[]（未誤報）；新增的待核數字逐一以卡片原文與當時資料交叉確認，皆為模型推算或與母體差距 &gt;0.5% 的數字，未見母體內數字被誤標；本輪新產生的 #226 亦無誤標</t>
        </is>
      </c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inlineStr">
        <is>
          <t>DEF-082</t>
        </is>
      </c>
      <c r="L96" s="52" t="inlineStr">
        <is>
          <t>FAIL</t>
        </is>
      </c>
      <c r="M96" s="51" t="n"/>
      <c r="N96" s="51" t="inlineStr">
        <is>
          <t>R8（a16210a 全面重跑）：209 張卡片括號內 token 共 44 種（1155 67 次、2330 58、2317 43、TWD 42、8299 41、ROE 35、PB 31、PE 30、PER／PBR 各 16、USD 14 等），指標、縮寫、幣別皆未被列入 unknown_symbols ✓；R1 的真陽性 #82「6883」（LRDIM）仍標「未知代碼：6883…可能是模型幻覺」✓。✗ 新發現誤報：#209（2026-09-24 產生的台股週報，snapshot checked）寫「3008 (LARGAN)」，括號內是已註冊且持有中的標的 3008 的名稱（GET /api/instruments 3008 name＝"LARGAN"），卻被列入 unknown_symbols，AI 洞察頁顯示「未知代碼」，tooltip「未知代碼：LARGAN 卡片提到的代號不在持倉、觀察清單或已註冊標的中，可能是模型幻覺」。全部卡片中括號內寫已註冊標的名稱者僅此 1 張，1/1 被誤標。定位（讀碼）：llm_insight/figure_check.py:151 _CODE_RE 把全大寫英文名視同代號，:466 _unknown_symbols 只比對 known symbols，不比對已註冊標的名稱；該檔自 755c88a 未變更，R1 時沒有這種寫法的卡片，屬既有規則的漏網、本輪資料才暴露，非回歸 → 開 DEF-082（低）</t>
        </is>
      </c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inlineStr">
        <is>
          <t>R8（a16210a 全面重跑）：snapshot=none 共 142 張（2026-09-17 之前產生）；洞察卡頁顯示的卡中 36 處「無快照可核」，tooltip「此卡片產生時未記錄餵給模型的數字（2026-09-17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結案</t>
        </is>
      </c>
      <c r="M98" s="51" t="inlineStr">
        <is>
          <t>PASS</t>
        </is>
      </c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inlineStr">
        <is>
          <t>DEF-069, DEF-070, DEF-071, DEF-073, DEF-079, DEF-080</t>
        </is>
      </c>
      <c r="L100" s="52" t="inlineStr">
        <is>
          <t>結案</t>
        </is>
      </c>
      <c r="M100" s="51" t="inlineStr">
        <is>
          <t>PASS</t>
        </is>
      </c>
      <c r="N100" s="51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DEF-046, DEF-054, DEF-066</t>
        </is>
      </c>
      <c r="L101" s="52" t="inlineStr">
        <is>
          <t>結案</t>
        </is>
      </c>
      <c r="M101" s="51" t="inlineStr">
        <is>
          <t>PASS</t>
        </is>
      </c>
      <c r="N101" s="5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inlineStr">
        <is>
          <t>DEF-078</t>
        </is>
      </c>
      <c r="L104" s="52" t="inlineStr">
        <is>
          <t>PASS</t>
        </is>
      </c>
      <c r="M104" s="51" t="inlineStr">
        <is>
          <t>PASS</t>
        </is>
      </c>
      <c r="N104" s="51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inlineStr">
        <is>
          <t>R8（a16210a 全面重跑）：承 G-01：額度 3.2574337→3.2561653，扣減 0.0012684；POST /api/export/llm-usage 新增 1 列「2026-09-27T08:55:36 google/gemini-2.5-flash-lite insight_generate 7596 1272 0.0012684」；卡片 #226 cost_usd 0.0012684、tokens 7,596／1,272；job_runs #206 cost_usd 0.0012684 → 三者（額度扣減＝匯出列＝卡片 cost）一致 ✓。另 F-01 兩次 AI 辨識 0.0001568、0.0001555 與 llm-usage 逐筆相符；全表 1,029 列 cost 加總 1.7438347 ＋ 剩餘 3.2561653 ＝ 5.0000000 ＝ 唯一一筆加值 $5</t>
        </is>
      </c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DEF-033, DEF-057</t>
        </is>
      </c>
      <c r="L106" s="52" t="inlineStr">
        <is>
          <t>結案</t>
        </is>
      </c>
      <c r="M106" s="51" t="inlineStr">
        <is>
          <t>PASS</t>
        </is>
      </c>
      <c r="N106" s="5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DEF-032, DEF-051, DEF-053, DEF-058, DEF-059, DEF-062, DEF-064, DEF-074, DEF-075, DEF-076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</t>
        </is>
      </c>
      <c r="L108" s="52" t="inlineStr">
        <is>
          <t>結案</t>
        </is>
      </c>
      <c r="M108" s="51" t="inlineStr">
        <is>
          <t>PASS</t>
        </is>
      </c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inlineStr">
        <is>
          <t>DEF-081</t>
        </is>
      </c>
      <c r="L110" s="52" t="inlineStr">
        <is>
          <t>PASS</t>
        </is>
      </c>
      <c r="M110" s="51" t="inlineStr">
        <is>
          <t>PASS</t>
        </is>
      </c>
      <c r="N110" s="51" t="inlineStr">
        <is>
          <t>R7：DEF-081 複驗通過結案：AI 戰績「各洞察任務命中率」與「預測明細」第一欄改為任務名稱（demo：個股健檢、持倉建議與提點、持倉提點；滑鼠提示「任務 #N」）；本機任務列不存在時為「任務 #N（已刪除）」</t>
        </is>
      </c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inlineStr">
        <is>
          <t>R8（a16210a 全面重跑）：逐一觸發 21 個匯出（持倉 CSV、帳本清單、帳本 ZIP、帳本 6 類 CSV〔交易／股利／換匯／期初／公司行動／資金收支〕、已實現、AI 預測、個股明細、持倉報告、帳本報告、AI 用量、排程紀錄、稅務包 ZIP、現金對帳單＋報告、再平衡報告、AI 失敗記錄 JSONL；頁內 fetch 不落地）：全部 200；content-type 正確（text/csv／application/zip／text/html／application/x-ndjson）；除帳本清單為 JSON 清單端點外，Content-Disposition 皆為 attachment; filename="…"; filename*=UTF-8…（例 ledger_transactions_all_all.csv、tax_package_2026.zip、rebalance-plan-20260927-0902.html），內容 98～153,913 bytes 非空</t>
        </is>
      </c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inlineStr">
        <is>
          <t>R8（a16210a 全面重跑）：持倉 CSV 14 列 × 12 個數值欄（shares／original_avg／adjusted_avg／original_cost_total／adjusted_cost_total／market_price／market_value／unrealized_pnl／capital_gain／dividend_portion／weight／payback_ratio）與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3969709.999999999999999999999，畫面四捨五入）；已實現 CSV 11 列 × 10 欄與 realized.rows 逐列相同 0 差異、順序一致；交易帳本 CSV 56 列＝API total_count 56，欄位 id／account_id／symbol／side／quantity／price／fees／tax／trade_date… 為原始精度。持倉與已實現 CSV 末列為「# as_of=2026-09-27, fx_rates={USD:31.695000, MYR:7.779607}, generated=…」註記列</t>
        </is>
      </c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結案</t>
        </is>
      </c>
      <c r="M118" s="51" t="inlineStr">
        <is>
          <t>PASS</t>
        </is>
      </c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inlineStr">
        <is>
          <t>R8（a16210a 全面重跑）：基準 I07R8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2（未勾選）, import_batch_id 20}，banner「✓ 寫入完成：成功 2 筆・未勾選 2 筆」→ ① 帳本只新增 #132（fee 20、合計 −4,540）與 #133（fee 50、合計 −45,250），AAPL／1155 無新增 ✓；② 「最近匯入」出現「2026-09-27 09:03:34 交易 貼上 CSV 2 復原」，/api/import/batches #20 row 2／written 2 committed ✓；③ 2884 股數 100→1,200、原始成本 9,320→59,110（＝9,320＋4,540＋45,250）、均價 49.2583；台灣券商 TWD 6,067,595→6,017,805（−49,790）；嘉信／Moomoo 現金不變 ✓。最後以批次「復原」（DELETE /api/import/batches/20 200 deleted 2）還原，cmp I07R8 same:true、已提交批次 0</t>
        </is>
      </c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DEF-019, DEF-049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inlineStr">
        <is>
          <t>DEF-077</t>
        </is>
      </c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
R7：試算重跑四情境與 R6 逐字相同：2330 買 1,000@1,005 費 1,432；賣 費 1,432／稅 3,015；當沖賣 稅 1,507；零股 1@1,005 費 20（最低），未寫入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
R7：寫入 #120（2330 買 7@1,003，2026-09-23，−7,041）→ 帳本 編輯 改價 1,004（PUT 200，−7,048）→ 刪除（DELETE 200）→ cmp J03R7 same:true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DEF-002, DEF-050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inlineStr">
        <is>
          <t>DEF-065</t>
        </is>
      </c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1" t="inlineStr">
        <is>
          <t>結案</t>
        </is>
      </c>
      <c r="J5" s="51" t="inlineStr">
        <is>
          <t>R3</t>
        </is>
      </c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1" t="inlineStr">
        <is>
          <t>結案</t>
        </is>
      </c>
      <c r="J11" s="51" t="inlineStr">
        <is>
          <t>R3</t>
        </is>
      </c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1" t="inlineStr">
        <is>
          <t>結案</t>
        </is>
      </c>
      <c r="J12" s="51" t="inlineStr">
        <is>
          <t>R3</t>
        </is>
      </c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1" t="inlineStr">
        <is>
          <t>結案</t>
        </is>
      </c>
      <c r="J15" s="51" t="inlineStr">
        <is>
          <t>R3</t>
        </is>
      </c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1" t="inlineStr">
        <is>
          <t>結案</t>
        </is>
      </c>
      <c r="J18" s="51" t="inlineStr">
        <is>
          <t>R3</t>
        </is>
      </c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1" t="inlineStr">
        <is>
          <t>結案</t>
        </is>
      </c>
      <c r="J19" s="51" t="inlineStr">
        <is>
          <t>R3</t>
        </is>
      </c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1" t="inlineStr">
        <is>
          <t>結案</t>
        </is>
      </c>
      <c r="J25" s="51" t="inlineStr">
        <is>
          <t>R3</t>
        </is>
      </c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1" t="inlineStr">
        <is>
          <t>結案</t>
        </is>
      </c>
      <c r="J27" s="51" t="inlineStr">
        <is>
          <t>R3</t>
        </is>
      </c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1" t="inlineStr">
        <is>
          <t>結案</t>
        </is>
      </c>
      <c r="J35" s="51" t="inlineStr">
        <is>
          <t>R3</t>
        </is>
      </c>
      <c r="K35" s="5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1" t="inlineStr">
        <is>
          <t>結案</t>
        </is>
      </c>
      <c r="J41" s="51" t="inlineStr">
        <is>
          <t>R3</t>
        </is>
      </c>
      <c r="K41" s="5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1" t="inlineStr">
        <is>
          <t>結案</t>
        </is>
      </c>
      <c r="J42" s="51" t="inlineStr">
        <is>
          <t>R4</t>
        </is>
      </c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inlineStr">
        <is>
          <t>portfolio_dash/llm_insight/alerts_bridge.py:375 `for it in subscribers:`（緊接 :368 `scope, fired_symbol = card_target(event)`，中間沒有「是否持有」的判斷）</t>
        </is>
      </c>
      <c r="I43" s="51" t="inlineStr">
        <is>
          <t>結案</t>
        </is>
      </c>
      <c r="J43" s="51" t="inlineStr">
        <is>
          <t>R3</t>
        </is>
      </c>
      <c r="K43" s="5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1" t="inlineStr">
        <is>
          <t>結案</t>
        </is>
      </c>
      <c r="J44" s="51" t="inlineStr">
        <is>
          <t>R3</t>
        </is>
      </c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1" t="inlineStr">
        <is>
          <t>結案</t>
        </is>
      </c>
      <c r="J45" s="51" t="inlineStr">
        <is>
          <t>R3</t>
        </is>
      </c>
      <c r="K45" s="51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1" t="inlineStr">
        <is>
          <t>結案</t>
        </is>
      </c>
      <c r="J46" s="51" t="inlineStr">
        <is>
          <t>R3</t>
        </is>
      </c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1" t="inlineStr">
        <is>
          <t>結案</t>
        </is>
      </c>
      <c r="J47" s="51" t="inlineStr">
        <is>
          <t>R3</t>
        </is>
      </c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1" t="inlineStr">
        <is>
          <t>結案</t>
        </is>
      </c>
      <c r="J48" s="51" t="inlineStr">
        <is>
          <t>R3</t>
        </is>
      </c>
      <c r="K48" s="5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1" t="inlineStr">
        <is>
          <t>結案</t>
        </is>
      </c>
      <c r="J49" s="51" t="inlineStr">
        <is>
          <t>R3</t>
        </is>
      </c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1" t="inlineStr">
        <is>
          <t>結案</t>
        </is>
      </c>
      <c r="J50" s="51" t="inlineStr">
        <is>
          <t>R3</t>
        </is>
      </c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34">
      <c r="A51" s="51" t="inlineStr">
        <is>
          <t>DEF-049</t>
        </is>
      </c>
      <c r="B51" s="51" t="inlineStr">
        <is>
          <t>I-08（附帶）</t>
        </is>
      </c>
      <c r="C51" s="51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1" t="inlineStr">
        <is>
          <t>中</t>
        </is>
      </c>
      <c r="E51" s="51" t="inlineStr">
        <is>
          <t>程式缺陷</t>
        </is>
      </c>
      <c r="F51" s="51" t="inlineStr">
        <is>
          <t>R3</t>
        </is>
      </c>
      <c r="G51" s="5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5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1" t="inlineStr">
        <is>
          <t>結案</t>
        </is>
      </c>
      <c r="J51" s="51" t="inlineStr">
        <is>
          <t>R4</t>
        </is>
      </c>
      <c r="K51" s="5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34">
      <c r="A52" s="51" t="inlineStr">
        <is>
          <t>DEF-050</t>
        </is>
      </c>
      <c r="B52" s="51" t="inlineStr">
        <is>
          <t>J-05（附帶）／A-16</t>
        </is>
      </c>
      <c r="C52" s="51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1" t="inlineStr">
        <is>
          <t>低</t>
        </is>
      </c>
      <c r="E52" s="51" t="inlineStr">
        <is>
          <t>程式缺陷</t>
        </is>
      </c>
      <c r="F52" s="51" t="inlineStr">
        <is>
          <t>R3</t>
        </is>
      </c>
      <c r="G52" s="51" t="inlineStr">
        <is>
          <t>視窗 390×844 → 收件匣 → 待確認退款（折讓款）副標題：scrollWidth 849、clientWidth 349，句尾被省略號截掉（卡片內文與頁尾仍完整）</t>
        </is>
      </c>
      <c r="H52" s="5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1" t="inlineStr">
        <is>
          <t>結案</t>
        </is>
      </c>
      <c r="J52" s="51" t="inlineStr">
        <is>
          <t>R4</t>
        </is>
      </c>
      <c r="K52" s="51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34">
      <c r="A53" s="51" t="inlineStr">
        <is>
          <t>DEF-051</t>
        </is>
      </c>
      <c r="B53" s="51" t="inlineStr">
        <is>
          <t>H-04（附帶）</t>
        </is>
      </c>
      <c r="C53" s="51" t="inlineStr">
        <is>
          <t>排程中心「立即執行」的 toast 顯示機器 id（「已排入執行 insight:7 #180」「alert_scan #185」），不是列上已顯示的名稱</t>
        </is>
      </c>
      <c r="D53" s="51" t="inlineStr">
        <is>
          <t>低</t>
        </is>
      </c>
      <c r="E53" s="51" t="inlineStr">
        <is>
          <t>程式缺陷</t>
        </is>
      </c>
      <c r="F53" s="51" t="inlineStr">
        <is>
          <t>R3</t>
        </is>
      </c>
      <c r="G53" s="51" t="inlineStr">
        <is>
          <t>系統設定 › 排程中心 → 市場週報列「立即執行」→ toast「✓ 已排入執行 insight:7 #180」；alert_scan 列 → 「✓ 已排入執行 alert_scan #185」</t>
        </is>
      </c>
      <c r="H53" s="51" t="inlineStr">
        <is>
          <t>web/settings-scheduler.js:548 `_toast('已排入執行', 'ok', j.id + ' #' + ((resp &amp;&amp; resp.run_id) || '?'));`</t>
        </is>
      </c>
      <c r="I53" s="51" t="inlineStr">
        <is>
          <t>結案</t>
        </is>
      </c>
      <c r="J53" s="51" t="inlineStr">
        <is>
          <t>R4</t>
        </is>
      </c>
      <c r="K53" s="51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34">
      <c r="A54" s="51" t="inlineStr">
        <is>
          <t>DEF-052</t>
        </is>
      </c>
      <c r="B54" s="51" t="inlineStr">
        <is>
          <t>D-10（附帶）</t>
        </is>
      </c>
      <c r="C54" s="51" t="inlineStr">
        <is>
          <t>公司行動帳本列不顯示該筆連帶的重組費用，只有刪除確認框與編輯框看得到</t>
        </is>
      </c>
      <c r="D54" s="51" t="inlineStr">
        <is>
          <t>低</t>
        </is>
      </c>
      <c r="E54" s="51" t="inlineStr">
        <is>
          <t>程式缺陷</t>
        </is>
      </c>
      <c r="F54" s="51" t="inlineStr">
        <is>
          <t>R3</t>
        </is>
      </c>
      <c r="G54" s="51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5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1" t="inlineStr">
        <is>
          <t>結案</t>
        </is>
      </c>
      <c r="J54" s="51" t="inlineStr">
        <is>
          <t>R4</t>
        </is>
      </c>
      <c r="K54" s="51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34">
      <c r="A55" s="51" t="inlineStr">
        <is>
          <t>DEF-053</t>
        </is>
      </c>
      <c r="B55" s="51" t="inlineStr">
        <is>
          <t>H-04（附帶）</t>
        </is>
      </c>
      <c r="C55" s="51" t="inlineStr">
        <is>
          <t>新增洞察任務精靈建立預警觸發任務時，toast 直接顯示識別字「on_alert」（「：on_alert 任務預設停用，確認監聽規則後再啟用」）</t>
        </is>
      </c>
      <c r="D55" s="51" t="inlineStr">
        <is>
          <t>低</t>
        </is>
      </c>
      <c r="E55" s="51" t="inlineStr">
        <is>
          <t>程式缺陷</t>
        </is>
      </c>
      <c r="F55" s="51" t="inlineStr">
        <is>
          <t>R3</t>
        </is>
      </c>
      <c r="G55" s="51" t="inlineStr">
        <is>
          <t>洞察管線 › 新增洞察任務 → 觸發選「預警觸發」→ 建立 → toast 副行含「on_alert」</t>
        </is>
      </c>
      <c r="H55" s="51" t="inlineStr">
        <is>
          <t>web/pipeline-wizard.js:374 `payload.name + (payload.enabled ? '' : '：on_alert 任務預設停用，確認監聽規則後再啟用'));`</t>
        </is>
      </c>
      <c r="I55" s="51" t="inlineStr">
        <is>
          <t>結案</t>
        </is>
      </c>
      <c r="J55" s="51" t="inlineStr">
        <is>
          <t>R4</t>
        </is>
      </c>
      <c r="K55" s="51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34">
      <c r="A56" s="51" t="inlineStr">
        <is>
          <t>DEF-054</t>
        </is>
      </c>
      <c r="B56" s="51" t="inlineStr">
        <is>
          <t>G-09（資料殘留）</t>
        </is>
      </c>
      <c r="C56" s="51" t="inlineStr">
        <is>
          <t>與 DEF-046 同根因的錯卡 #97（symbol＝moomoo_my、2026-08-23「moomoo.com 交易暫停」）仍在持倉健診</t>
        </is>
      </c>
      <c r="D56" s="51" t="inlineStr">
        <is>
          <t>低</t>
        </is>
      </c>
      <c r="E56" s="51" t="inlineStr">
        <is>
          <t>資料殘留</t>
        </is>
      </c>
      <c r="F56" s="51" t="inlineStr">
        <is>
          <t>R3</t>
        </is>
      </c>
      <c r="G56" s="51" t="inlineStr">
        <is>
          <t>讀 /api/insights 全部卡片：symbol 含 moomoo 的只剩 #97</t>
        </is>
      </c>
      <c r="H56" s="51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1" t="inlineStr">
        <is>
          <t>結案</t>
        </is>
      </c>
      <c r="J56" s="51" t="inlineStr">
        <is>
          <t>R4</t>
        </is>
      </c>
      <c r="K56" s="5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34">
      <c r="A57" s="51" t="inlineStr">
        <is>
          <t>DEF-055</t>
        </is>
      </c>
      <c r="B57" s="51" t="inlineStr">
        <is>
          <t>B-16（附帶）</t>
        </is>
      </c>
      <c r="C57" s="51" t="inlineStr">
        <is>
          <t>2026-01 的費率快照 #33、#44（discount 0.23、rebate_rate 0.77）未清理；另編輯已清理交易時，預覽回應仍以 fee×0.77 給出 rebate_estimate（#29 → 219）</t>
        </is>
      </c>
      <c r="D57" s="51" t="inlineStr">
        <is>
          <t>低</t>
        </is>
      </c>
      <c r="E57" s="51" t="inlineStr">
        <is>
          <t>資料殘留</t>
        </is>
      </c>
      <c r="F57" s="51" t="inlineStr">
        <is>
          <t>R3</t>
        </is>
      </c>
      <c r="G57" s="51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5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1" t="inlineStr">
        <is>
          <t>結案</t>
        </is>
      </c>
      <c r="J57" s="51" t="inlineStr">
        <is>
          <t>R4</t>
        </is>
      </c>
      <c r="K57" s="5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34">
      <c r="A58" s="51" t="inlineStr">
        <is>
          <t>DEF-056</t>
        </is>
      </c>
      <c r="B58" s="51" t="inlineStr">
        <is>
          <t>B-17（附帶）</t>
        </is>
      </c>
      <c r="C58" s="51" t="inlineStr">
        <is>
          <t>未來日期的交易／期初庫存／換匯會立即計入持股與 XIRR（只有股利依 DEF-016 到入帳日才計入）；各帳本列也沒有「未來日期」標示</t>
        </is>
      </c>
      <c r="D58" s="51" t="inlineStr">
        <is>
          <t>低</t>
        </is>
      </c>
      <c r="E58" s="51" t="inlineStr">
        <is>
          <t>規格未定</t>
        </is>
      </c>
      <c r="F58" s="51" t="inlineStr">
        <is>
          <t>R3</t>
        </is>
      </c>
      <c r="G58" s="51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5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51" t="inlineStr">
        <is>
          <t>結案</t>
        </is>
      </c>
      <c r="J58" s="51" t="inlineStr">
        <is>
          <t>R5</t>
        </is>
      </c>
      <c r="K58" s="5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34">
      <c r="A59" s="51" t="inlineStr">
        <is>
          <t>DEF-057</t>
        </is>
      </c>
      <c r="B59" s="51" t="inlineStr">
        <is>
          <t>H-03（附帶）</t>
        </is>
      </c>
      <c r="C59" s="51" t="inlineStr">
        <is>
          <t>系統提示詞與新聞整理提示詞沒有版本記錄（策略提示詞已依 DEF-033 做完整版本）</t>
        </is>
      </c>
      <c r="D59" s="51" t="inlineStr">
        <is>
          <t>中</t>
        </is>
      </c>
      <c r="E59" s="51" t="inlineStr">
        <is>
          <t>規格未定</t>
        </is>
      </c>
      <c r="F59" s="51" t="inlineStr">
        <is>
          <t>R3</t>
        </is>
      </c>
      <c r="G59" s="51" t="inlineStr">
        <is>
          <t>開發者 R3 決策項 ④；PUT /api/system-prompt、POST /api/system-prompt/reset、PUT /api/news-prompt 皆直接覆寫</t>
        </is>
      </c>
      <c r="H59" s="5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1" t="inlineStr">
        <is>
          <t>結案</t>
        </is>
      </c>
      <c r="J59" s="51" t="inlineStr">
        <is>
          <t>R4</t>
        </is>
      </c>
      <c r="K59" s="5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34">
      <c r="A60" s="51" t="inlineStr">
        <is>
          <t>DEF-058</t>
        </is>
      </c>
      <c r="B60" s="51" t="inlineStr">
        <is>
          <t>H-04（附帶）</t>
        </is>
      </c>
      <c r="C60" s="51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1" t="inlineStr">
        <is>
          <t>低</t>
        </is>
      </c>
      <c r="E60" s="51" t="inlineStr">
        <is>
          <t>程式缺陷</t>
        </is>
      </c>
      <c r="F60" s="51" t="inlineStr">
        <is>
          <t>R3</t>
        </is>
      </c>
      <c r="G60" s="51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5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1" t="inlineStr">
        <is>
          <t>結案</t>
        </is>
      </c>
      <c r="J60" s="51" t="inlineStr">
        <is>
          <t>R4</t>
        </is>
      </c>
      <c r="K60" s="51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34">
      <c r="A61" s="51" t="inlineStr">
        <is>
          <t>DEF-059</t>
        </is>
      </c>
      <c r="B61" s="51" t="inlineStr">
        <is>
          <t>H-04（附帶）</t>
        </is>
      </c>
      <c r="C61" s="51" t="inlineStr">
        <is>
          <t>「全部已註冊標的」（mode:all_registered）任務會把已封存標的也納入產卡</t>
        </is>
      </c>
      <c r="D61" s="51" t="inlineStr">
        <is>
          <t>低</t>
        </is>
      </c>
      <c r="E61" s="51" t="inlineStr">
        <is>
          <t>規格未定</t>
        </is>
      </c>
      <c r="F61" s="51" t="inlineStr">
        <is>
          <t>R3</t>
        </is>
      </c>
      <c r="G61" s="51" t="inlineStr">
        <is>
          <t>開發者 R3 決策項 ⑤；api/insight_service.py:148 _all_registered_symbols 回傳 list_instruments 全部</t>
        </is>
      </c>
      <c r="H61" s="5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1" t="inlineStr">
        <is>
          <t>結案</t>
        </is>
      </c>
      <c r="J61" s="51" t="inlineStr">
        <is>
          <t>R4</t>
        </is>
      </c>
      <c r="K61" s="5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34">
      <c r="A62" s="51" t="inlineStr">
        <is>
          <t>DEF-060</t>
        </is>
      </c>
      <c r="B62" s="51" t="inlineStr">
        <is>
          <t>D-10（附帶）</t>
        </is>
      </c>
      <c r="C62" s="51" t="inlineStr">
        <is>
          <t>分拆存檔後再改日期，子公司起始價仍留在舊日期</t>
        </is>
      </c>
      <c r="D62" s="51" t="inlineStr">
        <is>
          <t>低</t>
        </is>
      </c>
      <c r="E62" s="51" t="inlineStr">
        <is>
          <t>規格未定</t>
        </is>
      </c>
      <c r="F62" s="51" t="inlineStr">
        <is>
          <t>R3</t>
        </is>
      </c>
      <c r="G62" s="51" t="inlineStr">
        <is>
          <t>開發者 R3 決策項 ⑩；PUT /api/ledgers/corporate-actions/{id} 改日期時未處理種子價</t>
        </is>
      </c>
      <c r="H62" s="5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1" t="inlineStr">
        <is>
          <t>結案</t>
        </is>
      </c>
      <c r="J62" s="51" t="inlineStr">
        <is>
          <t>R4</t>
        </is>
      </c>
      <c r="K62" s="5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34">
      <c r="A63" s="51" t="inlineStr">
        <is>
          <t>DEF-061</t>
        </is>
      </c>
      <c r="B63" s="51" t="inlineStr">
        <is>
          <t>C-02（附帶）</t>
        </is>
      </c>
      <c r="C63" s="51" t="inlineStr">
        <is>
          <t>股利帳本「編輯更正」未走新增路徑的驗證器，缺 4 種股利型別的檢查</t>
        </is>
      </c>
      <c r="D63" s="51" t="inlineStr">
        <is>
          <t>低</t>
        </is>
      </c>
      <c r="E63" s="51" t="inlineStr">
        <is>
          <t>程式缺陷</t>
        </is>
      </c>
      <c r="F63" s="51" t="inlineStr">
        <is>
          <t>R3</t>
        </is>
      </c>
      <c r="G63" s="51" t="inlineStr">
        <is>
          <t>開發者 R3 決策項 ⑪；ledgers.py:778 edit_dividend 只檢查型別字串與金額守恆（check_amounts）</t>
        </is>
      </c>
      <c r="H63" s="5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1" t="inlineStr">
        <is>
          <t>結案</t>
        </is>
      </c>
      <c r="J63" s="51" t="inlineStr">
        <is>
          <t>R4</t>
        </is>
      </c>
      <c r="K63" s="5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34">
      <c r="A64" s="51" t="inlineStr">
        <is>
          <t>DEF-062</t>
        </is>
      </c>
      <c r="B64" s="51" t="inlineStr">
        <is>
          <t>H-04（附帶）</t>
        </is>
      </c>
      <c r="C64" s="51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1" t="inlineStr">
        <is>
          <t>低</t>
        </is>
      </c>
      <c r="E64" s="51" t="inlineStr">
        <is>
          <t>程式缺陷</t>
        </is>
      </c>
      <c r="F64" s="51" t="inlineStr">
        <is>
          <t>R4</t>
        </is>
      </c>
      <c r="G64" s="51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51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51" t="inlineStr">
        <is>
          <t>結案</t>
        </is>
      </c>
      <c r="J64" s="51" t="inlineStr">
        <is>
          <t>R5</t>
        </is>
      </c>
      <c r="K64" s="51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34">
      <c r="A65" s="51" t="inlineStr">
        <is>
          <t>DEF-063</t>
        </is>
      </c>
      <c r="B65" s="51" t="inlineStr">
        <is>
          <t>D-10（附帶）</t>
        </is>
      </c>
      <c r="C65" s="51" t="inlineStr">
        <is>
          <t>demo 上 R2／R3 期間留下的孤兒起始價（source manual、簽章完整、沒有任何分拆擁有），R4 起不會再被覆蓋或刪除，畫面上也沒有地方能移除</t>
        </is>
      </c>
      <c r="D65" s="51" t="inlineStr">
        <is>
          <t>低</t>
        </is>
      </c>
      <c r="E65" s="51" t="inlineStr">
        <is>
          <t>資料殘留</t>
        </is>
      </c>
      <c r="F65" s="51" t="inlineStr">
        <is>
          <t>R4</t>
        </is>
      </c>
      <c r="G65" s="51" t="inlineStr">
        <is>
          <t>開發者 R4 決策項 ④；R4 的 write_seed_price 只寫空白日期、刪除只收回 child_seed_json 記錄的列，舊孤兒因此永久留下</t>
        </is>
      </c>
      <c r="H65" s="51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51" t="inlineStr">
        <is>
          <t>結案</t>
        </is>
      </c>
      <c r="J65" s="51" t="inlineStr">
        <is>
          <t>R5</t>
        </is>
      </c>
      <c r="K65" s="51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34">
      <c r="A66" s="51" t="inlineStr">
        <is>
          <t>DEF-064</t>
        </is>
      </c>
      <c r="B66" s="51" t="inlineStr">
        <is>
          <t>H-04（附帶）</t>
        </is>
      </c>
      <c r="C66" s="51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1" t="inlineStr">
        <is>
          <t>低</t>
        </is>
      </c>
      <c r="E66" s="51" t="inlineStr">
        <is>
          <t>規格未定</t>
        </is>
      </c>
      <c r="F66" s="51" t="inlineStr">
        <is>
          <t>R4</t>
        </is>
      </c>
      <c r="G66" s="51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51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51" t="inlineStr">
        <is>
          <t>結案</t>
        </is>
      </c>
      <c r="J66" s="51" t="inlineStr">
        <is>
          <t>R5</t>
        </is>
      </c>
      <c r="K66" s="51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34">
      <c r="A67" s="51" t="inlineStr">
        <is>
          <t>DEF-065</t>
        </is>
      </c>
      <c r="B67" s="51" t="inlineStr">
        <is>
          <t>J-06（附帶）</t>
        </is>
      </c>
      <c r="C67" s="51" t="inlineStr">
        <is>
          <t>GET /api/ui-prefs 間歇性回 500 internal_error，使 e2e 全套不穩定（驗證者 3 次全套中 2 次各有 1～2 則失敗，都只因 console 出現 500）</t>
        </is>
      </c>
      <c r="D67" s="51" t="inlineStr">
        <is>
          <t>低</t>
        </is>
      </c>
      <c r="E67" s="51" t="inlineStr">
        <is>
          <t>程式缺陷</t>
        </is>
      </c>
      <c r="F67" s="51" t="inlineStr">
        <is>
          <t>R4</t>
        </is>
      </c>
      <c r="G67" s="5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51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51" t="inlineStr">
        <is>
          <t>結案</t>
        </is>
      </c>
      <c r="J67" s="51" t="inlineStr">
        <is>
          <t>R5</t>
        </is>
      </c>
      <c r="K67" s="51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34">
      <c r="A68" s="51" t="inlineStr">
        <is>
          <t>DEF-066</t>
        </is>
      </c>
      <c r="B68" s="51" t="inlineStr">
        <is>
          <t>G-09（附帶）</t>
        </is>
      </c>
      <c r="C68" s="51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51" t="inlineStr">
        <is>
          <t>中</t>
        </is>
      </c>
      <c r="E68" s="51" t="inlineStr">
        <is>
          <t>程式缺陷</t>
        </is>
      </c>
      <c r="F68" s="51" t="inlineStr">
        <is>
          <t>R5</t>
        </is>
      </c>
      <c r="G68" s="51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51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51" t="inlineStr">
        <is>
          <t>結案</t>
        </is>
      </c>
      <c r="J68" s="51" t="inlineStr">
        <is>
          <t>R6</t>
        </is>
      </c>
      <c r="K68" s="51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34">
      <c r="A69" s="51" t="inlineStr">
        <is>
          <t>DEF-067</t>
        </is>
      </c>
      <c r="B69" s="51" t="inlineStr">
        <is>
          <t>E-05</t>
        </is>
      </c>
      <c r="C69" s="51" t="inlineStr">
        <is>
          <t>dividends_daily 全部標的失敗仍記為「成功」：排程中心顯示「成功　0 檔事件已更新，10 檔失敗（…）」，狀態與明細互相矛盾（E-05 ③）</t>
        </is>
      </c>
      <c r="D69" s="51" t="inlineStr">
        <is>
          <t>中</t>
        </is>
      </c>
      <c r="E69" s="51" t="inlineStr">
        <is>
          <t>程式缺陷</t>
        </is>
      </c>
      <c r="F69" s="51" t="inlineStr">
        <is>
          <t>R5</t>
        </is>
      </c>
      <c r="G69" s="51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51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51" t="inlineStr">
        <is>
          <t>結案</t>
        </is>
      </c>
      <c r="J69" s="51" t="inlineStr">
        <is>
          <t>R6</t>
        </is>
      </c>
      <c r="K69" s="51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34">
      <c r="A70" s="51" t="inlineStr">
        <is>
          <t>DEF-068</t>
        </is>
      </c>
      <c r="B70" s="51" t="inlineStr">
        <is>
          <t>E-11</t>
        </is>
      </c>
      <c r="C70" s="51" t="inlineStr">
        <is>
          <t>更新報價全部失敗時，提示仍說「其餘已更新，重新整理頁面即可看到新價」，且不提匯率失敗（E-11）</t>
        </is>
      </c>
      <c r="D70" s="51" t="inlineStr">
        <is>
          <t>低</t>
        </is>
      </c>
      <c r="E70" s="51" t="inlineStr">
        <is>
          <t>程式缺陷</t>
        </is>
      </c>
      <c r="F70" s="51" t="inlineStr">
        <is>
          <t>R5</t>
        </is>
      </c>
      <c r="G70" s="51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51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51" t="inlineStr">
        <is>
          <t>結案</t>
        </is>
      </c>
      <c r="J70" s="51" t="inlineStr">
        <is>
          <t>R6</t>
        </is>
      </c>
      <c r="K70" s="51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34">
      <c r="A71" s="51" t="inlineStr">
        <is>
          <t>DEF-069</t>
        </is>
      </c>
      <c r="B71" s="51" t="inlineStr">
        <is>
          <t>G-08</t>
        </is>
      </c>
      <c r="C71" s="51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51" t="inlineStr">
        <is>
          <t>中</t>
        </is>
      </c>
      <c r="E71" s="51" t="inlineStr">
        <is>
          <t>程式缺陷</t>
        </is>
      </c>
      <c r="F71" s="51" t="inlineStr">
        <is>
          <t>R5</t>
        </is>
      </c>
      <c r="G71" s="51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51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51" t="inlineStr">
        <is>
          <t>結案</t>
        </is>
      </c>
      <c r="J71" s="51" t="inlineStr">
        <is>
          <t>R6</t>
        </is>
      </c>
      <c r="K71" s="51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34">
      <c r="A72" s="51" t="inlineStr">
        <is>
          <t>DEF-070</t>
        </is>
      </c>
      <c r="B72" s="51" t="inlineStr">
        <is>
          <t>G-08</t>
        </is>
      </c>
      <c r="C72" s="51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51" t="inlineStr">
        <is>
          <t>中</t>
        </is>
      </c>
      <c r="E72" s="51" t="inlineStr">
        <is>
          <t>程式缺陷</t>
        </is>
      </c>
      <c r="F72" s="51" t="inlineStr">
        <is>
          <t>R5</t>
        </is>
      </c>
      <c r="G72" s="51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51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51" t="inlineStr">
        <is>
          <t>結案</t>
        </is>
      </c>
      <c r="J72" s="51" t="inlineStr">
        <is>
          <t>R6</t>
        </is>
      </c>
      <c r="K72" s="51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34">
      <c r="A73" s="51" t="inlineStr">
        <is>
          <t>DEF-071</t>
        </is>
      </c>
      <c r="B73" s="51" t="inlineStr">
        <is>
          <t>G-08</t>
        </is>
      </c>
      <c r="C73" s="51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51" t="inlineStr">
        <is>
          <t>中</t>
        </is>
      </c>
      <c r="E73" s="51" t="inlineStr">
        <is>
          <t>程式缺陷</t>
        </is>
      </c>
      <c r="F73" s="51" t="inlineStr">
        <is>
          <t>R5</t>
        </is>
      </c>
      <c r="G73" s="51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51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51" t="inlineStr">
        <is>
          <t>結案</t>
        </is>
      </c>
      <c r="J73" s="51" t="inlineStr">
        <is>
          <t>R6</t>
        </is>
      </c>
      <c r="K73" s="51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34">
      <c r="A74" s="51" t="inlineStr">
        <is>
          <t>DEF-072</t>
        </is>
      </c>
      <c r="B74" s="51" t="inlineStr">
        <is>
          <t>D-00</t>
        </is>
      </c>
      <c r="C74" s="51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51" t="inlineStr">
        <is>
          <t>低</t>
        </is>
      </c>
      <c r="E74" s="51" t="inlineStr">
        <is>
          <t>程式缺陷</t>
        </is>
      </c>
      <c r="F74" s="51" t="inlineStr">
        <is>
          <t>R5</t>
        </is>
      </c>
      <c r="G74" s="51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51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51" t="inlineStr">
        <is>
          <t>結案</t>
        </is>
      </c>
      <c r="J74" s="51" t="inlineStr">
        <is>
          <t>R6</t>
        </is>
      </c>
      <c r="K74" s="51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34">
      <c r="A75" s="51" t="inlineStr">
        <is>
          <t>DEF-073</t>
        </is>
      </c>
      <c r="B75" s="51" t="inlineStr">
        <is>
          <t>E-05</t>
        </is>
      </c>
      <c r="C75" s="51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51" t="inlineStr">
        <is>
          <t>低</t>
        </is>
      </c>
      <c r="E75" s="51" t="inlineStr">
        <is>
          <t>程式缺陷</t>
        </is>
      </c>
      <c r="F75" s="51" t="inlineStr">
        <is>
          <t>R5</t>
        </is>
      </c>
      <c r="G75" s="51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51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51" t="inlineStr">
        <is>
          <t>結案</t>
        </is>
      </c>
      <c r="J75" s="51" t="inlineStr">
        <is>
          <t>R6</t>
        </is>
      </c>
      <c r="K75" s="51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34">
      <c r="A76" s="51" t="inlineStr">
        <is>
          <t>DEF-074</t>
        </is>
      </c>
      <c r="B76" s="51" t="inlineStr">
        <is>
          <t>H-04（附帶）</t>
        </is>
      </c>
      <c r="C76" s="51" t="inlineStr">
        <is>
          <t>股利收件匣的掃描宇宙（api/dividend_inbox.py:216-222）仍含已封存但有買入歷史的標的，同一排程的後備路徑卻已排除封存——同一工作兩套口徑</t>
        </is>
      </c>
      <c r="D76" s="51" t="inlineStr">
        <is>
          <t>低</t>
        </is>
      </c>
      <c r="E76" s="51" t="inlineStr">
        <is>
          <t>規格未定</t>
        </is>
      </c>
      <c r="F76" s="51" t="inlineStr">
        <is>
          <t>R5</t>
        </is>
      </c>
      <c r="G76" s="51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51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51" t="inlineStr">
        <is>
          <t>結案</t>
        </is>
      </c>
      <c r="J76" s="51" t="inlineStr">
        <is>
          <t>R6</t>
        </is>
      </c>
      <c r="K76" s="51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34">
      <c r="A77" s="51" t="inlineStr">
        <is>
          <t>DEF-075</t>
        </is>
      </c>
      <c r="B77" s="51" t="inlineStr">
        <is>
          <t>H-04（附帶）</t>
        </is>
      </c>
      <c r="C77" s="51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51" t="inlineStr">
        <is>
          <t>低</t>
        </is>
      </c>
      <c r="E77" s="51" t="inlineStr">
        <is>
          <t>程式缺陷</t>
        </is>
      </c>
      <c r="F77" s="51" t="inlineStr">
        <is>
          <t>R5</t>
        </is>
      </c>
      <c r="G77" s="51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51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51" t="inlineStr">
        <is>
          <t>結案</t>
        </is>
      </c>
      <c r="J77" s="51" t="inlineStr">
        <is>
          <t>R6</t>
        </is>
      </c>
      <c r="K77" s="51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34">
      <c r="A78" s="51" t="inlineStr">
        <is>
          <t>DEF-076</t>
        </is>
      </c>
      <c r="B78" s="51" t="inlineStr">
        <is>
          <t>H-04（附帶）</t>
        </is>
      </c>
      <c r="C78" s="51" t="inlineStr">
        <is>
          <t>quota_low 的事件標題是「LLM 額度偏低」（strategy/alerts.py:357），規則名是「AI 額度偏低」——同一條預警兩種名稱</t>
        </is>
      </c>
      <c r="D78" s="51" t="inlineStr">
        <is>
          <t>低</t>
        </is>
      </c>
      <c r="E78" s="51" t="inlineStr">
        <is>
          <t>規格未定</t>
        </is>
      </c>
      <c r="F78" s="51" t="inlineStr">
        <is>
          <t>R5</t>
        </is>
      </c>
      <c r="G78" s="51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51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51" t="inlineStr">
        <is>
          <t>結案</t>
        </is>
      </c>
      <c r="J78" s="51" t="inlineStr">
        <is>
          <t>R6</t>
        </is>
      </c>
      <c r="K78" s="51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34">
      <c r="A79" s="51" t="inlineStr">
        <is>
          <t>DEF-077</t>
        </is>
      </c>
      <c r="B79" s="51" t="inlineStr">
        <is>
          <t>J-01（附帶）</t>
        </is>
      </c>
      <c r="C79" s="51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51" t="inlineStr">
        <is>
          <t>低</t>
        </is>
      </c>
      <c r="E79" s="51" t="inlineStr">
        <is>
          <t>程式缺陷</t>
        </is>
      </c>
      <c r="F79" s="51" t="inlineStr">
        <is>
          <t>R5</t>
        </is>
      </c>
      <c r="G79" s="51" t="inlineStr">
        <is>
          <t>demo：GET /api/dashboard 的 fx_triangulation；USD/TWD 已更新到新日期、USD/MYR 尚未更新時，推導值只到兩腿都有的舊日期，與直接值不同日相比而判紅</t>
        </is>
      </c>
      <c r="H79" s="51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51" t="inlineStr">
        <is>
          <t>結案</t>
        </is>
      </c>
      <c r="J79" s="51" t="inlineStr">
        <is>
          <t>R7</t>
        </is>
      </c>
      <c r="K79" s="51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      </is>
      </c>
    </row>
    <row r="80" ht="15" customHeight="1" s="34">
      <c r="A80" s="51" t="inlineStr">
        <is>
          <t>DEF-078</t>
        </is>
      </c>
      <c r="B80" s="51" t="inlineStr">
        <is>
          <t>H-01（附帶）</t>
        </is>
      </c>
      <c r="C80" s="51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51" t="inlineStr">
        <is>
          <t>低</t>
        </is>
      </c>
      <c r="E80" s="51" t="inlineStr">
        <is>
          <t>規格未定</t>
        </is>
      </c>
      <c r="F80" s="51" t="inlineStr">
        <is>
          <t>R5</t>
        </is>
      </c>
      <c r="G80" s="51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51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51" t="inlineStr">
        <is>
          <t>結案</t>
        </is>
      </c>
      <c r="J80" s="51" t="inlineStr">
        <is>
          <t>R6</t>
        </is>
      </c>
      <c r="K80" s="51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34">
      <c r="A81" s="51" t="inlineStr">
        <is>
          <t>DEF-079</t>
        </is>
      </c>
      <c r="B81" s="51" t="inlineStr">
        <is>
          <t>G-08（附帶）</t>
        </is>
      </c>
      <c r="C81" s="51" t="inlineStr">
        <is>
          <t>校正版本以錯誤依據產生：沒有生效版時第一版的失誤樣本為 0 筆，之後的版本以最新版而非生效版的內文為底</t>
        </is>
      </c>
      <c r="D81" s="51" t="inlineStr">
        <is>
          <t>中</t>
        </is>
      </c>
      <c r="E81" s="51" t="inlineStr">
        <is>
          <t>程式缺陷</t>
        </is>
      </c>
      <c r="F81" s="51" t="inlineStr">
        <is>
          <t>R6</t>
        </is>
      </c>
      <c r="G81" s="51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51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51" t="inlineStr">
        <is>
          <t>結案</t>
        </is>
      </c>
      <c r="J81" s="51" t="inlineStr">
        <is>
          <t>R6</t>
        </is>
      </c>
      <c r="K81" s="51" t="inlineStr">
        <is>
          <t>開發者 R6 修 DEF-070 時發現；owner 2026-09-26 在對話中裁定本輪一起修。
R6 複驗通過（黑箱重放＋驗證者變異）</t>
        </is>
      </c>
    </row>
    <row r="82" ht="15" customHeight="1" s="34">
      <c r="A82" s="51" t="inlineStr">
        <is>
          <t>DEF-080</t>
        </is>
      </c>
      <c r="B82" s="51" t="inlineStr">
        <is>
          <t>G-08（附帶）</t>
        </is>
      </c>
      <c r="C82" s="51" t="inlineStr">
        <is>
          <t>校正產生的觸發條件讀取任務全部歷史，同一批舊失誤每週重複觸發產生新版本</t>
        </is>
      </c>
      <c r="D82" s="51" t="inlineStr">
        <is>
          <t>低</t>
        </is>
      </c>
      <c r="E82" s="51" t="inlineStr">
        <is>
          <t>程式缺陷</t>
        </is>
      </c>
      <c r="F82" s="51" t="inlineStr">
        <is>
          <t>R6</t>
        </is>
      </c>
      <c r="G82" s="51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51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51" t="inlineStr">
        <is>
          <t>結案</t>
        </is>
      </c>
      <c r="J82" s="51" t="inlineStr">
        <is>
          <t>R6</t>
        </is>
      </c>
      <c r="K82" s="51" t="inlineStr">
        <is>
          <t>開發者 R6 修 DEF-070 時發現；owner 2026-09-26 在對話中裁定本輪一起修。
R6 複驗通過（黑箱重放＋驗證者變異）</t>
        </is>
      </c>
    </row>
    <row r="83" ht="15" customHeight="1" s="34">
      <c r="A83" s="51" t="inlineStr">
        <is>
          <t>DEF-081</t>
        </is>
      </c>
      <c r="B83" s="51" t="inlineStr">
        <is>
          <t>H-07（附帶）</t>
        </is>
      </c>
      <c r="C83" s="51" t="inlineStr">
        <is>
          <t>AI 戰績「各洞察任務命中率」與「預測明細」以「任務 #2」稱呼洞察任務，不是任務名稱</t>
        </is>
      </c>
      <c r="D83" s="51" t="inlineStr">
        <is>
          <t>低</t>
        </is>
      </c>
      <c r="E83" s="51" t="inlineStr">
        <is>
          <t>程式缺陷</t>
        </is>
      </c>
      <c r="F83" s="51" t="inlineStr">
        <is>
          <t>R7</t>
        </is>
      </c>
      <c r="G83" s="51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51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51" t="inlineStr">
        <is>
          <t>結案</t>
        </is>
      </c>
      <c r="J83" s="51" t="inlineStr">
        <is>
          <t>R7</t>
        </is>
      </c>
      <c r="K83" s="51" t="inlineStr">
        <is>
          <t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      </is>
      </c>
    </row>
    <row r="84" ht="15" customHeight="1" s="34">
      <c r="A84" s="51" t="inlineStr">
        <is>
          <t>DEF-082</t>
        </is>
      </c>
      <c r="B84" s="51" t="inlineStr">
        <is>
          <t>G-04</t>
        </is>
      </c>
      <c r="C84" s="51" t="inlineStr">
        <is>
          <t>AI 洞察卡的代號檢核把括號內「已註冊標的的英文名稱」當成未知代號：#209 寫「3008 (LARGAN)」即標「未知代碼：LARGAN…可能是模型幻覺」</t>
        </is>
      </c>
      <c r="D84" s="51" t="inlineStr">
        <is>
          <t>低</t>
        </is>
      </c>
      <c r="E84" s="51" t="inlineStr">
        <is>
          <t>程式缺陷</t>
        </is>
      </c>
      <c r="F84" s="51" t="inlineStr">
        <is>
          <t>R8</t>
        </is>
      </c>
      <c r="G84" s="51" t="inlineStr">
        <is>
          <t>demo（a16210a）：AI 洞察 › 洞察卡 #209「台股部位週報 - 科技股佔比近九成」（2026-09-24 產生，snapshot checked）顯示「未知代碼」，tooltip「未知代碼：LARGAN 卡片提到的代號不在持倉、觀察清單或已註冊標的中，可能是模型幻覺」；GET /api/insights #209 figure_flags.unknown_symbols ["LARGAN"]；GET /api/instruments 3008 name "LARGAN"（持有中）；同句前文「3008」即為該標的</t>
        </is>
      </c>
      <c r="H84" s="51" t="inlineStr">
        <is>
          <t>portfolio_dash/llm_insight/figure_check.py:151 `_CODE_RE` 把括號內以大寫字母開頭、≤6 字元的 token 讀成代號；:460-474 `_unknown_symbols` 只比對 `_known_forms(known_symbols)`（已登錄代號及其去後綴形）；portfolio_dash/api/routers/insights.py:1150 `_known_symbols` 也只讀 `i.symbol`——已登錄標的的 `name` 從未進入檢核（a16210a；規則自 755c88a 未變）</t>
        </is>
      </c>
      <c r="I84" s="51" t="inlineStr">
        <is>
          <t>待複驗</t>
        </is>
      </c>
      <c r="J84" s="51" t="n"/>
      <c r="K84" s="51" t="inlineStr">
        <is>
          <t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</t>
        </is>
      </c>
    </row>
  </sheetData>
  <dataValidations count="4">
    <dataValidation sqref="D3:D84" showDropDown="0" showInputMessage="0" showErrorMessage="0" allowBlank="1" type="list" errorStyle="stop" operator="between">
      <formula1>"高,中,低"</formula1>
      <formula2>0</formula2>
    </dataValidation>
    <dataValidation sqref="E3:E84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84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84 J3:J84" showDropDown="0" showInputMessage="0" showErrorMessage="0" allowBlank="1" type="list" errorStyle="stop" operator="between">
      <formula1>"R1,R2,R3,R4,R5,R6,R7,R8,R9"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220" customHeight="1" s="34">
      <c r="A91" s="51" t="inlineStr">
        <is>
          <t>R3</t>
        </is>
      </c>
      <c r="B91" s="51" t="inlineStr">
        <is>
          <t>DEF-023</t>
        </is>
      </c>
      <c r="C91" s="51" t="inlineStr">
        <is>
          <t>D-11</t>
        </is>
      </c>
      <c r="D91" s="51" t="inlineStr">
        <is>
          <t>2026-09-24</t>
        </is>
      </c>
      <c r="E91" s="5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56" t="inlineStr">
        <is>
          <t>web/app.js:112 `renderUnappliedBanner();`（位於 web/app.js:100 `if (!syms.length || !page) return;` 之後）</t>
        </is>
      </c>
      <c r="G91" s="5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5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5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5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56" t="inlineStr">
        <is>
          <t>4655845（已部署 demo）</t>
        </is>
      </c>
      <c r="L9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5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5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57" t="inlineStr">
        <is>
          <t>無未註冊標的時區塊與連結正常顯示並可跳轉；刪除行動後 cmp D023R3 same:true（prices_restated 1 已還原）</t>
        </is>
      </c>
      <c r="P91" s="57" t="inlineStr">
        <is>
          <t>複驗通過 → 結案</t>
        </is>
      </c>
      <c r="Q91" s="57" t="inlineStr">
        <is>
          <t>無</t>
        </is>
      </c>
      <c r="R91" s="57" t="inlineStr">
        <is>
          <t>檢驗方 2026-09-24</t>
        </is>
      </c>
    </row>
    <row r="92" ht="220" customHeight="1" s="34">
      <c r="A92" s="51" t="inlineStr">
        <is>
          <t>R3</t>
        </is>
      </c>
      <c r="B92" s="51" t="inlineStr">
        <is>
          <t>DEF-017</t>
        </is>
      </c>
      <c r="C92" s="51" t="inlineStr">
        <is>
          <t>C-04</t>
        </is>
      </c>
      <c r="D92" s="51" t="inlineStr">
        <is>
          <t>2026-09-24</t>
        </is>
      </c>
      <c r="E92" s="5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56" t="inlineStr">
        <is>
          <t>web/input.js:2752 `if (!o.external &amp;&amp; window.pdReloadImportBatches) {`；web/broker-import.js:237 `body: '將刪除這批匯入寫進帳本的 ' + b.row_count + ' 筆'`</t>
        </is>
      </c>
      <c r="G92" s="5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5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5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5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56" t="inlineStr">
        <is>
          <t>4655845（已部署 demo）</t>
        </is>
      </c>
      <c r="L9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5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5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57" t="inlineStr">
        <is>
          <t>清單即時「1（原寫入 2）」；框內筆數為當下值；批次已空不開框；cmp D017R3 same:true</t>
        </is>
      </c>
      <c r="P92" s="57" t="inlineStr">
        <is>
          <t>複驗通過 → 結案</t>
        </is>
      </c>
      <c r="Q92" s="57" t="inlineStr">
        <is>
          <t>無</t>
        </is>
      </c>
      <c r="R92" s="57" t="inlineStr">
        <is>
          <t>檢驗方 2026-09-24</t>
        </is>
      </c>
    </row>
    <row r="93" ht="220" customHeight="1" s="34">
      <c r="A93" s="51" t="inlineStr">
        <is>
          <t>R3</t>
        </is>
      </c>
      <c r="B93" s="51" t="inlineStr">
        <is>
          <t>DEF-025</t>
        </is>
      </c>
      <c r="C93" s="51" t="inlineStr">
        <is>
          <t>I-06</t>
        </is>
      </c>
      <c r="D93" s="51" t="inlineStr">
        <is>
          <t>2026-09-24</t>
        </is>
      </c>
      <c r="E93" s="5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5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5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5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5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5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56" t="inlineStr">
        <is>
          <t>4655845（已部署 demo）</t>
        </is>
      </c>
      <c r="L9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5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5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57" t="inlineStr">
        <is>
          <t>CSV／AI 賣超列預設不勾、逐列確認；伺服器拒絕整檔 ack；0 寫入。AI 花費 $0.0005528</t>
        </is>
      </c>
      <c r="P93" s="57" t="inlineStr">
        <is>
          <t>複驗通過 → 結案</t>
        </is>
      </c>
      <c r="Q93" s="57" t="inlineStr">
        <is>
          <t>owner 決策項 ⑦b（CSV 門其他警告類型也逐列確認，開發者建議維持）見本輪裁定</t>
        </is>
      </c>
      <c r="R93" s="57" t="inlineStr">
        <is>
          <t>檢驗方 2026-09-24</t>
        </is>
      </c>
    </row>
    <row r="94" ht="220" customHeight="1" s="34">
      <c r="A94" s="51" t="inlineStr">
        <is>
          <t>R3</t>
        </is>
      </c>
      <c r="B94" s="51" t="inlineStr">
        <is>
          <t>DEF-033</t>
        </is>
      </c>
      <c r="C94" s="51" t="inlineStr">
        <is>
          <t>H-03</t>
        </is>
      </c>
      <c r="D94" s="51" t="inlineStr">
        <is>
          <t>2026-09-24</t>
        </is>
      </c>
      <c r="E94" s="56" t="inlineStr">
        <is>
          <t>同意，依 owner 裁定實作完整版本記錄。「同步官方」確認框自己寫「你的自訂修改將遺失」；洞察卡也不記錄生成時用了哪一版。</t>
        </is>
      </c>
      <c r="F94" s="5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56" t="inlineStr">
        <is>
          <t>沒有守門（規格未定，從未要求版本記錄）。新守門全部驗行為：store 13 則、API 契約 10 則、Playwright e2e 1 則、Node 執行頁面函式 1 則。</t>
        </is>
      </c>
      <c r="H94" s="5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5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5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56" t="inlineStr">
        <is>
          <t>4655845（已部署 demo）</t>
        </is>
      </c>
      <c r="L9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5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5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57" t="inlineStr">
        <is>
          <t>儲存成 v2、差異正確、回復成 v3＝原文；卡片記錄版號</t>
        </is>
      </c>
      <c r="P94" s="57" t="inlineStr">
        <is>
          <t>複驗通過 → 結案</t>
        </is>
      </c>
      <c r="Q94" s="57" t="inlineStr">
        <is>
          <t>本測試在 demo 留下策略 5 的 v2、v3 兩筆版本紀錄（只增不改的設計，內文已回到原文），屬預期寫入</t>
        </is>
      </c>
      <c r="R94" s="57" t="inlineStr">
        <is>
          <t>檢驗方 2026-09-24</t>
        </is>
      </c>
    </row>
    <row r="95" ht="220" customHeight="1" s="34">
      <c r="A95" s="51" t="inlineStr">
        <is>
          <t>R3</t>
        </is>
      </c>
      <c r="B95" s="51" t="inlineStr">
        <is>
          <t>DEF-042</t>
        </is>
      </c>
      <c r="C95" s="51" t="inlineStr">
        <is>
          <t>B-17</t>
        </is>
      </c>
      <c r="D95" s="51" t="inlineStr">
        <is>
          <t>2026-09-24</t>
        </is>
      </c>
      <c r="E95" s="5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5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5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5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5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5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56" t="inlineStr">
        <is>
          <t>4655845（已部署 demo）</t>
        </is>
      </c>
      <c r="L9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5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5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57" t="inlineStr">
        <is>
          <t>日期兩種提示、賣超 422＋確認框皆出現；只改備註可直接儲存且不重寫快照；全部取消或改回，cmp R3_START same:true</t>
        </is>
      </c>
      <c r="P95" s="57" t="inlineStr">
        <is>
          <t>複驗通過 → 結案</t>
        </is>
      </c>
      <c r="Q95" s="57" t="inlineStr">
        <is>
          <t>依開發者自述，軟性警告只由畫面把關、伺服器只擋硬錯與賣超（owner 決策項 ⑪，見本輪裁定）</t>
        </is>
      </c>
      <c r="R95" s="57" t="inlineStr">
        <is>
          <t>檢驗方 2026-09-24</t>
        </is>
      </c>
    </row>
    <row r="96" ht="220" customHeight="1" s="34">
      <c r="A96" s="51" t="inlineStr">
        <is>
          <t>R3</t>
        </is>
      </c>
      <c r="B96" s="51" t="inlineStr">
        <is>
          <t>DEF-003</t>
        </is>
      </c>
      <c r="C96" s="51" t="inlineStr">
        <is>
          <t>G-06</t>
        </is>
      </c>
      <c r="D96" s="51" t="inlineStr">
        <is>
          <t>2026-09-24</t>
        </is>
      </c>
      <c r="E96" s="56" t="inlineStr">
        <is>
          <t>同意，依 owner 裁定實作：以 prediction 為準。demo 上 40 張無預測卡有 25 張帶信心值，所以 #182 顯示「信心 0%」。</t>
        </is>
      </c>
      <c r="F96" s="5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5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5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5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5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56" t="inlineStr">
        <is>
          <t>4655845（已部署 demo）</t>
        </is>
      </c>
      <c r="L9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57" t="inlineStr">
        <is>
          <t>真實瀏覽器：AI 洞察 › 洞察卡；分頁讀 /api/insights 全部 195 張；/api/ai-score</t>
        </is>
      </c>
      <c r="N96" s="5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57" t="inlineStr">
        <is>
          <t>無預測卡一律「純描述・無預測」、不帶信心；校準母體不含無預測卡</t>
        </is>
      </c>
      <c r="P96" s="57" t="inlineStr">
        <is>
          <t>複驗通過 → 結案</t>
        </is>
      </c>
      <c r="Q96" s="57" t="inlineStr">
        <is>
          <t>無</t>
        </is>
      </c>
      <c r="R96" s="57" t="inlineStr">
        <is>
          <t>檢驗方 2026-09-24</t>
        </is>
      </c>
    </row>
    <row r="97" ht="220" customHeight="1" s="34">
      <c r="A97" s="51" t="inlineStr">
        <is>
          <t>R3</t>
        </is>
      </c>
      <c r="B97" s="51" t="inlineStr">
        <is>
          <t>DEF-009</t>
        </is>
      </c>
      <c r="C97" s="51" t="inlineStr">
        <is>
          <t>A-11</t>
        </is>
      </c>
      <c r="D97" s="51" t="inlineStr">
        <is>
          <t>2026-09-24</t>
        </is>
      </c>
      <c r="E97" s="5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5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5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5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5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5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56" t="inlineStr">
        <is>
          <t>4655845（已部署 demo）</t>
        </is>
      </c>
      <c r="L9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5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5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57" t="inlineStr">
        <is>
          <t>四欄可改、月份不重開、改回後 cmp D009R3 same:true</t>
        </is>
      </c>
      <c r="P97" s="57" t="inlineStr">
        <is>
          <t>複驗通過 → 結案</t>
        </is>
      </c>
      <c r="Q97" s="57" t="inlineStr">
        <is>
          <t>owner 決策項 ⑥（改類型後該月維持已入帳）見本輪裁定；ledger_audit 目前沒有任何畫面或 API 可讀，使用者看不到「稽核軌跡」——列入觀察</t>
        </is>
      </c>
      <c r="R97" s="57" t="inlineStr">
        <is>
          <t>檢驗方 2026-09-24</t>
        </is>
      </c>
    </row>
    <row r="98" ht="220" customHeight="1" s="34">
      <c r="A98" s="51" t="inlineStr">
        <is>
          <t>R3</t>
        </is>
      </c>
      <c r="B98" s="51" t="inlineStr">
        <is>
          <t>DEF-010</t>
        </is>
      </c>
      <c r="C98" s="51" t="inlineStr">
        <is>
          <t>B-16</t>
        </is>
      </c>
      <c r="D98" s="51" t="inlineStr">
        <is>
          <t>2026-09-24</t>
        </is>
      </c>
      <c r="E98" s="5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56" t="inlineStr">
        <is>
          <t>portfolio_dash/api/rebates.py:261 `trade_expected = forecast_tw_rebate(t.fees, rate)`；portfolio_dash/api/routers/input_center.py:901；portfolio_dash/strategy/rebalance.py:403</t>
        </is>
      </c>
      <c r="G98" s="5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5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5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5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56" t="inlineStr">
        <is>
          <t>4655845（已部署 demo）</t>
        </is>
      </c>
      <c r="L9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5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5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57" t="inlineStr">
        <is>
          <t>三個月份預估逐列手算相符；8 筆快照已清理；編輯不會重寫快照</t>
        </is>
      </c>
      <c r="P98" s="57" t="inlineStr">
        <is>
          <t>複驗通過 → 結案</t>
        </is>
      </c>
      <c r="Q98" s="5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57" t="inlineStr">
        <is>
          <t>檢驗方 2026-09-24</t>
        </is>
      </c>
    </row>
    <row r="99" ht="220" customHeight="1" s="34">
      <c r="A99" s="51" t="inlineStr">
        <is>
          <t>R3</t>
        </is>
      </c>
      <c r="B99" s="51" t="inlineStr">
        <is>
          <t>DEF-013</t>
        </is>
      </c>
      <c r="C99" s="51" t="inlineStr">
        <is>
          <t>B-10</t>
        </is>
      </c>
      <c r="D99" s="51" t="inlineStr">
        <is>
          <t>2026-09-24</t>
        </is>
      </c>
      <c r="E99" s="5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56" t="inlineStr">
        <is>
          <t>web/ledger.js:638 `tdSide.appendChild(dirChip(t.side));`；portfolio_dash/api/routers/ledgers.py:205（交易列 wire 無 daytrade）</t>
        </is>
      </c>
      <c r="G99" s="56" t="inlineStr">
        <is>
          <t>沒有任何測試涵蓋兩旗標同時勾選或帳本列標示。新增契約 4 則＋e2e 1 則。</t>
        </is>
      </c>
      <c r="H99" s="5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5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5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56" t="inlineStr">
        <is>
          <t>4655845（已部署 demo）</t>
        </is>
      </c>
      <c r="L9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5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5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57" t="inlineStr">
        <is>
          <t>組合說明、稅率、帳本與列印徽章皆符合 B-10③；刪除後 cmp R3_START same:true</t>
        </is>
      </c>
      <c r="P99" s="57" t="inlineStr">
        <is>
          <t>複驗通過 → 結案</t>
        </is>
      </c>
      <c r="Q99" s="57" t="inlineStr">
        <is>
          <t>無</t>
        </is>
      </c>
      <c r="R99" s="57" t="inlineStr">
        <is>
          <t>檢驗方 2026-09-24</t>
        </is>
      </c>
    </row>
    <row r="100" ht="220" customHeight="1" s="34">
      <c r="A100" s="51" t="inlineStr">
        <is>
          <t>R3</t>
        </is>
      </c>
      <c r="B100" s="51" t="inlineStr">
        <is>
          <t>DEF-016</t>
        </is>
      </c>
      <c r="C100" s="51" t="inlineStr">
        <is>
          <t>C-02</t>
        </is>
      </c>
      <c r="D100" s="51" t="inlineStr">
        <is>
          <t>2026-09-24</t>
        </is>
      </c>
      <c r="E100" s="5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56" t="inlineStr">
        <is>
          <t>portfolio_dash/portfolio/dashboard.py:491 `book = build_book(bundle, allow_oversell=True)`；portfolio_dash/portfolio/returns.py:215 `add(dv.date, ccy_of(dv.symbol), dv.net)`</t>
        </is>
      </c>
      <c r="G100" s="5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5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5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5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56" t="inlineStr">
        <is>
          <t>4655845（已部署 demo）</t>
        </is>
      </c>
      <c r="L100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5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5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57" t="inlineStr">
        <is>
          <t>未來股利入帳日前不影響任何計算；刪除後 cmp D016R3 same:true</t>
        </is>
      </c>
      <c r="P100" s="57" t="inlineStr">
        <is>
          <t>複驗通過 → 結案</t>
        </is>
      </c>
      <c r="Q100" s="5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57" t="inlineStr">
        <is>
          <t>檢驗方 2026-09-24</t>
        </is>
      </c>
    </row>
    <row r="101" ht="220" customHeight="1" s="34">
      <c r="A101" s="51" t="inlineStr">
        <is>
          <t>R3</t>
        </is>
      </c>
      <c r="B101" s="51" t="inlineStr">
        <is>
          <t>DEF-039</t>
        </is>
      </c>
      <c r="C101" s="51" t="inlineStr">
        <is>
          <t>I-10</t>
        </is>
      </c>
      <c r="D101" s="51" t="inlineStr">
        <is>
          <t>2026-09-24</t>
        </is>
      </c>
      <c r="E101" s="56" t="inlineStr">
        <is>
          <t>同意驗證者。</t>
        </is>
      </c>
      <c r="F101" s="56" t="inlineStr">
        <is>
          <t>web/broker-import.js:600 `'帳本' + asOf + '已持有 ' + o.ledger_shares + ' 股'`（同段 :601、:607、:608 同寫法）</t>
        </is>
      </c>
      <c r="G101" s="5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5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5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5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56" t="inlineStr">
        <is>
          <t>4655845（已部署 demo）</t>
        </is>
      </c>
      <c r="L10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57" t="inlineStr">
        <is>
          <t>真實瀏覽器：交易帳本 › CSV 匯入 › 券商對帳單（嘉信）上傳自製 Schwab 格式檔「09/23/2026 Sell AAPL 1000 @230」→ 讀期初缺口提示；不寫入</t>
        </is>
      </c>
      <c r="N101" s="5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57" t="inlineStr">
        <is>
          <t>提示數字已格式化且相減正確；未寫入，cmp R3_START 帳本六段相同（僅額度差為 DEF-025 的 AI 解析）</t>
        </is>
      </c>
      <c r="P101" s="57" t="inlineStr">
        <is>
          <t>複驗通過 → 結案</t>
        </is>
      </c>
      <c r="Q101" s="57" t="inlineStr">
        <is>
          <t>無</t>
        </is>
      </c>
      <c r="R101" s="57" t="inlineStr">
        <is>
          <t>檢驗方 2026-09-24</t>
        </is>
      </c>
    </row>
    <row r="102" ht="220" customHeight="1" s="34">
      <c r="A102" s="51" t="inlineStr">
        <is>
          <t>R3</t>
        </is>
      </c>
      <c r="B102" s="51" t="inlineStr">
        <is>
          <t>DEF-040</t>
        </is>
      </c>
      <c r="C102" s="51" t="inlineStr">
        <is>
          <t>D-10</t>
        </is>
      </c>
      <c r="D102" s="51" t="inlineStr">
        <is>
          <t>2026-09-24</t>
        </is>
      </c>
      <c r="E102" s="56" t="inlineStr">
        <is>
          <t>同意，依 owner 裁定實作：刪除分拆時一併移除它寫入、且之後未被正式報價覆蓋的子公司起始價；不可移除時在刪除框與 toast 說明原因。</t>
        </is>
      </c>
      <c r="F102" s="56" t="inlineStr">
        <is>
          <t>portfolio_dash/api/routers/ledgers.py:2172 `delete_corporate_action(conn, a.id, commit=False)`；:1954 `close=close, source="manual")],`（起始價寫入點）</t>
        </is>
      </c>
      <c r="G102" s="56" t="inlineStr">
        <is>
          <t>沒有守門。新增契約 5 則＋e2e 1 則。</t>
        </is>
      </c>
      <c r="H102" s="5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5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5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56" t="inlineStr">
        <is>
          <t>4655845（已部署 demo）</t>
        </is>
      </c>
      <c r="L10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5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5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57" t="inlineStr">
        <is>
          <t>正常路徑通過；「當日已有正式報價」時存檔覆蓋、刪除後原報價遺失（本機重現）</t>
        </is>
      </c>
      <c r="P102" s="57" t="inlineStr">
        <is>
          <t>部分通過</t>
        </is>
      </c>
      <c r="Q102" s="5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57" t="inlineStr">
        <is>
          <t>檢驗方 2026-09-24</t>
        </is>
      </c>
    </row>
    <row r="103" ht="220" customHeight="1" s="34">
      <c r="A103" s="51" t="inlineStr">
        <is>
          <t>R3</t>
        </is>
      </c>
      <c r="B103" s="51" t="inlineStr">
        <is>
          <t>DEF-041</t>
        </is>
      </c>
      <c r="C103" s="51" t="inlineStr">
        <is>
          <t>G-09</t>
        </is>
      </c>
      <c r="D103" s="51" t="inlineStr">
        <is>
          <t>2026-09-24</t>
        </is>
      </c>
      <c r="E103" s="56" t="inlineStr">
        <is>
          <t>同意，依 owner 裁定實作：預警觸發的持倉提點只派發持有中的標的。</t>
        </is>
      </c>
      <c r="F103" s="56" t="inlineStr">
        <is>
          <t>portfolio_dash/llm_insight/alerts_bridge.py:375 `for it in subscribers:`</t>
        </is>
      </c>
      <c r="G103" s="5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5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5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5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56" t="inlineStr">
        <is>
          <t>4655845（已部署 demo）</t>
        </is>
      </c>
      <c r="L10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57" t="inlineStr">
        <is>
          <t>真實瀏覽器：系統設定 › 排程中心 › alert_scan 立即執行（run #185，距 R1 派發已逾 24 小時去抖）→ 讀詳情、派發的 run 與新卡</t>
        </is>
      </c>
      <c r="N103" s="5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57" t="inlineStr">
        <is>
          <t>觀察標的 7 條不產卡、持有標的 7 條產卡；本案花費 $0.0050487</t>
        </is>
      </c>
      <c r="P103" s="57" t="inlineStr">
        <is>
          <t>複驗通過 → 結案</t>
        </is>
      </c>
      <c r="Q103" s="57" t="inlineStr">
        <is>
          <t>owner 決策項 ⑤（mode:all_registered 任務是否排除已封存標的）見本輪裁定</t>
        </is>
      </c>
      <c r="R103" s="57" t="inlineStr">
        <is>
          <t>檢驗方 2026-09-24</t>
        </is>
      </c>
    </row>
    <row r="104" ht="220" customHeight="1" s="34">
      <c r="A104" s="51" t="inlineStr">
        <is>
          <t>R3</t>
        </is>
      </c>
      <c r="B104" s="51" t="inlineStr">
        <is>
          <t>DEF-043</t>
        </is>
      </c>
      <c r="C104" s="51" t="inlineStr">
        <is>
          <t>H-05</t>
        </is>
      </c>
      <c r="D104" s="51" t="inlineStr">
        <is>
          <t>2026-09-24</t>
        </is>
      </c>
      <c r="E104" s="56" t="inlineStr">
        <is>
          <t>同意驗證者。乾跑預檢 G1 本身對 on_alert 已回 ok；錯的是觸發節點，以及由它推出的頁首「需注意」計數。</t>
        </is>
      </c>
      <c r="F104" s="56" t="inlineStr">
        <is>
          <t>portfolio_dash/llm_insight/pipeline_status.py:86-87 `if not f.scheduled: return NodeState(lv="warn", text="未排程（手動）", sub="不會自動執行")`</t>
        </is>
      </c>
      <c r="G104" s="5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5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5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5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56" t="inlineStr">
        <is>
          <t>4655845（已部署 demo）</t>
        </is>
      </c>
      <c r="L10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57" t="inlineStr">
        <is>
          <t>真實瀏覽器：洞察管線中心 → 「持倉提點」（預警觸發）任務卡的 ① 觸發節點與頁首任務狀態；/api/insight-tasks/status</t>
        </is>
      </c>
      <c r="N104" s="5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57" t="inlineStr">
        <is>
          <t>觸發節點正確、需注意 3→2</t>
        </is>
      </c>
      <c r="P104" s="57" t="inlineStr">
        <is>
          <t>複驗通過 → 結案</t>
        </is>
      </c>
      <c r="Q104" s="5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57" t="inlineStr">
        <is>
          <t>檢驗方 2026-09-24</t>
        </is>
      </c>
    </row>
    <row r="105" ht="220" customHeight="1" s="34">
      <c r="A105" s="51" t="inlineStr">
        <is>
          <t>R3</t>
        </is>
      </c>
      <c r="B105" s="51" t="inlineStr">
        <is>
          <t>DEF-044</t>
        </is>
      </c>
      <c r="C105" s="51" t="inlineStr">
        <is>
          <t>G-09／J-06</t>
        </is>
      </c>
      <c r="D105" s="51" t="inlineStr">
        <is>
          <t>2026-09-24</t>
        </is>
      </c>
      <c r="E105" s="56" t="inlineStr">
        <is>
          <t>同意驗證者。帳戶記號縫只在有 names.js 的頁面生效，5 頁退化成原始 id（排程中心「fx_drift 帳戶 moomoo_my」）。</t>
        </is>
      </c>
      <c r="F105" s="5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5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5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56" t="inlineStr">
        <is>
          <t>共 11／修 11／白名單 0（5 頁缺 names.js、5 頁順序在後、login 缺）；另 7 頁是無 script 的轉址頁，不在類別內</t>
        </is>
      </c>
      <c r="J105" s="5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56" t="inlineStr">
        <is>
          <t>4655845（已部署 demo）</t>
        </is>
      </c>
      <c r="L10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57" t="inlineStr">
        <is>
          <t>真實瀏覽器：系統設定 › 排程中心 alert_scan 詳情；逐頁讀 11 個 html 的 script 順序</t>
        </is>
      </c>
      <c r="N105" s="5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57" t="inlineStr">
        <is>
          <t>排程中心顯示中文帳戶名；11 頁載入順序正確</t>
        </is>
      </c>
      <c r="P105" s="57" t="inlineStr">
        <is>
          <t>複驗通過 → 結案</t>
        </is>
      </c>
      <c r="Q105" s="57" t="inlineStr">
        <is>
          <t>無</t>
        </is>
      </c>
      <c r="R105" s="57" t="inlineStr">
        <is>
          <t>檢驗方 2026-09-24</t>
        </is>
      </c>
    </row>
    <row r="106" ht="220" customHeight="1" s="34">
      <c r="A106" s="51" t="inlineStr">
        <is>
          <t>R3</t>
        </is>
      </c>
      <c r="B106" s="51" t="inlineStr">
        <is>
          <t>DEF-045</t>
        </is>
      </c>
      <c r="C106" s="51" t="inlineStr">
        <is>
          <t>J-04／J-06</t>
        </is>
      </c>
      <c r="D106" s="51" t="inlineStr">
        <is>
          <t>2026-09-24</t>
        </is>
      </c>
      <c r="E106" s="56" t="inlineStr">
        <is>
          <t>同意驗證者。同一類問題還出現在「現金收支明細報告」表頭「帳戶 TW Broker（tw_broker）」，一併修。</t>
        </is>
      </c>
      <c r="F106" s="5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5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5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5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5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56" t="inlineStr">
        <is>
          <t>4655845（已部署 demo）</t>
        </is>
      </c>
      <c r="L10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57" t="inlineStr">
        <is>
          <t>真實瀏覽器：交易帳本 › ⎙匯出報告；資金管理 › 台灣券商 › ⎙匯出報告與 ⬇匯出 CSV（皆攔截下載）</t>
        </is>
      </c>
      <c r="N106" s="5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57" t="inlineStr">
        <is>
          <t>兩份列印報告皆為中文顯示名</t>
        </is>
      </c>
      <c r="P106" s="57" t="inlineStr">
        <is>
          <t>複驗通過 → 結案</t>
        </is>
      </c>
      <c r="Q106" s="57" t="inlineStr">
        <is>
          <t>無</t>
        </is>
      </c>
      <c r="R106" s="57" t="inlineStr">
        <is>
          <t>檢驗方 2026-09-24</t>
        </is>
      </c>
    </row>
    <row r="107" ht="220" customHeight="1" s="34">
      <c r="A107" s="51" t="inlineStr">
        <is>
          <t>R3</t>
        </is>
      </c>
      <c r="B107" s="51" t="inlineStr">
        <is>
          <t>DEF-046</t>
        </is>
      </c>
      <c r="C107" s="51" t="inlineStr">
        <is>
          <t>G-09</t>
        </is>
      </c>
      <c r="D107" s="51" t="inlineStr">
        <is>
          <t>2026-09-24</t>
        </is>
      </c>
      <c r="E107" s="5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56" t="inlineStr">
        <is>
          <t>（R2 前）portfolio_dash/scheduler/jobs.py:918 `conn, rule_id=alert.rule, symbol=_alert_symbol(alert), now=now,`</t>
        </is>
      </c>
      <c r="G107" s="56" t="inlineStr">
        <is>
          <t>資料殘留，沒有程式守門可攔。新守門是清理腳本自己的 9 則測試，其中「卡片 symbol 是已註冊標的就拒絕」專門擋 #207 這種卡號填錯。</t>
        </is>
      </c>
      <c r="H107" s="5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5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5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56" t="inlineStr">
        <is>
          <t>4655845（已部署 demo）</t>
        </is>
      </c>
      <c r="L10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57" t="inlineStr">
        <is>
          <t>讀 /api/insights 全部 195 張（分頁），以 id 與 symbol 檢查</t>
        </is>
      </c>
      <c r="N107" s="5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57" t="inlineStr">
        <is>
          <t>#192 已刪；#207 保留正確；同根因 #97 仍在（owner 本輪裁定刪除，見 DEF-054）</t>
        </is>
      </c>
      <c r="P107" s="57" t="inlineStr">
        <is>
          <t>複驗通過 → 結案</t>
        </is>
      </c>
      <c r="Q107" s="57" t="inlineStr">
        <is>
          <t>驗證者 R2 交接把錯卡記成 #207，是驗證者的錯誤，已於本輪交接紀錄更正</t>
        </is>
      </c>
      <c r="R107" s="57" t="inlineStr">
        <is>
          <t>檢驗方 2026-09-24</t>
        </is>
      </c>
    </row>
    <row r="108" ht="220" customHeight="1" s="34">
      <c r="A108" s="51" t="inlineStr">
        <is>
          <t>R3</t>
        </is>
      </c>
      <c r="B108" s="51" t="inlineStr">
        <is>
          <t>DEF-047</t>
        </is>
      </c>
      <c r="C108" s="51" t="inlineStr">
        <is>
          <t>C-01</t>
        </is>
      </c>
      <c r="D108" s="51" t="inlineStr">
        <is>
          <t>2026-09-24</t>
        </is>
      </c>
      <c r="E108" s="5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56" t="inlineStr">
        <is>
          <t>portfolio_dash/pricing/registry.py:144 `failed.append(ref.symbol)`（:142 空回應與 :136-138 例外同一分支）</t>
        </is>
      </c>
      <c r="G108" s="5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5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5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5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56" t="inlineStr">
        <is>
          <t>4655845（已部署 demo）</t>
        </is>
      </c>
      <c r="L10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57" t="inlineStr">
        <is>
          <t>真實瀏覽器：收件匣 › 待確認匯入 › 重新偵測（外部來源）</t>
        </is>
      </c>
      <c r="N108" s="5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57" t="inlineStr">
        <is>
          <t>無配息歸「無配息紀錄」、不再警告</t>
        </is>
      </c>
      <c r="P108" s="57" t="inlineStr">
        <is>
          <t>複驗通過 → 結案</t>
        </is>
      </c>
      <c r="Q108" s="5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57" t="inlineStr">
        <is>
          <t>檢驗方 2026-09-24</t>
        </is>
      </c>
    </row>
    <row r="109" ht="220" customHeight="1" s="34">
      <c r="A109" s="51" t="inlineStr">
        <is>
          <t>R3</t>
        </is>
      </c>
      <c r="B109" s="51" t="inlineStr">
        <is>
          <t>DEF-048</t>
        </is>
      </c>
      <c r="C109" s="51" t="inlineStr">
        <is>
          <t>B-17</t>
        </is>
      </c>
      <c r="D109" s="51" t="inlineStr">
        <is>
          <t>2026-09-24</t>
        </is>
      </c>
      <c r="E109" s="56" t="inlineStr">
        <is>
          <t>同意，依 owner 裁定實作：草稿依帳本重播到交易日，顯示當時的持股與均價，與寫入後重播到該日的結果一致。</t>
        </is>
      </c>
      <c r="F109" s="5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5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5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5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5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56" t="inlineStr">
        <is>
          <t>4655845（已部署 demo）</t>
        </is>
      </c>
      <c r="L10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5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5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57" t="inlineStr">
        <is>
          <t>三個草稿的持股／均價皆為交易日當時；補登加註；不寫入</t>
        </is>
      </c>
      <c r="P109" s="57" t="inlineStr">
        <is>
          <t>複驗通過 → 結案</t>
        </is>
      </c>
      <c r="Q109" s="57" t="inlineStr">
        <is>
          <t>無</t>
        </is>
      </c>
      <c r="R109" s="57" t="inlineStr">
        <is>
          <t>檢驗方 2026-09-24</t>
        </is>
      </c>
    </row>
    <row r="110" ht="15" customHeight="1" s="34">
      <c r="A110" s="51" t="inlineStr">
        <is>
          <t>R3</t>
        </is>
      </c>
      <c r="B110" s="51" t="inlineStr">
        <is>
          <t>DEF-049</t>
        </is>
      </c>
      <c r="C110" s="51" t="inlineStr">
        <is>
          <t>I-08</t>
        </is>
      </c>
      <c r="D110" s="51" t="inlineStr">
        <is>
          <t>2026-09-24</t>
        </is>
      </c>
      <c r="E110" s="56" t="inlineStr">
        <is>
          <t>—（本輪由檢驗方發現／Owner 裁定）</t>
        </is>
      </c>
      <c r="F110" s="56" t="inlineStr">
        <is>
          <t>—</t>
        </is>
      </c>
      <c r="G110" s="56" t="inlineStr">
        <is>
          <t>—</t>
        </is>
      </c>
      <c r="H110" s="56" t="inlineStr">
        <is>
          <t>—</t>
        </is>
      </c>
      <c r="I110" s="56" t="inlineStr">
        <is>
          <t>—</t>
        </is>
      </c>
      <c r="J110" s="56" t="inlineStr">
        <is>
          <t>—</t>
        </is>
      </c>
      <c r="K110" s="56" t="inlineStr">
        <is>
          <t>—</t>
        </is>
      </c>
      <c r="L110" s="56" t="inlineStr">
        <is>
          <t>—</t>
        </is>
      </c>
      <c r="M110" s="57" t="inlineStr">
        <is>
          <t>真實瀏覽器：CSV 匯入 → 手動賣出 → 復原；對照帳本逐筆刪除；測畢刪賣出並復原批次，cmp D049 same:true</t>
        </is>
      </c>
      <c r="N110" s="5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57" t="inlineStr">
        <is>
          <t>批次復原 200 並造成賣超；逐筆刪除 422</t>
        </is>
      </c>
      <c r="P110" s="57" t="inlineStr">
        <is>
          <t>FAIL</t>
        </is>
      </c>
      <c r="Q110" s="57" t="inlineStr">
        <is>
          <t>開 DEF-049（owner 指示本輪附規格）</t>
        </is>
      </c>
      <c r="R110" s="57" t="inlineStr">
        <is>
          <t>檢驗方 2026-09-24</t>
        </is>
      </c>
    </row>
    <row r="111" ht="15" customHeight="1" s="34">
      <c r="A111" s="51" t="inlineStr">
        <is>
          <t>R3</t>
        </is>
      </c>
      <c r="B111" s="51" t="inlineStr">
        <is>
          <t>DEF-050</t>
        </is>
      </c>
      <c r="C111" s="51" t="inlineStr">
        <is>
          <t>J-05</t>
        </is>
      </c>
      <c r="D111" s="51" t="inlineStr">
        <is>
          <t>2026-09-24</t>
        </is>
      </c>
      <c r="E111" s="56" t="inlineStr">
        <is>
          <t>—（本輪由檢驗方發現／Owner 裁定）</t>
        </is>
      </c>
      <c r="F111" s="56" t="inlineStr">
        <is>
          <t>—</t>
        </is>
      </c>
      <c r="G111" s="56" t="inlineStr">
        <is>
          <t>—</t>
        </is>
      </c>
      <c r="H111" s="56" t="inlineStr">
        <is>
          <t>—</t>
        </is>
      </c>
      <c r="I111" s="56" t="inlineStr">
        <is>
          <t>—</t>
        </is>
      </c>
      <c r="J111" s="56" t="inlineStr">
        <is>
          <t>—</t>
        </is>
      </c>
      <c r="K111" s="56" t="inlineStr">
        <is>
          <t>—</t>
        </is>
      </c>
      <c r="L111" s="56" t="inlineStr">
        <is>
          <t>—</t>
        </is>
      </c>
      <c r="M111" s="57" t="inlineStr">
        <is>
          <t>R2 390px iframe 量測＋截圖</t>
        </is>
      </c>
      <c r="N111" s="57" t="inlineStr">
        <is>
          <t>觀察：副標題被截
定位：styles.css:1942
判定：FAIL（低）</t>
        </is>
      </c>
      <c r="O111" s="57" t="inlineStr">
        <is>
          <t>scrollWidth 849／clientWidth 349</t>
        </is>
      </c>
      <c r="P111" s="57" t="inlineStr">
        <is>
          <t>FAIL</t>
        </is>
      </c>
      <c r="Q111" s="57" t="inlineStr">
        <is>
          <t>開 DEF-050</t>
        </is>
      </c>
      <c r="R111" s="57" t="inlineStr">
        <is>
          <t>檢驗方 2026-09-24</t>
        </is>
      </c>
    </row>
    <row r="112" ht="15" customHeight="1" s="34">
      <c r="A112" s="51" t="inlineStr">
        <is>
          <t>R3</t>
        </is>
      </c>
      <c r="B112" s="51" t="inlineStr">
        <is>
          <t>DEF-051</t>
        </is>
      </c>
      <c r="C112" s="51" t="inlineStr">
        <is>
          <t>H-04</t>
        </is>
      </c>
      <c r="D112" s="51" t="inlineStr">
        <is>
          <t>2026-09-24</t>
        </is>
      </c>
      <c r="E112" s="56" t="inlineStr">
        <is>
          <t>—（本輪由檢驗方發現／Owner 裁定）</t>
        </is>
      </c>
      <c r="F112" s="56" t="inlineStr">
        <is>
          <t>—</t>
        </is>
      </c>
      <c r="G112" s="56" t="inlineStr">
        <is>
          <t>—</t>
        </is>
      </c>
      <c r="H112" s="56" t="inlineStr">
        <is>
          <t>—</t>
        </is>
      </c>
      <c r="I112" s="56" t="inlineStr">
        <is>
          <t>—</t>
        </is>
      </c>
      <c r="J112" s="56" t="inlineStr">
        <is>
          <t>—</t>
        </is>
      </c>
      <c r="K112" s="56" t="inlineStr">
        <is>
          <t>—</t>
        </is>
      </c>
      <c r="L112" s="56" t="inlineStr">
        <is>
          <t>—</t>
        </is>
      </c>
      <c r="M112" s="57" t="inlineStr">
        <is>
          <t>真實瀏覽器兩次立即執行</t>
        </is>
      </c>
      <c r="N112" s="57" t="inlineStr">
        <is>
          <t>觀察：toast 為 job id
定位：settings-scheduler.js:548
判定：FAIL（低）</t>
        </is>
      </c>
      <c r="O112" s="57" t="inlineStr">
        <is>
          <t>insight:7／alert_scan</t>
        </is>
      </c>
      <c r="P112" s="57" t="inlineStr">
        <is>
          <t>FAIL</t>
        </is>
      </c>
      <c r="Q112" s="57" t="inlineStr">
        <is>
          <t>開 DEF-051</t>
        </is>
      </c>
      <c r="R112" s="57" t="inlineStr">
        <is>
          <t>檢驗方 2026-09-24</t>
        </is>
      </c>
    </row>
    <row r="113" ht="15" customHeight="1" s="34">
      <c r="A113" s="51" t="inlineStr">
        <is>
          <t>R3</t>
        </is>
      </c>
      <c r="B113" s="51" t="inlineStr">
        <is>
          <t>DEF-052</t>
        </is>
      </c>
      <c r="C113" s="51" t="inlineStr">
        <is>
          <t>D-10</t>
        </is>
      </c>
      <c r="D113" s="51" t="inlineStr">
        <is>
          <t>2026-09-24</t>
        </is>
      </c>
      <c r="E113" s="56" t="inlineStr">
        <is>
          <t>—（本輪由檢驗方發現／Owner 裁定）</t>
        </is>
      </c>
      <c r="F113" s="56" t="inlineStr">
        <is>
          <t>—</t>
        </is>
      </c>
      <c r="G113" s="56" t="inlineStr">
        <is>
          <t>—</t>
        </is>
      </c>
      <c r="H113" s="56" t="inlineStr">
        <is>
          <t>—</t>
        </is>
      </c>
      <c r="I113" s="56" t="inlineStr">
        <is>
          <t>—</t>
        </is>
      </c>
      <c r="J113" s="56" t="inlineStr">
        <is>
          <t>—</t>
        </is>
      </c>
      <c r="K113" s="56" t="inlineStr">
        <is>
          <t>—</t>
        </is>
      </c>
      <c r="L113" s="56" t="inlineStr">
        <is>
          <t>—</t>
        </is>
      </c>
      <c r="M113" s="57" t="inlineStr">
        <is>
          <t>R2 DEF-020 複驗時的帳本列</t>
        </is>
      </c>
      <c r="N113" s="57" t="inlineStr">
        <is>
          <t>觀察：列無費用
判定：FAIL（低）</t>
        </is>
      </c>
      <c r="O113" s="57" t="inlineStr">
        <is>
          <t>API 有 reorg_fee、畫面無</t>
        </is>
      </c>
      <c r="P113" s="57" t="inlineStr">
        <is>
          <t>FAIL</t>
        </is>
      </c>
      <c r="Q113" s="57" t="inlineStr">
        <is>
          <t>開 DEF-052</t>
        </is>
      </c>
      <c r="R113" s="57" t="inlineStr">
        <is>
          <t>檢驗方 2026-09-24</t>
        </is>
      </c>
    </row>
    <row r="114" ht="15" customHeight="1" s="34">
      <c r="A114" s="51" t="inlineStr">
        <is>
          <t>R3</t>
        </is>
      </c>
      <c r="B114" s="51" t="inlineStr">
        <is>
          <t>DEF-053</t>
        </is>
      </c>
      <c r="C114" s="51" t="inlineStr">
        <is>
          <t>H-04</t>
        </is>
      </c>
      <c r="D114" s="51" t="inlineStr">
        <is>
          <t>2026-09-24</t>
        </is>
      </c>
      <c r="E114" s="56" t="inlineStr">
        <is>
          <t>—（本輪由檢驗方發現／Owner 裁定）</t>
        </is>
      </c>
      <c r="F114" s="56" t="inlineStr">
        <is>
          <t>—</t>
        </is>
      </c>
      <c r="G114" s="56" t="inlineStr">
        <is>
          <t>—</t>
        </is>
      </c>
      <c r="H114" s="56" t="inlineStr">
        <is>
          <t>—</t>
        </is>
      </c>
      <c r="I114" s="56" t="inlineStr">
        <is>
          <t>—</t>
        </is>
      </c>
      <c r="J114" s="56" t="inlineStr">
        <is>
          <t>—</t>
        </is>
      </c>
      <c r="K114" s="56" t="inlineStr">
        <is>
          <t>—</t>
        </is>
      </c>
      <c r="L114" s="56" t="inlineStr">
        <is>
          <t>—</t>
        </is>
      </c>
      <c r="M114" s="57" t="inlineStr">
        <is>
          <t>讀碼 web/pipeline-wizard.js:372-374</t>
        </is>
      </c>
      <c r="N114" s="57" t="inlineStr">
        <is>
          <t>觀察：字串含 on_alert
判定：FAIL（低）</t>
        </is>
      </c>
      <c r="O114" s="57" t="inlineStr">
        <is>
          <t>使用者可見字串含識別字</t>
        </is>
      </c>
      <c r="P114" s="57" t="inlineStr">
        <is>
          <t>FAIL</t>
        </is>
      </c>
      <c r="Q114" s="57" t="inlineStr">
        <is>
          <t>開 DEF-053</t>
        </is>
      </c>
      <c r="R114" s="57" t="inlineStr">
        <is>
          <t>檢驗方 2026-09-24</t>
        </is>
      </c>
    </row>
    <row r="115" ht="15" customHeight="1" s="34">
      <c r="A115" s="51" t="inlineStr">
        <is>
          <t>R3</t>
        </is>
      </c>
      <c r="B115" s="51" t="inlineStr">
        <is>
          <t>DEF-054</t>
        </is>
      </c>
      <c r="C115" s="51" t="inlineStr">
        <is>
          <t>G-09</t>
        </is>
      </c>
      <c r="D115" s="51" t="inlineStr">
        <is>
          <t>2026-09-24</t>
        </is>
      </c>
      <c r="E115" s="56" t="inlineStr">
        <is>
          <t>—（本輪由檢驗方發現／Owner 裁定）</t>
        </is>
      </c>
      <c r="F115" s="56" t="inlineStr">
        <is>
          <t>—</t>
        </is>
      </c>
      <c r="G115" s="56" t="inlineStr">
        <is>
          <t>—</t>
        </is>
      </c>
      <c r="H115" s="56" t="inlineStr">
        <is>
          <t>—</t>
        </is>
      </c>
      <c r="I115" s="56" t="inlineStr">
        <is>
          <t>—</t>
        </is>
      </c>
      <c r="J115" s="56" t="inlineStr">
        <is>
          <t>—</t>
        </is>
      </c>
      <c r="K115" s="56" t="inlineStr">
        <is>
          <t>—</t>
        </is>
      </c>
      <c r="L115" s="56" t="inlineStr">
        <is>
          <t>—</t>
        </is>
      </c>
      <c r="M115" s="57" t="inlineStr">
        <is>
          <t>API 全量讀取</t>
        </is>
      </c>
      <c r="N115" s="57" t="inlineStr">
        <is>
          <t>觀察：#97 仍在。分類：資料殘留（程式已正確）</t>
        </is>
      </c>
      <c r="O115" s="57" t="inlineStr">
        <is>
          <t>#97 存在</t>
        </is>
      </c>
      <c r="P115" s="57" t="inlineStr">
        <is>
          <t>待裁定</t>
        </is>
      </c>
      <c r="Q115" s="57" t="inlineStr">
        <is>
          <t>開 DEF-054，owner 已裁定刪除</t>
        </is>
      </c>
      <c r="R115" s="57" t="inlineStr">
        <is>
          <t>檢驗方 2026-09-24</t>
        </is>
      </c>
    </row>
    <row r="116" ht="15" customHeight="1" s="34">
      <c r="A116" s="51" t="inlineStr">
        <is>
          <t>R3</t>
        </is>
      </c>
      <c r="B116" s="51" t="inlineStr">
        <is>
          <t>DEF-055</t>
        </is>
      </c>
      <c r="C116" s="51" t="inlineStr">
        <is>
          <t>B-16</t>
        </is>
      </c>
      <c r="D116" s="51" t="inlineStr">
        <is>
          <t>2026-09-24</t>
        </is>
      </c>
      <c r="E116" s="56" t="inlineStr">
        <is>
          <t>—（本輪由檢驗方發現／Owner 裁定）</t>
        </is>
      </c>
      <c r="F116" s="56" t="inlineStr">
        <is>
          <t>—</t>
        </is>
      </c>
      <c r="G116" s="56" t="inlineStr">
        <is>
          <t>—</t>
        </is>
      </c>
      <c r="H116" s="56" t="inlineStr">
        <is>
          <t>—</t>
        </is>
      </c>
      <c r="I116" s="56" t="inlineStr">
        <is>
          <t>—</t>
        </is>
      </c>
      <c r="J116" s="56" t="inlineStr">
        <is>
          <t>—</t>
        </is>
      </c>
      <c r="K116" s="56" t="inlineStr">
        <is>
          <t>—</t>
        </is>
      </c>
      <c r="L116" s="56" t="inlineStr">
        <is>
          <t>—</t>
        </is>
      </c>
      <c r="M116" s="57" t="inlineStr">
        <is>
          <t>API 逐列讀快照；讀編輯框預覽回應</t>
        </is>
      </c>
      <c r="N116" s="57" t="inlineStr">
        <is>
          <t>觀察：兩筆未清；預覽仍估退款
判定：資料殘留＋低</t>
        </is>
      </c>
      <c r="O116" s="57" t="inlineStr">
        <is>
          <t>#33/#44 未清；預覽 219</t>
        </is>
      </c>
      <c r="P116" s="57" t="inlineStr">
        <is>
          <t>待裁定</t>
        </is>
      </c>
      <c r="Q116" s="57" t="inlineStr">
        <is>
          <t>開 DEF-055，owner 已裁定清理</t>
        </is>
      </c>
      <c r="R116" s="57" t="inlineStr">
        <is>
          <t>檢驗方 2026-09-24</t>
        </is>
      </c>
    </row>
    <row r="117" ht="15" customHeight="1" s="34">
      <c r="A117" s="51" t="inlineStr">
        <is>
          <t>R3</t>
        </is>
      </c>
      <c r="B117" s="51" t="inlineStr">
        <is>
          <t>DEF-056</t>
        </is>
      </c>
      <c r="C117" s="51" t="inlineStr">
        <is>
          <t>B-17</t>
        </is>
      </c>
      <c r="D117" s="51" t="inlineStr">
        <is>
          <t>2026-09-24</t>
        </is>
      </c>
      <c r="E117" s="56" t="inlineStr">
        <is>
          <t>—（本輪由檢驗方發現／Owner 裁定）</t>
        </is>
      </c>
      <c r="F117" s="56" t="inlineStr">
        <is>
          <t>—</t>
        </is>
      </c>
      <c r="G117" s="56" t="inlineStr">
        <is>
          <t>—</t>
        </is>
      </c>
      <c r="H117" s="56" t="inlineStr">
        <is>
          <t>—</t>
        </is>
      </c>
      <c r="I117" s="56" t="inlineStr">
        <is>
          <t>—</t>
        </is>
      </c>
      <c r="J117" s="56" t="inlineStr">
        <is>
          <t>—</t>
        </is>
      </c>
      <c r="K117" s="56" t="inlineStr">
        <is>
          <t>—</t>
        </is>
      </c>
      <c r="L117" s="56" t="inlineStr">
        <is>
          <t>—</t>
        </is>
      </c>
      <c r="M117" s="57" t="inlineStr">
        <is>
          <t>讀開發者交接決策項＋DEF-016 黑箱</t>
        </is>
      </c>
      <c r="N117" s="57" t="inlineStr">
        <is>
          <t>規格未定→owner 已裁定</t>
        </is>
      </c>
      <c r="O117" s="57" t="inlineStr">
        <is>
          <t>—</t>
        </is>
      </c>
      <c r="P117" s="57" t="inlineStr">
        <is>
          <t>待裁定</t>
        </is>
      </c>
      <c r="Q117" s="57" t="inlineStr">
        <is>
          <t>開 DEF-056，owner 已裁定</t>
        </is>
      </c>
      <c r="R117" s="57" t="inlineStr">
        <is>
          <t>檢驗方 2026-09-24</t>
        </is>
      </c>
    </row>
    <row r="118" ht="15" customHeight="1" s="34">
      <c r="A118" s="51" t="inlineStr">
        <is>
          <t>R3</t>
        </is>
      </c>
      <c r="B118" s="51" t="inlineStr">
        <is>
          <t>DEF-057</t>
        </is>
      </c>
      <c r="C118" s="51" t="inlineStr">
        <is>
          <t>H-03</t>
        </is>
      </c>
      <c r="D118" s="51" t="inlineStr">
        <is>
          <t>2026-09-24</t>
        </is>
      </c>
      <c r="E118" s="56" t="inlineStr">
        <is>
          <t>—（本輪由檢驗方發現／Owner 裁定）</t>
        </is>
      </c>
      <c r="F118" s="56" t="inlineStr">
        <is>
          <t>—</t>
        </is>
      </c>
      <c r="G118" s="56" t="inlineStr">
        <is>
          <t>—</t>
        </is>
      </c>
      <c r="H118" s="56" t="inlineStr">
        <is>
          <t>—</t>
        </is>
      </c>
      <c r="I118" s="56" t="inlineStr">
        <is>
          <t>—</t>
        </is>
      </c>
      <c r="J118" s="56" t="inlineStr">
        <is>
          <t>—</t>
        </is>
      </c>
      <c r="K118" s="56" t="inlineStr">
        <is>
          <t>—</t>
        </is>
      </c>
      <c r="L118" s="56" t="inlineStr">
        <is>
          <t>—</t>
        </is>
      </c>
      <c r="M118" s="57" t="inlineStr">
        <is>
          <t>讀開發者交接決策項</t>
        </is>
      </c>
      <c r="N118" s="57" t="inlineStr">
        <is>
          <t>規格未定→owner 已裁定</t>
        </is>
      </c>
      <c r="O118" s="57" t="inlineStr">
        <is>
          <t>—</t>
        </is>
      </c>
      <c r="P118" s="57" t="inlineStr">
        <is>
          <t>待裁定</t>
        </is>
      </c>
      <c r="Q118" s="57" t="inlineStr">
        <is>
          <t>開 DEF-057，owner 已裁定</t>
        </is>
      </c>
      <c r="R118" s="57" t="inlineStr">
        <is>
          <t>檢驗方 2026-09-24</t>
        </is>
      </c>
    </row>
    <row r="119" ht="15" customHeight="1" s="34">
      <c r="A119" s="51" t="inlineStr">
        <is>
          <t>R3</t>
        </is>
      </c>
      <c r="B119" s="51" t="inlineStr">
        <is>
          <t>DEF-058</t>
        </is>
      </c>
      <c r="C119" s="51" t="inlineStr">
        <is>
          <t>H-04</t>
        </is>
      </c>
      <c r="D119" s="51" t="inlineStr">
        <is>
          <t>2026-09-24</t>
        </is>
      </c>
      <c r="E119" s="56" t="inlineStr">
        <is>
          <t>—（本輪由檢驗方發現／Owner 裁定）</t>
        </is>
      </c>
      <c r="F119" s="56" t="inlineStr">
        <is>
          <t>—</t>
        </is>
      </c>
      <c r="G119" s="56" t="inlineStr">
        <is>
          <t>—</t>
        </is>
      </c>
      <c r="H119" s="56" t="inlineStr">
        <is>
          <t>—</t>
        </is>
      </c>
      <c r="I119" s="56" t="inlineStr">
        <is>
          <t>—</t>
        </is>
      </c>
      <c r="J119" s="56" t="inlineStr">
        <is>
          <t>—</t>
        </is>
      </c>
      <c r="K119" s="56" t="inlineStr">
        <is>
          <t>—</t>
        </is>
      </c>
      <c r="L119" s="56" t="inlineStr">
        <is>
          <t>—</t>
        </is>
      </c>
      <c r="M119" s="57" t="inlineStr">
        <is>
          <t>真實瀏覽器觸發預警派發後讀洞察管線頁首與 API</t>
        </is>
      </c>
      <c r="N119" s="5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57" t="inlineStr">
        <is>
          <t>7 卡／$0.0005979（應 $0.0050487）</t>
        </is>
      </c>
      <c r="P119" s="57" t="inlineStr">
        <is>
          <t>FAIL</t>
        </is>
      </c>
      <c r="Q119" s="57" t="inlineStr">
        <is>
          <t>開 DEF-058</t>
        </is>
      </c>
      <c r="R119" s="57" t="inlineStr">
        <is>
          <t>檢驗方 2026-09-24</t>
        </is>
      </c>
    </row>
    <row r="120" ht="15" customHeight="1" s="34">
      <c r="A120" s="51" t="inlineStr">
        <is>
          <t>R3</t>
        </is>
      </c>
      <c r="B120" s="51" t="inlineStr">
        <is>
          <t>DEF-059</t>
        </is>
      </c>
      <c r="C120" s="51" t="inlineStr">
        <is>
          <t>H-04</t>
        </is>
      </c>
      <c r="D120" s="51" t="inlineStr">
        <is>
          <t>2026-09-24</t>
        </is>
      </c>
      <c r="E120" s="56" t="inlineStr">
        <is>
          <t>—（本輪由檢驗方發現／Owner 裁定）</t>
        </is>
      </c>
      <c r="F120" s="56" t="inlineStr">
        <is>
          <t>—</t>
        </is>
      </c>
      <c r="G120" s="56" t="inlineStr">
        <is>
          <t>—</t>
        </is>
      </c>
      <c r="H120" s="56" t="inlineStr">
        <is>
          <t>—</t>
        </is>
      </c>
      <c r="I120" s="56" t="inlineStr">
        <is>
          <t>—</t>
        </is>
      </c>
      <c r="J120" s="56" t="inlineStr">
        <is>
          <t>—</t>
        </is>
      </c>
      <c r="K120" s="56" t="inlineStr">
        <is>
          <t>—</t>
        </is>
      </c>
      <c r="L120" s="56" t="inlineStr">
        <is>
          <t>—</t>
        </is>
      </c>
      <c r="M120" s="57" t="inlineStr">
        <is>
          <t>讀開發者交接決策項＋讀碼</t>
        </is>
      </c>
      <c r="N120" s="57" t="inlineStr">
        <is>
          <t>規格未定→owner 已裁定</t>
        </is>
      </c>
      <c r="O120" s="57" t="inlineStr">
        <is>
          <t>—</t>
        </is>
      </c>
      <c r="P120" s="57" t="inlineStr">
        <is>
          <t>待裁定</t>
        </is>
      </c>
      <c r="Q120" s="57" t="inlineStr">
        <is>
          <t>開 DEF-059，owner 已裁定</t>
        </is>
      </c>
      <c r="R120" s="57" t="inlineStr">
        <is>
          <t>檢驗方 2026-09-24</t>
        </is>
      </c>
    </row>
    <row r="121" ht="15" customHeight="1" s="34">
      <c r="A121" s="51" t="inlineStr">
        <is>
          <t>R3</t>
        </is>
      </c>
      <c r="B121" s="51" t="inlineStr">
        <is>
          <t>DEF-060</t>
        </is>
      </c>
      <c r="C121" s="51" t="inlineStr">
        <is>
          <t>D-10</t>
        </is>
      </c>
      <c r="D121" s="51" t="inlineStr">
        <is>
          <t>2026-09-24</t>
        </is>
      </c>
      <c r="E121" s="56" t="inlineStr">
        <is>
          <t>—（本輪由檢驗方發現／Owner 裁定）</t>
        </is>
      </c>
      <c r="F121" s="56" t="inlineStr">
        <is>
          <t>—</t>
        </is>
      </c>
      <c r="G121" s="56" t="inlineStr">
        <is>
          <t>—</t>
        </is>
      </c>
      <c r="H121" s="56" t="inlineStr">
        <is>
          <t>—</t>
        </is>
      </c>
      <c r="I121" s="56" t="inlineStr">
        <is>
          <t>—</t>
        </is>
      </c>
      <c r="J121" s="56" t="inlineStr">
        <is>
          <t>—</t>
        </is>
      </c>
      <c r="K121" s="56" t="inlineStr">
        <is>
          <t>—</t>
        </is>
      </c>
      <c r="L121" s="56" t="inlineStr">
        <is>
          <t>—</t>
        </is>
      </c>
      <c r="M121" s="57" t="inlineStr">
        <is>
          <t>讀開發者交接決策項</t>
        </is>
      </c>
      <c r="N121" s="57" t="inlineStr">
        <is>
          <t>規格未定→owner 已裁定</t>
        </is>
      </c>
      <c r="O121" s="57" t="inlineStr">
        <is>
          <t>—</t>
        </is>
      </c>
      <c r="P121" s="57" t="inlineStr">
        <is>
          <t>待裁定</t>
        </is>
      </c>
      <c r="Q121" s="57" t="inlineStr">
        <is>
          <t>開 DEF-060，owner 已裁定</t>
        </is>
      </c>
      <c r="R121" s="57" t="inlineStr">
        <is>
          <t>檢驗方 2026-09-24</t>
        </is>
      </c>
    </row>
    <row r="122" ht="15" customHeight="1" s="34">
      <c r="A122" s="51" t="inlineStr">
        <is>
          <t>R3</t>
        </is>
      </c>
      <c r="B122" s="51" t="inlineStr">
        <is>
          <t>DEF-061</t>
        </is>
      </c>
      <c r="C122" s="51" t="inlineStr">
        <is>
          <t>C-02</t>
        </is>
      </c>
      <c r="D122" s="51" t="inlineStr">
        <is>
          <t>2026-09-24</t>
        </is>
      </c>
      <c r="E122" s="56" t="inlineStr">
        <is>
          <t>—（本輪由檢驗方發現／Owner 裁定）</t>
        </is>
      </c>
      <c r="F122" s="56" t="inlineStr">
        <is>
          <t>—</t>
        </is>
      </c>
      <c r="G122" s="56" t="inlineStr">
        <is>
          <t>—</t>
        </is>
      </c>
      <c r="H122" s="56" t="inlineStr">
        <is>
          <t>—</t>
        </is>
      </c>
      <c r="I122" s="56" t="inlineStr">
        <is>
          <t>—</t>
        </is>
      </c>
      <c r="J122" s="56" t="inlineStr">
        <is>
          <t>—</t>
        </is>
      </c>
      <c r="K122" s="56" t="inlineStr">
        <is>
          <t>—</t>
        </is>
      </c>
      <c r="L122" s="56" t="inlineStr">
        <is>
          <t>—</t>
        </is>
      </c>
      <c r="M122" s="57" t="inlineStr">
        <is>
          <t>讀開發者交接決策項＋讀碼</t>
        </is>
      </c>
      <c r="N122" s="57" t="inlineStr">
        <is>
          <t>觀察：更正門與新增門規則不同
判定：FAIL（低）</t>
        </is>
      </c>
      <c r="O122" s="57" t="inlineStr">
        <is>
          <t>—</t>
        </is>
      </c>
      <c r="P122" s="57" t="inlineStr">
        <is>
          <t>待裁定</t>
        </is>
      </c>
      <c r="Q122" s="57" t="inlineStr">
        <is>
          <t>開 DEF-061，owner 已裁定</t>
        </is>
      </c>
      <c r="R122" s="57" t="inlineStr">
        <is>
          <t>檢驗方 2026-09-24</t>
        </is>
      </c>
    </row>
    <row r="123" ht="220" customHeight="1" s="34">
      <c r="A123" s="51" t="inlineStr">
        <is>
          <t>R4</t>
        </is>
      </c>
      <c r="B123" s="51" t="inlineStr">
        <is>
          <t>DEF-040</t>
        </is>
      </c>
      <c r="C123" s="51" t="inlineStr">
        <is>
          <t>D-10</t>
        </is>
      </c>
      <c r="D123" s="51" t="inlineStr">
        <is>
          <t>2026-09-25</t>
        </is>
      </c>
      <c r="E123" s="56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5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5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5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5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56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56" t="inlineStr">
        <is>
          <t>1ee7771（已部署 demo）</t>
        </is>
      </c>
      <c r="L12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57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57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57" t="inlineStr">
        <is>
          <t>有報價的日期不寫入、存前即說明；存檔與刪除後價格列逐字不變；cmp D040R4 same:true</t>
        </is>
      </c>
      <c r="P123" s="57" t="inlineStr">
        <is>
          <t>複驗通過 → 結案</t>
        </is>
      </c>
      <c r="Q123" s="57" t="inlineStr">
        <is>
          <t>owner 2026-09-25 裁定 ④：R2／R3 留下的孤兒起始價寫清理腳本 → 開 DEF-063</t>
        </is>
      </c>
      <c r="R123" s="57" t="inlineStr">
        <is>
          <t>檢驗方 2026-09-25</t>
        </is>
      </c>
    </row>
    <row r="124" ht="220" customHeight="1" s="34">
      <c r="A124" s="51" t="inlineStr">
        <is>
          <t>R4</t>
        </is>
      </c>
      <c r="B124" s="51" t="inlineStr">
        <is>
          <t>DEF-049</t>
        </is>
      </c>
      <c r="C124" s="51" t="inlineStr">
        <is>
          <t>I-08</t>
        </is>
      </c>
      <c r="D124" s="51" t="inlineStr">
        <is>
          <t>2026-09-25</t>
        </is>
      </c>
      <c r="E124" s="56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5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56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5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56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56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56" t="inlineStr">
        <is>
          <t>1ee7771（已部署 demo）</t>
        </is>
      </c>
      <c r="L12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57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57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57" t="inlineStr">
        <is>
          <t>批次復原與公司行動刪除造成賣超時皆 422＋同款確認框；取消不寫；測畢 cmp D049R4 same:true</t>
        </is>
      </c>
      <c r="P124" s="57" t="inlineStr">
        <is>
          <t>複驗通過 → 結案</t>
        </is>
      </c>
      <c r="Q124" s="57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57" t="inlineStr">
        <is>
          <t>檢驗方 2026-09-25</t>
        </is>
      </c>
    </row>
    <row r="125" ht="220" customHeight="1" s="34">
      <c r="A125" s="51" t="inlineStr">
        <is>
          <t>R4</t>
        </is>
      </c>
      <c r="B125" s="51" t="inlineStr">
        <is>
          <t>DEF-057</t>
        </is>
      </c>
      <c r="C125" s="51" t="inlineStr">
        <is>
          <t>H-03</t>
        </is>
      </c>
      <c r="D125" s="51" t="inlineStr">
        <is>
          <t>2026-09-25</t>
        </is>
      </c>
      <c r="E125" s="56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56" t="inlineStr">
        <is>
          <t>portfolio_dash/llm_insight/system_prompt.py:68；portfolio_dash/news/organizer_prompt.py:83；api/routers/prompts.py:182、:204、:231、:240</t>
        </is>
      </c>
      <c r="G125" s="56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56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56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56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56" t="inlineStr">
        <is>
          <t>1ee7771（已部署 demo）</t>
        </is>
      </c>
      <c r="L12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57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57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57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57" t="inlineStr">
        <is>
          <t>複驗通過 → 結案</t>
        </is>
      </c>
      <c r="Q125" s="57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57" t="inlineStr">
        <is>
          <t>檢驗方 2026-09-25</t>
        </is>
      </c>
    </row>
    <row r="126" ht="220" customHeight="1" s="34">
      <c r="A126" s="51" t="inlineStr">
        <is>
          <t>R4</t>
        </is>
      </c>
      <c r="B126" s="51" t="inlineStr">
        <is>
          <t>DEF-050</t>
        </is>
      </c>
      <c r="C126" s="51" t="inlineStr">
        <is>
          <t>J-05／A-16</t>
        </is>
      </c>
      <c r="D126" s="51" t="inlineStr">
        <is>
          <t>2026-09-25</t>
        </is>
      </c>
      <c r="E126" s="56" t="inlineStr">
        <is>
          <t>同意。真實 Chromium 390×844 實測 scrollWidth 849、clientWidth 333（驗證者量到 349，差在捲軸寬度）。</t>
        </is>
      </c>
      <c r="F126" s="56" t="inlineStr">
        <is>
          <t>web/styles.css:1942-1945</t>
        </is>
      </c>
      <c r="G126" s="5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56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5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56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56" t="inlineStr">
        <is>
          <t>1ee7771（已部署 demo）</t>
        </is>
      </c>
      <c r="L12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57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57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57" t="inlineStr">
        <is>
          <t>390px：57 個副標題 0 截斷、20 頁 0 橫捲；關鍵句全文可見；桌機一行</t>
        </is>
      </c>
      <c r="P126" s="57" t="inlineStr">
        <is>
          <t>複驗通過 → 結案</t>
        </is>
      </c>
      <c r="Q126" s="57" t="inlineStr">
        <is>
          <t>無</t>
        </is>
      </c>
      <c r="R126" s="57" t="inlineStr">
        <is>
          <t>檢驗方 2026-09-25</t>
        </is>
      </c>
    </row>
    <row r="127" ht="220" customHeight="1" s="34">
      <c r="A127" s="51" t="inlineStr">
        <is>
          <t>R4</t>
        </is>
      </c>
      <c r="B127" s="51" t="inlineStr">
        <is>
          <t>DEF-051</t>
        </is>
      </c>
      <c r="C127" s="51" t="inlineStr">
        <is>
          <t>H-04</t>
        </is>
      </c>
      <c r="D127" s="51" t="inlineStr">
        <is>
          <t>2026-09-25</t>
        </is>
      </c>
      <c r="E127" s="56" t="inlineStr">
        <is>
          <t>同意。同頁的啟用與排程時間 toast、每日摘要卡的 toast 也是同一種寫法，一併修。</t>
        </is>
      </c>
      <c r="F127" s="56" t="inlineStr">
        <is>
          <t>web/settings-scheduler.js:548（同類 :466、:490；web/settings-digest.js:95、:135、:153）</t>
        </is>
      </c>
      <c r="G127" s="56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5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5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56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56" t="inlineStr">
        <is>
          <t>1ee7771（已部署 demo）</t>
        </is>
      </c>
      <c r="L127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57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57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57" t="inlineStr">
        <is>
          <t>4 種操作 6 則 toast 皆以名稱為主詞；兩個開關還原後 /api/scheduler/jobs（id、enabled、cron、timezone）與測前逐字相同</t>
        </is>
      </c>
      <c r="P127" s="57" t="inlineStr">
        <is>
          <t>複驗通過 → 結案</t>
        </is>
      </c>
      <c r="Q127" s="57" t="inlineStr">
        <is>
          <t>未測：摘要「立即產生」與發送時間編輯（前者會寫入摘要紀錄，後者改排程時間；開發者 e2e 已涵蓋）</t>
        </is>
      </c>
      <c r="R127" s="57" t="inlineStr">
        <is>
          <t>檢驗方 2026-09-25</t>
        </is>
      </c>
    </row>
    <row r="128" ht="220" customHeight="1" s="34">
      <c r="A128" s="51" t="inlineStr">
        <is>
          <t>R4</t>
        </is>
      </c>
      <c r="B128" s="51" t="inlineStr">
        <is>
          <t>DEF-052</t>
        </is>
      </c>
      <c r="C128" s="51" t="inlineStr">
        <is>
          <t>D-10</t>
        </is>
      </c>
      <c r="D128" s="51" t="inlineStr">
        <is>
          <t>2026-09-25</t>
        </is>
      </c>
      <c r="E128" s="56" t="inlineStr">
        <is>
          <t>同意。列印的帳本報告也沒有費用欄，註腳還寫「公司行動不移動現金」，但這筆行動實際上連帶了 50 TWD 出金，一併修。</t>
        </is>
      </c>
      <c r="F128" s="56" t="inlineStr">
        <is>
          <t>web/ledger.js:1119 renderActions 未讀 a.reorg_fee；portfolio_dash/export/ledgers_report.py:372（表格無費用欄）、:384（註腳）</t>
        </is>
      </c>
      <c r="G128" s="56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56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56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56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56" t="inlineStr">
        <is>
          <t>1ee7771（已部署 demo）</t>
        </is>
      </c>
      <c r="L128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57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57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57" t="inlineStr">
        <is>
          <t>帳本列徽章、報告欄位與註腳皆在；刪除後 cmp R4_FX same:true（公司行動 0、資金 34）</t>
        </is>
      </c>
      <c r="P128" s="57" t="inlineStr">
        <is>
          <t>複驗通過 → 結案</t>
        </is>
      </c>
      <c r="Q128" s="57" t="inlineStr">
        <is>
          <t>無</t>
        </is>
      </c>
      <c r="R128" s="57" t="inlineStr">
        <is>
          <t>檢驗方 2026-09-25</t>
        </is>
      </c>
    </row>
    <row r="129" ht="220" customHeight="1" s="34">
      <c r="A129" s="51" t="inlineStr">
        <is>
          <t>R4</t>
        </is>
      </c>
      <c r="B129" s="51" t="inlineStr">
        <is>
          <t>DEF-053</t>
        </is>
      </c>
      <c r="C129" s="51" t="inlineStr">
        <is>
          <t>H-04</t>
        </is>
      </c>
      <c r="D129" s="51" t="inlineStr">
        <is>
          <t>2026-09-25</t>
        </is>
      </c>
      <c r="E129" s="56" t="inlineStr">
        <is>
          <t>同意。類別掃描另找到 6 處同類，其中 R1 閘門訊息把範圍識別字原樣插入（「per_symbol 變數 … 不可用於 portfolio 範圍組合」），一併修。</t>
        </is>
      </c>
      <c r="F129" s="5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56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56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5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56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56" t="inlineStr">
        <is>
          <t>1ee7771（已部署 demo）</t>
        </is>
      </c>
      <c r="L129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57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57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57" t="inlineStr">
        <is>
          <t>toast 與預檢無範圍識別字；任務已刪除；cmp R4_FX same:true</t>
        </is>
      </c>
      <c r="P129" s="57" t="inlineStr">
        <is>
          <t>複驗通過 → 結案</t>
        </is>
      </c>
      <c r="Q129" s="57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57" t="inlineStr">
        <is>
          <t>檢驗方 2026-09-25</t>
        </is>
      </c>
    </row>
    <row r="130" ht="220" customHeight="1" s="34">
      <c r="A130" s="51" t="inlineStr">
        <is>
          <t>R4</t>
        </is>
      </c>
      <c r="B130" s="51" t="inlineStr">
        <is>
          <t>DEF-054</t>
        </is>
      </c>
      <c r="C130" s="51" t="inlineStr">
        <is>
          <t>G-09</t>
        </is>
      </c>
      <c r="D130" s="51" t="inlineStr">
        <is>
          <t>2026-09-25</t>
        </is>
      </c>
      <c r="E130" s="56" t="inlineStr">
        <is>
          <t>同意，依 owner 裁定刪除。刪除前先以內容（代號、標題、日期）從資料庫重新確認對象，不以編號為準。</t>
        </is>
      </c>
      <c r="F130" s="56" t="inlineStr">
        <is>
          <t>demo 資料 insights #97（依附評分列 insight_evaluations #65）</t>
        </is>
      </c>
      <c r="G130" s="56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56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56" t="inlineStr">
        <is>
          <t>demo 上 symbol 含 moomoo 的卡 刪除前 共 1（#97）／刪除 1／白名單 0；刪除後 0 張</t>
        </is>
      </c>
      <c r="J130" s="56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56" t="inlineStr">
        <is>
          <t>1ee7771（已部署 demo）</t>
        </is>
      </c>
      <c r="L130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57" t="inlineStr">
        <is>
          <t>真實瀏覽器讀 /api/insights 全量（limit 300）、/api/ai-score；AI 洞察頁以 moomoo 搜尋卡片</t>
        </is>
      </c>
      <c r="N130" s="57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57" t="inlineStr">
        <is>
          <t>#97 不存在、moomoo 卡 0、評分 totals 不變（n 94）</t>
        </is>
      </c>
      <c r="P130" s="57" t="inlineStr">
        <is>
          <t>複驗通過 → 結案</t>
        </is>
      </c>
      <c r="Q130" s="57" t="inlineStr">
        <is>
          <t>無</t>
        </is>
      </c>
      <c r="R130" s="57" t="inlineStr">
        <is>
          <t>檢驗方 2026-09-25</t>
        </is>
      </c>
    </row>
    <row r="131" ht="220" customHeight="1" s="34">
      <c r="A131" s="51" t="inlineStr">
        <is>
          <t>R4</t>
        </is>
      </c>
      <c r="B131" s="51" t="inlineStr">
        <is>
          <t>DEF-055</t>
        </is>
      </c>
      <c r="C131" s="51" t="inlineStr">
        <is>
          <t>B-16</t>
        </is>
      </c>
      <c r="D131" s="51" t="inlineStr">
        <is>
          <t>2026-09-25</t>
        </is>
      </c>
      <c r="E131" s="56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56" t="inlineStr">
        <is>
          <t>portfolio_dash/api/routers/input_center.py:957-958（預覽的 rebate_estimate 讀 rule.discount）</t>
        </is>
      </c>
      <c r="G131" s="5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56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56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56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56" t="inlineStr">
        <is>
          <t>1ee7771（已部署 demo）</t>
        </is>
      </c>
      <c r="L131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57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57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57" t="inlineStr">
        <is>
          <t>#33／#44 已清；雙重優惠列 0；#29 編輯預覽 rebate_estimate null；取消未寫入</t>
        </is>
      </c>
      <c r="P131" s="57" t="inlineStr">
        <is>
          <t>複驗通過 → 結案</t>
        </is>
      </c>
      <c r="Q131" s="57" t="inlineStr">
        <is>
          <t>無</t>
        </is>
      </c>
      <c r="R131" s="57" t="inlineStr">
        <is>
          <t>檢驗方 2026-09-25</t>
        </is>
      </c>
    </row>
    <row r="132" ht="220" customHeight="1" s="34">
      <c r="A132" s="51" t="inlineStr">
        <is>
          <t>R4</t>
        </is>
      </c>
      <c r="B132" s="51" t="inlineStr">
        <is>
          <t>DEF-056</t>
        </is>
      </c>
      <c r="C132" s="51" t="inlineStr">
        <is>
          <t>B-17</t>
        </is>
      </c>
      <c r="D132" s="51" t="inlineStr">
        <is>
          <t>2026-09-25</t>
        </is>
      </c>
      <c r="E132" s="56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5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56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5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56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56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56" t="inlineStr">
        <is>
          <t>1ee7771（已部署 demo）</t>
        </is>
      </c>
      <c r="L132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57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57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57" t="inlineStr">
        <is>
          <t>估值六段不變、兩個列表與列印報告有標示；畫面上的現金收支明細未標示未來列；測畢 cmp D056R4 same:true</t>
        </is>
      </c>
      <c r="P132" s="57" t="inlineStr">
        <is>
          <t>部分通過</t>
        </is>
      </c>
      <c r="Q132" s="57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57" t="inlineStr">
        <is>
          <t>檢驗方 2026-09-25</t>
        </is>
      </c>
    </row>
    <row r="133" ht="220" customHeight="1" s="34">
      <c r="A133" s="51" t="inlineStr">
        <is>
          <t>R4</t>
        </is>
      </c>
      <c r="B133" s="51" t="inlineStr">
        <is>
          <t>DEF-058</t>
        </is>
      </c>
      <c r="C133" s="51" t="inlineStr">
        <is>
          <t>H-04</t>
        </is>
      </c>
      <c r="D133" s="51" t="inlineStr">
        <is>
          <t>2026-09-25</t>
        </is>
      </c>
      <c r="E133" s="56" t="inlineStr">
        <is>
          <t>同意。卡數與成本用了兩種口徑。</t>
        </is>
      </c>
      <c r="F133" s="56" t="inlineStr">
        <is>
          <t>portfolio_dash/api/insight_service.py:1174、:1185（卡數在 :1179）</t>
        </is>
      </c>
      <c r="G133" s="56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56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5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56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56" t="inlineStr">
        <is>
          <t>1ee7771（已部署 demo）</t>
        </is>
      </c>
      <c r="L13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57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57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57" t="inlineStr">
        <is>
          <t>last_batch 3 卡／$0.0022367／1 run，三方相符；頁首顯示一致</t>
        </is>
      </c>
      <c r="P133" s="57" t="inlineStr">
        <is>
          <t>複驗通過 → 結案</t>
        </is>
      </c>
      <c r="Q133" s="57" t="inlineStr">
        <is>
          <t>觀察：/api/insight-tasks/status 單次約 5.6 秒，頁首要 18 秒才出現（多個請求排隊時更久）；不影響正確性，列為觀察</t>
        </is>
      </c>
      <c r="R133" s="57" t="inlineStr">
        <is>
          <t>檢驗方 2026-09-25</t>
        </is>
      </c>
    </row>
    <row r="134" ht="220" customHeight="1" s="34">
      <c r="A134" s="51" t="inlineStr">
        <is>
          <t>R4</t>
        </is>
      </c>
      <c r="B134" s="51" t="inlineStr">
        <is>
          <t>DEF-059</t>
        </is>
      </c>
      <c r="C134" s="51" t="inlineStr">
        <is>
          <t>H-04</t>
        </is>
      </c>
      <c r="D134" s="51" t="inlineStr">
        <is>
          <t>2026-09-25</t>
        </is>
      </c>
      <c r="E134" s="56" t="inlineStr">
        <is>
          <t>同意，依 owner 裁定排除已封存標的。後端與前端各有一份宇宙規則，兩份都含封存。</t>
        </is>
      </c>
      <c r="F134" s="56" t="inlineStr">
        <is>
          <t>portfolio_dash/api/insight_service.py:152（另 :170、:1267 兩份複本）；web/pipeline.js:176</t>
        </is>
      </c>
      <c r="G134" s="5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56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56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56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56" t="inlineStr">
        <is>
          <t>1ee7771（已部署 demo）</t>
        </is>
      </c>
      <c r="L13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57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57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57" t="inlineStr">
        <is>
          <t>26 → 25（隱藏 2449）→ 26（還原）；精靈檔數與預估同步</t>
        </is>
      </c>
      <c r="P134" s="57" t="inlineStr">
        <is>
          <t>複驗通過 → 結案</t>
        </is>
      </c>
      <c r="Q134" s="57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57" t="inlineStr">
        <is>
          <t>檢驗方 2026-09-25</t>
        </is>
      </c>
    </row>
    <row r="135" ht="220" customHeight="1" s="34">
      <c r="A135" s="51" t="inlineStr">
        <is>
          <t>R4</t>
        </is>
      </c>
      <c r="B135" s="51" t="inlineStr">
        <is>
          <t>DEF-060</t>
        </is>
      </c>
      <c r="C135" s="51" t="inlineStr">
        <is>
          <t>D-10</t>
        </is>
      </c>
      <c r="D135" s="51" t="inlineStr">
        <is>
          <t>2026-09-25</t>
        </is>
      </c>
      <c r="E135" s="56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56" t="inlineStr">
        <is>
          <t>portfolio_dash/api/routers/ledgers.py:2169 `return {"ok": True, "id": action_id, "prices_restated": restated,`（edit_corporate_action :2055 起，無起始價處理）</t>
        </is>
      </c>
      <c r="G135" s="56" t="inlineStr">
        <is>
          <t>沒有守門：R3 的 DEF-040 測試只涵蓋 POST 與 DELETE，沒有 PUT。新增契約 11 則＋e2e 1 則。</t>
        </is>
      </c>
      <c r="H135" s="56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5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56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56" t="inlineStr">
        <is>
          <t>1ee7771（已部署 demo）</t>
        </is>
      </c>
      <c r="L13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57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57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57" t="inlineStr">
        <is>
          <t>搬移、跳過與移除皆依規則並有說明；刪除後 cmp D040R4 same:true</t>
        </is>
      </c>
      <c r="P135" s="57" t="inlineStr">
        <is>
          <t>複驗通過 → 結案</t>
        </is>
      </c>
      <c r="Q135" s="57" t="inlineStr">
        <is>
          <t>owner 決策項 ⑤（新日期已有正式報價時，舊日期起始價移除而不保留）：2026-09-25 裁定維持本輪實作，不開單</t>
        </is>
      </c>
      <c r="R135" s="57" t="inlineStr">
        <is>
          <t>檢驗方 2026-09-25</t>
        </is>
      </c>
    </row>
    <row r="136" ht="220" customHeight="1" s="34">
      <c r="A136" s="51" t="inlineStr">
        <is>
          <t>R4</t>
        </is>
      </c>
      <c r="B136" s="51" t="inlineStr">
        <is>
          <t>DEF-061</t>
        </is>
      </c>
      <c r="C136" s="51" t="inlineStr">
        <is>
          <t>C-02</t>
        </is>
      </c>
      <c r="D136" s="51" t="inlineStr">
        <is>
          <t>2026-09-25</t>
        </is>
      </c>
      <c r="E136" s="56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56" t="inlineStr">
        <is>
          <t>portfolio_dash/api/routers/ledgers.py:800（只做金額守恆）、:793（型別字串）、:770（withhold 必填）；web/ledger.js:679（空白送 '0'）</t>
        </is>
      </c>
      <c r="G136" s="56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5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56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56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56" t="inlineStr">
        <is>
          <t>1ee7771（已部署 demo）</t>
        </is>
      </c>
      <c r="L13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57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57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57" t="inlineStr">
        <is>
          <t>軟性 1 項需勾選才可存；硬性 1 項 PUT 400；兩道門判定相同；帳本未變</t>
        </is>
      </c>
      <c r="P136" s="57" t="inlineStr">
        <is>
          <t>複驗通過 → 結案</t>
        </is>
      </c>
      <c r="Q136" s="57" t="inlineStr">
        <is>
          <t>owner 2026-09-25 裁定 ⑥：股利新增門的市場一致性檢查維持現狀，不開單</t>
        </is>
      </c>
      <c r="R136" s="57" t="inlineStr">
        <is>
          <t>檢驗方 2026-09-25</t>
        </is>
      </c>
    </row>
    <row r="137" ht="220" customHeight="1" s="34">
      <c r="A137" s="51" t="inlineStr">
        <is>
          <t>R4</t>
        </is>
      </c>
      <c r="B137" s="51" t="inlineStr">
        <is>
          <t>DEF-062</t>
        </is>
      </c>
      <c r="C137" s="51" t="inlineStr">
        <is>
          <t>H-04</t>
        </is>
      </c>
      <c r="D137" s="51" t="inlineStr">
        <is>
          <t>2026-09-25</t>
        </is>
      </c>
      <c r="E137" s="56" t="inlineStr">
        <is>
          <t>—（本輪由檢驗方發現／Owner 裁定）</t>
        </is>
      </c>
      <c r="F137" s="56" t="inlineStr">
        <is>
          <t>—</t>
        </is>
      </c>
      <c r="G137" s="56" t="inlineStr">
        <is>
          <t>—</t>
        </is>
      </c>
      <c r="H137" s="56" t="inlineStr">
        <is>
          <t>—</t>
        </is>
      </c>
      <c r="I137" s="56" t="inlineStr">
        <is>
          <t>—</t>
        </is>
      </c>
      <c r="J137" s="56" t="inlineStr">
        <is>
          <t>—</t>
        </is>
      </c>
      <c r="K137" s="56" t="inlineStr">
        <is>
          <t>—</t>
        </is>
      </c>
      <c r="L137" s="56" t="inlineStr">
        <is>
          <t>—</t>
        </is>
      </c>
      <c r="M137" s="57" t="inlineStr">
        <is>
          <t>真實瀏覽器走精靈至監聽規則，讀 15 個 label 的文字與 value</t>
        </is>
      </c>
      <c r="N137" s="57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57" t="inlineStr">
        <is>
          <t>15 條中 8 條顯示 id</t>
        </is>
      </c>
      <c r="P137" s="57" t="inlineStr">
        <is>
          <t>FAIL</t>
        </is>
      </c>
      <c r="Q137" s="57" t="inlineStr">
        <is>
          <t>開 DEF-062</t>
        </is>
      </c>
      <c r="R137" s="57" t="inlineStr">
        <is>
          <t>檢驗方 2026-09-25</t>
        </is>
      </c>
    </row>
    <row r="138" ht="220" customHeight="1" s="34">
      <c r="A138" s="51" t="inlineStr">
        <is>
          <t>R4</t>
        </is>
      </c>
      <c r="B138" s="51" t="inlineStr">
        <is>
          <t>DEF-063</t>
        </is>
      </c>
      <c r="C138" s="51" t="inlineStr">
        <is>
          <t>D-10</t>
        </is>
      </c>
      <c r="D138" s="51" t="inlineStr">
        <is>
          <t>2026-09-25</t>
        </is>
      </c>
      <c r="E138" s="56" t="inlineStr">
        <is>
          <t>—（本輪由檢驗方發現／Owner 裁定）</t>
        </is>
      </c>
      <c r="F138" s="56" t="inlineStr">
        <is>
          <t>—</t>
        </is>
      </c>
      <c r="G138" s="56" t="inlineStr">
        <is>
          <t>—</t>
        </is>
      </c>
      <c r="H138" s="56" t="inlineStr">
        <is>
          <t>—</t>
        </is>
      </c>
      <c r="I138" s="56" t="inlineStr">
        <is>
          <t>—</t>
        </is>
      </c>
      <c r="J138" s="56" t="inlineStr">
        <is>
          <t>—</t>
        </is>
      </c>
      <c r="K138" s="56" t="inlineStr">
        <is>
          <t>—</t>
        </is>
      </c>
      <c r="L138" s="56" t="inlineStr">
        <is>
          <t>—</t>
        </is>
      </c>
      <c r="M138" s="57" t="inlineStr">
        <is>
          <t>讀開發者交接決策項＋讀碼 pricing/seed.py</t>
        </is>
      </c>
      <c r="N138" s="57" t="inlineStr">
        <is>
          <t>規格未定→owner 已裁定（資料殘留）</t>
        </is>
      </c>
      <c r="O138" s="57" t="inlineStr">
        <is>
          <t>—</t>
        </is>
      </c>
      <c r="P138" s="57" t="inlineStr">
        <is>
          <t>待裁定</t>
        </is>
      </c>
      <c r="Q138" s="57" t="inlineStr">
        <is>
          <t>開 DEF-063，owner 已裁定寫清理腳本</t>
        </is>
      </c>
      <c r="R138" s="57" t="inlineStr">
        <is>
          <t>檢驗方 2026-09-25</t>
        </is>
      </c>
    </row>
    <row r="139" ht="220" customHeight="1" s="34">
      <c r="A139" s="51" t="inlineStr">
        <is>
          <t>R4</t>
        </is>
      </c>
      <c r="B139" s="51" t="inlineStr">
        <is>
          <t>DEF-064</t>
        </is>
      </c>
      <c r="C139" s="51" t="inlineStr">
        <is>
          <t>H-04</t>
        </is>
      </c>
      <c r="D139" s="51" t="inlineStr">
        <is>
          <t>2026-09-25</t>
        </is>
      </c>
      <c r="E139" s="56" t="inlineStr">
        <is>
          <t>—（本輪由檢驗方發現／Owner 裁定）</t>
        </is>
      </c>
      <c r="F139" s="56" t="inlineStr">
        <is>
          <t>—</t>
        </is>
      </c>
      <c r="G139" s="56" t="inlineStr">
        <is>
          <t>—</t>
        </is>
      </c>
      <c r="H139" s="56" t="inlineStr">
        <is>
          <t>—</t>
        </is>
      </c>
      <c r="I139" s="56" t="inlineStr">
        <is>
          <t>—</t>
        </is>
      </c>
      <c r="J139" s="56" t="inlineStr">
        <is>
          <t>—</t>
        </is>
      </c>
      <c r="K139" s="56" t="inlineStr">
        <is>
          <t>—</t>
        </is>
      </c>
      <c r="L139" s="56" t="inlineStr">
        <is>
          <t>—</t>
        </is>
      </c>
      <c r="M139" s="57" t="inlineStr">
        <is>
          <t>讀開發者交接決策項＋讀碼</t>
        </is>
      </c>
      <c r="N139" s="57" t="inlineStr">
        <is>
          <t>規格未定→owner 已裁定</t>
        </is>
      </c>
      <c r="O139" s="57" t="inlineStr">
        <is>
          <t>—</t>
        </is>
      </c>
      <c r="P139" s="57" t="inlineStr">
        <is>
          <t>待裁定</t>
        </is>
      </c>
      <c r="Q139" s="57" t="inlineStr">
        <is>
          <t>開 DEF-064，owner 已裁定全部排除</t>
        </is>
      </c>
      <c r="R139" s="57" t="inlineStr">
        <is>
          <t>檢驗方 2026-09-25</t>
        </is>
      </c>
    </row>
    <row r="140" ht="220" customHeight="1" s="34">
      <c r="A140" s="51" t="inlineStr">
        <is>
          <t>R4</t>
        </is>
      </c>
      <c r="B140" s="51" t="inlineStr">
        <is>
          <t>DEF-065</t>
        </is>
      </c>
      <c r="C140" s="51" t="inlineStr">
        <is>
          <t>J-06</t>
        </is>
      </c>
      <c r="D140" s="51" t="inlineStr">
        <is>
          <t>2026-09-25</t>
        </is>
      </c>
      <c r="E140" s="56" t="inlineStr">
        <is>
          <t>—（本輪由檢驗方發現／Owner 裁定）</t>
        </is>
      </c>
      <c r="F140" s="56" t="inlineStr">
        <is>
          <t>—</t>
        </is>
      </c>
      <c r="G140" s="56" t="inlineStr">
        <is>
          <t>—</t>
        </is>
      </c>
      <c r="H140" s="56" t="inlineStr">
        <is>
          <t>—</t>
        </is>
      </c>
      <c r="I140" s="56" t="inlineStr">
        <is>
          <t>—</t>
        </is>
      </c>
      <c r="J140" s="56" t="inlineStr">
        <is>
          <t>—</t>
        </is>
      </c>
      <c r="K140" s="56" t="inlineStr">
        <is>
          <t>—</t>
        </is>
      </c>
      <c r="L140" s="56" t="inlineStr">
        <is>
          <t>—</t>
        </is>
      </c>
      <c r="M140" s="57" t="inlineStr">
        <is>
          <t>repo 1ee7771 e2e 全套 ×3、單獨重跑、壓力重跑、並發探測；以 page.on("response") 記錄 5xx</t>
        </is>
      </c>
      <c r="N140" s="57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57" t="inlineStr">
        <is>
          <t>全套 287/1、287/2、289/0；5xx 1 筆（GET /api/ui-prefs）</t>
        </is>
      </c>
      <c r="P140" s="57" t="inlineStr">
        <is>
          <t>FAIL</t>
        </is>
      </c>
      <c r="Q140" s="57" t="inlineStr">
        <is>
          <t>開 DEF-065</t>
        </is>
      </c>
      <c r="R140" s="57" t="inlineStr">
        <is>
          <t>檢驗方 2026-09-25</t>
        </is>
      </c>
    </row>
    <row r="141" ht="220" customHeight="1" s="34">
      <c r="A141" s="33" t="inlineStr">
        <is>
          <t>R5</t>
        </is>
      </c>
      <c r="B141" s="33" t="inlineStr">
        <is>
          <t>DEF-056</t>
        </is>
      </c>
      <c r="C141" s="33" t="inlineStr">
        <is>
          <t>B-17</t>
        </is>
      </c>
      <c r="D141" s="33" t="inlineStr">
        <is>
          <t>2026-09-25</t>
        </is>
      </c>
      <c r="E141" s="33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33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33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33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33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33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33" t="inlineStr">
        <is>
          <t>3be67db（已部署 demo）</t>
        </is>
      </c>
      <c r="L141" s="33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33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33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33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33" t="inlineStr">
        <is>
          <t>複驗通過 → 結案</t>
        </is>
      </c>
      <c r="Q141" s="33" t="inlineStr">
        <is>
          <t>觀察：寫入未來股利期間收件匣由 7 變 6（該筆被視為已記入），刪除後回到 7，行為一致</t>
        </is>
      </c>
      <c r="R141" s="33" t="inlineStr">
        <is>
          <t>檢驗方 2026-09-25</t>
        </is>
      </c>
    </row>
    <row r="142" ht="220" customHeight="1" s="34">
      <c r="A142" s="51" t="inlineStr">
        <is>
          <t>R5</t>
        </is>
      </c>
      <c r="B142" s="51" t="inlineStr">
        <is>
          <t>DEF-065</t>
        </is>
      </c>
      <c r="C142" s="51" t="inlineStr">
        <is>
          <t>J-06</t>
        </is>
      </c>
      <c r="D142" s="51" t="inlineStr">
        <is>
          <t>2026-09-25</t>
        </is>
      </c>
      <c r="E142" s="56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56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56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56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56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56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56" t="inlineStr">
        <is>
          <t>3be67db（已部署 demo）</t>
        </is>
      </c>
      <c r="L142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57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57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57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57" t="inlineStr">
        <is>
          <t>複驗通過 → 結案</t>
        </is>
      </c>
      <c r="Q142" s="57" t="inlineStr">
        <is>
          <t>同類：開發者稱 81 個 GET 中 22 個原本會寫入；驗證者抽驗 /api/insight-tasks/status 並發 10 個全 200（R4 量到約 5.6 秒，本輪 812 ms）</t>
        </is>
      </c>
      <c r="R142" s="57" t="inlineStr">
        <is>
          <t>檢驗方 2026-09-25</t>
        </is>
      </c>
    </row>
    <row r="143" ht="220" customHeight="1" s="34">
      <c r="A143" s="51" t="inlineStr">
        <is>
          <t>R5</t>
        </is>
      </c>
      <c r="B143" s="51" t="inlineStr">
        <is>
          <t>DEF-062</t>
        </is>
      </c>
      <c r="C143" s="51" t="inlineStr">
        <is>
          <t>H-04</t>
        </is>
      </c>
      <c r="D143" s="51" t="inlineStr">
        <is>
          <t>2026-09-25</t>
        </is>
      </c>
      <c r="E143" s="56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56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56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56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56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56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56" t="inlineStr">
        <is>
          <t>3be67db（已部署 demo）</t>
        </is>
      </c>
      <c r="L143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57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57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57" t="inlineStr">
        <is>
          <t>精靈 15/15 中文且與 API／預警規則頁逐字相同；排程明細與卡片晶片皆為中文</t>
        </is>
      </c>
      <c r="P143" s="57" t="inlineStr">
        <is>
          <t>複驗通過 → 結案</t>
        </is>
      </c>
      <c r="Q143" s="57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57" t="inlineStr">
        <is>
          <t>檢驗方 2026-09-25</t>
        </is>
      </c>
    </row>
    <row r="144" ht="220" customHeight="1" s="34">
      <c r="A144" s="51" t="inlineStr">
        <is>
          <t>R5</t>
        </is>
      </c>
      <c r="B144" s="51" t="inlineStr">
        <is>
          <t>DEF-064</t>
        </is>
      </c>
      <c r="C144" s="51" t="inlineStr">
        <is>
          <t>H-04</t>
        </is>
      </c>
      <c r="D144" s="51" t="inlineStr">
        <is>
          <t>2026-09-25</t>
        </is>
      </c>
      <c r="E144" s="56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56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56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56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56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56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56" t="inlineStr">
        <is>
          <t>3be67db（已部署 demo）</t>
        </is>
      </c>
      <c r="L144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57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57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57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57" t="inlineStr">
        <is>
          <t>複驗通過 → 結案</t>
        </is>
      </c>
      <c r="Q144" s="57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57" t="inlineStr">
        <is>
          <t>檢驗方 2026-09-25</t>
        </is>
      </c>
    </row>
    <row r="145" ht="220" customHeight="1" s="34">
      <c r="A145" s="51" t="inlineStr">
        <is>
          <t>R5</t>
        </is>
      </c>
      <c r="B145" s="51" t="inlineStr">
        <is>
          <t>DEF-063</t>
        </is>
      </c>
      <c r="C145" s="51" t="inlineStr">
        <is>
          <t>D-10</t>
        </is>
      </c>
      <c r="D145" s="51" t="inlineStr">
        <is>
          <t>2026-09-25</t>
        </is>
      </c>
      <c r="E145" s="56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56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56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56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56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56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56" t="inlineStr">
        <is>
          <t>3be67db（已部署 demo）</t>
        </is>
      </c>
      <c r="L145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57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57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57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57" t="inlineStr">
        <is>
          <t>複驗通過 → 結案</t>
        </is>
      </c>
      <c r="Q145" s="57" t="inlineStr">
        <is>
          <t>無</t>
        </is>
      </c>
      <c r="R145" s="57" t="inlineStr">
        <is>
          <t>檢驗方 2026-09-25</t>
        </is>
      </c>
    </row>
    <row r="146" ht="220" customHeight="1" s="34">
      <c r="A146" s="51" t="inlineStr">
        <is>
          <t>R5</t>
        </is>
      </c>
      <c r="B146" s="51" t="inlineStr">
        <is>
          <t>DEF-066</t>
        </is>
      </c>
      <c r="C146" s="51" t="inlineStr">
        <is>
          <t>G-09</t>
        </is>
      </c>
      <c r="D146" s="51" t="inlineStr">
        <is>
          <t>2026-09-25</t>
        </is>
      </c>
      <c r="E146" s="56" t="inlineStr">
        <is>
          <t>—（本輪由檢驗方發現）</t>
        </is>
      </c>
      <c r="F146" s="56" t="inlineStr">
        <is>
          <t>—</t>
        </is>
      </c>
      <c r="G146" s="56" t="inlineStr">
        <is>
          <t>—</t>
        </is>
      </c>
      <c r="H146" s="56" t="inlineStr">
        <is>
          <t>—</t>
        </is>
      </c>
      <c r="I146" s="56" t="inlineStr">
        <is>
          <t>—</t>
        </is>
      </c>
      <c r="J146" s="56" t="inlineStr">
        <is>
          <t>—</t>
        </is>
      </c>
      <c r="K146" s="56" t="inlineStr">
        <is>
          <t>—</t>
        </is>
      </c>
      <c r="L146" s="56" t="inlineStr">
        <is>
          <t>—</t>
        </is>
      </c>
      <c r="M146" s="57" t="inlineStr">
        <is>
          <t>demo 真實瀏覽器：排程中心 alert_scan 立即執行 → 讀 insight:9 各 run 狀態與明細；本機 venv 檢查相依</t>
        </is>
      </c>
      <c r="N146" s="57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57" t="inlineStr">
        <is>
          <t>3/7 run partial；明細為英文例外原文</t>
        </is>
      </c>
      <c r="P146" s="57" t="inlineStr">
        <is>
          <t>FAIL</t>
        </is>
      </c>
      <c r="Q146" s="57" t="inlineStr">
        <is>
          <t>開 DEF-066</t>
        </is>
      </c>
      <c r="R146" s="57" t="inlineStr">
        <is>
          <t>檢驗方 2026-09-25</t>
        </is>
      </c>
    </row>
    <row r="147" ht="220" customHeight="1" s="34">
      <c r="A147" s="51" t="inlineStr">
        <is>
          <t>R5</t>
        </is>
      </c>
      <c r="B147" s="51" t="inlineStr">
        <is>
          <t>DEF-067</t>
        </is>
      </c>
      <c r="C147" s="51" t="inlineStr">
        <is>
          <t>E-05</t>
        </is>
      </c>
      <c r="D147" s="51" t="inlineStr">
        <is>
          <t>2026-09-25</t>
        </is>
      </c>
      <c r="E147" s="56" t="inlineStr">
        <is>
          <t>—（本輪由檢驗方發現）</t>
        </is>
      </c>
      <c r="F147" s="56" t="inlineStr">
        <is>
          <t>—</t>
        </is>
      </c>
      <c r="G147" s="56" t="inlineStr">
        <is>
          <t>—</t>
        </is>
      </c>
      <c r="H147" s="56" t="inlineStr">
        <is>
          <t>—</t>
        </is>
      </c>
      <c r="I147" s="56" t="inlineStr">
        <is>
          <t>—</t>
        </is>
      </c>
      <c r="J147" s="56" t="inlineStr">
        <is>
          <t>—</t>
        </is>
      </c>
      <c r="K147" s="56" t="inlineStr">
        <is>
          <t>—</t>
        </is>
      </c>
      <c r="L147" s="56" t="inlineStr">
        <is>
          <t>—</t>
        </is>
      </c>
      <c r="M147" s="57" t="inlineStr">
        <is>
          <t>本機：排程中心畫面改 cron → 等 22:38 自然觸發 → 讀 排程中心 各列與 /api/scheduler/runs → 畫面還原 cron</t>
        </is>
      </c>
      <c r="N147" s="57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57" t="inlineStr">
        <is>
          <t>dividends_daily 0/10 成功、狀態 ok</t>
        </is>
      </c>
      <c r="P147" s="57" t="inlineStr">
        <is>
          <t>FAIL</t>
        </is>
      </c>
      <c r="Q147" s="57" t="inlineStr">
        <is>
          <t>開 DEF-067</t>
        </is>
      </c>
      <c r="R147" s="57" t="inlineStr">
        <is>
          <t>檢驗方 2026-09-25</t>
        </is>
      </c>
    </row>
    <row r="148" ht="220" customHeight="1" s="34">
      <c r="A148" s="51" t="inlineStr">
        <is>
          <t>R5</t>
        </is>
      </c>
      <c r="B148" s="51" t="inlineStr">
        <is>
          <t>DEF-068</t>
        </is>
      </c>
      <c r="C148" s="51" t="inlineStr">
        <is>
          <t>E-11</t>
        </is>
      </c>
      <c r="D148" s="51" t="inlineStr">
        <is>
          <t>2026-09-25</t>
        </is>
      </c>
      <c r="E148" s="56" t="inlineStr">
        <is>
          <t>—（本輪由檢驗方發現）</t>
        </is>
      </c>
      <c r="F148" s="56" t="inlineStr">
        <is>
          <t>—</t>
        </is>
      </c>
      <c r="G148" s="56" t="inlineStr">
        <is>
          <t>—</t>
        </is>
      </c>
      <c r="H148" s="56" t="inlineStr">
        <is>
          <t>—</t>
        </is>
      </c>
      <c r="I148" s="56" t="inlineStr">
        <is>
          <t>—</t>
        </is>
      </c>
      <c r="J148" s="56" t="inlineStr">
        <is>
          <t>—</t>
        </is>
      </c>
      <c r="K148" s="56" t="inlineStr">
        <is>
          <t>—</t>
        </is>
      </c>
      <c r="L148" s="56" t="inlineStr">
        <is>
          <t>—</t>
        </is>
      </c>
      <c r="M148" s="57" t="inlineStr">
        <is>
          <t>本機 Playwright：儀表板 重新整理 › 更新報價，攔截 /api/actions/refresh-quotes 回應與提示文字，前後比對 prices 表</t>
        </is>
      </c>
      <c r="N148" s="57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57" t="inlineStr">
        <is>
          <t>提示宣稱其餘已更新；實際 0 更新；匯率失敗未提</t>
        </is>
      </c>
      <c r="P148" s="57" t="inlineStr">
        <is>
          <t>FAIL</t>
        </is>
      </c>
      <c r="Q148" s="57" t="inlineStr">
        <is>
          <t>開 DEF-068</t>
        </is>
      </c>
      <c r="R148" s="57" t="inlineStr">
        <is>
          <t>檢驗方 2026-09-25</t>
        </is>
      </c>
    </row>
    <row r="149" ht="220" customHeight="1" s="34">
      <c r="A149" s="51" t="inlineStr">
        <is>
          <t>R5</t>
        </is>
      </c>
      <c r="B149" s="51" t="inlineStr">
        <is>
          <t>DEF-069</t>
        </is>
      </c>
      <c r="C149" s="51" t="inlineStr">
        <is>
          <t>G-08</t>
        </is>
      </c>
      <c r="D149" s="51" t="inlineStr">
        <is>
          <t>2026-09-25</t>
        </is>
      </c>
      <c r="E149" s="56" t="inlineStr">
        <is>
          <t>—（本輪由檢驗方發現）</t>
        </is>
      </c>
      <c r="F149" s="56" t="inlineStr">
        <is>
          <t>—</t>
        </is>
      </c>
      <c r="G149" s="56" t="inlineStr">
        <is>
          <t>—</t>
        </is>
      </c>
      <c r="H149" s="56" t="inlineStr">
        <is>
          <t>—</t>
        </is>
      </c>
      <c r="I149" s="56" t="inlineStr">
        <is>
          <t>—</t>
        </is>
      </c>
      <c r="J149" s="56" t="inlineStr">
        <is>
          <t>—</t>
        </is>
      </c>
      <c r="K149" s="56" t="inlineStr">
        <is>
          <t>—</t>
        </is>
      </c>
      <c r="L149" s="56" t="inlineStr">
        <is>
          <t>—</t>
        </is>
      </c>
      <c r="M149" s="57" t="inlineStr">
        <is>
          <t>本機 Playwright：AI 洞察 › 持倉健診 讀每檔標題卡；API 三種形狀計數</t>
        </is>
      </c>
      <c r="N149" s="57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57" t="inlineStr">
        <is>
          <t>27 張中 9 張影子進正式清單；持倉健診 9/9 標題為影子卡</t>
        </is>
      </c>
      <c r="P149" s="57" t="inlineStr">
        <is>
          <t>FAIL</t>
        </is>
      </c>
      <c r="Q149" s="57" t="inlineStr">
        <is>
          <t>開 DEF-069</t>
        </is>
      </c>
      <c r="R149" s="57" t="inlineStr">
        <is>
          <t>檢驗方 2026-09-25</t>
        </is>
      </c>
    </row>
    <row r="150" ht="220" customHeight="1" s="34">
      <c r="A150" s="51" t="inlineStr">
        <is>
          <t>R5</t>
        </is>
      </c>
      <c r="B150" s="51" t="inlineStr">
        <is>
          <t>DEF-070</t>
        </is>
      </c>
      <c r="C150" s="51" t="inlineStr">
        <is>
          <t>G-08</t>
        </is>
      </c>
      <c r="D150" s="51" t="inlineStr">
        <is>
          <t>2026-09-25</t>
        </is>
      </c>
      <c r="E150" s="56" t="inlineStr">
        <is>
          <t>—（本輪由檢驗方發現）</t>
        </is>
      </c>
      <c r="F150" s="56" t="inlineStr">
        <is>
          <t>—</t>
        </is>
      </c>
      <c r="G150" s="56" t="inlineStr">
        <is>
          <t>—</t>
        </is>
      </c>
      <c r="H150" s="56" t="inlineStr">
        <is>
          <t>—</t>
        </is>
      </c>
      <c r="I150" s="56" t="inlineStr">
        <is>
          <t>—</t>
        </is>
      </c>
      <c r="J150" s="56" t="inlineStr">
        <is>
          <t>—</t>
        </is>
      </c>
      <c r="K150" s="56" t="inlineStr">
        <is>
          <t>—</t>
        </is>
      </c>
      <c r="L150" s="56" t="inlineStr">
        <is>
          <t>—</t>
        </is>
      </c>
      <c r="M150" s="57" t="inlineStr">
        <is>
          <t>本機時間推進（freezegun）＋合成價格：逐日執行任務、評分、產生校正、晉升，讀 insights 表與假模型請求紀錄</t>
        </is>
      </c>
      <c r="N150" s="57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57" t="inlineStr">
        <is>
          <t>第一批 9 張（上限 2）；之後 0 張；v3 無法評估</t>
        </is>
      </c>
      <c r="P150" s="57" t="inlineStr">
        <is>
          <t>FAIL</t>
        </is>
      </c>
      <c r="Q150" s="57" t="inlineStr">
        <is>
          <t>開 DEF-070</t>
        </is>
      </c>
      <c r="R150" s="57" t="inlineStr">
        <is>
          <t>檢驗方 2026-09-25</t>
        </is>
      </c>
    </row>
    <row r="151" ht="220" customHeight="1" s="34">
      <c r="A151" s="51" t="inlineStr">
        <is>
          <t>R5</t>
        </is>
      </c>
      <c r="B151" s="51" t="inlineStr">
        <is>
          <t>DEF-071</t>
        </is>
      </c>
      <c r="C151" s="51" t="inlineStr">
        <is>
          <t>G-08</t>
        </is>
      </c>
      <c r="D151" s="51" t="inlineStr">
        <is>
          <t>2026-09-25</t>
        </is>
      </c>
      <c r="E151" s="56" t="inlineStr">
        <is>
          <t>—（本輪由檢驗方發現）</t>
        </is>
      </c>
      <c r="F151" s="56" t="inlineStr">
        <is>
          <t>—</t>
        </is>
      </c>
      <c r="G151" s="56" t="inlineStr">
        <is>
          <t>—</t>
        </is>
      </c>
      <c r="H151" s="56" t="inlineStr">
        <is>
          <t>—</t>
        </is>
      </c>
      <c r="I151" s="56" t="inlineStr">
        <is>
          <t>—</t>
        </is>
      </c>
      <c r="J151" s="56" t="inlineStr">
        <is>
          <t>—</t>
        </is>
      </c>
      <c r="K151" s="56" t="inlineStr">
        <is>
          <t>—</t>
        </is>
      </c>
      <c r="L151" s="56" t="inlineStr">
        <is>
          <t>—</t>
        </is>
      </c>
      <c r="M151" s="57" t="inlineStr">
        <is>
          <t>本機 Playwright：任務抽屜校正版本鏈、進化設定說明、診斷 G7；搜尋 web/ 呼叫點</t>
        </is>
      </c>
      <c r="N151" s="57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57" t="inlineStr">
        <is>
          <t>版本鏈只有封存；0 個生效控制項</t>
        </is>
      </c>
      <c r="P151" s="57" t="inlineStr">
        <is>
          <t>FAIL</t>
        </is>
      </c>
      <c r="Q151" s="57" t="inlineStr">
        <is>
          <t>開 DEF-071</t>
        </is>
      </c>
      <c r="R151" s="57" t="inlineStr">
        <is>
          <t>檢驗方 2026-09-25</t>
        </is>
      </c>
    </row>
    <row r="152" ht="220" customHeight="1" s="34">
      <c r="A152" s="51" t="inlineStr">
        <is>
          <t>R5</t>
        </is>
      </c>
      <c r="B152" s="51" t="inlineStr">
        <is>
          <t>DEF-072</t>
        </is>
      </c>
      <c r="C152" s="51" t="inlineStr">
        <is>
          <t>D-00</t>
        </is>
      </c>
      <c r="D152" s="51" t="inlineStr">
        <is>
          <t>2026-09-25</t>
        </is>
      </c>
      <c r="E152" s="56" t="inlineStr">
        <is>
          <t>—（本輪由檢驗方發現）</t>
        </is>
      </c>
      <c r="F152" s="56" t="inlineStr">
        <is>
          <t>—</t>
        </is>
      </c>
      <c r="G152" s="56" t="inlineStr">
        <is>
          <t>—</t>
        </is>
      </c>
      <c r="H152" s="56" t="inlineStr">
        <is>
          <t>—</t>
        </is>
      </c>
      <c r="I152" s="56" t="inlineStr">
        <is>
          <t>—</t>
        </is>
      </c>
      <c r="J152" s="56" t="inlineStr">
        <is>
          <t>—</t>
        </is>
      </c>
      <c r="K152" s="56" t="inlineStr">
        <is>
          <t>—</t>
        </is>
      </c>
      <c r="L152" s="56" t="inlineStr">
        <is>
          <t>—</t>
        </is>
      </c>
      <c r="M152" s="57" t="inlineStr">
        <is>
          <t>本機 Playwright：儀表板開 2330 抽屜 → 門 2 → 讀表單欄位；另開門 1 比對欄位；前置以 SQLite 備份還原</t>
        </is>
      </c>
      <c r="N152" s="57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57" t="inlineStr">
        <is>
          <t>代號 2330 ✓、帳戶 Moomoo MY ✗（應為台灣券商）</t>
        </is>
      </c>
      <c r="P152" s="57" t="inlineStr">
        <is>
          <t>FAIL</t>
        </is>
      </c>
      <c r="Q152" s="57" t="inlineStr">
        <is>
          <t>開 DEF-072</t>
        </is>
      </c>
      <c r="R152" s="57" t="inlineStr">
        <is>
          <t>檢驗方 2026-09-25</t>
        </is>
      </c>
    </row>
    <row r="153" ht="220" customHeight="1" s="34">
      <c r="A153" s="51" t="inlineStr">
        <is>
          <t>R5</t>
        </is>
      </c>
      <c r="B153" s="51" t="inlineStr">
        <is>
          <t>DEF-073</t>
        </is>
      </c>
      <c r="C153" s="51" t="inlineStr">
        <is>
          <t>E-05</t>
        </is>
      </c>
      <c r="D153" s="51" t="inlineStr">
        <is>
          <t>2026-09-25</t>
        </is>
      </c>
      <c r="E153" s="56" t="inlineStr">
        <is>
          <t>—（本輪由檢驗方發現）</t>
        </is>
      </c>
      <c r="F153" s="56" t="inlineStr">
        <is>
          <t>—</t>
        </is>
      </c>
      <c r="G153" s="56" t="inlineStr">
        <is>
          <t>—</t>
        </is>
      </c>
      <c r="H153" s="56" t="inlineStr">
        <is>
          <t>—</t>
        </is>
      </c>
      <c r="I153" s="56" t="inlineStr">
        <is>
          <t>—</t>
        </is>
      </c>
      <c r="J153" s="56" t="inlineStr">
        <is>
          <t>—</t>
        </is>
      </c>
      <c r="K153" s="56" t="inlineStr">
        <is>
          <t>—</t>
        </is>
      </c>
      <c r="L153" s="56" t="inlineStr">
        <is>
          <t>—</t>
        </is>
      </c>
      <c r="M153" s="57" t="inlineStr">
        <is>
          <t>讀排程中心各列明細（demo＋本機）</t>
        </is>
      </c>
      <c r="N153" s="57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57" t="inlineStr">
        <is>
          <t>5 個工作的明細含英文；校正工作 3 種結果同一句</t>
        </is>
      </c>
      <c r="P153" s="57" t="inlineStr">
        <is>
          <t>FAIL</t>
        </is>
      </c>
      <c r="Q153" s="57" t="inlineStr">
        <is>
          <t>開 DEF-073</t>
        </is>
      </c>
      <c r="R153" s="57" t="inlineStr">
        <is>
          <t>檢驗方 2026-09-25</t>
        </is>
      </c>
    </row>
    <row r="154" ht="220" customHeight="1" s="34">
      <c r="A154" s="51" t="inlineStr">
        <is>
          <t>R5</t>
        </is>
      </c>
      <c r="B154" s="51" t="inlineStr">
        <is>
          <t>DEF-074</t>
        </is>
      </c>
      <c r="C154" s="51" t="inlineStr">
        <is>
          <t>H-04</t>
        </is>
      </c>
      <c r="D154" s="51" t="inlineStr">
        <is>
          <t>2026-09-26</t>
        </is>
      </c>
      <c r="E154" s="56" t="inlineStr">
        <is>
          <t>—（Owner 裁定）</t>
        </is>
      </c>
      <c r="F154" s="56" t="inlineStr">
        <is>
          <t>—</t>
        </is>
      </c>
      <c r="G154" s="56" t="inlineStr">
        <is>
          <t>—</t>
        </is>
      </c>
      <c r="H154" s="56" t="inlineStr">
        <is>
          <t>—</t>
        </is>
      </c>
      <c r="I154" s="56" t="inlineStr">
        <is>
          <t>—</t>
        </is>
      </c>
      <c r="J154" s="56" t="inlineStr">
        <is>
          <t>—</t>
        </is>
      </c>
      <c r="K154" s="56" t="inlineStr">
        <is>
          <t>—</t>
        </is>
      </c>
      <c r="L154" s="56" t="inlineStr">
        <is>
          <t>—</t>
        </is>
      </c>
      <c r="M154" s="57" t="inlineStr">
        <is>
          <t>讀開發者交接決策項＋讀碼</t>
        </is>
      </c>
      <c r="N154" s="57" t="inlineStr">
        <is>
          <t>規格未定→owner 已裁定（2026-09-26）</t>
        </is>
      </c>
      <c r="O154" s="57" t="inlineStr">
        <is>
          <t>—</t>
        </is>
      </c>
      <c r="P154" s="57" t="inlineStr">
        <is>
          <t>待裁定</t>
        </is>
      </c>
      <c r="Q154" s="57" t="inlineStr">
        <is>
          <t>開 DEF-074，owner 已裁定 ① B</t>
        </is>
      </c>
      <c r="R154" s="57" t="inlineStr">
        <is>
          <t>檢驗方 2026-09-26</t>
        </is>
      </c>
    </row>
    <row r="155" ht="220" customHeight="1" s="34">
      <c r="A155" s="51" t="inlineStr">
        <is>
          <t>R5</t>
        </is>
      </c>
      <c r="B155" s="51" t="inlineStr">
        <is>
          <t>DEF-075</t>
        </is>
      </c>
      <c r="C155" s="51" t="inlineStr">
        <is>
          <t>H-04</t>
        </is>
      </c>
      <c r="D155" s="51" t="inlineStr">
        <is>
          <t>2026-09-26</t>
        </is>
      </c>
      <c r="E155" s="56" t="inlineStr">
        <is>
          <t>—（Owner 裁定）</t>
        </is>
      </c>
      <c r="F155" s="56" t="inlineStr">
        <is>
          <t>—</t>
        </is>
      </c>
      <c r="G155" s="56" t="inlineStr">
        <is>
          <t>—</t>
        </is>
      </c>
      <c r="H155" s="56" t="inlineStr">
        <is>
          <t>—</t>
        </is>
      </c>
      <c r="I155" s="56" t="inlineStr">
        <is>
          <t>—</t>
        </is>
      </c>
      <c r="J155" s="56" t="inlineStr">
        <is>
          <t>—</t>
        </is>
      </c>
      <c r="K155" s="56" t="inlineStr">
        <is>
          <t>—</t>
        </is>
      </c>
      <c r="L155" s="56" t="inlineStr">
        <is>
          <t>—</t>
        </is>
      </c>
      <c r="M155" s="57" t="inlineStr">
        <is>
          <t>讀開發者交接決策項＋讀碼＋本機重現（0056 未來日期賣出清倉）</t>
        </is>
      </c>
      <c r="N155" s="57" t="inlineStr">
        <is>
          <t>決策項→owner 已裁定（2026-09-26），屬程式缺陷</t>
        </is>
      </c>
      <c r="O155" s="57" t="inlineStr">
        <is>
          <t>—</t>
        </is>
      </c>
      <c r="P155" s="57" t="inlineStr">
        <is>
          <t>待裁定</t>
        </is>
      </c>
      <c r="Q155" s="57" t="inlineStr">
        <is>
          <t>開 DEF-075，owner 已裁定 ② B</t>
        </is>
      </c>
      <c r="R155" s="57" t="inlineStr">
        <is>
          <t>檢驗方 2026-09-26</t>
        </is>
      </c>
    </row>
    <row r="156" ht="220" customHeight="1" s="34">
      <c r="A156" s="51" t="inlineStr">
        <is>
          <t>R5</t>
        </is>
      </c>
      <c r="B156" s="51" t="inlineStr">
        <is>
          <t>DEF-076</t>
        </is>
      </c>
      <c r="C156" s="51" t="inlineStr">
        <is>
          <t>H-04</t>
        </is>
      </c>
      <c r="D156" s="51" t="inlineStr">
        <is>
          <t>2026-09-26</t>
        </is>
      </c>
      <c r="E156" s="56" t="inlineStr">
        <is>
          <t>—（Owner 裁定）</t>
        </is>
      </c>
      <c r="F156" s="56" t="inlineStr">
        <is>
          <t>—</t>
        </is>
      </c>
      <c r="G156" s="56" t="inlineStr">
        <is>
          <t>—</t>
        </is>
      </c>
      <c r="H156" s="56" t="inlineStr">
        <is>
          <t>—</t>
        </is>
      </c>
      <c r="I156" s="56" t="inlineStr">
        <is>
          <t>—</t>
        </is>
      </c>
      <c r="J156" s="56" t="inlineStr">
        <is>
          <t>—</t>
        </is>
      </c>
      <c r="K156" s="56" t="inlineStr">
        <is>
          <t>—</t>
        </is>
      </c>
      <c r="L156" s="56" t="inlineStr">
        <is>
          <t>—</t>
        </is>
      </c>
      <c r="M156" s="57" t="inlineStr">
        <is>
          <t>讀開發者交接決策項＋讀碼</t>
        </is>
      </c>
      <c r="N156" s="57" t="inlineStr">
        <is>
          <t>規格未定→owner 已裁定（2026-09-26）</t>
        </is>
      </c>
      <c r="O156" s="57" t="inlineStr">
        <is>
          <t>—</t>
        </is>
      </c>
      <c r="P156" s="57" t="inlineStr">
        <is>
          <t>待裁定</t>
        </is>
      </c>
      <c r="Q156" s="57" t="inlineStr">
        <is>
          <t>開 DEF-076，owner 已裁定 ⑤ 統一為「AI 額度偏低」</t>
        </is>
      </c>
      <c r="R156" s="57" t="inlineStr">
        <is>
          <t>檢驗方 2026-09-26</t>
        </is>
      </c>
    </row>
    <row r="157" ht="220" customHeight="1" s="34">
      <c r="A157" s="51" t="inlineStr">
        <is>
          <t>R5</t>
        </is>
      </c>
      <c r="B157" s="51" t="inlineStr">
        <is>
          <t>DEF-077</t>
        </is>
      </c>
      <c r="C157" s="51" t="inlineStr">
        <is>
          <t>J-01</t>
        </is>
      </c>
      <c r="D157" s="51" t="inlineStr">
        <is>
          <t>2026-09-26</t>
        </is>
      </c>
      <c r="E157" s="56" t="inlineStr">
        <is>
          <t>—（Owner 裁定）</t>
        </is>
      </c>
      <c r="F157" s="56" t="inlineStr">
        <is>
          <t>—</t>
        </is>
      </c>
      <c r="G157" s="56" t="inlineStr">
        <is>
          <t>—</t>
        </is>
      </c>
      <c r="H157" s="56" t="inlineStr">
        <is>
          <t>—</t>
        </is>
      </c>
      <c r="I157" s="56" t="inlineStr">
        <is>
          <t>—</t>
        </is>
      </c>
      <c r="J157" s="56" t="inlineStr">
        <is>
          <t>—</t>
        </is>
      </c>
      <c r="K157" s="56" t="inlineStr">
        <is>
          <t>—</t>
        </is>
      </c>
      <c r="L157" s="56" t="inlineStr">
        <is>
          <t>—</t>
        </is>
      </c>
      <c r="M157" s="57" t="inlineStr">
        <is>
          <t>讀開發者交接決策項＋讀碼</t>
        </is>
      </c>
      <c r="N157" s="57" t="inlineStr">
        <is>
          <t>決策項→owner 已裁定（2026-09-26），屬程式缺陷</t>
        </is>
      </c>
      <c r="O157" s="57" t="inlineStr">
        <is>
          <t>—</t>
        </is>
      </c>
      <c r="P157" s="57" t="inlineStr">
        <is>
          <t>待裁定</t>
        </is>
      </c>
      <c r="Q157" s="57" t="inlineStr">
        <is>
          <t>開 DEF-077，owner 已裁定 ⑥ A</t>
        </is>
      </c>
      <c r="R157" s="57" t="inlineStr">
        <is>
          <t>檢驗方 2026-09-26</t>
        </is>
      </c>
    </row>
    <row r="158" ht="220" customHeight="1" s="34">
      <c r="A158" s="51" t="inlineStr">
        <is>
          <t>R5</t>
        </is>
      </c>
      <c r="B158" s="51" t="inlineStr">
        <is>
          <t>DEF-078</t>
        </is>
      </c>
      <c r="C158" s="51" t="inlineStr">
        <is>
          <t>H-01</t>
        </is>
      </c>
      <c r="D158" s="51" t="inlineStr">
        <is>
          <t>2026-09-26</t>
        </is>
      </c>
      <c r="E158" s="56" t="inlineStr">
        <is>
          <t>—（Owner 裁定）</t>
        </is>
      </c>
      <c r="F158" s="56" t="inlineStr">
        <is>
          <t>—</t>
        </is>
      </c>
      <c r="G158" s="56" t="inlineStr">
        <is>
          <t>—</t>
        </is>
      </c>
      <c r="H158" s="56" t="inlineStr">
        <is>
          <t>—</t>
        </is>
      </c>
      <c r="I158" s="56" t="inlineStr">
        <is>
          <t>—</t>
        </is>
      </c>
      <c r="J158" s="56" t="inlineStr">
        <is>
          <t>—</t>
        </is>
      </c>
      <c r="K158" s="56" t="inlineStr">
        <is>
          <t>—</t>
        </is>
      </c>
      <c r="L158" s="56" t="inlineStr">
        <is>
          <t>—</t>
        </is>
      </c>
      <c r="M158" s="57" t="inlineStr">
        <is>
          <t>讀開發者交接決策項＋讀碼</t>
        </is>
      </c>
      <c r="N158" s="57" t="inlineStr">
        <is>
          <t>規格未定→owner 已裁定（2026-09-26）</t>
        </is>
      </c>
      <c r="O158" s="57" t="inlineStr">
        <is>
          <t>—</t>
        </is>
      </c>
      <c r="P158" s="57" t="inlineStr">
        <is>
          <t>待裁定</t>
        </is>
      </c>
      <c r="Q158" s="57" t="inlineStr">
        <is>
          <t>開 DEF-078，owner 已裁定 ⑦ A＋前後 6 字元明文</t>
        </is>
      </c>
      <c r="R158" s="57" t="inlineStr">
        <is>
          <t>檢驗方 2026-09-26</t>
        </is>
      </c>
    </row>
    <row r="159" ht="220" customHeight="1" s="34">
      <c r="A159" s="33" t="inlineStr">
        <is>
          <t>R6</t>
        </is>
      </c>
      <c r="B159" s="33" t="inlineStr">
        <is>
          <t>DEF-066</t>
        </is>
      </c>
      <c r="C159" s="33" t="inlineStr">
        <is>
          <t>G-09（附帶）；DEF-062 複驗（demo alert_scan #195 → insight:9 #196～#202）；H-01 測試連線</t>
        </is>
      </c>
      <c r="D159" s="33" t="inlineStr">
        <is>
          <t>2026-09-26</t>
        </is>
      </c>
      <c r="E159" s="33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33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33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33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33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33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33" t="inlineStr">
        <is>
          <t>696934e（已部署 demo）</t>
        </is>
      </c>
      <c r="L159" s="33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33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33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33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33" t="inlineStr">
        <is>
          <t>複驗通過 → 結案</t>
        </is>
      </c>
      <c r="Q159" s="33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33" t="inlineStr">
        <is>
          <t>檢驗方 2026-09-26</t>
        </is>
      </c>
    </row>
    <row r="160" ht="220" customHeight="1" s="34">
      <c r="A160" s="51" t="inlineStr">
        <is>
          <t>R6</t>
        </is>
      </c>
      <c r="B160" s="51" t="inlineStr">
        <is>
          <t>DEF-067</t>
        </is>
      </c>
      <c r="C160" s="51" t="inlineStr">
        <is>
          <t>E-05</t>
        </is>
      </c>
      <c r="D160" s="51" t="inlineStr">
        <is>
          <t>2026-09-26</t>
        </is>
      </c>
      <c r="E160" s="56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56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56" t="inlineStr">
        <is>
          <t>M10-02 只替報價工作引入 JobOutcome 並只測報價；其他回傳字串的工作沒有任何狀態斷言，_outcome_of 的「字串＝成功」預設沒有測試盯著。</t>
        </is>
      </c>
      <c r="H160" s="56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56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56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56" t="inlineStr">
        <is>
          <t>696934e（已部署 demo）</t>
        </is>
      </c>
      <c r="L16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57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57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57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57" t="inlineStr">
        <is>
          <t>複驗通過 → 結案</t>
        </is>
      </c>
      <c r="Q160" s="57" t="inlineStr">
        <is>
          <t>無</t>
        </is>
      </c>
      <c r="R160" s="57" t="inlineStr">
        <is>
          <t>檢驗方 2026-09-26</t>
        </is>
      </c>
    </row>
    <row r="161" ht="220" customHeight="1" s="34">
      <c r="A161" s="51" t="inlineStr">
        <is>
          <t>R6</t>
        </is>
      </c>
      <c r="B161" s="51" t="inlineStr">
        <is>
          <t>DEF-069</t>
        </is>
      </c>
      <c r="C161" s="51" t="inlineStr">
        <is>
          <t>G-08</t>
        </is>
      </c>
      <c r="D161" s="51" t="inlineStr">
        <is>
          <t>2026-09-26</t>
        </is>
      </c>
      <c r="E161" s="56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56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56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56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56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56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56" t="inlineStr">
        <is>
          <t>696934e（已部署 demo）</t>
        </is>
      </c>
      <c r="L16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57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57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57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57" t="inlineStr">
        <is>
          <t>複驗通過 → 結案</t>
        </is>
      </c>
      <c r="Q161" s="57" t="inlineStr">
        <is>
          <t>無</t>
        </is>
      </c>
      <c r="R161" s="57" t="inlineStr">
        <is>
          <t>檢驗方 2026-09-26</t>
        </is>
      </c>
    </row>
    <row r="162" ht="220" customHeight="1" s="34">
      <c r="A162" s="51" t="inlineStr">
        <is>
          <t>R6</t>
        </is>
      </c>
      <c r="B162" s="51" t="inlineStr">
        <is>
          <t>DEF-070</t>
        </is>
      </c>
      <c r="C162" s="51" t="inlineStr">
        <is>
          <t>G-08</t>
        </is>
      </c>
      <c r="D162" s="51" t="inlineStr">
        <is>
          <t>2026-09-26</t>
        </is>
      </c>
      <c r="E162" s="56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56" t="inlineStr">
        <is>
          <t>portfolio_dash/api/insight_service.py:402-407（_shadow_card_count）、:436（上限判斷）、:1004-1005（晉升成績混算）</t>
        </is>
      </c>
      <c r="G162" s="56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56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56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56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56" t="inlineStr">
        <is>
          <t>696934e（已部署 demo）</t>
        </is>
      </c>
      <c r="L16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57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57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57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57" t="inlineStr">
        <is>
          <t>複驗通過 → 結案</t>
        </is>
      </c>
      <c r="Q162" s="57" t="inlineStr">
        <is>
          <t>無</t>
        </is>
      </c>
      <c r="R162" s="57" t="inlineStr">
        <is>
          <t>檢驗方 2026-09-26</t>
        </is>
      </c>
    </row>
    <row r="163" ht="220" customHeight="1" s="34">
      <c r="A163" s="51" t="inlineStr">
        <is>
          <t>R6</t>
        </is>
      </c>
      <c r="B163" s="51" t="inlineStr">
        <is>
          <t>DEF-071</t>
        </is>
      </c>
      <c r="C163" s="51" t="inlineStr">
        <is>
          <t>G-08</t>
        </is>
      </c>
      <c r="D163" s="51" t="inlineStr">
        <is>
          <t>2026-09-26</t>
        </is>
      </c>
      <c r="E163" s="56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56" t="inlineStr">
        <is>
          <t>web/pipeline.js:780-830（loadCalibrations）、:56（FIX_KINDS）；tests/contract/test_api_routes_have_frontend_callers.py:59-63（白名單）</t>
        </is>
      </c>
      <c r="G163" s="56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56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56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56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56" t="inlineStr">
        <is>
          <t>696934e（已部署 demo）</t>
        </is>
      </c>
      <c r="L16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57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57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57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57" t="inlineStr">
        <is>
          <t>複驗通過 → 結案</t>
        </is>
      </c>
      <c r="Q163" s="57" t="inlineStr">
        <is>
          <t>無</t>
        </is>
      </c>
      <c r="R163" s="57" t="inlineStr">
        <is>
          <t>檢驗方 2026-09-26</t>
        </is>
      </c>
    </row>
    <row r="164" ht="220" customHeight="1" s="34">
      <c r="A164" s="51" t="inlineStr">
        <is>
          <t>R6</t>
        </is>
      </c>
      <c r="B164" s="51" t="inlineStr">
        <is>
          <t>DEF-079</t>
        </is>
      </c>
      <c r="C164" s="51" t="inlineStr">
        <is>
          <t>G-08（附帶）</t>
        </is>
      </c>
      <c r="D164" s="51" t="inlineStr">
        <is>
          <t>2026-09-26</t>
        </is>
      </c>
      <c r="E164" s="56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56" t="inlineStr">
        <is>
          <t>portfolio_dash/api/insight_service.py:900-905（_generate_one）</t>
        </is>
      </c>
      <c r="G164" s="56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56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56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56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56" t="inlineStr">
        <is>
          <t>696934e（已部署 demo）</t>
        </is>
      </c>
      <c r="L164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57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57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57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57" t="inlineStr">
        <is>
          <t>複驗通過 → 結案</t>
        </is>
      </c>
      <c r="Q164" s="57" t="inlineStr">
        <is>
          <t>無</t>
        </is>
      </c>
      <c r="R164" s="57" t="inlineStr">
        <is>
          <t>檢驗方 2026-09-26</t>
        </is>
      </c>
    </row>
    <row r="165" ht="220" customHeight="1" s="34">
      <c r="A165" s="51" t="inlineStr">
        <is>
          <t>R6</t>
        </is>
      </c>
      <c r="B165" s="51" t="inlineStr">
        <is>
          <t>DEF-080</t>
        </is>
      </c>
      <c r="C165" s="51" t="inlineStr">
        <is>
          <t>G-08（附帶）</t>
        </is>
      </c>
      <c r="D165" s="51" t="inlineStr">
        <is>
          <t>2026-09-26</t>
        </is>
      </c>
      <c r="E165" s="56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56" t="inlineStr">
        <is>
          <t>portfolio_dash/api/insight_service.py:891-893（_generate_one 的觸發條件）</t>
        </is>
      </c>
      <c r="G165" s="56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56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56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56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56" t="inlineStr">
        <is>
          <t>696934e（已部署 demo）</t>
        </is>
      </c>
      <c r="L165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57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57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57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57" t="inlineStr">
        <is>
          <t>複驗通過 → 結案</t>
        </is>
      </c>
      <c r="Q165" s="57" t="inlineStr">
        <is>
          <t>無</t>
        </is>
      </c>
      <c r="R165" s="57" t="inlineStr">
        <is>
          <t>檢驗方 2026-09-26</t>
        </is>
      </c>
    </row>
    <row r="166" ht="220" customHeight="1" s="34">
      <c r="A166" s="51" t="inlineStr">
        <is>
          <t>R6</t>
        </is>
      </c>
      <c r="B166" s="51" t="inlineStr">
        <is>
          <t>DEF-068</t>
        </is>
      </c>
      <c r="C166" s="51" t="inlineStr">
        <is>
          <t>E-11</t>
        </is>
      </c>
      <c r="D166" s="51" t="inlineStr">
        <is>
          <t>2026-09-26</t>
        </is>
      </c>
      <c r="E166" s="56" t="inlineStr">
        <is>
          <t>同意。另外 API 原本就缺「已更新數」，前端要說「N 檔已更新」只能自己算，所以一併由 API 補上計數。</t>
        </is>
      </c>
      <c r="F166" s="56" t="inlineStr">
        <is>
          <t>web/shell.js:467-470；portfolio_dash/scheduler/jobs.py _quote_outcome（results 缺已更新數）</t>
        </is>
      </c>
      <c r="G166" s="56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56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56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56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56" t="inlineStr">
        <is>
          <t>696934e（已部署 demo）</t>
        </is>
      </c>
      <c r="L166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57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57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57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57" t="inlineStr">
        <is>
          <t>複驗通過 → 結案</t>
        </is>
      </c>
      <c r="Q166" s="57" t="inlineStr">
        <is>
          <t>無</t>
        </is>
      </c>
      <c r="R166" s="57" t="inlineStr">
        <is>
          <t>檢驗方 2026-09-26</t>
        </is>
      </c>
    </row>
    <row r="167" ht="220" customHeight="1" s="34">
      <c r="A167" s="51" t="inlineStr">
        <is>
          <t>R6</t>
        </is>
      </c>
      <c r="B167" s="51" t="inlineStr">
        <is>
          <t>DEF-073</t>
        </is>
      </c>
      <c r="C167" s="51" t="inlineStr">
        <is>
          <t>E-05、G-08（附帶）</t>
        </is>
      </c>
      <c r="D167" s="51" t="inlineStr">
        <is>
          <t>2026-09-26</t>
        </is>
      </c>
      <c r="E167" s="56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56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56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56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56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56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56" t="inlineStr">
        <is>
          <t>696934e（已部署 demo）</t>
        </is>
      </c>
      <c r="L167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57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57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57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57" t="inlineStr">
        <is>
          <t>複驗通過 → 結案</t>
        </is>
      </c>
      <c r="Q167" s="57" t="inlineStr">
        <is>
          <t>附註：失敗時的例外原文（failure_detail）依 DEF-030 保留英文類別名與原文，未列入本張</t>
        </is>
      </c>
      <c r="R167" s="57" t="inlineStr">
        <is>
          <t>檢驗方 2026-09-26</t>
        </is>
      </c>
    </row>
    <row r="168" ht="220" customHeight="1" s="34">
      <c r="A168" s="51" t="inlineStr">
        <is>
          <t>R6</t>
        </is>
      </c>
      <c r="B168" s="51" t="inlineStr">
        <is>
          <t>DEF-072</t>
        </is>
      </c>
      <c r="C168" s="51" t="inlineStr">
        <is>
          <t>D-00</t>
        </is>
      </c>
      <c r="D168" s="51" t="inlineStr">
        <is>
          <t>2026-09-26</t>
        </is>
      </c>
      <c r="E168" s="56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56" t="inlineStr">
        <is>
          <t>web/detail.js:1272（門 2 預填）；web/corp-action-form.js:798（空字串時由瀏覽器預設第一個）；同類 web/ledger.js:1294（門 3 不帶帳戶籤）</t>
        </is>
      </c>
      <c r="G168" s="56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56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56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56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56" t="inlineStr">
        <is>
          <t>696934e（已部署 demo）</t>
        </is>
      </c>
      <c r="L168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57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57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57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57" t="inlineStr">
        <is>
          <t>複驗通過 → 結案</t>
        </is>
      </c>
      <c r="Q168" s="57" t="inlineStr">
        <is>
          <t>無</t>
        </is>
      </c>
      <c r="R168" s="57" t="inlineStr">
        <is>
          <t>檢驗方 2026-09-26</t>
        </is>
      </c>
    </row>
    <row r="169" ht="220" customHeight="1" s="34">
      <c r="A169" s="51" t="inlineStr">
        <is>
          <t>R6</t>
        </is>
      </c>
      <c r="B169" s="51" t="inlineStr">
        <is>
          <t>DEF-075</t>
        </is>
      </c>
      <c r="C169" s="51" t="inlineStr">
        <is>
          <t>H-04（附帶）</t>
        </is>
      </c>
      <c r="D169" s="51" t="inlineStr">
        <is>
          <t>2026-09-26</t>
        </is>
      </c>
      <c r="E169" s="56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56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56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56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56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56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56" t="inlineStr">
        <is>
          <t>696934e（已部署 demo）</t>
        </is>
      </c>
      <c r="L169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57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57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57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57" t="inlineStr">
        <is>
          <t>複驗通過 → 結案</t>
        </is>
      </c>
      <c r="Q169" s="57" t="inlineStr">
        <is>
          <t>無</t>
        </is>
      </c>
      <c r="R169" s="57" t="inlineStr">
        <is>
          <t>檢驗方 2026-09-26</t>
        </is>
      </c>
    </row>
    <row r="170" ht="220" customHeight="1" s="34">
      <c r="A170" s="51" t="inlineStr">
        <is>
          <t>R6</t>
        </is>
      </c>
      <c r="B170" s="51" t="inlineStr">
        <is>
          <t>DEF-074</t>
        </is>
      </c>
      <c r="C170" s="51" t="inlineStr">
        <is>
          <t>H-04（附帶）</t>
        </is>
      </c>
      <c r="D170" s="51" t="inlineStr">
        <is>
          <t>2026-09-26</t>
        </is>
      </c>
      <c r="E170" s="56" t="inlineStr">
        <is>
          <t>同意，依 owner ① B 改走共用判定。detect()（dividend_inbox.py:267）讀的是已存的事件、不是抓取宇宙，列白名單（理由見 I）。</t>
        </is>
      </c>
      <c r="F170" s="56" t="inlineStr">
        <is>
          <t>portfolio_dash/api/dividend_inbox.py:220</t>
        </is>
      </c>
      <c r="G170" s="56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56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56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56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56" t="inlineStr">
        <is>
          <t>696934e（已部署 demo）</t>
        </is>
      </c>
      <c r="L17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57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57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57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57" t="inlineStr">
        <is>
          <t>複驗通過 → 結案</t>
        </is>
      </c>
      <c r="Q170" s="57" t="inlineStr">
        <is>
          <t>無</t>
        </is>
      </c>
      <c r="R170" s="57" t="inlineStr">
        <is>
          <t>檢驗方 2026-09-26</t>
        </is>
      </c>
    </row>
    <row r="171" ht="220" customHeight="1" s="34">
      <c r="A171" s="51" t="inlineStr">
        <is>
          <t>R6</t>
        </is>
      </c>
      <c r="B171" s="51" t="inlineStr">
        <is>
          <t>DEF-078</t>
        </is>
      </c>
      <c r="C171" s="51" t="inlineStr">
        <is>
          <t>H-01（附帶）</t>
        </is>
      </c>
      <c r="D171" s="51" t="inlineStr">
        <is>
          <t>2026-09-26</t>
        </is>
      </c>
      <c r="E171" s="56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56" t="inlineStr">
        <is>
          <t>web/settings.html:533、:550、:631；web/settings-datasources.js:218</t>
        </is>
      </c>
      <c r="G171" s="56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56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56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56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56" t="inlineStr">
        <is>
          <t>696934e（已部署 demo）</t>
        </is>
      </c>
      <c r="L17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57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57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57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57" t="inlineStr">
        <is>
          <t>複驗通過 → 結案</t>
        </is>
      </c>
      <c r="Q171" s="57" t="inlineStr">
        <is>
          <t>無</t>
        </is>
      </c>
      <c r="R171" s="57" t="inlineStr">
        <is>
          <t>檢驗方 2026-09-26</t>
        </is>
      </c>
    </row>
    <row r="172" ht="220" customHeight="1" s="34">
      <c r="A172" s="51" t="inlineStr">
        <is>
          <t>R6</t>
        </is>
      </c>
      <c r="B172" s="51" t="inlineStr">
        <is>
          <t>DEF-077</t>
        </is>
      </c>
      <c r="C172" s="51" t="inlineStr">
        <is>
          <t>J-01（附帶）</t>
        </is>
      </c>
      <c r="D172" s="51" t="inlineStr">
        <is>
          <t>2026-09-26</t>
        </is>
      </c>
      <c r="E172" s="56" t="inlineStr">
        <is>
          <t>同意，依 owner ⑥ A。</t>
        </is>
      </c>
      <c r="F172" s="56" t="inlineStr">
        <is>
          <t>portfolio_dash/portfolio/dashboard.py:196-197、:210、:982</t>
        </is>
      </c>
      <c r="G172" s="56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56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56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56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56" t="inlineStr">
        <is>
          <t>696934e（已部署 demo）</t>
        </is>
      </c>
      <c r="L17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57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57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57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57" t="inlineStr">
        <is>
          <t>複驗未過</t>
        </is>
      </c>
      <c r="Q172" s="57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57" t="inlineStr">
        <is>
          <t>檢驗方 2026-09-26</t>
        </is>
      </c>
    </row>
    <row r="173" ht="220" customHeight="1" s="34">
      <c r="A173" s="51" t="inlineStr">
        <is>
          <t>R6</t>
        </is>
      </c>
      <c r="B173" s="51" t="inlineStr">
        <is>
          <t>DEF-076</t>
        </is>
      </c>
      <c r="C173" s="51" t="inlineStr">
        <is>
          <t>H-04（附帶）</t>
        </is>
      </c>
      <c r="D173" s="51" t="inlineStr">
        <is>
          <t>2026-09-26</t>
        </is>
      </c>
      <c r="E173" s="56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56" t="inlineStr">
        <is>
          <t>portfolio_dash/strategy/alerts.py:357；portfolio_dash/shared/whatsnew.py:1317</t>
        </is>
      </c>
      <c r="G173" s="56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56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56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56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56" t="inlineStr">
        <is>
          <t>696934e（已部署 demo）</t>
        </is>
      </c>
      <c r="L17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57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57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57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57" t="inlineStr">
        <is>
          <t>複驗通過 → 結案</t>
        </is>
      </c>
      <c r="Q173" s="57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57" t="inlineStr">
        <is>
          <t>檢驗方 2026-09-26</t>
        </is>
      </c>
    </row>
    <row r="174" ht="220" customHeight="1" s="34">
      <c r="A174" s="51" t="inlineStr">
        <is>
          <t>R7</t>
        </is>
      </c>
      <c r="B174" s="51" t="inlineStr">
        <is>
          <t>DEF-077</t>
        </is>
      </c>
      <c r="C174" s="51" t="inlineStr">
        <is>
          <t>J-01（附帶）</t>
        </is>
      </c>
      <c r="D174" s="51" t="inlineStr">
        <is>
          <t>2026-09-26</t>
        </is>
      </c>
      <c r="E174" s="56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56" t="inlineStr">
        <is>
          <t>web/styles.css:1240（.fresh-note 預設琥珀）、web/app.js:1393／:1399（696934e）；同類 web/settings-llm.js:71-74、:81-83，web/app.js:1360</t>
        </is>
      </c>
      <c r="G174" s="56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56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56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56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56" t="inlineStr">
        <is>
          <t>a16210a（已部署 demo）</t>
        </is>
      </c>
      <c r="L174" s="5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57" t="inlineStr">
        <is>
          <t>demo 真實瀏覽器：首頁 資料新鮮度 面板讀匯率三角提示、「排程器未啟動」與「推導」徽章的 getComputedStyle（深色主題，另以 data-theme 切淺色重讀、再切回）；本機專用測試環境（同一 commit a16210a；手冊 §9）：golden 帳本（三腿同在 06-09，ok:false）、驗證者自製兩種狀態（USD/MYR 移到 06-08 → 無共同日期；USD/TWD 06-09 改 30.8 → 同日一致），Playwright 讀兩種主題的計算樣式；AI 與額度 狀態徽章以 Playwright 走 啟用中 → 門檻 5.00（偏低）→ 逐一清空已設角色（已關閉）→ 還原角色（偏低）→ 門檻還原（啟用中），並在 696934e 以同一腳本對照；git grep 兩個 commit 重算開發者的掃描數字</t>
        </is>
      </c>
      <c r="N174" s="57" t="inlineStr">
        <is>
          <t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      </is>
      </c>
      <c r="O174" s="57" t="inlineStr">
        <is>
          <t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      </is>
      </c>
      <c r="P174" s="57" t="inlineStr">
        <is>
          <t>複驗通過 → 結案</t>
        </is>
      </c>
      <c r="Q174" s="57" t="inlineStr">
        <is>
          <t>無。附註：「推導」改中性、AI 狀態徽章改 class 依 owner 2026-09-26 對話裁定併入本張驗收</t>
        </is>
      </c>
      <c r="R174" s="57" t="inlineStr">
        <is>
          <t>檢驗方 2026-09-27</t>
        </is>
      </c>
    </row>
    <row r="175" ht="220" customHeight="1" s="34">
      <c r="A175" s="51" t="inlineStr">
        <is>
          <t>R7</t>
        </is>
      </c>
      <c r="B175" s="51" t="inlineStr">
        <is>
          <t>DEF-081</t>
        </is>
      </c>
      <c r="C175" s="51" t="inlineStr">
        <is>
          <t>H-07（附帶）</t>
        </is>
      </c>
      <c r="D175" s="51" t="inlineStr">
        <is>
          <t>2026-09-26</t>
        </is>
      </c>
      <c r="E175" s="56" t="inlineStr">
        <is>
          <t>新開，owner 2026-09-26 在對話中裁定本輪改顯示名稱（驗證者 R5 觀察 5、R6 規格 §2 觀察 3）。</t>
        </is>
      </c>
      <c r="F175" s="56" t="inlineStr">
        <is>
          <t>web/insights.html:688、:725；portfolio_dash/api/routers/insights.py:914（696934e）</t>
        </is>
      </c>
      <c r="G175" s="56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56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56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56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56" t="inlineStr">
        <is>
          <t>a16210a（已部署 demo）</t>
        </is>
      </c>
      <c r="L175" s="5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57" t="inlineStr">
        <is>
          <t>demo 真實瀏覽器：洞察中心 › AI 戰績 讀「各洞察任務命中率」列名與滑鼠提示（title）、「預測明細」全部 50 列第一欄與 title，對照 GET /api/insight-tasks 的任務名稱與 GET /api/ai-score 的 insight_type_label；本機專用測試環境（同一 commit a16210a；手冊 §9）（G-08 資料庫副本，54 筆評分）：任務存在、經 管線中心 任務抽屜「刪除任務」（確認框 → DELETE /api/insight-tasks/2 200）之後、任務列已不存在（資料庫副本刪除該列）三種情況各讀一次</t>
        </is>
      </c>
      <c r="N175" s="57" t="inlineStr">
        <is>
          <t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      </is>
      </c>
      <c r="O175" s="57" t="inlineStr">
        <is>
          <t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      </is>
      </c>
      <c r="P175" s="57" t="inlineStr">
        <is>
          <t>複驗通過 → 結案</t>
        </is>
      </c>
      <c r="Q175" s="57" t="inlineStr">
        <is>
          <t>無。附註：已封存任務的評分依 spec 4.1 不在戰績頁出現，所以「名稱（已刪除）」這支在頁面上走不到（契約測試有覆蓋），不影響本張</t>
        </is>
      </c>
      <c r="R175" s="57" t="inlineStr">
        <is>
          <t>檢驗方 2026-09-27</t>
        </is>
      </c>
    </row>
    <row r="176" ht="220" customHeight="1" s="34">
      <c r="A176" s="51" t="inlineStr">
        <is>
          <t>R8</t>
        </is>
      </c>
      <c r="B176" s="51" t="inlineStr">
        <is>
          <t>DEF-082</t>
        </is>
      </c>
      <c r="C176" s="51" t="inlineStr">
        <is>
          <t>G-04</t>
        </is>
      </c>
      <c r="D176" s="51" t="inlineStr">
        <is>
          <t>2026-09-27</t>
        </is>
      </c>
      <c r="E176" s="56" t="inlineStr">
        <is>
          <t>—（本輪由檢驗方發現）</t>
        </is>
      </c>
      <c r="F176" s="56" t="inlineStr">
        <is>
          <t>—</t>
        </is>
      </c>
      <c r="G176" s="56" t="inlineStr">
        <is>
          <t>—</t>
        </is>
      </c>
      <c r="H176" s="56" t="inlineStr">
        <is>
          <t>—</t>
        </is>
      </c>
      <c r="I176" s="56" t="inlineStr">
        <is>
          <t>—</t>
        </is>
      </c>
      <c r="J176" s="56" t="inlineStr">
        <is>
          <t>—</t>
        </is>
      </c>
      <c r="K176" s="56" t="inlineStr">
        <is>
          <t>—</t>
        </is>
      </c>
      <c r="L176" s="56" t="inlineStr">
        <is>
          <t>—</t>
        </is>
      </c>
      <c r="M176" s="57" t="inlineStr">
        <is>
          <t>demo 真實瀏覽器（a16210a）：R8 全面重跑 G-04——讀 GET /api/insights 全部 209 張卡的 figure_flags，以 figure_check 同一條括號代號正規式統計卡片文字中的括號 token，對照 GET /api/instruments 的已註冊代號與名稱；AI 洞察頁讀「未知代碼」標記與 tooltip</t>
        </is>
      </c>
      <c r="N176" s="57" t="inlineStr">
        <is>
          <t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      </is>
      </c>
      <c r="O176" s="57" t="inlineStr">
        <is>
          <t>209 張卡括號 token 44 種：指標、縮寫、幣別 0 誤報；真陽性 #82「6883」正確；誤報 1 張（#209 LARGAN＝3008 的註冊名稱）</t>
        </is>
      </c>
      <c r="P176" s="57" t="inlineStr">
        <is>
          <t>FAIL</t>
        </is>
      </c>
      <c r="Q176" s="57" t="inlineStr">
        <is>
          <t>開 DEF-082</t>
        </is>
      </c>
      <c r="R176" s="57" t="inlineStr">
        <is>
          <t>檢驗方 2026-09-27</t>
        </is>
      </c>
    </row>
    <row r="177" ht="220" customHeight="1" s="34">
      <c r="A177" s="51" t="inlineStr">
        <is>
          <t>R9</t>
        </is>
      </c>
      <c r="B177" s="51" t="inlineStr">
        <is>
          <t>DEF-082</t>
        </is>
      </c>
      <c r="C177" s="51" t="inlineStr">
        <is>
          <t>G-04</t>
        </is>
      </c>
      <c r="D177" s="51" t="inlineStr">
        <is>
          <t>2026-09-27</t>
        </is>
      </c>
      <c r="E177" s="56" t="inlineStr">
        <is>
          <t>同意驗證者的判定與根因（既有規則漏網，不是回歸）。Owner 2026-09-27 裁定 A 修；名稱比對範圍另在對話中裁定為「整名＋多字名稱的單字」，例如 5225 IHH Healthcare 寫成「(IHH)」也算名稱。</t>
        </is>
      </c>
      <c r="F177" s="56" t="inlineStr">
        <is>
          <t>portfolio_dash/llm_insight/figure_check.py:151（_CODE_RE）、:460-474（_unknown_symbols 只比對 _known_forms 的代號）；portfolio_dash/api/routers/insights.py:1150-1157（_known_symbols 只讀 symbol，名稱沒有傳進檢核）（a16210a）</t>
        </is>
      </c>
      <c r="G177" s="56" t="inlineStr">
        <is>
          <t>M9 的誤報白名單（_NOT_A_TICKER、_INDICATOR_RE）是依 2026-09-17 demo 實測 48 筆命中歸納（47 筆指標／比率／評等，外加 1 筆真 6883），測試也只覆蓋那批形狀。「代號 (英文名)」在當時的卡片裡不存在。已知字詞一直是從看過的誤報推導，不是從登錄表的兩個識別欄位（symbol 與 name）推導——沒看過的形狀就沒有測試。</t>
        </is>
      </c>
      <c r="H177" s="56" t="inlineStr">
        <is>
          <t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      </is>
      </c>
      <c r="I177" s="56" t="inlineStr">
        <is>
          <t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      </is>
      </c>
      <c r="J177" s="56" t="inlineStr">
        <is>
          <t>tests/llm_insight/test_figure_check.py 新增 3 則（以 demo 26 個名稱為登錄表）：①「3008 (LARGAN)」只給代號時被標（原缺陷的見證），加上名稱後不標；②整名與單字不分大小寫——LARGAN／NVIDIA／APPLE／TESLA／IHH／YANG／MING／SPACE／MICRO／INC 都不標，不給名稱時全被標（上限 5）；③名稱不會放行真的未知代號——名稱表含「6883」「Fund 6883」「Global X Uranium」時，「LRDIM (6883)」「(X)」「(LRDIM)」照樣被標。新增 tests/contract/test_def082_card_names_are_not_unknown_codes.py（3 則，走真實路由 GET /api/insights，平面清單與依標的分組兩種形狀結果一致）：「3008 (LARGAN)」→ []；「5225 (IHH) 與 AAPL (APPLE)、2330（TSMC）」→ []；「LRDIM (6883)」→ ["6883"]。變異（每組還原後 30／30 通過）：①拿掉名稱比對 → 4 failed（2 單元＋2 契約）；②路由不傳名稱 → 2 failed（契約）；③名稱不轉大寫 → 2 failed；④只比整名 → 2 failed；⑤放行單一字母 → 1 failed；⑥放行全數字 → 1 failed。另一組「單字正規式放寬到數字」在全數字過濾套到所有形式後成為等價變異，不計。既有 test_insight_run_api.py 的 #82 形狀照常通過。</t>
        </is>
      </c>
      <c r="K177" s="56" t="inlineStr">
        <is>
          <t>3a35454（已部署 demo）</t>
        </is>
      </c>
      <c r="L177" s="56" t="inlineStr">
        <is>
          <t>ruff 全過（portfolio_dash／tests／scripts）・mypy --strict 954 檔 0 問題（全新快取）・pytest 6,500 則（6,498 通過、2 略過、0 失敗；8 小批逐段前景執行）・e2e 89 檔 309／309 全過（19 組逐組前景執行；伺服器端 5xx 0、traceback 0）・stress-audit ops=128 pass=6,025 fail=0・demo 部署 3a35454 後 verify_live ALL PASS。註：自我檢查後把「全數字／單一字母不算名稱」也套到整名（原只套單字），改後補跑 mypy（954 檔 0）與受影響批次 2,377 則全過；e2e 未重跑（此調整只影響整個名稱是數字或單一字母的標的，e2e 無此資料）
demo 唯讀探測（頁首 v0.1.28 · 3a35454 · 未發行）：GET /api/insights 208 張卡的 unknown_symbols 只剩 #82 ["6883"]；#209「台股部位週報 - 科技股佔比近九成」（內文含「3008 (LARGAN)」）figure_flags = {unverified_figures: [], unknown_symbols: [], snapshot: checked}；AI 洞察頁「未知代碼」標記 1 個（#82，tooltip「未知代碼：6883…」），沒有任何標記含 LARGAN；console 錯誤 0</t>
        </is>
      </c>
      <c r="M177" s="57" t="n"/>
      <c r="N177" s="57" t="n"/>
      <c r="O177" s="57" t="n"/>
      <c r="P177" s="57" t="n"/>
      <c r="Q177" s="57" t="n"/>
      <c r="R177" s="57" t="n"/>
    </row>
  </sheetData>
  <mergeCells count="1">
    <mergeCell ref="A1:R1"/>
  </mergeCells>
  <dataValidations count="2">
    <dataValidation sqref="A5:A177" showDropDown="0" showInputMessage="0" showErrorMessage="0" allowBlank="1" type="list" errorStyle="stop" operator="between">
      <formula1>"R1,R2,R3,R4,R5,R6,R7,R8,R9"</formula1>
      <formula2>0</formula2>
    </dataValidation>
    <dataValidation sqref="P5:P177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20" customHeight="1" s="34">
      <c r="A7" s="51" t="inlineStr">
        <is>
          <t>2026-09-24</t>
        </is>
      </c>
      <c r="B7" s="51" t="inlineStr">
        <is>
          <t>開發者 → 驗證者</t>
        </is>
      </c>
      <c r="C7" s="51" t="inlineStr">
        <is>
          <t>4655845</t>
        </is>
      </c>
      <c r="D7" s="5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5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34">
      <c r="A8" s="51" t="inlineStr">
        <is>
          <t>2026-09-24</t>
        </is>
      </c>
      <c r="B8" s="51" t="inlineStr">
        <is>
          <t>驗證者 → 開發者</t>
        </is>
      </c>
      <c r="C8" s="51" t="inlineStr">
        <is>
          <t>4655845</t>
        </is>
      </c>
      <c r="D8" s="5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1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5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20" customHeight="1" s="34">
      <c r="A9" s="51" t="inlineStr">
        <is>
          <t>2026-09-25</t>
        </is>
      </c>
      <c r="B9" s="51" t="inlineStr">
        <is>
          <t>開發者 → 驗證者</t>
        </is>
      </c>
      <c r="C9" s="51" t="inlineStr">
        <is>
          <t>1ee7771</t>
        </is>
      </c>
      <c r="D9" s="5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1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5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34">
      <c r="A10" s="51" t="inlineStr">
        <is>
          <t>2026-09-25</t>
        </is>
      </c>
      <c r="B10" s="51" t="inlineStr">
        <is>
          <t>驗證者 → 開發者</t>
        </is>
      </c>
      <c r="C10" s="51" t="inlineStr">
        <is>
          <t>1ee7771</t>
        </is>
      </c>
      <c r="D10" s="5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1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5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20" customHeight="1" s="34">
      <c r="A11" s="51" t="inlineStr">
        <is>
          <t>2026-09-25</t>
        </is>
      </c>
      <c r="B11" s="51" t="inlineStr">
        <is>
          <t>開發者 → 驗證者</t>
        </is>
      </c>
      <c r="C11" s="51" t="inlineStr">
        <is>
          <t>3be67db</t>
        </is>
      </c>
      <c r="D11" s="51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51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51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34">
      <c r="A12" s="51" t="inlineStr">
        <is>
          <t>2026-09-26</t>
        </is>
      </c>
      <c r="B12" s="51" t="inlineStr">
        <is>
          <t>驗證者 → 開發者</t>
        </is>
      </c>
      <c r="C12" s="51" t="inlineStr">
        <is>
          <t>3be67db</t>
        </is>
      </c>
      <c r="D12" s="51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51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51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20" customHeight="1" s="34">
      <c r="A13" s="51" t="inlineStr">
        <is>
          <t>2026-09-26</t>
        </is>
      </c>
      <c r="B13" s="51" t="inlineStr">
        <is>
          <t>開發者 → 驗證者</t>
        </is>
      </c>
      <c r="C13" s="51" t="inlineStr">
        <is>
          <t>696934e</t>
        </is>
      </c>
      <c r="D13" s="51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51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51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20" customHeight="1" s="34">
      <c r="A14" s="51" t="inlineStr">
        <is>
          <t>2026-09-26</t>
        </is>
      </c>
      <c r="B14" s="51" t="inlineStr">
        <is>
          <t>驗證者 → 開發者</t>
        </is>
      </c>
      <c r="C14" s="51" t="inlineStr">
        <is>
          <t>696934e</t>
        </is>
      </c>
      <c r="D14" s="51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51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51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20" customHeight="1" s="34">
      <c r="A15" s="51" t="inlineStr">
        <is>
          <t>2026-09-27</t>
        </is>
      </c>
      <c r="B15" s="51" t="inlineStr">
        <is>
          <t>開發者 → 驗證者</t>
        </is>
      </c>
      <c r="C15" s="51" t="inlineStr">
        <is>
          <t>a16210a</t>
        </is>
      </c>
      <c r="D15" s="51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51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51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220" customHeight="1" s="34">
      <c r="A16" s="51" t="inlineStr">
        <is>
          <t>2026-09-27</t>
        </is>
      </c>
      <c r="B16" s="51" t="inlineStr">
        <is>
          <t>驗證者 → 開發者、Owner</t>
        </is>
      </c>
      <c r="C16" s="51" t="inlineStr">
        <is>
          <t>a16210a</t>
        </is>
      </c>
      <c r="D16" s="51" t="inlineStr">
        <is>
          <t>R7 複驗完成（頁首 v0.1.28 · a16210a 相符）：DEF-077、DEF-081 皆複驗通過結案（demo＋本機黑箱重放；驗證者自做變異 9 組全數被攔）。J 組全綠、零回歸；demo 已還原（六段 JSON 與全部計數與 R7 起點逐字相同，AI 額度未花費）。結案簽核五項條件全部滿足：120 題 PASS 119／N/A 1、81 張缺陷全部結案或非缺陷——檢驗方已於「結案簽核」簽署（並把統計公式延伸到輪次彙總第 10 列、缺陷登記第 83 列）</t>
        </is>
      </c>
      <c r="E16" s="51" t="inlineStr">
        <is>
          <t>修復方與 Owner：請在「結案簽核」第 25、26 列簽署。簽署後若再改動程式，依簽核頁規定重跑 J 組並在輪次彙總新增一列</t>
        </is>
      </c>
      <c r="F16" s="51" t="inlineStr">
        <is>
          <t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      </is>
      </c>
    </row>
    <row r="17" ht="220" customHeight="1" s="34">
      <c r="A17" s="51" t="inlineStr">
        <is>
          <t>2026-09-27</t>
        </is>
      </c>
      <c r="B17" s="51" t="inlineStr">
        <is>
          <t>驗證者 → Owner、開發者</t>
        </is>
      </c>
      <c r="C17" s="51" t="inlineStr">
        <is>
          <t>a16210a</t>
        </is>
      </c>
      <c r="D17" s="51" t="inlineStr">
        <is>
          <t>R8 全面重跑（Owner 指示）：在最終版 a16210a 上重跑 R1 之後未再黑箱執行的 73 題——PASS 71／FAIL 1（G-04）／N/A 1（G-10）。新開 DEF-082（低）：AI 洞察卡的代號檢核把括號內已註冊標的英文名當成未知代號（#209「3008 (LARGAN)」標「未知代碼…可能是模型幻覺」），判讀規則自 755c88a 未變，屬既有漏網、非回歸。demo 已還原（帳本與現金池不變，報價匯率依裁定更新，額度 −$0.0015807）。R7 的檢驗方簽核已撤回</t>
        </is>
      </c>
      <c r="E17" s="51" t="inlineStr">
        <is>
          <t>Owner：裁定 DEF-082——A 修（開發者依缺陷登記 K 欄修正、補契約測試＋變異、同類掃描，部署後交回；驗證者複驗 G-04 並重跑 J 組後重新簽署）；B 改判「非缺陷」並接受此誤報（在缺陷登記寫明理由），驗證者即可重新簽署結案。開發者：待 Owner 裁定後依結果處理</t>
        </is>
      </c>
      <c r="F17" s="51" t="inlineStr">
        <is>
          <t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      </is>
      </c>
    </row>
    <row r="18" ht="220" customHeight="1" s="34">
      <c r="A18" s="51" t="inlineStr">
        <is>
          <t>2026-09-27</t>
        </is>
      </c>
      <c r="B18" s="51" t="inlineStr">
        <is>
          <t>開發者 → 驗證者</t>
        </is>
      </c>
      <c r="C18" s="51" t="inlineStr">
        <is>
          <t>3a35454</t>
        </is>
      </c>
      <c r="D18" s="51" t="inlineStr">
        <is>
          <t>R9 修復：DEF-082（低，R8 全面重跑 G-04 發現）依 owner 2026-09-27 裁定修正，改「待複驗」，部署 demo 3a35454（頁首應顯示 v0.1.28 · 3a35454）。根因：AI 洞察卡的代號檢核只比對已登錄代號，不比對已登錄標的名稱。修法：已知字詞由登錄表的代號與名稱兩欄推導——名稱不分大小寫，整名＋多字名稱的單字（owner 裁定，例：5225 IHH Healthcare 的「(IHH)」）；全數字與單一字母不算名稱，所以真的未知代號（#82「6883」）照樣被標。同類掃描：demo 208 張卡，代號形狀的括號 746 處／44 種，未知 2（6883 真、LARGAN 誤報）；括號內的已登錄名稱寫法 7 種／9 處，只有全大寫單字具代號形狀；登錄表 26 個名稱中具代號形狀的形式 10 種，修後全數視為名稱；修後重算，未知代碼只剩 #82。測試：單元 3 則＋契約 3 則，變異 6 組全被攔。閘門：ruff 全過・mypy 954 檔 0・pytest 6,498 passed／2 skipped・e2e 89 檔 309／309・stress-audit 6,025 pass／0 fail。</t>
        </is>
      </c>
      <c r="E18" s="51" t="inlineStr">
        <is>
          <t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      </is>
      </c>
      <c r="F18" s="51" t="inlineStr">
        <is>
          <t>Owner 2026-09-27 在對話中裁定：①DEF-082 A 修（不改判非缺陷）；②名稱比對範圍＝整名＋多字名稱的單字，不分大小寫（本輪修）。代價：模型若編出與這些單字同拼法的代號（例如「(MICRO)」）就不會被標；數字代號不受影響。資料：部署前備份 portfolio-pre-3a35454-20260927T090250Z.db（含 news 備份，完整性 ok；交易 56／股利 23／現金 34／公司行動 0／洞察 211〔影子 0〕／評分 94／校正版本 0／ledger_audit 169／prices 35,227／job_runs 207），部署未寫入資料；本修只改讀取時的檢核，已存卡片與資料表不變。修復方簽核依 owner 指示的順序，待驗證者重新簽檢驗方後再簽。</t>
        </is>
      </c>
    </row>
    <row r="19" ht="15" customHeight="1" s="34">
      <c r="A19" s="51" t="n"/>
      <c r="B19" s="51" t="n"/>
      <c r="C19" s="51" t="n"/>
      <c r="D19" s="51" t="n"/>
      <c r="E19" s="51" t="n"/>
      <c r="F19" s="51" t="n"/>
    </row>
    <row r="20" ht="15" customHeight="1" s="34">
      <c r="A20" s="51" t="n"/>
      <c r="B20" s="51" t="n"/>
      <c r="C20" s="51" t="n"/>
      <c r="D20" s="51" t="n"/>
      <c r="E20" s="51" t="n"/>
      <c r="F20" s="51" t="n"/>
    </row>
    <row r="21" ht="15" customHeight="1" s="34">
      <c r="A21" s="51" t="n"/>
      <c r="B21" s="51" t="n"/>
      <c r="C21" s="51" t="n"/>
      <c r="D21" s="51" t="n"/>
      <c r="E21" s="51" t="n"/>
      <c r="F21" s="51" t="n"/>
    </row>
    <row r="22" ht="15" customHeight="1" s="34">
      <c r="A22" s="51" t="n"/>
      <c r="B22" s="51" t="n"/>
      <c r="C22" s="51" t="n"/>
      <c r="D22" s="51" t="n"/>
      <c r="E22" s="51" t="n"/>
      <c r="F22" s="51" t="n"/>
    </row>
    <row r="23" ht="15" customHeight="1" s="34">
      <c r="A23" s="51" t="n"/>
      <c r="B23" s="51" t="n"/>
      <c r="C23" s="51" t="n"/>
      <c r="D23" s="51" t="n"/>
      <c r="E23" s="51" t="n"/>
      <c r="F23" s="51" t="n"/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COUNTIF(缺陷登記!$F$3:$F$84,$A4)</f>
        <v/>
      </c>
      <c r="K4" s="60">
        <f>COUNTIF(缺陷登記!$J$3:$J$84,$A4)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COUNTIF(缺陷登記!$F$3:$F$84,$A5)</f>
        <v/>
      </c>
      <c r="K5" s="60">
        <f>COUNTIF(缺陷登記!$J$3:$J$84,$A5)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inlineStr">
        <is>
          <t>2026-09-24</t>
        </is>
      </c>
      <c r="C6" s="59" t="inlineStr">
        <is>
          <t>4655845</t>
        </is>
      </c>
      <c r="D6" s="59" t="n">
        <v>21</v>
      </c>
      <c r="E6" s="59" t="n">
        <v>20</v>
      </c>
      <c r="F6" s="59" t="n">
        <v>1</v>
      </c>
      <c r="G6" s="59" t="n">
        <v>0</v>
      </c>
      <c r="H6" s="59" t="n">
        <v>0</v>
      </c>
      <c r="I6" s="59" t="n">
        <v>0</v>
      </c>
      <c r="J6" s="60">
        <f>COUNTIF(缺陷登記!$F$3:$F$84,$A6)</f>
        <v/>
      </c>
      <c r="K6" s="60">
        <f>COUNTIF(缺陷登記!$J$3:$J$84,$A6)</f>
        <v/>
      </c>
      <c r="L6" s="60">
        <f>SUM($J$4:$J6)-SUM($K$4:$K6)</f>
        <v/>
      </c>
      <c r="M6" s="59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59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34">
      <c r="A7" s="48" t="inlineStr">
        <is>
          <t>R4</t>
        </is>
      </c>
      <c r="B7" s="59" t="inlineStr">
        <is>
          <t>2026-09-25</t>
        </is>
      </c>
      <c r="C7" s="59" t="inlineStr">
        <is>
          <t>1ee7771</t>
        </is>
      </c>
      <c r="D7" s="59" t="n">
        <v>16</v>
      </c>
      <c r="E7" s="59" t="n">
        <v>15</v>
      </c>
      <c r="F7" s="59" t="n">
        <v>1</v>
      </c>
      <c r="G7" s="59" t="n">
        <v>0</v>
      </c>
      <c r="H7" s="59" t="n">
        <v>0</v>
      </c>
      <c r="I7" s="59" t="n">
        <v>0</v>
      </c>
      <c r="J7" s="60">
        <f>COUNTIF(缺陷登記!$F$3:$F$84,$A7)</f>
        <v/>
      </c>
      <c r="K7" s="60">
        <f>COUNTIF(缺陷登記!$J$3:$J$84,$A7)</f>
        <v/>
      </c>
      <c r="L7" s="60">
        <f>SUM($J$4:$J7)-SUM($K$4:$K7)</f>
        <v/>
      </c>
      <c r="M7" s="59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59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34">
      <c r="A8" s="48" t="inlineStr">
        <is>
          <t>R5</t>
        </is>
      </c>
      <c r="B8" s="59" t="inlineStr">
        <is>
          <t>2026-09-25</t>
        </is>
      </c>
      <c r="C8" s="59" t="inlineStr">
        <is>
          <t>3be67db</t>
        </is>
      </c>
      <c r="D8" s="59" t="n">
        <v>17</v>
      </c>
      <c r="E8" s="59" t="n">
        <v>13</v>
      </c>
      <c r="F8" s="59" t="n">
        <v>4</v>
      </c>
      <c r="G8" s="59" t="n">
        <v>0</v>
      </c>
      <c r="H8" s="59" t="n">
        <v>0</v>
      </c>
      <c r="I8" s="59" t="n">
        <v>0</v>
      </c>
      <c r="J8" s="60">
        <f>COUNTIF(缺陷登記!$F$3:$F$84,$A8)</f>
        <v/>
      </c>
      <c r="K8" s="60">
        <f>COUNTIF(缺陷登記!$J$3:$J$84,$A8)</f>
        <v/>
      </c>
      <c r="L8" s="60">
        <f>SUM($J$4:$J8)-SUM($K$4:$K8)</f>
        <v/>
      </c>
      <c r="M8" s="59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59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34">
      <c r="A9" s="48" t="inlineStr">
        <is>
          <t>R6</t>
        </is>
      </c>
      <c r="B9" s="59" t="inlineStr">
        <is>
          <t>2026-09-26</t>
        </is>
      </c>
      <c r="C9" s="59" t="inlineStr">
        <is>
          <t>696934e</t>
        </is>
      </c>
      <c r="D9" s="59" t="n">
        <v>13</v>
      </c>
      <c r="E9" s="59" t="n">
        <v>13</v>
      </c>
      <c r="F9" s="59" t="n">
        <v>0</v>
      </c>
      <c r="G9" s="59" t="n">
        <v>0</v>
      </c>
      <c r="H9" s="59" t="n">
        <v>0</v>
      </c>
      <c r="I9" s="59" t="n">
        <v>0</v>
      </c>
      <c r="J9" s="60">
        <f>COUNTIF(缺陷登記!$F$3:$F$84,$A9)</f>
        <v/>
      </c>
      <c r="K9" s="60">
        <f>COUNTIF(缺陷登記!$J$3:$J$84,$A9)</f>
        <v/>
      </c>
      <c r="L9" s="60">
        <f>SUM($J$4:$J9)-SUM($K$4:$K9)</f>
        <v/>
      </c>
      <c r="M9" s="59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59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34">
      <c r="A10" s="48" t="inlineStr">
        <is>
          <t>R7</t>
        </is>
      </c>
      <c r="B10" s="59" t="inlineStr">
        <is>
          <t>2026-09-27</t>
        </is>
      </c>
      <c r="C10" s="59" t="inlineStr">
        <is>
          <t>a16210a</t>
        </is>
      </c>
      <c r="D10" s="59" t="n">
        <v>7</v>
      </c>
      <c r="E10" s="59" t="n">
        <v>7</v>
      </c>
      <c r="F10" s="59" t="n">
        <v>0</v>
      </c>
      <c r="G10" s="59" t="n">
        <v>0</v>
      </c>
      <c r="H10" s="59" t="n">
        <v>0</v>
      </c>
      <c r="I10" s="59" t="n">
        <v>0</v>
      </c>
      <c r="J10" s="60">
        <f>COUNTIF(缺陷登記!$F$3:$F$84,$A10)</f>
        <v/>
      </c>
      <c r="K10" s="60">
        <f>COUNTIF(缺陷登記!$J$3:$J$84,$A10)</f>
        <v/>
      </c>
      <c r="L10" s="60">
        <f>SUM($J$4:$J10)-SUM($K$4:$K10)</f>
        <v/>
      </c>
      <c r="M10" s="59" t="inlineStr">
        <is>
          <t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      </is>
      </c>
      <c r="N10" s="59" t="inlineStr">
        <is>
          <t>R7 複驗（受測站頁首 v0.1.28 · a16210a）：待複驗 2 張（DEF-077、DEF-081）皆結案。DEF-077：demo 與本機三態（一致、無法比較、共同日不一致）以計算樣式驗證，只有 ok:false 為琥珀，深淺主題皆同；「推導」徽章中性；AI 狀態徽章 偏低 → 已關閉 不殘留琥珀（在 696934e 以同一腳本重現原缺陷）；掃描數字 71／12／修 4／白名單 8 重算相符。DEF-081：戰績頁兩處改為任務名稱、滑鼠提示保留 #編號，任務已不存在時「任務 #N（已刪除）」。驗證者自做變異 9 組（DEF-077 5 組、DEF-081 2 組、J-06 守門 2 組；其中 e2e 5 組）全數被攔。執行 7 題（H-07＋J-01～J-06）：PASS 7／FAIL 0。demo 寫入（J-03 #120）已刪除，六段 JSON 與全部計數與 R7 起點逐字相同，AI 額度未花費。120 題最終判定 PASS 119／N/A 1、缺陷 81 張全部結案或非缺陷，結案簽核五項條件全部滿足，檢驗方已簽核</t>
        </is>
      </c>
    </row>
    <row r="11" ht="15" customHeight="1" s="34">
      <c r="A11" s="48" t="inlineStr">
        <is>
          <t>R8</t>
        </is>
      </c>
      <c r="B11" s="59" t="inlineStr">
        <is>
          <t>2026-09-27</t>
        </is>
      </c>
      <c r="C11" s="59" t="inlineStr">
        <is>
          <t>a16210a</t>
        </is>
      </c>
      <c r="D11" s="59" t="n">
        <v>73</v>
      </c>
      <c r="E11" s="59" t="n">
        <v>71</v>
      </c>
      <c r="F11" s="59" t="n">
        <v>1</v>
      </c>
      <c r="G11" s="59" t="n">
        <v>0</v>
      </c>
      <c r="H11" s="59" t="n">
        <v>1</v>
      </c>
      <c r="I11" s="59" t="n">
        <v>0</v>
      </c>
      <c r="J11" s="60">
        <f>COUNTIF(缺陷登記!$F$3:$F$84,$A11)</f>
        <v/>
      </c>
      <c r="K11" s="60">
        <f>COUNTIF(缺陷登記!$J$3:$J$84,$A11)</f>
        <v/>
      </c>
      <c r="L11" s="60">
        <f>SUM($J$4:$J11)-SUM($K$4:$K11)</f>
        <v/>
      </c>
      <c r="M11" s="59" t="inlineStr">
        <is>
          <t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      </is>
      </c>
      <c r="N11" s="59" t="inlineStr">
        <is>
          <t>R8 全面重跑（Owner 2026-09-27 指示，受測版本 v0.1.28 · a16210a，與 R7 相同）：R1 之後未再黑箱執行的 73 題全部在最終版重跑——demo 真實瀏覽器 72 題、本機專用測試環境 1 題（E-02：demo 無落後標的，改以本機假報價製造）；G-07 在 demo 驗完後另於本機以時鐘推進補做到期與未到期卡。寫入類皆於測後刪除並比對。結果 PASS 71／FAIL 1（G-04）／N/A 1（G-10）。新開 DEF-082（低）：代號檢核把括號內已註冊標的英文名（#209「3008 (LARGAN)」）標為「未知代碼…可能是模型幻覺」。demo：帳本、現金池、觀察清單、任務與排程皆回到起點；報價與匯率依 E-01／E-10 裁定更新；AI 額度 −$0.0015807（F-01 兩次辨識＋G-01 一張卡）。因 G-04 FAIL 與 DEF-082 新開，R7 的檢驗方結案簽核已撤回，待 DEF-082 修復並複驗，或 Owner 裁定為非缺陷後重新簽署</t>
        </is>
      </c>
    </row>
    <row r="12" ht="15" customHeight="1" s="34">
      <c r="A12" s="48" t="inlineStr">
        <is>
          <t>R9</t>
        </is>
      </c>
      <c r="B12" s="59" t="n"/>
      <c r="C12" s="59" t="n"/>
      <c r="D12" s="59" t="n"/>
      <c r="E12" s="59" t="n"/>
      <c r="F12" s="59" t="n"/>
      <c r="G12" s="59" t="n"/>
      <c r="H12" s="59" t="n"/>
      <c r="I12" s="59" t="n"/>
      <c r="J12" s="60">
        <f>COUNTIF(缺陷登記!$F$3:$F$84,$A12)</f>
        <v/>
      </c>
      <c r="K12" s="60">
        <f>COUNTIF(缺陷登記!$J$3:$J$84,$A12)</f>
        <v/>
      </c>
      <c r="L12" s="60">
        <f>SUM($J$4:$J12)-SUM($K$4:$K12)</f>
        <v/>
      </c>
      <c r="M12" s="59" t="n"/>
      <c r="N12" s="59" t="n"/>
    </row>
    <row r="13" ht="15" customHeight="1" s="34">
      <c r="A13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3:N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56（R8_START 2026-09-27 08:05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R8_START 四段 JSON；報價更新後另存 R8_POSTQ</t>
        </is>
      </c>
      <c r="E9" s="59" t="inlineStr">
        <is>
          <t>各持倉股數與原幣成本不變；kpis／holdings／allocation 的差異全部來自 E-01／E-10 依裁定更新的報價與匯率；與報價更新後基準 R8_POSTQ 逐字相同（僅額度差）</t>
        </is>
      </c>
      <c r="F9" s="59" t="inlineStr">
        <is>
          <t>是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cash_balances 逐字相同；reporting_total 的差異來自 E-10 更新的匯率</t>
        </is>
      </c>
      <c r="F10" s="59" t="inlineStr">
        <is>
          <t>是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批已提交（C-05、I-07 的批次皆已復原）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檔、0 封存、目標價皆空；任務 1／2／7／8／9 啟用；25 個排程</t>
        </is>
      </c>
      <c r="E12" s="59" t="inlineStr">
        <is>
          <t>26 檔、0 封存、目標價皆空（D-06 設定的 2884 目標價已清回）；任務 1／2／7／8／9 皆啟用，G-01 測試任務 #13 已軟刪除；25 個排程皆啟用；收件匣 7、已忽略只剩既有 NVDA 2026-06-04、折讓款 3、期初 1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$3.2577460；低額度警示門檻 $1.00</t>
        </is>
      </c>
      <c r="E13" s="59" t="inlineStr">
        <is>
          <t>剩餘額度 $3.2561653、門檻 $1.00；本輪花費 $0.0015807＝F-01 AI 辨識 0.0001568＋0.0001555＋G-01 單一標的卡 0.0012684，與 llm-usage 逐筆相符</t>
        </is>
      </c>
      <c r="F13" s="59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inlineStr">
        <is>
          <t>否（R8）：G-04 在最終版 a16210a 重跑判定 FAIL（DEF-082），120 題最終判定 PASS 118／N/A 1／尚未有最終判定 1</t>
        </is>
      </c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inlineStr">
        <is>
          <t>否（R8）：DEF-082 新開（低）；其餘 81 張為結案或非缺陷</t>
        </is>
      </c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inlineStr">
        <is>
          <t>是：6 題 OBSERVE（A-01、A-11、B-10、C-04b、G-06、H-03）皆已由 owner 裁定並改判 PASS（狀態結案）</t>
        </is>
      </c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inlineStr">
        <is>
          <t>是：受測版本仍為 a16210a，R7 的 J 組全過、零回歸；R8 重跑中 J-01 恆等式 94/94（見 E-04）</t>
        </is>
      </c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inlineStr">
        <is>
          <t>是：R-1～R-10 相符（報價與匯率依 E-01／E-10 裁定更新，見還原檢查）</t>
        </is>
      </c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COUNTA(輪次彙總!$B$4:$B$11)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COUNTA(缺陷登記!$I$3:$I$84)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COUNTIF(缺陷登記!$D$3:$D$84,"高")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COUNTIF(缺陷登記!$D$3:$D$84,"中")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COUNTIF(缺陷登記!$D$3:$D$84,"低")</f>
        <v/>
      </c>
    </row>
    <row r="19" ht="15" customHeight="1" s="34">
      <c r="A19" s="61" t="inlineStr">
        <is>
          <t>已結案缺陷</t>
        </is>
      </c>
      <c r="B19" s="65">
        <f>COUNTIF(缺陷登記!$I$3:$I$84,"結案")+COUNTIF(缺陷登記!$I$3:$I$84,"非缺陷")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COUNTA(缺陷登記!$I$3:$I$84)-COUNTIF(缺陷登記!$I$3:$I$84,"結案")-COUNTIF(缺陷登記!$I$3:$I$84,"非缺陷")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inlineStr">
        <is>
          <t>Claude（驗證者）— 已撤回</t>
        </is>
      </c>
      <c r="C24" s="64" t="inlineStr">
        <is>
          <t>2026-09-27（R7 簽署，R8 撤回）</t>
        </is>
      </c>
      <c r="D24" s="64" t="inlineStr">
        <is>
          <t>R7 簽署（02:19）已撤回：Owner 指示在最終版重跑 R1 之後未再執行的 73 題，G-04 判定 FAIL、新開 DEF-082（低），條件 1、2 不再成立。待 DEF-082 修復並複驗通過，或 Owner 裁定其為非缺陷後，重新簽署</t>
        </is>
      </c>
    </row>
    <row r="25" ht="15" customHeight="1" s="34">
      <c r="A25" s="61" t="inlineStr">
        <is>
          <t>修復方</t>
        </is>
      </c>
      <c r="B25" s="64" t="n"/>
      <c r="C25" s="64" t="n"/>
      <c r="D25" s="64" t="n"/>
    </row>
    <row r="26" ht="15" customHeight="1" s="34">
      <c r="A26" s="66" t="inlineStr">
        <is>
          <t>Owner</t>
        </is>
      </c>
      <c r="B26" s="64" t="n"/>
      <c r="C26" s="64" t="n"/>
      <c r="D26" s="64" t="n"/>
    </row>
    <row r="28" ht="15" customHeight="1" s="34">
      <c r="A28" s="53" t="inlineStr">
        <is>
          <t>最終受測版本（commit）</t>
        </is>
      </c>
      <c r="B28" s="64" t="inlineStr">
        <is>
          <t>v0.1.28 · a16210a</t>
        </is>
      </c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inlineStr">
        <is>
          <t>尚未結案：R8 全面重跑發現 DEF-082（結案條件 1、2 未滿足），R7 的檢驗方簽核已撤回</t>
        </is>
      </c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2026-09-22T17:50:57Z</dcterms:created>
  <dcterms:modified xsi:type="dcterms:W3CDTF">2026-09-27T09:07:34Z</dcterms:modified>
  <cp:revision>0</cp:revision>
</cp:coreProperties>
</file>