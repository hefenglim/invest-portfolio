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測試案例" sheetId="2" state="visible" r:id="rId2"/>
    <sheet xmlns:r="http://schemas.openxmlformats.org/officeDocument/2006/relationships" name="缺陷登記" sheetId="3" state="visible" r:id="rId3"/>
    <sheet xmlns:r="http://schemas.openxmlformats.org/officeDocument/2006/relationships" name="來回記錄" sheetId="4" state="visible" r:id="rId4"/>
    <sheet xmlns:r="http://schemas.openxmlformats.org/officeDocument/2006/relationships" name="交接紀錄" sheetId="5" state="visible" r:id="rId5"/>
    <sheet xmlns:r="http://schemas.openxmlformats.org/officeDocument/2006/relationships" name="輪次彙總" sheetId="6" state="visible" r:id="rId6"/>
    <sheet xmlns:r="http://schemas.openxmlformats.org/officeDocument/2006/relationships" name="還原檢查" sheetId="7" state="visible" r:id="rId7"/>
    <sheet xmlns:r="http://schemas.openxmlformats.org/officeDocument/2006/relationships" name="結案簽核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Arial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b val="1"/>
      <sz val="10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i val="1"/>
      <sz val="10"/>
    </font>
    <font>
      <name val="Arial"/>
      <charset val="1"/>
      <family val="0"/>
      <i val="1"/>
      <sz val="10"/>
    </font>
    <font>
      <name val="Noto Sans CJK SC"/>
      <family val="2"/>
      <i val="1"/>
      <sz val="10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Arial"/>
      <charset val="1"/>
      <family val="0"/>
      <b val="1"/>
      <sz val="10"/>
    </font>
    <font>
      <name val="Noto Sans CJK SC"/>
      <family val="2"/>
      <color theme="1"/>
      <sz val="11"/>
    </font>
    <font>
      <name val="Noto Sans CJK SC"/>
      <charset val="1"/>
      <family val="2"/>
      <b val="1"/>
      <sz val="12"/>
    </font>
    <font>
      <name val="Noto Sans CJK SC"/>
      <charset val="1"/>
      <family val="2"/>
      <b val="1"/>
      <sz val="13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EDEDED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6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19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top" wrapText="1"/>
    </xf>
    <xf numFmtId="0" fontId="14" fillId="3" borderId="1" applyAlignment="1" pivotButton="0" quotePrefix="0" xfId="0">
      <alignment horizontal="general" vertical="top" wrapText="1"/>
    </xf>
    <xf numFmtId="0" fontId="16" fillId="4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8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6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19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110" customWidth="1" style="42" min="2" max="2"/>
  </cols>
  <sheetData>
    <row r="1" ht="21" customHeight="1" s="43">
      <c r="A1" s="44" t="inlineStr">
        <is>
          <t>portfolio-dash 功能測試手冊 — 修復・複驗來回版</t>
        </is>
      </c>
      <c r="B1" s="45" t="n"/>
    </row>
    <row r="2" ht="15" customHeight="1" s="43">
      <c r="A2" s="46" t="n"/>
      <c r="B2" s="45" t="n"/>
    </row>
    <row r="3" ht="15" customHeight="1" s="43">
      <c r="A3" s="47" t="inlineStr">
        <is>
          <t>文件版本</t>
        </is>
      </c>
      <c r="B3" s="45" t="inlineStr">
        <is>
          <t>v3.2（2026-09-25）。v1 只有測試案例；v2 加入缺陷登記與來回記錄；v3 加入角色路由、交接紀錄、判讀邏輯與防線盲點欄位；v3.1 依 2026-09-24 owner 裁定同步 12 個案例的期望值（A-01、A-04、A-09、A-11、B-10、B-16、B-17、C-02、C-04b、D-10、G-09、I-06）；v3.2（2026-09-25）依 owner 裁定 DEF-056 補 B-17 期望（未來日期的交易／期初／換匯到該日才計入；驗證者 R3 交接請開發者代補）</t>
        </is>
      </c>
    </row>
    <row r="4" ht="15" customHeight="1" s="43">
      <c r="A4" s="47" t="inlineStr">
        <is>
          <t>受測系統</t>
        </is>
      </c>
      <c r="B4" s="45" t="inlineStr">
        <is>
          <t>portfolio-dash · 個人多市場投資管理</t>
        </is>
      </c>
    </row>
    <row r="5" ht="15" customHeight="1" s="43">
      <c r="A5" s="47" t="inlineStr">
        <is>
          <t>對應版本</t>
        </is>
      </c>
      <c r="B5" s="45" t="inlineStr">
        <is>
          <t>v0.1.28 · 755c88a（demo 站；其他環境請填實際 commit）</t>
        </is>
      </c>
    </row>
    <row r="6" ht="15" customHeight="1" s="43">
      <c r="A6" s="47" t="inlineStr">
        <is>
          <t>測試案例數</t>
        </is>
      </c>
      <c r="B6" s="45" t="inlineStr">
        <is>
          <t>120（A–J 共 10 組）</t>
        </is>
      </c>
    </row>
    <row r="7" ht="15" customHeight="1" s="43">
      <c r="A7" s="47" t="inlineStr">
        <is>
          <t>配套文件</t>
        </is>
      </c>
      <c r="B7" s="45" t="inlineStr">
        <is>
          <t>2026-09-22-functional-test-manual.md — 規則、SOP、判讀邏輯規範與 120 題的期望值都在那裡；本活頁簿只承載狀態</t>
        </is>
      </c>
    </row>
    <row r="8" ht="15" customHeight="1" s="43">
      <c r="A8" s="47" t="inlineStr">
        <is>
          <t>為什麼要這一版</t>
        </is>
      </c>
      <c r="B8" s="48" t="inlineStr">
        <is>
          <t>上一輪稽核走了 4 次修復、3 次全份複驗才收斂，且有 2 個缺陷是在守門測試全綠時漏掉的。那些教訓寫成本版的結案條件與記錄欄位</t>
        </is>
      </c>
    </row>
    <row r="9" ht="15" customHeight="1" s="43">
      <c r="A9" s="46" t="n"/>
      <c r="B9" s="45" t="n"/>
    </row>
    <row r="10" ht="15" customHeight="1" s="43">
      <c r="A10" s="47" t="inlineStr">
        <is>
          <t>【你拿到之後的第一件事】</t>
        </is>
      </c>
      <c r="B10" s="48" t="inlineStr">
        <is>
          <t>交付你的人只會說「你是開發者」或「你是驗證者」。其餘從這兩個檔案讀。詳細 SOP 在 .md 的 §4／§5</t>
        </is>
      </c>
    </row>
    <row r="11" ht="15" customHeight="1" s="43">
      <c r="A11" s="47" t="inlineStr">
        <is>
          <t>開發者 → 先看</t>
        </is>
      </c>
      <c r="B11" s="48" t="inlineStr">
        <is>
          <t>『缺陷登記』分頁，篩狀態 = 新開／複驗未過。有『複驗未過』要優先處理</t>
        </is>
      </c>
    </row>
    <row r="12" ht="15" customHeight="1" s="43">
      <c r="A12" s="47" t="inlineStr">
        <is>
          <t>驗證者 → 先看</t>
        </is>
      </c>
      <c r="B12" s="48" t="inlineStr">
        <is>
          <t>『缺陷登記』分頁，篩狀態 = 待複驗；一張都沒有就改看『測試案例』狀態 = 未測</t>
        </is>
      </c>
    </row>
    <row r="13" ht="15" customHeight="1" s="43">
      <c r="A13" s="47" t="inlineStr">
        <is>
          <t>兩人都先看</t>
        </is>
      </c>
      <c r="B13" s="48" t="inlineStr">
        <is>
          <t>『交接紀錄』最後一列：對方部署的版本、要你做什麼。受測站版本與它不符就停下來交回</t>
        </is>
      </c>
    </row>
    <row r="14" ht="15" customHeight="1" s="43">
      <c r="A14" s="47" t="inlineStr">
        <is>
          <t>唯一事實來源</t>
        </is>
      </c>
      <c r="B14" s="48" t="inlineStr">
        <is>
          <t>這個 xlsx。聊天訊息、口頭交代都不算數；沒寫進來的事等於沒發生</t>
        </is>
      </c>
    </row>
    <row r="15" ht="15" customHeight="1" s="43">
      <c r="A15" s="46" t="n"/>
      <c r="B15" s="45" t="n"/>
    </row>
    <row r="16" ht="15" customHeight="1" s="43">
      <c r="A16" s="49" t="inlineStr">
        <is>
          <t>【三方分工】</t>
        </is>
      </c>
      <c r="B16" s="45" t="n"/>
    </row>
    <row r="17" ht="29.25" customHeight="1" s="43">
      <c r="A17" s="47" t="inlineStr">
        <is>
          <t>檢驗方（黑箱）</t>
        </is>
      </c>
      <c r="B17" s="48" t="inlineStr">
        <is>
          <t>用**真實瀏覽器**逐步操作受測站，必要時以 API 回應逐位元比對。**不看原始碼下判定**，只在需要定位根因時才交叉比對。每一輪都**重放原始重現步驟**，不採信修復方的自檢數字。</t>
        </is>
      </c>
    </row>
    <row r="18" ht="15" customHeight="1" s="43">
      <c r="A18" s="47" t="inlineStr">
        <is>
          <t>修復方（開發者）</t>
        </is>
      </c>
      <c r="B18" s="48" t="inlineStr">
        <is>
          <t>把根因**定位到檔案與行**、修類別而不是修實例、補上一個**會失敗的測試**、部署後回報版本（commit）與自檢證據。</t>
        </is>
      </c>
    </row>
    <row r="19" ht="15" customHeight="1" s="43">
      <c r="A19" s="46" t="inlineStr">
        <is>
          <t>Owner（裁定者）</t>
        </is>
      </c>
      <c r="B19" s="48" t="inlineStr">
        <is>
          <t>裁定規格未定的項目（`OBSERVE`）、非缺陷的爭議、以及要不要做的新功能。裁定要寫進手冊，附理由。</t>
        </is>
      </c>
    </row>
    <row r="20" ht="15" customHeight="1" s="43">
      <c r="A20" s="46" t="n"/>
      <c r="B20" s="45" t="n"/>
    </row>
    <row r="21" ht="29.25" customHeight="1" s="43">
      <c r="A21" s="47" t="inlineStr">
        <is>
          <t>【流程】</t>
        </is>
      </c>
      <c r="B21" s="48" t="inlineStr">
        <is>
          <t>檢驗方執行案例 → FAIL/OBSERVE 開一張缺陷（缺陷登記）→ 每一輪在『來回記錄』留一列：左半修復方寫、右半檢驗方寫 → 複驗通過即結案；未過則輪次 +1</t>
        </is>
      </c>
    </row>
    <row r="22" ht="29.25" customHeight="1" s="43">
      <c r="A22" s="47" t="inlineStr">
        <is>
          <t>一輪的定義</t>
        </is>
      </c>
      <c r="B22" s="48" t="inlineStr">
        <is>
          <t>一輪 = 修復方交付一批修復並部署 → 檢驗方複驗 → 產出本輪結果。 每一輪都在「來回記錄」分頁留下一列：同一列的左半是修復方寫的，右半是檢驗方寫的。複驗不通過就輪次 +1，同一張缺陷會有多列。複驗時新發現的問題開新的 DEF 編號，同樣進入這個迴圈。</t>
        </is>
      </c>
    </row>
    <row r="23" ht="15" customHeight="1" s="43">
      <c r="A23" s="46" t="n"/>
      <c r="B23" s="45" t="n"/>
    </row>
    <row r="24" ht="15" customHeight="1" s="43">
      <c r="A24" s="49" t="inlineStr">
        <is>
          <t>【案例狀態】</t>
        </is>
      </c>
      <c r="B24" s="45" t="n"/>
    </row>
    <row r="25" ht="15" customHeight="1" s="43">
      <c r="A25" s="47" t="inlineStr">
        <is>
          <t>未測</t>
        </is>
      </c>
      <c r="B25" s="48" t="inlineStr">
        <is>
          <t>尚未執行</t>
        </is>
      </c>
    </row>
    <row r="26" ht="15" customHeight="1" s="43">
      <c r="A26" s="46" t="inlineStr">
        <is>
          <t>PASS</t>
        </is>
      </c>
      <c r="B26" s="48" t="inlineStr">
        <is>
          <t>本輪通過，無缺陷</t>
        </is>
      </c>
    </row>
    <row r="27" ht="15" customHeight="1" s="43">
      <c r="A27" s="46" t="inlineStr">
        <is>
          <t>FAIL</t>
        </is>
      </c>
      <c r="B27" s="48" t="inlineStr">
        <is>
          <t>本輪不通過 → 必須開一張缺陷（DEF-xxx）</t>
        </is>
      </c>
    </row>
    <row r="28" ht="15" customHeight="1" s="43">
      <c r="A28" s="46" t="inlineStr">
        <is>
          <t>BLOCKED</t>
        </is>
      </c>
      <c r="B28" s="48" t="inlineStr">
        <is>
          <t>環境或前置不具備，寫明卡在哪；不算通過也不算缺陷</t>
        </is>
      </c>
    </row>
    <row r="29" ht="15" customHeight="1" s="43">
      <c r="A29" s="46" t="inlineStr">
        <is>
          <t>N/A</t>
        </is>
      </c>
      <c r="B29" s="48" t="inlineStr">
        <is>
          <t>功能不存在或不適用，寫明依據</t>
        </is>
      </c>
    </row>
    <row r="30" ht="15" customHeight="1" s="43">
      <c r="A30" s="46" t="inlineStr">
        <is>
          <t>OBSERVE</t>
        </is>
      </c>
      <c r="B30" s="48" t="inlineStr">
        <is>
          <t>行為與預期不同但規格未定 → 開缺陷並標為『待裁定』，由 owner 決定</t>
        </is>
      </c>
    </row>
    <row r="31" ht="15" customHeight="1" s="43">
      <c r="A31" s="47" t="inlineStr">
        <is>
          <t>修復中</t>
        </is>
      </c>
      <c r="B31" s="48" t="inlineStr">
        <is>
          <t>缺陷已受理，修復方作業中</t>
        </is>
      </c>
    </row>
    <row r="32" ht="15" customHeight="1" s="43">
      <c r="A32" s="47" t="inlineStr">
        <is>
          <t>待複驗</t>
        </is>
      </c>
      <c r="B32" s="48" t="inlineStr">
        <is>
          <t>修復方已部署，等檢驗方複驗</t>
        </is>
      </c>
    </row>
    <row r="33" ht="15" customHeight="1" s="43">
      <c r="A33" s="47" t="inlineStr">
        <is>
          <t>複驗未過</t>
        </is>
      </c>
      <c r="B33" s="48" t="inlineStr">
        <is>
          <t>複驗不通過 → 回到『修復中』，輪次 +1</t>
        </is>
      </c>
    </row>
    <row r="34" ht="15" customHeight="1" s="43">
      <c r="A34" s="47" t="inlineStr">
        <is>
          <t>結案</t>
        </is>
      </c>
      <c r="B34" s="48" t="inlineStr">
        <is>
          <t>複驗通過且滿足四項結案條件</t>
        </is>
      </c>
    </row>
    <row r="35" ht="15" customHeight="1" s="43">
      <c r="A35" s="46" t="n"/>
      <c r="B35" s="45" t="n"/>
    </row>
    <row r="36" ht="15" customHeight="1" s="43">
      <c r="A36" s="47" t="inlineStr">
        <is>
          <t>【缺陷結案四條件】</t>
        </is>
      </c>
      <c r="B36" s="48" t="inlineStr">
        <is>
          <t>四條全部滿足才可把缺陷改為『結案』</t>
        </is>
      </c>
    </row>
    <row r="37" ht="15" customHeight="1" s="43">
      <c r="A37" s="46" t="inlineStr">
        <is>
          <t>1. 根因定位到行</t>
        </is>
      </c>
      <c r="B37" s="48" t="inlineStr">
        <is>
          <t>缺陷登記的「根因」欄必須寫到檔案:行，不能只寫現象或模組名</t>
        </is>
      </c>
    </row>
    <row r="38" ht="29.25" customHeight="1" s="43">
      <c r="A38" s="46" t="inlineStr">
        <is>
          <t>2. 修類別不修實例</t>
        </is>
      </c>
      <c r="B38" s="48" t="inlineStr">
        <is>
          <t>修復方必須附上同類掃描結果（例如：全語料/全檔案掃過一遍，同類還有幾處、各自怎麼處理）。只修被點名的那一處 → 檢驗方應判『複驗未過』</t>
        </is>
      </c>
    </row>
    <row r="39" ht="29.25" customHeight="1" s="43">
      <c r="A39" s="46" t="inlineStr">
        <is>
          <t>3. 有一個會失敗的測試</t>
        </is>
      </c>
      <c r="B39" s="48" t="inlineStr">
        <is>
          <t>必須附變異測試證據：把修復前的寫法放回去，該測試會失敗；改回來就通過。『守門測試通過』本身不算證據 —— 本次稽核有兩個缺陷正是在守門測試全綠的情況下漏掉的</t>
        </is>
      </c>
    </row>
    <row r="40" ht="15" customHeight="1" s="43">
      <c r="A40" s="46" t="inlineStr">
        <is>
          <t>4. 黑箱複驗通過</t>
        </is>
      </c>
      <c r="B40" s="48" t="inlineStr">
        <is>
          <t>檢驗方以真實瀏覽器重放原始重現步驟通過，並確認未造成回歸（跑 J 組回歸快篩）</t>
        </is>
      </c>
    </row>
    <row r="41" ht="29.25" customHeight="1" s="43">
      <c r="A41" s="47" t="inlineStr">
        <is>
          <t>⚠ 最貴的一課</t>
        </is>
      </c>
      <c r="B41" s="48" t="inlineStr">
        <is>
          <t>『守門測試通過』不能當作證據。本次兩個缺陷正是在守門測試全綠時漏掉：一個測試的檔案清單是手寫的、漏了那支檔案；一個規則只抓『緊貼中文字』的標點，而那行標點後面都空一格。所以要求變異測試：把修復前的寫法放回去，測試必須失敗</t>
        </is>
      </c>
    </row>
    <row r="42" ht="15" customHeight="1" s="43">
      <c r="A42" s="46" t="n"/>
      <c r="B42" s="45" t="n"/>
    </row>
    <row r="43" ht="15" customHeight="1" s="43">
      <c r="A43" s="49" t="inlineStr">
        <is>
          <t>【嚴重度】</t>
        </is>
      </c>
      <c r="B43" s="45" t="n"/>
    </row>
    <row r="44" ht="15" customHeight="1" s="43">
      <c r="A44" s="47" t="inlineStr">
        <is>
          <t>高</t>
        </is>
      </c>
      <c r="B44" s="48" t="inlineStr">
        <is>
          <t>金額/成本/損益算錯、資料寫壞、無法還原、資料外洩</t>
        </is>
      </c>
    </row>
    <row r="45" ht="15" customHeight="1" s="43">
      <c r="A45" s="47" t="inlineStr">
        <is>
          <t>中</t>
        </is>
      </c>
      <c r="B45" s="48" t="inlineStr">
        <is>
          <t>功能不可用或給出互相矛盾的資訊、需要人工繞道</t>
        </is>
      </c>
    </row>
    <row r="46" ht="15" customHeight="1" s="43">
      <c r="A46" s="47" t="inlineStr">
        <is>
          <t>低</t>
        </is>
      </c>
      <c r="B46" s="48" t="inlineStr">
        <is>
          <t>文案、顯示一致性、可用性；不影響數字正確性</t>
        </is>
      </c>
    </row>
    <row r="47" ht="15" customHeight="1" s="43">
      <c r="A47" s="46" t="n"/>
      <c r="B47" s="45" t="n"/>
    </row>
    <row r="48" ht="15" customHeight="1" s="43">
      <c r="A48" s="49" t="inlineStr">
        <is>
          <t>【分類】</t>
        </is>
      </c>
      <c r="B48" s="45" t="n"/>
    </row>
    <row r="49" ht="15" customHeight="1" s="43">
      <c r="A49" s="47" t="inlineStr">
        <is>
          <t>程式缺陷</t>
        </is>
      </c>
      <c r="B49" s="48" t="inlineStr">
        <is>
          <t>程式碼要改</t>
        </is>
      </c>
    </row>
    <row r="50" ht="15" customHeight="1" s="43">
      <c r="A50" s="47" t="inlineStr">
        <is>
          <t>資料殘留</t>
        </is>
      </c>
      <c r="B50" s="48" t="inlineStr">
        <is>
          <t>修復前寫入的舊資料，程式已正確 → 由 owner 裁定清不清</t>
        </is>
      </c>
    </row>
    <row r="51" ht="15" customHeight="1" s="43">
      <c r="A51" s="47" t="inlineStr">
        <is>
          <t>來源資料</t>
        </is>
      </c>
      <c r="B51" s="48" t="inlineStr">
        <is>
          <t>第三方/模型產出的內容（新聞標題、AI 卡片文字）→ 不是本站文案，不列缺陷</t>
        </is>
      </c>
    </row>
    <row r="52" ht="15" customHeight="1" s="43">
      <c r="A52" s="47" t="inlineStr">
        <is>
          <t>規格未定</t>
        </is>
      </c>
      <c r="B52" s="48" t="inlineStr">
        <is>
          <t>行為合理但規格沒寫 → 待 owner 裁定</t>
        </is>
      </c>
    </row>
    <row r="53" ht="15" customHeight="1" s="43">
      <c r="A53" s="47" t="inlineStr">
        <is>
          <t>非缺陷</t>
        </is>
      </c>
      <c r="B53" s="48" t="inlineStr">
        <is>
          <t>複驗推翻原判斷（原測試方法有誤）→ 寫明原因，保留紀錄</t>
        </is>
      </c>
    </row>
    <row r="54" ht="15" customHeight="1" s="43">
      <c r="A54" s="46" t="n"/>
      <c r="B54" s="45" t="n"/>
    </row>
    <row r="55" ht="15" customHeight="1" s="43">
      <c r="A55" s="49" t="inlineStr">
        <is>
          <t>【通用規則】</t>
        </is>
      </c>
      <c r="B55" s="45" t="n"/>
    </row>
    <row r="56" ht="29.25" customHeight="1" s="43">
      <c r="A56" s="46" t="inlineStr">
        <is>
          <t>1</t>
        </is>
      </c>
      <c r="B56" s="48" t="inlineStr">
        <is>
          <t>先記基準：會寫入的案例，動手前先存下 GET /api/dashboard 的 kpis／holdings／realized／allocation 四段 JSON 原文、相關帳本列數、現金池餘額</t>
        </is>
      </c>
    </row>
    <row r="57" ht="15" customHeight="1" s="43">
      <c r="A57" s="46" t="inlineStr">
        <is>
          <t>2</t>
        </is>
      </c>
      <c r="B57" s="48" t="inlineStr">
        <is>
          <t>測完還原，並逐位元比對四段 JSON 是否字串完全相同；不同即判 FAIL</t>
        </is>
      </c>
    </row>
    <row r="58" ht="15" customHeight="1" s="43">
      <c r="A58" s="46" t="inlineStr">
        <is>
          <t>3</t>
        </is>
      </c>
      <c r="B58" s="48" t="inlineStr">
        <is>
          <t>不要在正式環境跑會寫入的案例</t>
        </is>
      </c>
    </row>
    <row r="59" ht="15" customHeight="1" s="43">
      <c r="A59" s="46" t="inlineStr">
        <is>
          <t>4</t>
        </is>
      </c>
      <c r="B59" s="48" t="inlineStr">
        <is>
          <t>每個 FAIL 至少附：重現步驟、實際值 vs 預期值、截圖或 API 回應原文</t>
        </is>
      </c>
    </row>
    <row r="60" ht="15" customHeight="1" s="43">
      <c r="A60" s="46" t="inlineStr">
        <is>
          <t>5</t>
        </is>
      </c>
      <c r="B60" s="45" t="inlineStr">
        <is>
          <t>AI 案例每次約 $0.002–$0.03；開跑前記錄額度，跑完對帳（H-02）</t>
        </is>
      </c>
    </row>
    <row r="61" ht="15" customHeight="1" s="43">
      <c r="A61" s="46" t="inlineStr">
        <is>
          <t>6</t>
        </is>
      </c>
      <c r="B61" s="48" t="inlineStr">
        <is>
          <t>不代為輸入密碼類欄位，不要在正式站新增授權用戶</t>
        </is>
      </c>
    </row>
    <row r="62" ht="15" customHeight="1" s="43">
      <c r="A62" s="46" t="inlineStr">
        <is>
          <t>7</t>
        </is>
      </c>
      <c r="B62" s="48" t="inlineStr">
        <is>
          <t>一次只改一件事</t>
        </is>
      </c>
    </row>
    <row r="63" ht="15" customHeight="1" s="43">
      <c r="A63" s="46" t="inlineStr">
        <is>
          <t>8</t>
        </is>
      </c>
      <c r="B63" s="48" t="inlineStr">
        <is>
          <t>順序：J 組回歸快篩 → 唯讀案例 → 會寫入的案例（A、B、C、D、I）。D 組單獨排時段並先備份資料庫</t>
        </is>
      </c>
    </row>
    <row r="64" ht="15" customHeight="1" s="43">
      <c r="A64" s="46" t="inlineStr">
        <is>
          <t>9</t>
        </is>
      </c>
      <c r="B64" s="48" t="inlineStr">
        <is>
          <t>每一輪複驗都要重跑 J 組，確認前一輪的修復沒造成回歸</t>
        </is>
      </c>
    </row>
    <row r="65" ht="15" customHeight="1" s="43">
      <c r="A65" s="46" t="n"/>
      <c r="B65" s="45" t="n"/>
    </row>
    <row r="66" ht="15" customHeight="1" s="43">
      <c r="A66" s="49" t="inlineStr">
        <is>
          <t>【環境前置】</t>
        </is>
      </c>
      <c r="B66" s="45" t="n"/>
    </row>
    <row r="67" ht="15" customHeight="1" s="43">
      <c r="A67" s="47" t="inlineStr">
        <is>
          <t>受測站</t>
        </is>
      </c>
      <c r="B67" s="45" t="inlineStr">
        <is>
          <t>demo 站或專用測試環境（不可用正式資料）</t>
        </is>
      </c>
    </row>
    <row r="68" ht="15" customHeight="1" s="43">
      <c r="A68" s="47" t="inlineStr">
        <is>
          <t>資料庫備份</t>
        </is>
      </c>
      <c r="B68" s="48" t="inlineStr">
        <is>
          <t>開跑前備份；D 組與 I 組務必在備份後執行</t>
        </is>
      </c>
    </row>
    <row r="69" ht="15" customHeight="1" s="43">
      <c r="A69" s="47" t="inlineStr">
        <is>
          <t>帳戶</t>
        </is>
      </c>
      <c r="B69" s="48" t="inlineStr">
        <is>
          <t>至少三個：台灣券商(TWD)、嘉信 Schwab(USD)、Moomoo MY(USD／MYR)</t>
        </is>
      </c>
    </row>
    <row r="70" ht="15" customHeight="1" s="43">
      <c r="A70" s="47" t="inlineStr">
        <is>
          <t>持倉</t>
        </is>
      </c>
      <c r="B70" s="48" t="inlineStr">
        <is>
          <t>至少一檔台股、一檔美股、一檔馬股，其中一檔有配息紀錄</t>
        </is>
      </c>
    </row>
    <row r="71" ht="15" customHeight="1" s="43">
      <c r="A71" s="47" t="inlineStr">
        <is>
          <t>工具</t>
        </is>
      </c>
      <c r="B71" s="48" t="inlineStr">
        <is>
          <t>瀏覽器開發者工具（Network／Console）、可算 Decimal 的工具、可解壓 ZIP</t>
        </is>
      </c>
    </row>
    <row r="72" ht="15" customHeight="1" s="43">
      <c r="A72" s="47" t="inlineStr">
        <is>
          <t>排程器</t>
        </is>
      </c>
      <c r="B72" s="45" t="inlineStr">
        <is>
          <t>E-05 需要排程器可啟動的環境（demo 依裁定關閉，該案會是 BLOCKED）</t>
        </is>
      </c>
    </row>
    <row r="73" ht="15" customHeight="1" s="43">
      <c r="A73" s="47" t="inlineStr">
        <is>
          <t>券商對帳單</t>
        </is>
      </c>
      <c r="B73" s="45" t="inlineStr">
        <is>
          <t>I-10 需要一份真實的 Schwab 匯出 CSV</t>
        </is>
      </c>
    </row>
    <row r="74" ht="15" customHeight="1" s="43">
      <c r="A74" s="46" t="inlineStr">
        <is>
          <t>AI 額度</t>
        </is>
      </c>
      <c r="B74" s="45" t="inlineStr">
        <is>
          <t>F、G、H 組需要，建議 ≥ $1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42" min="1" max="1"/>
    <col width="7" customWidth="1" style="42" min="2" max="2"/>
    <col width="20" customWidth="1" style="42" min="3" max="3"/>
    <col width="26" customWidth="1" style="42" min="4" max="4"/>
    <col width="36" customWidth="1" style="42" min="5" max="5"/>
    <col width="42" customWidth="1" style="42" min="6" max="6"/>
    <col width="26" customWidth="1" style="42" min="7" max="7"/>
    <col width="11" customWidth="1" style="42" min="8" max="8"/>
    <col width="34" customWidth="1" style="42" min="9" max="9"/>
    <col width="10" customWidth="1" style="42" min="10" max="10"/>
    <col width="12" customWidth="1" style="42" min="11" max="11"/>
    <col width="11" customWidth="1" style="42" min="12" max="12"/>
    <col width="10" customWidth="1" style="42" min="13" max="13"/>
    <col width="20" customWidth="1" style="42" min="14" max="14"/>
  </cols>
  <sheetData>
    <row r="1" ht="31.5" customHeight="1" s="43">
      <c r="A1" s="50" t="inlineStr">
        <is>
          <t>ID</t>
        </is>
      </c>
      <c r="B1" s="51" t="inlineStr">
        <is>
          <t>群組</t>
        </is>
      </c>
      <c r="C1" s="51" t="inlineStr">
        <is>
          <t>功能點</t>
        </is>
      </c>
      <c r="D1" s="51" t="inlineStr">
        <is>
          <t>前置條件</t>
        </is>
      </c>
      <c r="E1" s="51" t="inlineStr">
        <is>
          <t>操作步驟</t>
        </is>
      </c>
      <c r="F1" s="51" t="inlineStr">
        <is>
          <t>預期結果與驗算</t>
        </is>
      </c>
      <c r="G1" s="51" t="inlineStr">
        <is>
          <t>風險與還原</t>
        </is>
      </c>
      <c r="H1" s="51" t="inlineStr">
        <is>
          <t>稽核已驗</t>
        </is>
      </c>
      <c r="I1" s="50" t="inlineStr">
        <is>
          <t>R1 實測結果</t>
        </is>
      </c>
      <c r="J1" s="50" t="inlineStr">
        <is>
          <t>R1 判定</t>
        </is>
      </c>
      <c r="K1" s="51" t="inlineStr">
        <is>
          <t>關聯缺陷</t>
        </is>
      </c>
      <c r="L1" s="51" t="inlineStr">
        <is>
          <t>目前狀態</t>
        </is>
      </c>
      <c r="M1" s="51" t="inlineStr">
        <is>
          <t>最終判定</t>
        </is>
      </c>
      <c r="N1" s="51" t="inlineStr">
        <is>
          <t>備註</t>
        </is>
      </c>
    </row>
    <row r="2" ht="43.5" customHeight="1" s="43">
      <c r="A2" s="52" t="inlineStr">
        <is>
          <t>範例</t>
        </is>
      </c>
      <c r="B2" s="53" t="inlineStr">
        <is>
          <t>—</t>
        </is>
      </c>
      <c r="C2" s="52" t="inlineStr">
        <is>
          <t>（填寫範例，執行時略過）</t>
        </is>
      </c>
      <c r="D2" s="53" t="inlineStr">
        <is>
          <t>—</t>
        </is>
      </c>
      <c r="E2" s="53" t="inlineStr">
        <is>
          <t>—</t>
        </is>
      </c>
      <c r="F2" s="53" t="inlineStr">
        <is>
          <t>—</t>
        </is>
      </c>
      <c r="G2" s="53" t="inlineStr">
        <is>
          <t>—</t>
        </is>
      </c>
      <c r="H2" s="53" t="inlineStr">
        <is>
          <t>—</t>
        </is>
      </c>
      <c r="I2" s="53" t="inlineStr">
        <is>
          <t>bk-account 顯示「TW Broker（tw_broker）」，同頁 m-account 顯示「台灣券商（TWD）」</t>
        </is>
      </c>
      <c r="J2" s="53" t="inlineStr">
        <is>
          <t>FAIL</t>
        </is>
      </c>
      <c r="K2" s="53" t="inlineStr">
        <is>
          <t>DEF-範例</t>
        </is>
      </c>
      <c r="L2" s="52" t="inlineStr">
        <is>
          <t>結案</t>
        </is>
      </c>
      <c r="M2" s="53" t="inlineStr">
        <is>
          <t>PASS</t>
        </is>
      </c>
      <c r="N2" s="53" t="inlineStr">
        <is>
          <t>R2 複驗通過</t>
        </is>
      </c>
    </row>
    <row r="3" ht="16.5" customHeight="1" s="43">
      <c r="A3" s="54" t="inlineStr">
        <is>
          <t>A. 帳戶現金：入金／出金／利息／費用／換匯／折讓款</t>
        </is>
      </c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6" t="n"/>
    </row>
    <row r="4" ht="57.75" customHeight="1" s="43">
      <c r="A4" s="57" t="inlineStr">
        <is>
          <t>A-01</t>
        </is>
      </c>
      <c r="B4" s="58" t="inlineStr">
        <is>
          <t>A</t>
        </is>
      </c>
      <c r="C4" s="59" t="inlineStr">
        <is>
          <t>入金（本幣）寫入</t>
        </is>
      </c>
      <c r="D4" s="59" t="inlineStr">
        <is>
          <t>資金管理 › **出金入金**；先記錄基準：`GET /api/cash` 該池餘額、`GET /api/dashboard` 的 kpis、資金收支列數</t>
        </is>
      </c>
      <c r="E4" s="59" t="inlineStr">
        <is>
          <t>點 kind 按鈕『入金』→ 帳戶=台灣券商、幣別 TWD、金額 100,000、日期=今天 → 確認寫入</t>
        </is>
      </c>
      <c r="F4" s="59" t="inlineStr">
        <is>
          <t>① 該池餘額 = 基準 + 100,000；② 資金收支新增 1 列、kind 顯示「入金」、方向 chip 為**中性色實心**（入金實心、出金外框；方向不是損益，不用紅綠——2026-09-24 owner 裁定 DEF-006）；③ 持倉市值與未實現損益**完全不變**（現金不進持倉市值）；④ toast「寫入成功」</t>
        </is>
      </c>
      <c r="G4" s="59" t="inlineStr">
        <is>
          <t>會寫入帳本。測畢刪除該列，並比對 `/api/dashboard` 的 kpis／holdings 與基準**字串完全相同**</t>
        </is>
      </c>
      <c r="H4" s="59" t="inlineStr">
        <is>
          <t>否</t>
        </is>
      </c>
      <c r="I4" s="73" t="inlineStr">
        <is>
          <t>資金管理 › 出金入金：入金／台灣券商／TWD／100,000／2026-09-23（POST /api/cash/movements 201 id 35）→ ① TWD 池 6,067,595.0000→6,167,595.0000（+100,000.0000）✓；② 資金收支 34→35 列、方向欄顯示「入金」✓，但方向 chip 為 class dir-buy、底色 rgb(154,166,181)（灰），非綠色 ✗；③ kpis.total_market_value／unrealized_total 與 holdings 字串完全不變 ✓；④ toast「✓ 寫入成功 入金 100000」✓。測畢刪除（確認框「刪除資金紀錄 2026-09-23・入金 100,000 TWD（台灣券商）」、開框 0 支寫入、DELETE 200），六段 JSON 與基準 SHA-256 完全相同</t>
        </is>
      </c>
      <c r="J4" s="72" t="inlineStr">
        <is>
          <t>OBSERVE</t>
        </is>
      </c>
      <c r="K4" s="72" t="inlineStr">
        <is>
          <t>DEF-006</t>
        </is>
      </c>
      <c r="L4" s="62" t="inlineStr">
        <is>
          <t>結案</t>
        </is>
      </c>
      <c r="M4" s="72" t="inlineStr">
        <is>
          <t>PASS</t>
        </is>
      </c>
      <c r="N4" s="72" t="inlineStr">
        <is>
          <t>chip 顏色與設計衝突：web/styles.css:382 註解「neutral direction chips（買賣是方向不是損益 — 不用紅綠）」，入金＝實心灰、出金＝外框灰
R2：DEF-006 經 Owner 裁定為非缺陷（維持中性色）；F 欄期望待 owner／開發者依裁定同步
R10（3a35454 全面重跑）：PASS — demo 真實瀏覽器（頁首 v0.1.28 · 3a35454），demo 7／7 項檢查全過：台灣券商入金 100,000 → TWD 池 6,067,595→6,167,595、資金收支 +1、入金晶片中性實底、持倉與市值不變、toast「寫入成功 入金 100000」；刪除後逐字相同
R11（91ec1b0 整份 one shot 重跑）：PASS — demo 真實瀏覽器（頁首 v0.1.28 · 91ec1b0），demo 8／8 項檢查全過：台灣券商入金 100,000 → POST 201、TWD 池 6,067,595→6,167,595、資金收支 34→35、入金晶片中性實底、總市值不變（35,640,050.30）、toast「寫入成功 入金 100000」；刪除後逐字相同</t>
        </is>
      </c>
    </row>
    <row r="5" ht="57.75" customHeight="1" s="43">
      <c r="A5" s="57" t="inlineStr">
        <is>
          <t>A-02</t>
        </is>
      </c>
      <c r="B5" s="58" t="inlineStr">
        <is>
          <t>A</t>
        </is>
      </c>
      <c r="C5" s="59" t="inlineStr">
        <is>
          <t>入金（外幣，取得匯率模式）</t>
        </is>
      </c>
      <c r="D5" s="59" t="inlineStr">
        <is>
          <t>帳戶=嘉信 Schwab（家幣 TWD、外幣 USD）</t>
        </is>
      </c>
      <c r="E5" s="59" t="inlineStr">
        <is>
          <t>入金 → 幣別 USD、金額 1,000 →『取得成本』切到『匯率』模式，填 31.5 → 確認寫入</t>
        </is>
      </c>
      <c r="F5" s="58" t="inlineStr">
        <is>
          <t>① USD 池 +1,000；② FX 成本池的取得均價依新加權重算（可用 `GET /api/cash/acq-rate` 對照）；③ 報告幣別總值 = 舊值 + 1,000×當日匯率；④ 總報酬**不變**（換入現金不產生損益）</t>
        </is>
      </c>
      <c r="G5" s="59" t="inlineStr">
        <is>
          <t>同 A-01，測畢刪除並逐位元比對</t>
        </is>
      </c>
      <c r="H5" s="59" t="inlineStr">
        <is>
          <t>否</t>
        </is>
      </c>
      <c r="I5" s="73" t="inlineStr">
        <is>
          <t>嘉信 Schwab 入金 USD 1,000、取得成本「匯率」31.5。第一次（欄位依序快速填入）：送出本文為 acq_rate "31.698999"，寫入 acq_home_amount 31699——使用者填的 31.5 被晚到的參考匯率覆蓋 ✗（已刪除還原）。第二次（每步等待後以實體鍵盤輸入 31.5）：POST 本文 acq_rate "31.5"、acq_home_amount 31500 → ① USD 池 398,497.90→399,497.90 ✓；② FX 取得均價 31.78828061462297381648311597→31.78672715248054148397350282，由均價反推的已覆蓋外幣量 184,572.99 USD 與由 covered_ratio（0.38090→0.38217）反推的量 184,572.99 完全一致，證明以 (C+31,500)/(Q+1,000) 加權 ✓；③ reporting_total 25,240,265.647465180→25,271,964.646465180＝舊值＋1,000×31.698999 ✓；④ total_return 字串不變 ✓。測畢刪除，六段 JSON 逐位元還原</t>
        </is>
      </c>
      <c r="J5" s="72" t="inlineStr">
        <is>
          <t>FAIL</t>
        </is>
      </c>
      <c r="K5" s="72" t="inlineStr">
        <is>
          <t>DEF-007</t>
        </is>
      </c>
      <c r="L5" s="62" t="inlineStr">
        <is>
          <t>結案</t>
        </is>
      </c>
      <c r="M5" s="72" t="inlineStr">
        <is>
          <t>PASS</t>
        </is>
      </c>
      <c r="N5" s="73" t="inlineStr">
        <is>
          <t>另：提示句「參考值：2026-09-23 收盤 1 USD = 31.70 TWD」，但 /api/cash/acq-rate 回 as_of 2026-09-22（凌晨 3 點尚無 09-23 收盤），日期標錯；GET /api/cash/acq-rate 回的是市場參考匯率，不是成本池均價，手冊的對照方式以 dashboard fx.by_account 取代
R2：DEF-007 複驗通過結案
R10（3a35454 全面重跑）：PASS — demo 真實瀏覽器（頁首 v0.1.28 · 3a35454），demo 6／6 項檢查全過：嘉信入金 USD 1,000@31.5 → USD 池 398,497.90→399,497.90、加權平均匯率 31.78828→31.78673、報表合計 +1,000×即期 31.695＝+31,695、total_return 不變；刪除後逐字相同
R11（91ec1b0 整份 one shot 重跑）：PASS — demo 真實瀏覽器（頁首 v0.1.28 · 91ec1b0），demo 7／7 項檢查全過：嘉信入金 USD 1,000@31.5 → USD 池 398,497.90→399,497.90、加權平均匯率 31.78828→31.78673、報表合計 +1,000×即期 31.785＝+31,785、total_return 不變；刪除後逐字相同</t>
        </is>
      </c>
    </row>
    <row r="6" ht="29.25" customHeight="1" s="43">
      <c r="A6" s="57" t="inlineStr">
        <is>
          <t>A-03</t>
        </is>
      </c>
      <c r="B6" s="58" t="inlineStr">
        <is>
          <t>A</t>
        </is>
      </c>
      <c r="C6" s="59" t="inlineStr">
        <is>
          <t>入金（外幣，家幣金額模式）</t>
        </is>
      </c>
      <c r="D6" s="59" t="inlineStr">
        <is>
          <t>同 A-02</t>
        </is>
      </c>
      <c r="E6" s="59" t="inlineStr">
        <is>
          <t>入金 USD 1,000 →『取得成本』切到『家幣金額』，填 31,500 → 確認寫入</t>
        </is>
      </c>
      <c r="F6" s="59" t="inlineStr">
        <is>
          <t>系統自行反推匯率 31.5（1,000 × 31.5 = 31,500），與 A-02 的結果一致；兩種模式互為驗算</t>
        </is>
      </c>
      <c r="G6" s="59" t="inlineStr">
        <is>
          <t>同上</t>
        </is>
      </c>
      <c r="H6" s="59" t="inlineStr">
        <is>
          <t>否</t>
        </is>
      </c>
      <c r="I6" s="73" t="inlineStr">
        <is>
          <t>嘉信 Schwab 入金 USD 1,000，取得成本切「家幣金額」，實體鍵盤輸入 31500 → 提示「換算後 1 USD = 31.5000 TWD」；POST 本文 acq_home_amount "31500" → 寫入後 avg_rate 31.78672715248054148397350282、covered_ratio 0.3821732135471538480754458768，與 A-02 結果字串完全相同；reporting_total 25,271,964.646465180；total_return 不變。測畢刪除，逐位元還原</t>
        </is>
      </c>
      <c r="J6" s="72" t="inlineStr">
        <is>
          <t>PASS</t>
        </is>
      </c>
      <c r="K6" s="72" t="n"/>
      <c r="L6" s="62" t="inlineStr">
        <is>
          <t>PASS</t>
        </is>
      </c>
      <c r="M6" s="72" t="inlineStr">
        <is>
          <t>PASS</t>
        </is>
      </c>
      <c r="N6" s="73" t="inlineStr">
        <is>
          <t>附記：由「匯率」切到「家幣金額」時欄位仍留著 31.698999（被當成家幣 31.70 元），提示同時顯示「參考值…31.70」與「換算後 1 USD = 0.0317 TWD」，確認鍵可按；有換算提示可察覺，未另開單
R8（a16210a 全面重跑）：嘉信 Schwab 入金 USD 1,000：匯率模式 31.5（POST acq_rate "31.5"，#55）與家幣金額模式 31,500（提示「換算後 1 USD = 31.5000 TWD」，POST acq_home_amount "31500"，#56）寫入後 avg_rate 皆為 31.78672715248054148397350282、covered_ratio 皆為 0.3821732135471538480754458768，兩模式字串完全相同（亦與 R1 相同）；total_return 不變。兩筆各自刪除後 cmp R8_START same:true
R10（3a35454 全面重跑）：PASS — demo 真實瀏覽器（頁首 v0.1.28 · 3a35454），demo 9／9 項檢查全過：以家幣金額 31,500 入金 USD 1,000 → 提示「換算後 1 USD = 31.5000 TWD」、送出 acq_home_amount、平均匯率與覆蓋率與 A-02（匯率模式）逐位相同；刪除後逐字相同
R11（91ec1b0 整份 one shot 重跑）：PASS — demo 真實瀏覽器（頁首 v0.1.28 · 91ec1b0），demo 10／10 項檢查全過：以家幣金額 31,500 入金 USD 1,000 → 提示「換算後 1 USD = 31.5000 TWD」、送出 acq_home_amount、平均匯率與 A-02（匯率模式）逐位相同（31.78672715…）；刪除後逐字相同</t>
        </is>
      </c>
    </row>
    <row r="7" ht="29.25" customHeight="1" s="43">
      <c r="A7" s="57" t="inlineStr">
        <is>
          <t>A-04</t>
        </is>
      </c>
      <c r="B7" s="58" t="inlineStr">
        <is>
          <t>A</t>
        </is>
      </c>
      <c r="C7" s="59" t="inlineStr">
        <is>
          <t>出金寫入</t>
        </is>
      </c>
      <c r="D7" s="59" t="inlineStr">
        <is>
          <t>選定池餘額已知</t>
        </is>
      </c>
      <c r="E7" s="59" t="inlineStr">
        <is>
          <t>點 kind 按鈕『出金』→ 金額 = 餘額的一半 → 確認寫入</t>
        </is>
      </c>
      <c r="F7" s="59" t="inlineStr">
        <is>
          <t>① 池餘額 = 基準 − 金額；② 方向 chip 為**中性色外框**（入金實心、出金外框——2026-09-24 owner 裁定 DEF-006）；③ 持倉不受影響</t>
        </is>
      </c>
      <c r="G7" s="59" t="inlineStr">
        <is>
          <t>測畢刪除並比對</t>
        </is>
      </c>
      <c r="H7" s="59" t="inlineStr">
        <is>
          <t>否</t>
        </is>
      </c>
      <c r="I7" s="73" t="inlineStr">
        <is>
          <t>台灣券商 TWD 池 6,067,595（半數 3,033,797.5）→ 出金 3,033,797.5：後端 400 validation_error「TWD 金額最小單位為 1，3033797.5 無法完整記錄…例如 3033798」（未寫入）；改出金 3,033,797（POST 201 id 39）→ ① 池 6,067,595.0000→3,033,798.0000（−3,033,797）✓；② 方向 chip dir-sell（透明底灰框，與入金實心灰區分）；③ holdings／total_market_value／total_return 字串不變 ✓。測畢刪除，六段 JSON 逐位元還原</t>
        </is>
      </c>
      <c r="J7" s="72" t="inlineStr">
        <is>
          <t>PASS</t>
        </is>
      </c>
      <c r="K7" s="72" t="n"/>
      <c r="L7" s="62" t="inlineStr">
        <is>
          <t>PASS</t>
        </is>
      </c>
      <c r="M7" s="72" t="inlineStr">
        <is>
          <t>PASS</t>
        </is>
      </c>
      <c r="N7" s="72" t="inlineStr">
        <is>
          <t>chip 顏色問題併入 DEF-006（待裁定）；TWD 最小單位檢核為額外正向發現
R8（a16210a 全面重跑）：台灣券商 TWD 池 6,067,595（半數 3,033,797.5）→ 出金 3,033,797.5：後端 400「TWD 金額最小單位為 1，3033797.5 無法完整記錄…例如 3033798」未寫入；改 3,033,797（POST 201 #57）→ ① 池 6,067,595.0000→3,033,798.0000 ✓；② 出金 chip dir-sell 透明底、灰框 rgb(94,107,124)，入金 chip dir-buy 實心 rgb(154,166,181) ✓（DEF-006 裁定）；③ holdings、total_market_value、total_return 字串不變 ✓。刪除確認框「2026-09-27・出金 3,033,797 TWD（台灣券商）」→ DELETE 200，cmp R8_START same:true
R10（3a35454 全面重跑）：PASS — demo 真實瀏覽器（頁首 v0.1.28 · 3a35454），demo 4／4 項檢查全過：出金一半 3,033,797 → TWD 池 6,067,595→3,033,798、出金晶片中性外框、持倉不變；刪除後逐字相同
R11（91ec1b0 整份 one shot 重跑）：PASS — demo 真實瀏覽器（頁首 v0.1.28 · 91ec1b0），demo 5／5 項檢查全過：出金一半 3,033,797 → TWD 池 6,067,595→3,033,798、出金晶片中性外框、持倉不變；刪除後逐字相同</t>
        </is>
      </c>
    </row>
    <row r="8" ht="43.5" customHeight="1" s="43">
      <c r="A8" s="57" t="inlineStr">
        <is>
          <t>A-05</t>
        </is>
      </c>
      <c r="B8" s="58" t="inlineStr">
        <is>
          <t>A</t>
        </is>
      </c>
      <c r="C8" s="59" t="inlineStr">
        <is>
          <t>出金超額必須被擋</t>
        </is>
      </c>
      <c r="D8" s="59" t="inlineStr">
        <is>
          <t>已知池餘額 X</t>
        </is>
      </c>
      <c r="E8" s="59" t="inlineStr">
        <is>
          <t>出金金額填 X + 1 → 送出</t>
        </is>
      </c>
      <c r="F8" s="59" t="inlineStr">
        <is>
          <t>① 前端顯示可用餘額上限提示；② 後端回 400 且**不得寫入**，訊息需指出是哪一天開始透支；③ 資金收支列數不變</t>
        </is>
      </c>
      <c r="G8" s="59" t="inlineStr">
        <is>
          <t>不會寫入（預期被擋）。若竟然寫入 → 判 FAIL 並立即刪除</t>
        </is>
      </c>
      <c r="H8" s="59" t="inlineStr">
        <is>
          <t>否</t>
        </is>
      </c>
      <c r="I8" s="73" t="inlineStr">
        <is>
          <t>承 A-04 後池餘額 X＝3,033,798 → 出金 X+1＝3,033,799：① 前端即顯示「帳戶現金：3,033,798 TWD」「出金金額超過帳戶現金（3,033,798 TWD）— 出金不可透支」且確認鍵 disabled ✓；② 以相同本文直送 POST /api/cash/movements → 422 withdraw_insufficient_balance「出金金額 3033799 TWD 超過 TW Broker 的 TWD 帳戶現金 3033798.0000 — 出金不可透支（請先補登入金或換匯）」，未寫入 ✓，但訊息未指出從哪一天開始透支 ✗（且狀態碼為 422 非 400）；③ 資金收支列數 35→35 ✓</t>
        </is>
      </c>
      <c r="J8" s="72" t="inlineStr">
        <is>
          <t>FAIL</t>
        </is>
      </c>
      <c r="K8" s="72" t="inlineStr">
        <is>
          <t>DEF-008</t>
        </is>
      </c>
      <c r="L8" s="62" t="inlineStr">
        <is>
          <t>結案</t>
        </is>
      </c>
      <c r="M8" s="72" t="inlineStr">
        <is>
          <t>PASS</t>
        </is>
      </c>
      <c r="N8" s="73" t="inlineStr">
        <is>
          <t>同一錯誤碼在 A-06（過去日期）會點名日期，當日出金走的訊息分支沒有
R2：DEF-008 複驗通過結案
R10（3a35454 全面重跑）：PASS — demo 真實瀏覽器（頁首 v0.1.28 · 3a35454），demo 5／5 項檢查全過：前端即示「出金金額超過帳戶現金（6,067,595 TWD）— 出金不可透支」且確認鍵停用；後端 422 withdraw_insufficient_balance 點名「於 2026-09-28 降至 −1（出金當日）」；資金收支仍 34 列
R11（91ec1b0 整份 one shot 重跑）：PASS — demo 真實瀏覽器（頁首 v0.1.28 · 91ec1b0），demo 5／5 項檢查全過：前端即示「出金金額超過帳戶現金（6,067,595 TWD）— 出金不可透支」且確認鍵停用；後端 422 withdraw_insufficient_balance 點名「於 2026-09-30 降至 −1（出金當日）」；資金收支仍 34 列</t>
        </is>
      </c>
    </row>
    <row r="9" ht="29.25" customHeight="1" s="43">
      <c r="A9" s="57" t="inlineStr">
        <is>
          <t>A-06</t>
        </is>
      </c>
      <c r="B9" s="58" t="inlineStr">
        <is>
          <t>A</t>
        </is>
      </c>
      <c r="C9" s="59" t="inlineStr">
        <is>
          <t>出金造成「過去某日」透支</t>
        </is>
      </c>
      <c r="D9" s="59" t="inlineStr">
        <is>
          <t>池中有多筆依日期排序的紀錄</t>
        </is>
      </c>
      <c r="E9" s="59" t="inlineStr">
        <is>
          <t>在**過去日期**插入一筆大額出金，使該日之後某一天餘額為負</t>
        </is>
      </c>
      <c r="F9" s="59" t="inlineStr">
        <is>
          <t>系統需指出**哪一天**開始為負並阻擋（日期感知餘額，非只看期末）</t>
        </is>
      </c>
      <c r="G9" s="59" t="inlineStr">
        <is>
          <t>預期被擋；若寫入成功需刪除</t>
        </is>
      </c>
      <c r="H9" s="59" t="inlineStr">
        <is>
          <t>否</t>
        </is>
      </c>
      <c r="I9" s="73" t="inlineStr">
        <is>
          <t>台灣券商 TWD：在 2026-07-14 插入出金 4,000,000（當日餘額 4,098,523 仍為正、2026-07-17 買進後會變負）→ 前端未預警、按確認寫入 → 後端 422「此筆出金會使 TW Broker 的 TWD 現金於 2026-07-17 降至 -253820.0000（出金日早於資金到位）— 出金不可透支」，點名 2026-07-17 並阻擋 ✓；資金收支 34→34 列、六段 JSON 與基準相同 ✓</t>
        </is>
      </c>
      <c r="J9" s="72" t="inlineStr">
        <is>
          <t>PASS</t>
        </is>
      </c>
      <c r="K9" s="72" t="n"/>
      <c r="L9" s="62" t="inlineStr">
        <is>
          <t>PASS</t>
        </is>
      </c>
      <c r="M9" s="72" t="inlineStr">
        <is>
          <t>PASS</t>
        </is>
      </c>
      <c r="N9" s="73" t="inlineStr">
        <is>
          <t>訊息用 API 英文帳戶名「TW Broker」、4 位小數原值與附加錯誤碼，見 DEF-008
R8（a16210a 全面重跑）：台灣券商 TWD 在 2026-07-14 插入出金 4,000,000（當日餘額仍為正，07-17 買進後會變負）→ 後端 422 withdraw_insufficient_balance，提示「此筆出金會使 台灣券商 的 TWD 現金於 2026-07-17 降至 −253,820（出金日早於資金到位）— 出金不可透支，請先補登入金或換匯」，點名 2026-07-17 並阻擋 ✓（帳戶名與金額格式較 R1 已改善）；資金收支 34 列不變、cmp R8_START same:true
R10（3a35454 全面重跑）：PASS — demo 真實瀏覽器（頁首 v0.1.28 · 3a35454），demo 4／4 項檢查全過：倒填日期出金 → 422「於 2026-07-17 降至 −253,820（出金日早於資金到位）」，畫面 toast 以「台灣券商」稱呼帳戶；資金收支仍 34 列
R11（91ec1b0 整份 one shot 重跑）：PASS — demo 真實瀏覽器（頁首 v0.1.28 · 91ec1b0），demo 4／4 項檢查全過：倒填日期出金 → 422「於 2026-07-17 降至 −253,820（出金日早於資金到位）」；資金收支仍 34 列</t>
        </is>
      </c>
    </row>
    <row r="10" ht="43.5" customHeight="1" s="43">
      <c r="A10" s="57" t="inlineStr">
        <is>
          <t>A-07</t>
        </is>
      </c>
      <c r="B10" s="58" t="inlineStr">
        <is>
          <t>A</t>
        </is>
      </c>
      <c r="C10" s="59" t="inlineStr">
        <is>
          <t>利息入帳</t>
        </is>
      </c>
      <c r="D10" s="58" t="inlineStr">
        <is>
          <t>—</t>
        </is>
      </c>
      <c r="E10" s="59" t="inlineStr">
        <is>
          <t>點 kind 按鈕『利息』→ 帳戶=嘉信 Schwab、幣別 USD、金額 12.34 → 確認寫入</t>
        </is>
      </c>
      <c r="F10" s="59" t="inlineStr">
        <is>
          <t>① 池餘額 +12.34；② kind 顯示「利息」；③ 利息**不得**被計入持倉成本或已實現損益；④ 出現在資金收支與現金對帳單匯出</t>
        </is>
      </c>
      <c r="G10" s="59" t="inlineStr">
        <is>
          <t>測畢刪除並比對</t>
        </is>
      </c>
      <c r="H10" s="59" t="inlineStr">
        <is>
          <t>否（本次稽核未測）</t>
        </is>
      </c>
      <c r="I10" s="73" t="inlineStr">
        <is>
          <t>利息／嘉信 Schwab／USD 12.34（POST 201 id 40）→ ① USD 池 398,497.90→398,510.24（+12.34）✓；② 方向欄「利息」✓；③ holdings、realized 字串完全不變，kpis.realized_total 45088.88676581242460723552943 不變、total_return 與 xirr 不變（利息不入 XIRR）✓；④ 資金收支有此列，POST /api/export/cash-statement {schwab,USD} 匯出含「2026-09-23,USD,interest,…,QA-A07,12.34,398510.24」✓。測畢刪除，逐位元還原</t>
        </is>
      </c>
      <c r="J10" s="72" t="inlineStr">
        <is>
          <t>PASS</t>
        </is>
      </c>
      <c r="K10" s="72" t="n"/>
      <c r="L10" s="62" t="inlineStr">
        <is>
          <t>PASS</t>
        </is>
      </c>
      <c r="M10" s="72" t="inlineStr">
        <is>
          <t>PASS</t>
        </is>
      </c>
      <c r="N10" s="72" t="inlineStr">
        <is>
          <t>R8（a16210a 全面重跑）：利息／嘉信 Schwab／USD 12.34（2026-09-23，POST 201 #58；外幣利息不出現取得成本欄）→ ① USD 池 398,497.90→398,510.24（+12.34）✓；② 列「2026-09-23 嘉信 Schwab 利息 12.34 USD」✓；③ holdings、realized 字串不變，realized_total 45101.53593772372085596050866 不變、total_return 與 xirr 10.445450386050704 不變 ✓；④ 現金對帳單匯出 {schwab,USD} 含「2026-09-23,USD,interest,…,QA-R8-A07,12.34,398510.24」✓。刪除後 cmp R8_START same:true
R10（3a35454 全面重跑）：PASS — demo 真實瀏覽器（頁首 v0.1.28 · 3a35454），demo 6／6 項檢查全過：嘉信利息 12.34 → USD 池 398,497.90→398,510.24、晶片「利息」、不進已實現、現金對帳單匯出含該列；刪除後逐字相同
R11（91ec1b0 整份 one shot 重跑）：PASS — demo 真實瀏覽器（頁首 v0.1.28 · 91ec1b0），demo 7／7 項檢查全過：嘉信利息 12.34 → USD 池 398,497.90→398,510.24、晶片「利息」、成本不變、不進已實現、現金對帳單匯出含該列；刪除後逐字相同</t>
        </is>
      </c>
    </row>
    <row r="11" ht="29.25" customHeight="1" s="43">
      <c r="A11" s="57" t="inlineStr">
        <is>
          <t>A-08</t>
        </is>
      </c>
      <c r="B11" s="58" t="inlineStr">
        <is>
          <t>A</t>
        </is>
      </c>
      <c r="C11" s="59" t="inlineStr">
        <is>
          <t>融資利息（扣款）</t>
        </is>
      </c>
      <c r="D11" s="58" t="inlineStr">
        <is>
          <t>—</t>
        </is>
      </c>
      <c r="E11" s="59" t="inlineStr">
        <is>
          <t>點 kind 按鈕『融資利息』→ 金額 5.00 → 確認寫入</t>
        </is>
      </c>
      <c r="F11" s="59" t="inlineStr">
        <is>
          <t>① 池餘額 −5.00；② 方向為扣款；③ 不影響持倉成本</t>
        </is>
      </c>
      <c r="G11" s="59" t="inlineStr">
        <is>
          <t>測畢刪除並比對</t>
        </is>
      </c>
      <c r="H11" s="59" t="inlineStr">
        <is>
          <t>否</t>
        </is>
      </c>
      <c r="I11" s="73" t="inlineStr">
        <is>
          <t>融資利息／嘉信 Schwab／USD 5.00（POST 201）→ ① USD 池 398,497.90→398,492.90（−5.00）✓；② 方向 chip dir-sell（扣款樣式）、方向欄「融資利息」✓；③ holdings 字串不變（不影響持倉成本）✓。另：trading_financing_cost 191→32.50500500（＝191−5×31.698999）、total_return_fx_complete −158.494995，total_return 不變，符合「交易與融資成本」口徑。測畢刪除，逐位元還原</t>
        </is>
      </c>
      <c r="J11" s="72" t="inlineStr">
        <is>
          <t>PASS</t>
        </is>
      </c>
      <c r="K11" s="72" t="n"/>
      <c r="L11" s="62" t="inlineStr">
        <is>
          <t>PASS</t>
        </is>
      </c>
      <c r="M11" s="72" t="inlineStr">
        <is>
          <t>PASS</t>
        </is>
      </c>
      <c r="N11" s="72" t="inlineStr">
        <is>
          <t>R8（a16210a 全面重跑）：融資利息／嘉信 Schwab／USD 5.00（2026-09-23，POST kind interest_expense 201）→ ① USD 池 398,497.90→398,492.90（−5.00）✓；② chip dir-sell（扣款外框）、文字「融資利息」✓；③ holdings 字串不變 ✓；trading_financing_cost 191→32.68500000（＝191−5×31.663）、total_return_fx_complete −158.315，total_return 不變，符合「交易與融資成本」口徑。刪除後逐位元還原
R10（3a35454 全面重跑）：PASS — demo 真實瀏覽器（頁首 v0.1.28 · 3a35454），demo 5／5 項檢查全過：融資利息 5.00 → USD 池 −5.00、外框晶片「融資利息」、成本不變；刪除後逐字相同
R11（91ec1b0 整份 one shot 重跑）：PASS — demo 真實瀏覽器（頁首 v0.1.28 · 91ec1b0），demo 5／5 項檢查全過：融資利息 5.00 → USD 池 398,497.90→398,492.90、外框晶片「融資利息」、成本不變；刪除後逐字相同</t>
        </is>
      </c>
    </row>
    <row r="12" ht="29.25" customHeight="1" s="43">
      <c r="A12" s="57" t="inlineStr">
        <is>
          <t>A-09</t>
        </is>
      </c>
      <c r="B12" s="58" t="inlineStr">
        <is>
          <t>A</t>
        </is>
      </c>
      <c r="C12" s="59" t="inlineStr">
        <is>
          <t>券商費用（扣款）</t>
        </is>
      </c>
      <c r="D12" s="58" t="inlineStr">
        <is>
          <t>—</t>
        </is>
      </c>
      <c r="E12" s="59" t="inlineStr">
        <is>
          <t>點 kind 按鈕『券商費用』→ 金額 3.00 → 確認寫入</t>
        </is>
      </c>
      <c r="F12" s="59" t="inlineStr">
        <is>
          <t>同 A-08，且 kind 顯示「券商費用」（以文字與出金區分）；方向 chip 為中性色：入金實心、出金外框，券商費用屬扣款為外框（2026-09-24 owner 裁定 DEF-006）</t>
        </is>
      </c>
      <c r="G12" s="59" t="inlineStr">
        <is>
          <t>測畢刪除並比對</t>
        </is>
      </c>
      <c r="H12" s="59" t="inlineStr">
        <is>
          <t>否</t>
        </is>
      </c>
      <c r="I12" s="73" t="inlineStr">
        <is>
          <t>券商費用／嘉信 Schwab／USD 3.00：第一次 POST 回 502（空內容，toast「✕ 寫入失敗 error」，確認未寫入 34 列）；重試 POST 201 id 42 → ① USD 池 −3.00 ✓；② 方向欄與 chip 文字「券商費用」，與出金列「出金」區分 ✓（兩者同為 dir-sell 扣款樣式）；③ holdings 不變 ✓；trading_financing_cost 191→95.90300300（＝191−3×31.698999）。測畢刪除，逐位元還原</t>
        </is>
      </c>
      <c r="J12" s="72" t="inlineStr">
        <is>
          <t>PASS</t>
        </is>
      </c>
      <c r="K12" s="72" t="n"/>
      <c r="L12" s="62" t="inlineStr">
        <is>
          <t>PASS</t>
        </is>
      </c>
      <c r="M12" s="72" t="inlineStr">
        <is>
          <t>PASS</t>
        </is>
      </c>
      <c r="N12" s="72" t="inlineStr">
        <is>
          <t>502 為暫時性閘道錯誤（/api/health 同時 269ms 正常、重試即成功）；空內容 502 時 toast 只顯示英文「error」，交 owner 參考
R8（a16210a 全面重跑）：券商費用／嘉信 Schwab／USD 3.00（2026-09-23，POST kind broker_fee 201，toast「✓ 寫入成功 券商費用 3.00」）→ ① USD 池 −3.00（398,494.90）✓；② chip dir-sell 外框（透明底、灰框 rgb(94,107,124)），文字「券商費用」與出金列「出金」以文字區分 ✓（DEF-006 裁定）；③ holdings 不變 ✓；trading_financing_cost 191→96.01100000（＝191−3×31.663），total_return 不變。刪除後逐位元還原（R1 的暫時性 502 本輪未出現）
R10（3a35454 全面重跑）：PASS — demo 真實瀏覽器（頁首 v0.1.28 · 3a35454），demo 4／4 項檢查全過：券商費用 3.00 → USD 池 −3.00、外框晶片「券商費用」、成本不變；刪除後逐字相同
R11（91ec1b0 整份 one shot 重跑）：PASS — demo 真實瀏覽器（頁首 v0.1.28 · 91ec1b0），demo 5／5 項檢查全過：券商費用 3.00 → USD 池 398,497.90→398,494.90、外框晶片「券商費用」、成本不變；刪除後逐字相同</t>
        </is>
      </c>
    </row>
    <row r="13" ht="43.5" customHeight="1" s="43">
      <c r="A13" s="57" t="inlineStr">
        <is>
          <t>A-10</t>
        </is>
      </c>
      <c r="B13" s="58" t="inlineStr">
        <is>
          <t>A</t>
        </is>
      </c>
      <c r="C13" s="59" t="inlineStr">
        <is>
          <t>期初資金</t>
        </is>
      </c>
      <c r="D13" s="58" t="inlineStr">
        <is>
          <t>—</t>
        </is>
      </c>
      <c r="E13" s="59" t="inlineStr">
        <is>
          <t>點 kind 按鈕『期初資金』→ 填金額與日期（早於所有紀錄）→ 確認寫入</t>
        </is>
      </c>
      <c r="F13" s="59" t="inlineStr">
        <is>
          <t>① 成為滾動餘額的起點；② 後續每列餘額全部往上加；③ 期初資金屬取得性質，外幣時應提供取得成本欄</t>
        </is>
      </c>
      <c r="G13" s="59" t="inlineStr">
        <is>
          <t>測畢刪除並比對</t>
        </is>
      </c>
      <c r="H13" s="59" t="inlineStr">
        <is>
          <t>否</t>
        </is>
      </c>
      <c r="I13" s="73" t="inlineStr">
        <is>
          <t>期初資金／嘉信 Schwab／USD 1,000／2026-01-01（早於所有紀錄 2026-01-05）：外幣時「取得成本」欄出現並預填參考 31.243601 ✓③；POST 201（acq_rate 31.243601）→ 對帳單第一列「2026-01-01 opening 1000 餘額 1000」①，其後 40 列滾動餘額逐列驗算 0 筆不符、期末 398,497.90→399,497.90（全部 +1,000）②。測畢刪除（確認框「2026-01-01・期初資金 1,000.00 USD（嘉信 Schwab）」），首列回到 2026-01-05、期末 398,497.90，六段 JSON 逐位元還原</t>
        </is>
      </c>
      <c r="J13" s="72" t="inlineStr">
        <is>
          <t>PASS</t>
        </is>
      </c>
      <c r="K13" s="72" t="n"/>
      <c r="L13" s="62" t="inlineStr">
        <is>
          <t>PASS</t>
        </is>
      </c>
      <c r="M13" s="72" t="inlineStr">
        <is>
          <t>PASS</t>
        </is>
      </c>
      <c r="N13" s="73" t="inlineStr">
        <is>
          <t>提示句「參考值：2026-01-01 收盤」— 元旦無收盤，同 DEF-007 的日期標示問題
R8（a16210a 全面重跑）：期初資金／嘉信 Schwab／USD 1,000／2026-01-01（早於所有紀錄 2026-01-05）：外幣時出現「取得成本」欄，新開頁面預填參考 31.243601，提示「參考值：2025-12-31 收盤 1 USD = 31.24 TWD（2026-01-01 尚無收盤匯率，採最近一個交易日）」（R1 的日期標示問題已改善）✓③；寫入 #61 → 對帳單第一列「2026-01-01 opening 1000 餘額 1000」①，40 列滾動餘額逐列驗算 0 筆不符、期末 398,497.90→399,497.90（全部 +1,000）②。刪除確認框「2026-01-01・期初資金 1,000.00 USD（嘉信 Schwab）」→ 首列回到 2026-01-05、期末 398,497.90，cmp R8_START same:true。附註：同一頁面先前已手動輸入過取得成本時，改選期初資金不會覆寫（提示「未覆寫你輸入的值」並警示未登錄取得成本），屬設計
R10（3a35454 全面重跑）：PASS — demo 真實瀏覽器（頁首 v0.1.28 · 3a35454），demo 5／5 項檢查全過：外幣期初資金（2026-01-01 USD 1,000）表單顯示取得成本欄與參考匯率 31.24；對帳單首列為該期初、40 列逐列滾動餘額正確、之後每列 +1,000（末列 398,497.90→399,497.90）；刪除後逐字相同
R11（91ec1b0 整份 one shot 重跑）：PASS — demo 真實瀏覽器（頁首 v0.1.28 · 91ec1b0），demo 5／5 項檢查全過：外幣期初資金（2026-01-01 USD 1,000）表單顯示取得成本欄與參考匯率 31.24；對帳單首列為該期初、40 列逐列滾動餘額正確、之後每列 +1,000（末列 398,497.90→399,497.90）；刪除後逐字相同</t>
        </is>
      </c>
    </row>
    <row r="14" ht="29.25" customHeight="1" s="43">
      <c r="A14" s="57" t="inlineStr">
        <is>
          <t>A-11</t>
        </is>
      </c>
      <c r="B14" s="58" t="inlineStr">
        <is>
          <t>A</t>
        </is>
      </c>
      <c r="C14" s="59" t="inlineStr">
        <is>
          <t>現金收支編輯</t>
        </is>
      </c>
      <c r="D14" s="59" t="inlineStr">
        <is>
          <t>任選一列可編輯的紀錄</t>
        </is>
      </c>
      <c r="E14" s="59" t="inlineStr">
        <is>
          <t>編輯 → 改金額與備註 → 儲存</t>
        </is>
      </c>
      <c r="F14" s="59" t="inlineStr">
        <is>
          <t>① 該列與其後所有列的滾動餘額重算正確；② 折讓款列**整列可編輯**（日期／類型／金額／備註，與手動輸入的資金列相同），編輯寫入稽核軌跡（2026-09-24 owner 裁定 DEF-009）</t>
        </is>
      </c>
      <c r="G14" s="59" t="inlineStr">
        <is>
          <t>改完改回原值，或刪除後重建</t>
        </is>
      </c>
      <c r="H14" s="59" t="inlineStr">
        <is>
          <t>否</t>
        </is>
      </c>
      <c r="I14" s="73" t="inlineStr">
        <is>
          <t>自建一筆 台灣券商 入金 1,000（2026-07-15，#44）→ 編輯：金額 2,000、備註改 QA-A11-edited → PUT /api/cash/movements/44 200、toast「✓ 已更新 資金紀錄 #44」；台灣券商 TWD 對帳單 52 列滾動餘額逐列驗算 0 筆不符，期末 6,069,595＝基準 6,067,595＋2,000 ✓①。② 折讓款列（#34，2026-02-01，191 TWD）編輯鈕可按，開啟後日期／類型／備註 disabled、金額可改，說明「折讓款為系統標記的現金退款 — 類型／備註／日期已鎖定以避免重複入帳，僅可修正金額；若要撤銷此筆退款，請直接刪除」✗（手冊期望整列不可編輯）；未儲存即取消。測畢刪除 #44，逐位元還原</t>
        </is>
      </c>
      <c r="J14" s="72" t="inlineStr">
        <is>
          <t>OBSERVE</t>
        </is>
      </c>
      <c r="K14" s="72" t="inlineStr">
        <is>
          <t>DEF-009</t>
        </is>
      </c>
      <c r="L14" s="62" t="inlineStr">
        <is>
          <t>結案</t>
        </is>
      </c>
      <c r="M14" s="72" t="inlineStr">
        <is>
          <t>PASS</t>
        </is>
      </c>
      <c r="N14" s="73" t="inlineStr">
        <is>
          <t>實作為「部分鎖定、可改金額」且有說明，與手冊「不可編輯」不同，屬規格未定
R2：DEF-009 經 Owner 裁定：折讓款列改為整列可編輯，現行（只能改金額）不符 → 待開發者修；F 欄期望待同步
R3：DEF-009 複驗通過結案（折讓款整列可編輯、月份不重開）
R10（3a35454 全面重跑）：PASS — demo 真實瀏覽器（頁首 v0.1.28 · 3a35454），demo 6／6 項檢查全過：編輯金額為 150 → 52 列滾動餘額全部重算正確；折讓款列日期／類型／金額／備註皆可改、說明寫明寫入稽核軌跡；測後刪除並逐字相同
R11（91ec1b0 整份 one shot 重跑）：PASS — demo 真實瀏覽器（頁首 v0.1.28 · 91ec1b0），demo 6／6 項檢查全過：編輯金額為 150 → PUT 200、52 列滾動餘額全部重算正確；折讓款列日期／類型／金額／備註皆可改、說明寫明寫入稽核軌跡；測後刪除並逐字相同</t>
        </is>
      </c>
    </row>
    <row r="15" ht="29.25" customHeight="1" s="43">
      <c r="A15" s="57" t="inlineStr">
        <is>
          <t>A-12</t>
        </is>
      </c>
      <c r="B15" s="58" t="inlineStr">
        <is>
          <t>A</t>
        </is>
      </c>
      <c r="C15" s="59" t="inlineStr">
        <is>
          <t>滾動餘額逐列驗算</t>
        </is>
      </c>
      <c r="D15" s="58" t="inlineStr">
        <is>
          <t>—</t>
        </is>
      </c>
      <c r="E15" s="59" t="inlineStr">
        <is>
          <t>匯出或逐頁讀取某一池（例如 Moomoo MY／MYR）全部紀錄</t>
        </is>
      </c>
      <c r="F15" s="59" t="inlineStr">
        <is>
          <t>對每一列：前一列餘額 + 本列金額 = 本列餘額；最末列 = `GET /api/cash` 的當前餘額</t>
        </is>
      </c>
      <c r="G15" s="59" t="inlineStr">
        <is>
          <t>唯讀</t>
        </is>
      </c>
      <c r="H15" s="59" t="inlineStr">
        <is>
          <t>✅ 已驗（31 列）</t>
        </is>
      </c>
      <c r="I15" s="73" t="inlineStr">
        <is>
          <t>資金管理 › 點 Moomoo MY／MYR 池：畫面 28 列，由舊到新逐列以 Decimal 驗算「前一列餘額＋本列金額＝本列餘額」0 筆不符；最末列餘額 508,466.42 ＝ GET /api/cash 508466.420；匯出現金對帳單 CSV 28 列、最末列 balance 508466.420</t>
        </is>
      </c>
      <c r="J15" s="72" t="inlineStr">
        <is>
          <t>PASS</t>
        </is>
      </c>
      <c r="K15" s="72" t="n"/>
      <c r="L15" s="62" t="inlineStr">
        <is>
          <t>PASS</t>
        </is>
      </c>
      <c r="M15" s="72" t="inlineStr">
        <is>
          <t>PASS</t>
        </is>
      </c>
      <c r="N15" s="73" t="inlineStr">
        <is>
          <t>前一輪稽核記錄為 31 列，本輪畫面／CSV 皆為 28 列（資料量差異，非本案判定依據）
R8（a16210a 全面重跑）：資金管理 › 帳戶現金 點 Moomoo MY／MYR：畫面 28 列（目前餘額 508,466.42 MYR），由舊到新逐列 Decimal 驗算「前一列餘額＋本列金額＝本列餘額」0 筆不符；最末列 508,466.42 ＝ GET /api/cash 508466.420；匯出現金對帳單 CSV 28 列同樣 0 筆不符、最末 balance 508466.420
R10（3a35454 全面重跑）：PASS — demo 真實瀏覽器（頁首 v0.1.28 · 3a35454），demo 2／2 項檢查全過：Moomoo MY MYR 對帳單 28 列逐列「前一列＋變動＝餘額」、末列 508,466.42＝GET /api/cash
R11（91ec1b0 整份 one shot 重跑）：PASS — demo 真實瀏覽器（頁首 v0.1.28 · 91ec1b0），demo 2／2 項檢查全過：Moomoo MY MYR 對帳單 28 列逐列「前一列＋變動＝餘額」、末列 508,466.42＝GET /api/cash</t>
        </is>
      </c>
    </row>
    <row r="16" ht="57.75" customHeight="1" s="43">
      <c r="A16" s="57" t="inlineStr">
        <is>
          <t>A-13</t>
        </is>
      </c>
      <c r="B16" s="58" t="inlineStr">
        <is>
          <t>A</t>
        </is>
      </c>
      <c r="C16" s="59" t="inlineStr">
        <is>
          <t>換匯寫入</t>
        </is>
      </c>
      <c r="D16" s="59" t="inlineStr">
        <is>
          <t>記錄基準：兩池餘額、FX 取得均價、`kpis.total_return`</t>
        </is>
      </c>
      <c r="E16" s="59" t="inlineStr">
        <is>
          <t>換匯中心 → 賣出 MYR 4,000 → 買入 USD（自動試算）→ 確認寫入</t>
        </is>
      </c>
      <c r="F16" s="58" t="inlineStr">
        <is>
          <t>① MYR −4,000、USD +試算金額；② FX 取得均價依加權重算；③ **總報酬完全不變**（換匯不產生損益，不變量 6）；④ 換匯帳本新增 1 列，`implied_rate` 方向為「較值錢的幣別 = 1」</t>
        </is>
      </c>
      <c r="G16" s="59" t="inlineStr">
        <is>
          <t>測畢由換匯帳本刪除，並比對現金池、均價、`reporting_total` 逐位元還原</t>
        </is>
      </c>
      <c r="H16" s="59" t="inlineStr">
        <is>
          <t>✅ 已驗（第一輪）</t>
        </is>
      </c>
      <c r="I16" s="73" t="inlineStr">
        <is>
          <t>換匯中心：Moomoo MY 賣出 MYR 4,000 → 買入 USD 自動試算 981.11（GET /api/cash/fx-estimate rate 0.245278 as_of 2026-09-22；隱含 1 USD = 4.0770 MYR）→ 確認寫入 POST /api/cash/fx 201 id 21、toast「✓ 換匯已寫入 4000 MYR → 981.11 USD」→ ① MYR 508,466.420→504,466.420（−4,000）、USD 56,384.10→57,365.21（+981.11）✓；② 取得均價 4.384338038040251696433279862→4.379293082161308204083879503，由此反推的舊覆蓋量＝58,785.10 USD＝外幣現金 56,384.10＋持股成本 2,401.00（AAPL 10 股×240＋1），加權公式成立 ✓；③ total_return 字串完全不變 ✓（reporting_total 僅差 −0.111 TWD，為成交隱含匯率與市場匯率差）；④ 換匯帳本 19→20 列，implied_rate 4.0770148…、implied_unit_ccy USD（較值錢者＝1）✓。測畢由交易帳本 › 換匯分頁刪除（確認框「確定刪除這筆換匯？」→ DELETE /api/ledgers/fx/21），現金池、均價、reporting_total 與四段 JSON 逐位元還原</t>
        </is>
      </c>
      <c r="J16" s="72" t="inlineStr">
        <is>
          <t>PASS</t>
        </is>
      </c>
      <c r="K16" s="72" t="n"/>
      <c r="L16" s="62" t="inlineStr">
        <is>
          <t>PASS</t>
        </is>
      </c>
      <c r="M16" s="72" t="inlineStr">
        <is>
          <t>PASS</t>
        </is>
      </c>
      <c r="N16" s="72" t="inlineStr">
        <is>
          <t>R8（a16210a 全面重跑）：換匯中心：Moomoo MY 賣出 MYR 4,000 → 買入 USD 自動試算 978.59（2026-09-24 匯率 0.2446；隱含 1 USD = 4.0875 MYR）→ 確認寫入 POST /api/cash/fx 201 #22、toast「✓ 換匯已寫入 4000 MYR → 978.59 USD」→ ① MYR 508,466.420→504,466.420（−4,000）、USD 56,384.10→57,362.69（+978.59）✓；② 取得均價 4.384338038040251696433279862→4.379477739744650974529852491，反推舊覆蓋量＝58,785.10 USD＝外幣現金 56,384.10＋持股成本 2,401，加權公式成立 ✓；③ total_return 字串完全不變 ✓（reporting_total 差 +29.11 TWD，為成交隱含匯率與市場匯率差）；④ 換匯帳本 19→20 列，implied_rate 4.0875136…、implied_unit_ccy USD（較值錢者＝1）✓。由交易帳本 › 換匯分頁刪除（確認框「確定刪除這筆換匯？統計將由其餘帳本紀錄重建。」→ DELETE /api/ledgers/fx/22 200），現金池、均價 4.384338038040251696433279862、reporting_total 與六段 JSON 逐位元還原
R10（3a35454 全面重跑）：PASS — demo 真實瀏覽器（頁首 v0.1.28 · 3a35454），demo 6／6 項檢查全過：換匯 MYR 4,000→USD 982.44：MYR 508,466.42→504,466.42、USD 56,384.10→57,366.54；加權平均匯率 4.384338→4.379196，與（均價×Q＋4,000）÷（Q＋982.44）逐位相同；total_return 不變；換匯帳本 +1（1 USD = 4.0715 MYR）；刪除後逐字相同
R11（91ec1b0 整份 one shot 重跑）：PASS — demo 真實瀏覽器（頁首 v0.1.28 · 91ec1b0），demo 6／6 項檢查全過：換匯 MYR 4,000→USD 980.39（試算 1 USD = 4.0800 MYR）：MYR 508,466.42→504,466.42、USD 56,384.10→57,364.49；加權平均匯率 4.384338→4.379346，與（均價×Q＋4,000）÷（Q＋980.39）逐位相同；total_return 不變；換匯帳本 +1；刪除後逐字相同</t>
        </is>
      </c>
    </row>
    <row r="17" ht="29.25" customHeight="1" s="43">
      <c r="A17" s="57" t="inlineStr">
        <is>
          <t>A-14</t>
        </is>
      </c>
      <c r="B17" s="58" t="inlineStr">
        <is>
          <t>A</t>
        </is>
      </c>
      <c r="C17" s="59" t="inlineStr">
        <is>
          <t>換匯：買賣幣別相同</t>
        </is>
      </c>
      <c r="D17" s="58" t="inlineStr">
        <is>
          <t>—</t>
        </is>
      </c>
      <c r="E17" s="59" t="inlineStr">
        <is>
          <t>把買入幣別設成與賣出相同</t>
        </is>
      </c>
      <c r="F17" s="59" t="inlineStr">
        <is>
          <t>顯示「買賣幣別不可相同 — 已自動將賣出幣別改為 X，可用餘額也隨之切換」，且賣出幣別確實翻轉</t>
        </is>
      </c>
      <c r="G17" s="59" t="inlineStr">
        <is>
          <t>不送出</t>
        </is>
      </c>
      <c r="H17" s="59" t="inlineStr">
        <is>
          <t>✅ 已驗（三輪）</t>
        </is>
      </c>
      <c r="I17" s="73" t="inlineStr">
        <is>
          <t>換匯中心 Moomoo MY，賣出 MYR／買入 USD → 把買入幣別改成 MYR：賣出幣別自動翻為 USD、可用餘額由 508,466.42 MYR 切為 56,384.10 USD，並顯示「買賣幣別不可相同 — 已自動將賣出幣別改為 USD，可用餘額也隨之切換」</t>
        </is>
      </c>
      <c r="J17" s="72" t="inlineStr">
        <is>
          <t>PASS</t>
        </is>
      </c>
      <c r="K17" s="72" t="n"/>
      <c r="L17" s="62" t="inlineStr">
        <is>
          <t>PASS</t>
        </is>
      </c>
      <c r="M17" s="72" t="inlineStr">
        <is>
          <t>PASS</t>
        </is>
      </c>
      <c r="N17" s="73" t="inlineStr">
        <is>
          <t>未送出
R8（a16210a 全面重跑）：換匯中心 Moomoo MY，賣出 MYR／買入 USD（可用餘額 508,466.42 MYR）→ 把買入幣別改成 MYR：賣出幣別自動翻為 USD、可用餘額切為 56,384.10 USD，並顯示「買賣幣別不可相同 — 已自動將賣出幣別改為 USD，可用餘額也隨之切換」✓。未送出
R10（3a35454 全面重跑）：PASS — demo 真實瀏覽器（頁首 v0.1.28 · 3a35454），demo 3／3 項檢查全過：買賣幣別相同 → 自動改賣出幣別為 USD、提示「買賣幣別不可相同 — 已自動將賣出幣別改為 USD，可用餘額也隨之切換」、可用餘額 56,384.10 USD
R11（91ec1b0 整份 one shot 重跑）：PASS — demo 真實瀏覽器（頁首 v0.1.28 · 91ec1b0），demo 3／3 項檢查全過：買賣幣別相同 → 自動改賣出幣別為 USD、提示「買賣幣別不可相同 — 已自動將賣出幣別改為 USD…」、可用餘額 56,384.10 USD</t>
        </is>
      </c>
    </row>
    <row r="18" ht="57.75" customHeight="1" s="43">
      <c r="A18" s="57" t="inlineStr">
        <is>
          <t>A-15</t>
        </is>
      </c>
      <c r="B18" s="58" t="inlineStr">
        <is>
          <t>A</t>
        </is>
      </c>
      <c r="C18" s="59" t="inlineStr">
        <is>
          <t>換匯：手動指定買入金額</t>
        </is>
      </c>
      <c r="D18" s="59" t="inlineStr">
        <is>
          <t>已填賣出金額並完成自動試算</t>
        </is>
      </c>
      <c r="E18" s="59" t="inlineStr">
        <is>
          <t>手動改寫買入金額</t>
        </is>
      </c>
      <c r="F18" s="59" t="inlineStr">
        <is>
          <t>① 立即顯示「已手動指定買入金額 — 按「重新試算」可依即期匯率回填」；② 不得殘留「試算中…」；③ 隱含匯率依手動值重算；④ 按「重新試算」可回填</t>
        </is>
      </c>
      <c r="G18" s="59" t="inlineStr">
        <is>
          <t>不送出</t>
        </is>
      </c>
      <c r="H18" s="59" t="inlineStr">
        <is>
          <t>✅ 已驗（三輪）</t>
        </is>
      </c>
      <c r="I18" s="73" t="inlineStr">
        <is>
          <t>賣出 MYR 4,000 自動試算 981.11 後，以實體鍵盤改寫買入金額為 985：立即顯示「已手動指定買入金額 — 按「重新試算」可依即期匯率回填」並出現「重新試算」鈕 ①、無殘留「試算中…」②、隱含匯率改為 1 USD = 4.0609 MYR（4000/985）③；按「重新試算」→ 回填 981.11、提示改回「以 2026-09-22 匯率 0.2453 試算，可依實際成交調整」、隱含 4.0770 ④</t>
        </is>
      </c>
      <c r="J18" s="72" t="inlineStr">
        <is>
          <t>PASS</t>
        </is>
      </c>
      <c r="K18" s="72" t="n"/>
      <c r="L18" s="62" t="inlineStr">
        <is>
          <t>PASS</t>
        </is>
      </c>
      <c r="M18" s="72" t="inlineStr">
        <is>
          <t>PASS</t>
        </is>
      </c>
      <c r="N18" s="73" t="inlineStr">
        <is>
          <t>未送出
R8（a16210a 全面重跑）：賣出 MYR 4,000 自動試算 978.59 USD（「以 2026-09-24 匯率 0.2446 試算，可依實際成交調整」、隱含 1 USD = 4.0875 MYR）後改寫買入金額為 985：立即顯示「已手動指定買入金額 — 按「重新試算」可依即期匯率回填」並出現「重新試算」鈕 ①、頁面無「試算中…」②、隱含匯率改為 1 USD = 4.0609 MYR（4000/985）③；按「重新試算」→ 回填 978.59、提示與隱含 4.0875 復原、鈕消失 ④。未送出
R10（3a35454 全面重跑）：PASS — demo 真實瀏覽器（頁首 v0.1.28 · 3a35454），demo 5／5 項檢查全過：手動改買入金額 985 → 提示「已手動指定買入金額」、隱含匯率 4.0609、無殘留「試算中…」；「重新試算」回填 982.44
R11（91ec1b0 整份 one shot 重跑）：PASS — demo 真實瀏覽器（頁首 v0.1.28 · 91ec1b0），demo 5／5 項檢查全過：手動改買入金額 985 → 提示「已手動指定買入金額」、隱含匯率 4.0609、無殘留「試算中…」；「重新試算」回填 980.39</t>
        </is>
      </c>
    </row>
    <row r="19" ht="29.25" customHeight="1" s="43">
      <c r="A19" s="57" t="inlineStr">
        <is>
          <t>A-16</t>
        </is>
      </c>
      <c r="B19" s="58" t="inlineStr">
        <is>
          <t>A</t>
        </is>
      </c>
      <c r="C19" s="59" t="inlineStr">
        <is>
          <t>折讓款確認入帳與復原</t>
        </is>
      </c>
      <c r="D19" s="59" t="inlineStr">
        <is>
          <t>收件匣有待確認折讓款</t>
        </is>
      </c>
      <c r="E19" s="59" t="inlineStr">
        <is>
          <t>收件匣 → 折讓款 → 確認入帳（填實際金額）→ 檢查 → 復原</t>
        </is>
      </c>
      <c r="F19" s="59" t="inlineStr">
        <is>
          <t>① 現金池增加該金額；② 不影響持倉成本；③ 復原後現金池與列數逐位元還原</t>
        </is>
      </c>
      <c r="G19" s="59" t="inlineStr">
        <is>
          <t>會寫入；務必復原並比對</t>
        </is>
      </c>
      <c r="H19" s="59" t="inlineStr">
        <is>
          <t>否</t>
        </is>
      </c>
      <c r="I19" s="73" t="inlineStr">
        <is>
          <t>收件匣 › 待確認退款 2026-06 折讓款（台灣券商，6 筆、手續費 826 → 預估 633）→ 確認入帳對話框預填 633，改填實際 620 → POST /api/rebates/confirm 200 id 45、toast「✓ 折讓款已入帳 2026-06・620 TWD 已記入現金池」→ ① TWD 池 6,067,595→6,068,215（+620）✓；② holdings 字串不變、total_return 不變（不影響持倉成本）✓；待確認退款 3→2。復原：依說明「若要撤銷此筆退款，請直接刪除」於資金收支刪除 2026-07-01 折讓款 620（DELETE /api/cash/movements/45）→ 待確認退款回到 3、現金池／列數／四段 JSON 逐位元還原 ③</t>
        </is>
      </c>
      <c r="J19" s="72" t="inlineStr">
        <is>
          <t>PASS</t>
        </is>
      </c>
      <c r="K19" s="72" t="inlineStr">
        <is>
          <t>DEF-011</t>
        </is>
      </c>
      <c r="L19" s="62" t="inlineStr">
        <is>
          <t>結案</t>
        </is>
      </c>
      <c r="M19" s="72" t="inlineStr">
        <is>
          <t>PASS</t>
        </is>
      </c>
      <c r="N19" s="73" t="inlineStr">
        <is>
          <t>附帶：入帳後 kpis.xirr 10.22406575305222→10.224722584268248、total_return_fx_complete +620、trading_financing_cost 191→811，與收件匣文案「不計入成本／損益／XIRR」矛盾（見 DEF-011）
R2：DEF-011 複驗通過結案
R4：DEF-050 複驗通過結案（收件匣副標題 390px 全文可見）
R10（3a35454 全面重跑）：PASS — demo 真實瀏覽器（頁首 v0.1.28 · 3a35454），demo 10／10 項檢查全過：折讓款 2026-07（7 筆交易手續費 1,412 → 預估 1,083）確認入帳 → TWD 池 +1,083、toast「折讓款已入帳」、成本不變；刪除後資金收支回 34 列、池回 6,067,595、月份回到待確認
R11（91ec1b0 整份 one shot 重跑）：PASS — demo 真實瀏覽器（頁首 v0.1.28 · 91ec1b0），demo 10／10 項檢查全過：折讓款 2026-07（7 筆交易手續費 1,412 → 預估 1,083）確認入帳 → TWD 池 6,067,595→6,068,678、toast「折讓款已入帳」、成本不變；刪除後資金收支回 34 列、池回 6,067,595、月份回到待確認</t>
        </is>
      </c>
    </row>
    <row r="20" ht="16.5" customHeight="1" s="43">
      <c r="A20" s="54" t="inlineStr">
        <is>
          <t>B. 股票買賣、手續費稅與對應幣別現金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6" t="n"/>
    </row>
    <row r="21" ht="57.75" customHeight="1" s="43">
      <c r="A21" s="57" t="inlineStr">
        <is>
          <t>B-01</t>
        </is>
      </c>
      <c r="B21" s="58" t="inlineStr">
        <is>
          <t>B</t>
        </is>
      </c>
      <c r="C21" s="59" t="inlineStr">
        <is>
          <t>台股買進（整股）</t>
        </is>
      </c>
      <c r="D21" s="59" t="inlineStr">
        <is>
          <t>交易帳本 › 手動交易；記錄基準持股、均價、該帳戶 TWD 現金</t>
        </is>
      </c>
      <c r="E21" s="59" t="inlineStr">
        <is>
          <t>買進 2884 1,000 股 @ 45.20（台灣券商）→ 檢查草稿試算 → 確認寫入</t>
        </is>
      </c>
      <c r="F21" s="59" t="inlineStr">
        <is>
          <t>① 手續費 = floor(45,200 × 0.1425%) = **64**；② 總成本 = 45,200 + 64 = 45,264；③ 新均價 = (原成本 + 45,264) ÷ 新股數，與畫面「原始均價 → 新均價」相符；④ 帳戶 TWD 現金 −45,264</t>
        </is>
      </c>
      <c r="G21" s="59" t="inlineStr">
        <is>
          <t>測畢刪除該筆並比對 `/api/dashboard` 四組 JSON 與基準相同</t>
        </is>
      </c>
      <c r="H21" s="59" t="inlineStr">
        <is>
          <t>✅ 已驗（同型：100 股）</t>
        </is>
      </c>
      <c r="I21" s="73" t="inlineStr">
        <is>
          <t>手動交易 台灣券商 2884 買 1,000@45.20：草稿 成交 45,200、手續費 64（floor(64.41)）、總成本 45,264、持股 100→1,100、均價 93.20→49.62、現金 6,067,595→6,022,331；確認寫入 POST /api/input/manual/commit 201 #72、toast「✓ 寫入成功 交易已寫入帳本 （#72）」→ 持倉 shares 1100、original_avg 49.62181818181818181818181818（＝(9,320+45,264)/1,100，自算相同）、TWD 池 −45,264.0000 ✓。測畢刪除 #72，四段 JSON＋現金池與基準逐位元相同</t>
        </is>
      </c>
      <c r="J21" s="72" t="inlineStr">
        <is>
          <t>PASS</t>
        </is>
      </c>
      <c r="K21" s="72" t="n"/>
      <c r="L21" s="62" t="inlineStr">
        <is>
          <t>PASS</t>
        </is>
      </c>
      <c r="M21" s="72" t="inlineStr">
        <is>
          <t>PASS</t>
        </is>
      </c>
      <c r="N21" s="72" t="inlineStr">
        <is>
          <t>R8（a16210a 全面重跑）：手動交易 台灣券商 2884 買 1,000@45.20（2026-09-23）：草稿 成交 45,200、手續費 64（floor(64.41)）、總成本 45,264、持股 100→1,100、均價 93.20→49.62、現金 6,067,595→6,022,331；確認寫入 POST /api/input/manual/commit 201 #121、toast「✓ 寫入成功 交易已寫入帳本 （#121）」→ shares 1100、original_avg 49.62181818181818181818181818（＝(9,320+45,264)/1,100）、TWD 池 −45,264.0000 ✓。測畢刪除 #121，cmp R8_START same:true
R10（3a35454 全面重跑）：PASS — demo 真實瀏覽器（頁首 v0.1.28 · 3a35454），demo 8／8 項檢查全過：台灣券商 2884 買 1,000@45.20：手續費 floor(45,200×0.1425%)＝64、總成本 45,264、草稿均價 49.62；寫入後均價 49.6218…、TWD 池 −45,264；刪除後逐字相同
R11（91ec1b0 整份 one shot 重跑）：PASS — demo 真實瀏覽器（頁首 v0.1.28 · 91ec1b0），demo 8／8 項檢查全過：台灣券商 2884 買 1,000@45.20：手續費 floor(45,200×0.1425%)＝64、總成本 45,264、草稿均價 93.20→49.62；寫入 #182 後均價 49.6218…、TWD 池 −45,264；刪除後逐字相同</t>
        </is>
      </c>
    </row>
    <row r="22" ht="40.5" customHeight="1" s="43">
      <c r="A22" s="57" t="inlineStr">
        <is>
          <t>B-02</t>
        </is>
      </c>
      <c r="B22" s="58" t="inlineStr">
        <is>
          <t>B</t>
        </is>
      </c>
      <c r="C22" s="59" t="inlineStr">
        <is>
          <t>台股買進（觸發最低手續費）</t>
        </is>
      </c>
      <c r="D22" s="59" t="inlineStr">
        <is>
          <t>同上</t>
        </is>
      </c>
      <c r="E22" s="59" t="inlineStr">
        <is>
          <t>買進 2884 100 股 @ 45.20</t>
        </is>
      </c>
      <c r="F22" s="59" t="inlineStr">
        <is>
          <t>手續費 = max(floor(4,520 × 0.1425%) = 6, **20**) = 20；總成本 4,540；均價依 (9,320 + 4,540) ÷ 200 = **69.30**</t>
        </is>
      </c>
      <c r="G22" s="59" t="inlineStr">
        <is>
          <t>測畢刪除並比對</t>
        </is>
      </c>
      <c r="H22" s="59" t="inlineStr">
        <is>
          <t>✅ 已驗（三輪）</t>
        </is>
      </c>
      <c r="I22" s="73" t="inlineStr">
        <is>
          <t>草稿：成交 4,520、手續費 20（floor(6.441)=6→最低 20）、總成本 4,540、持股 100→200、均價 93.20→69.30。寫入後 API：shares 200、original_avg 69.30、original_cost 13,860、TWD 池 6,067,595→6,063,055（−4,540）。測畢刪除，四段 JSON 逐位元還原（見 J-03）</t>
        </is>
      </c>
      <c r="J22" s="72" t="inlineStr">
        <is>
          <t>PASS</t>
        </is>
      </c>
      <c r="K22" s="72" t="n"/>
      <c r="L22" s="62" t="inlineStr">
        <is>
          <t>PASS</t>
        </is>
      </c>
      <c r="M22" s="72" t="inlineStr">
        <is>
          <t>PASS</t>
        </is>
      </c>
      <c r="N22" s="73" t="inlineStr">
        <is>
          <t>與 J-03 同一條路徑
R8（a16210a 全面重跑）：買 2884 100@45.20：草稿 成交 4,520、手續費 20（floor(6.441)=6→最低 20）、總成本 4,540、持股 100→200、均價 93.20→69.30；寫入 #124 → shares 200、original_avg 69.30、original_cost 13,860、TWD 池 6,067,595→6,063,055（−4,540）✓
R10（3a35454 全面重跑）：PASS — demo 真實瀏覽器（頁首 v0.1.28 · 3a35454），demo 4／4 項檢查全過：零股 100@45.20：手續費 max(6, 20)＝20、合計 4,540、均價 69.30；刪除後逐字相同
R11（91ec1b0 整份 one shot 重跑）：PASS — demo 真實瀏覽器（頁首 v0.1.28 · 91ec1b0），demo 4／4 項檢查全過：零股 100@45.20：手續費 max(6, 20)＝20、合計 4,540、均價 69.30；刪除後逐字相同</t>
        </is>
      </c>
    </row>
    <row r="23" ht="72" customHeight="1" s="43">
      <c r="A23" s="57" t="inlineStr">
        <is>
          <t>B-03</t>
        </is>
      </c>
      <c r="B23" s="58" t="inlineStr">
        <is>
          <t>B</t>
        </is>
      </c>
      <c r="C23" s="59" t="inlineStr">
        <is>
          <t>台股賣出（整股）</t>
        </is>
      </c>
      <c r="D23" s="59" t="inlineStr">
        <is>
          <t>持有 2884 ≥ 200 股</t>
        </is>
      </c>
      <c r="E23" s="59" t="inlineStr">
        <is>
          <t>賣出 2884 100 股 @ 46.00 → 確認寫入</t>
        </is>
      </c>
      <c r="F23" s="59" t="inlineStr">
        <is>
          <t>① 手續費 = max(floor(4,600×0.1425%)=6, 20) = 20；② 證交稅 = floor(4,600 × 0.3%) = 13；③ 淨收 = 4,600 − 20 − 13 = 4,567；④ 已實現損益新增 1 列，成本以**加權平均**移除；⑤ 持股 −100、均價不變</t>
        </is>
      </c>
      <c r="G23" s="59" t="inlineStr">
        <is>
          <t>會產生已實現列。測畢刪除該筆賣出，確認已實現列一併消失且 `realized.by_currency` 還原</t>
        </is>
      </c>
      <c r="H23" s="59" t="inlineStr">
        <is>
          <t>否（僅以試算手算驗過）</t>
        </is>
      </c>
      <c r="I23" s="73" t="inlineStr">
        <is>
          <t>承 B-01（持有 1,100）賣 2884 100@46.00：草稿 手續費 20、交易稅 13、淨收 4,567、調整成本移除 4,962、已實現 −395 → 寫入 #73 → realized.rows 新增 1 列 kind sale、original_cost_removed 4962.181818181818181818181818（＝100×加權均價 49.6218…）、realized −395.181818…；持股 1,100→1,000、均價 49.62181818… 不變；realized.by_currency.TWD 42,004.556→41,609.374。刪除 #73 → 已實現列 11 列（該列消失）、by_currency.TWD 回 42004.55597014925373134328360，四段 JSON 逐位元還原</t>
        </is>
      </c>
      <c r="J23" s="72" t="inlineStr">
        <is>
          <t>PASS</t>
        </is>
      </c>
      <c r="K23" s="72" t="n"/>
      <c r="L23" s="62" t="inlineStr">
        <is>
          <t>PASS</t>
        </is>
      </c>
      <c r="M23" s="72" t="inlineStr">
        <is>
          <t>PASS</t>
        </is>
      </c>
      <c r="N23" s="72" t="inlineStr">
        <is>
          <t>R8（a16210a 全面重跑）：承 B-01（持有 1,100）賣 2884 100@46.00：草稿 手續費 20、交易稅 13、淨收 4,567、調整成本移除 4,962、已實現 −395 → 寫入 #122 → realized.rows 11→12，新列 kind sale、original_cost_removed 4962.181818181818181818181818（＝100×加權均價）、realized −395.181818…；持股 1,100→1,000、均價 49.62181818… 不變；realized.by_currency.TWD 42004.556→41609.374。刪除 #122 → 已實現回 11 列、by_currency.TWD 回 42004.55597014925373134328360
R10（3a35454 全面重跑）：PASS — demo 真實瀏覽器（頁首 v0.1.28 · 3a35454），demo 8／8 項檢查全過：賣 100@46：手續費 20、證交稅 floor(4,600×0.3%)＝13、淨額 4,567；已實現 +1 列，成本移除 100×加權均價＝4,962.18、損益 −395.18；持股 −100、均價不變；刪除賣出後已實現回到原值
R11（91ec1b0 整份 one shot 重跑）：PASS — demo 真實瀏覽器（頁首 v0.1.28 · 91ec1b0），demo 8／8 項檢查全過：賣 100@46：手續費 20、證交稅 floor(4,600×0.3%)＝13、淨額 4,567；已實現 +1 列，成本移除 100×加權均價＝4,962.18；持股 1,100→1,000、均價不變；刪除賣出後已實現回到原值</t>
        </is>
      </c>
    </row>
    <row r="24" ht="43.5" customHeight="1" s="43">
      <c r="A24" s="57" t="inlineStr">
        <is>
          <t>B-04</t>
        </is>
      </c>
      <c r="B24" s="58" t="inlineStr">
        <is>
          <t>B</t>
        </is>
      </c>
      <c r="C24" s="59" t="inlineStr">
        <is>
          <t>台股當沖賣出</t>
        </is>
      </c>
      <c r="D24" s="59" t="inlineStr">
        <is>
          <t>同日有買進</t>
        </is>
      </c>
      <c r="E24" s="59" t="inlineStr">
        <is>
          <t>賣出時勾選「當沖」→ 送出</t>
        </is>
      </c>
      <c r="F24" s="59" t="inlineStr">
        <is>
          <t>證交稅率改用 **0.15%**：floor(金額 × 0.15%)；未勾選時為 0.3%</t>
        </is>
      </c>
      <c r="G24" s="59" t="inlineStr">
        <is>
          <t>測畢刪除</t>
        </is>
      </c>
      <c r="H24" s="59" t="inlineStr">
        <is>
          <t>否（僅以試算手算驗過）</t>
        </is>
      </c>
      <c r="I24" s="73" t="inlineStr">
        <is>
          <t>承 B-01 同日有買進：賣 2884 100@46.00 未勾當沖 → preview tax 13（0.3%）；勾「當沖」→ tax 6（floor(4,600×0.15%)=6）、淨收 4,574；寫入 #74 本文 daytrade:true，帳本列 fee 20／tax 6／total 4574.00。刪除 #74，逐位元還原</t>
        </is>
      </c>
      <c r="J24" s="72" t="inlineStr">
        <is>
          <t>PASS</t>
        </is>
      </c>
      <c r="K24" s="72" t="n"/>
      <c r="L24" s="62" t="inlineStr">
        <is>
          <t>PASS</t>
        </is>
      </c>
      <c r="M24" s="72" t="inlineStr">
        <is>
          <t>PASS</t>
        </is>
      </c>
      <c r="N24" s="72" t="inlineStr">
        <is>
          <t>R8（a16210a 全面重跑）：承 B-01 同日有買進：賣 2884 100@46.00 未勾當沖 → preview tax 13（0.3%）；勾「當沖」→ tax 6（floor(4,600×0.15%)=6）、淨收 4,574；寫入 #123 本文 daytrade:true，帳本列「賣當沖 100 46.00 20 6 +4,574 TWD」。刪除 #123 與 #121 後 cmp R8_START same:true
R10（3a35454 全面重跑）：PASS — demo 真實瀏覽器（頁首 v0.1.28 · 3a35454），demo 5／5 項檢查全過：同一筆賣出勾「當沖」→ 稅 floor(4,600×0.15%)＝6（未勾 13），送出 daytrade:true，帳本列標「賣當沖」；刪除後逐字相同
R11（91ec1b0 整份 one shot 重跑）：PASS — demo 真實瀏覽器（頁首 v0.1.28 · 91ec1b0），demo 5／5 項檢查全過：同一筆賣出勾「當沖」→ 稅 floor(4,600×0.15%)＝6（未勾 13），送出 daytrade:true，帳本列標「賣當沖」；刪除後逐字相同</t>
        </is>
      </c>
    </row>
    <row r="25" ht="29.25" customHeight="1" s="43">
      <c r="A25" s="57" t="inlineStr">
        <is>
          <t>B-05</t>
        </is>
      </c>
      <c r="B25" s="58" t="inlineStr">
        <is>
          <t>B</t>
        </is>
      </c>
      <c r="C25" s="59" t="inlineStr">
        <is>
          <t>台股零股小數必須被擋</t>
        </is>
      </c>
      <c r="D25" s="58" t="inlineStr">
        <is>
          <t>—</t>
        </is>
      </c>
      <c r="E25" s="59" t="inlineStr">
        <is>
          <t>股數填 0.5 → 觀察草稿與確認鍵</t>
        </is>
      </c>
      <c r="F25" s="59" t="inlineStr">
        <is>
          <t>顯示「✕ 台股股數必須是整數（零股以 1 股為單位），目前是 0.5」且「確認寫入」為 disabled</t>
        </is>
      </c>
      <c r="G25" s="59" t="inlineStr">
        <is>
          <t>不會寫入</t>
        </is>
      </c>
      <c r="H25" s="59" t="inlineStr">
        <is>
          <t>✅ 已驗（三輪）</t>
        </is>
      </c>
      <c r="I25" s="73" t="inlineStr">
        <is>
          <t>手動交易 台灣券商 2884 買 0.5 股 @45.20：preview issues=[{sev:error, code:shares_not_integer}]，草稿區顯示「✕ 台股股數必須是整數（零股以 1 股為單位），目前是 0.5」，#m-confirm disabled=true</t>
        </is>
      </c>
      <c r="J25" s="72" t="inlineStr">
        <is>
          <t>PASS</t>
        </is>
      </c>
      <c r="K25" s="72" t="n"/>
      <c r="L25" s="62" t="inlineStr">
        <is>
          <t>PASS</t>
        </is>
      </c>
      <c r="M25" s="72" t="inlineStr">
        <is>
          <t>PASS</t>
        </is>
      </c>
      <c r="N25" s="72" t="inlineStr">
        <is>
          <t>R8（a16210a 全面重跑）：手動交易 台灣券商 2884 買 0.5 股 @45.20：preview issues=[{sev:error, code:shares_not_integer}]，草稿顯示「✕ 台股股數必須是整數（零股以 1 股為單位），目前是 0.5」，#m-confirm disabled ✓
R10（3a35454 全面重跑）：PASS — demo 真實瀏覽器（頁首 v0.1.28 · 3a35454），demo 2／2 項檢查全過：台股 0.5 股 → 「台股股數必須是整數（零股以 1 股為單位），目前是 0.5」、確認寫入停用
R11（91ec1b0 整份 one shot 重跑）：PASS — demo 真實瀏覽器（頁首 v0.1.28 · 91ec1b0），demo 2／2 項檢查全過：台股 0.5 股 → 錯誤訊息、確認寫入停用</t>
        </is>
      </c>
    </row>
    <row r="26" ht="29.25" customHeight="1" s="43">
      <c r="A26" s="57" t="inlineStr">
        <is>
          <t>B-06</t>
        </is>
      </c>
      <c r="B26" s="58" t="inlineStr">
        <is>
          <t>B</t>
        </is>
      </c>
      <c r="C26" s="59" t="inlineStr">
        <is>
          <t>美股小數股允許</t>
        </is>
      </c>
      <c r="D26" s="59" t="inlineStr">
        <is>
          <t>帳戶=嘉信 Schwab</t>
        </is>
      </c>
      <c r="E26" s="59" t="inlineStr">
        <is>
          <t>買進 AAPL 0.5 股 @ 市價</t>
        </is>
      </c>
      <c r="F26" s="58" t="inlineStr">
        <is>
          <t>**不得**被整數規則擋下（美股 fractional 為刻意允許）；費用依美股規則計算</t>
        </is>
      </c>
      <c r="G26" s="59" t="inlineStr">
        <is>
          <t>測畢刪除並比對</t>
        </is>
      </c>
      <c r="H26" s="59" t="inlineStr">
        <is>
          <t>否</t>
        </is>
      </c>
      <c r="I26" s="73" t="inlineStr">
        <is>
          <t>嘉信 Schwab 買 AAPL 0.5 股 @334.33：preview issues=[]、確認鍵可按（未被整數規則擋下）；手續費 0.00（Schwab $0 佣金，買進無 SEC/TAF）；寫入 #79 total −167.16500 → 持股 85.03925…→85.53925…、原始成本 13,515→13,682.165、USD 池 −167.16500、TWD 池 0。刪除 #79，逐位元還原</t>
        </is>
      </c>
      <c r="J26" s="72" t="inlineStr">
        <is>
          <t>PASS</t>
        </is>
      </c>
      <c r="K26" s="72" t="n"/>
      <c r="L26" s="62" t="inlineStr">
        <is>
          <t>PASS</t>
        </is>
      </c>
      <c r="M26" s="72" t="inlineStr">
        <is>
          <t>PASS</t>
        </is>
      </c>
      <c r="N26" s="73" t="inlineStr">
        <is>
          <t>附記：USD 池因此成為 398,330.73500（半分），成交金額未量化到 cent；券商實際以 cent 交割，長期可能與對帳單差 0.005 級距，交 owner 參考
R8（a16210a 全面重跑）：嘉信 Schwab 買 AAPL 0.5 股 @339.75（市價）：preview issues=[]、確認鍵可按（未被整數規則擋下）✓；手續費 0、交易稅 0（Schwab $0 佣金）；寫入 #125 total −169.875 → 持股 85.03925…→85.53925…、原始成本 13,515→13,684.875、USD 池 398,497.90→398,328.025、TWD 池 800,000 不動。刪除 #125，cmp R8_START same:true。附註：成交金額未量化到 cent（USD 池出現 3 位小數），與 R1 附記相同，屬既有設計、未裁定
R10（3a35454 全面重跑）：PASS — demo 真實瀏覽器（頁首 v0.1.28 · 3a35454），demo 4／4 項檢查全過：美股小數股 AAPL 0.5 不擋、嘉信手續費 0、股數 85.039255→85.539255；刪除後逐字相同
R11（91ec1b0 整份 one shot 重跑）：PASS — demo 真實瀏覽器（頁首 v0.1.28 · 91ec1b0），demo 4／4 項檢查全過：美股小數股 AAPL 0.5 不擋、嘉信手續費 0、股數 85.039255→85.539255；刪除後逐字相同</t>
        </is>
      </c>
    </row>
    <row r="27" ht="43.5" customHeight="1" s="43">
      <c r="A27" s="57" t="inlineStr">
        <is>
          <t>B-07</t>
        </is>
      </c>
      <c r="B27" s="58" t="inlineStr">
        <is>
          <t>B</t>
        </is>
      </c>
      <c r="C27" s="59" t="inlineStr">
        <is>
          <t>美股買進扣 USD 現金</t>
        </is>
      </c>
      <c r="D27" s="59" t="inlineStr">
        <is>
          <t>記錄 schwab USD 池餘額</t>
        </is>
      </c>
      <c r="E27" s="59" t="inlineStr">
        <is>
          <t>買進 AAPL 1 股</t>
        </is>
      </c>
      <c r="F27" s="59" t="inlineStr">
        <is>
          <t>① 扣的是 **USD** 池，TWD 池不動；② 報告幣別（TWD）市值 = USD 市值 × 當日匯率；③ 總成本以 USD 記錄，不因匯率變動而改寫</t>
        </is>
      </c>
      <c r="G27" s="59" t="inlineStr">
        <is>
          <t>測畢刪除並比對</t>
        </is>
      </c>
      <c r="H27" s="59" t="inlineStr">
        <is>
          <t>否</t>
        </is>
      </c>
      <c r="I27" s="73" t="inlineStr">
        <is>
          <t>嘉信 Schwab 買 AAPL 1 股 @334.33（#80）→ ① USD 池 −334.3300、TWD 池 0 ✓；② schwab 帳戶報告幣市值 +10,597.92633567＝334.33×31.698999（currency_view USD 報告幣同幅增加）✓；③ 原始成本以 USD 記錄 13,515→13,849.33 ✓（匯率變動不改寫見 E-12）。刪除 #80，逐位元還原</t>
        </is>
      </c>
      <c r="J27" s="72" t="inlineStr">
        <is>
          <t>PASS</t>
        </is>
      </c>
      <c r="K27" s="72" t="n"/>
      <c r="L27" s="62" t="inlineStr">
        <is>
          <t>PASS</t>
        </is>
      </c>
      <c r="M27" s="72" t="inlineStr">
        <is>
          <t>PASS</t>
        </is>
      </c>
      <c r="N27" s="72" t="inlineStr">
        <is>
          <t>R8（a16210a 全面重跑）：嘉信 Schwab 買 AAPL 1 股 @339.75（#126）→ ① USD 池 398,497.90→398,158.15（−339.75）、TWD 池 800,000 不動 ✓；② schwab 帳戶報告幣市值 3,654,938.1681→3,665,752.0708（+10,813.90275＝339.75×31.829000 current_spot）✓；③ 原始成本以 USD 記錄 13,515→13,854.75 ✓。刪除 #126，逐位元還原
R10（3a35454 全面重跑）：PASS — demo 真實瀏覽器（頁首 v0.1.28 · 3a35454），demo 4／4 項檢查全過：美股買入以 USD 扣款：USD 池 −341.07、TWD 池不變；報表市值 +價×即期 31.695；成本以 USD 記 13,515→13,856.07；刪除後逐字相同
R11（91ec1b0 整份 one shot 重跑）：PASS — demo 真實瀏覽器（頁首 v0.1.28 · 91ec1b0），demo 4／4 項檢查全過：美股買入以 USD 扣款：USD 池 398,497.90→398,156.83、TWD 池不變；報表市值 +價×即期 31.785＝10,840.91；成本以 USD 記 13,515→13,856.07；刪除後逐字相同</t>
        </is>
      </c>
    </row>
    <row r="28" ht="29.25" customHeight="1" s="43">
      <c r="A28" s="57" t="inlineStr">
        <is>
          <t>B-08</t>
        </is>
      </c>
      <c r="B28" s="58" t="inlineStr">
        <is>
          <t>B</t>
        </is>
      </c>
      <c r="C28" s="59" t="inlineStr">
        <is>
          <t>馬股買進扣 MYR 現金</t>
        </is>
      </c>
      <c r="D28" s="59" t="inlineStr">
        <is>
          <t>帳戶=Moomoo MY</t>
        </is>
      </c>
      <c r="E28" s="59" t="inlineStr">
        <is>
          <t>買進 1155 100 股</t>
        </is>
      </c>
      <c r="F28" s="59" t="inlineStr">
        <is>
          <t>① 扣 MYR 池；② 馬股股數整數規則同台股；③ 費用依馬股規則</t>
        </is>
      </c>
      <c r="G28" s="59" t="inlineStr">
        <is>
          <t>測畢刪除並比對</t>
        </is>
      </c>
      <c r="H28" s="59" t="inlineStr">
        <is>
          <t>否</t>
        </is>
      </c>
      <c r="I28" s="72" t="inlineStr">
        <is>
          <t>Moomoo MY 1155：股數 0.5 → issues「馬股股數必須是整數（零股以 1 股為單位），目前是 0.5」、確認 disabled ✓；買 100@10.42（#81）→ 成交 1,042.00、手續費 3.91（佣金 0.31＋平台 3.00＋清算 0.31＋SST 8% 0.29）、交易稅 2.00（印花 ceil(1042/1000)×RM1）、總成本 1,047.91 → MYR 池 −1,047.9100、USD 池 0 ✓。刪除 #81，逐位元還原</t>
        </is>
      </c>
      <c r="J28" s="72" t="inlineStr">
        <is>
          <t>PASS</t>
        </is>
      </c>
      <c r="K28" s="72" t="n"/>
      <c r="L28" s="62" t="inlineStr">
        <is>
          <t>PASS</t>
        </is>
      </c>
      <c r="M28" s="72" t="inlineStr">
        <is>
          <t>PASS</t>
        </is>
      </c>
      <c r="N28" s="72" t="inlineStr">
        <is>
          <t>R8（a16210a 全面重跑）：Moomoo MY 1155：股數 0.5 → 「馬股股數必須是整數（零股以 1 股為單位），目前是 0.5」、確認 disabled ✓；買 100@10.42（#127）→ 成交 1,042.00、手續費 3.91（規則「佣金 0.0300%・平台費 RM3.00・清算 0.0300%・SST 8.00%」）、交易稅 2.00（印花 ceil(1042/1000)×RM1）、總成本 1,047.91 → MYR 池 508,466.420→507,418.510（−1,047.91）、USD 池不動 ✓。刪除 #127，cmp R8_START same:true
R10（3a35454 全面重跑）：PASS — demo 真實瀏覽器（頁首 v0.1.28 · 3a35454），demo 6／6 項檢查全過：馬股 0.5 股同樣擋下；印花稅 ceil(1,022/1,000)×RM1＝2、費率規則（佣金 0.03%、平台費 RM3、清算 0.03%、SST 8%）逐項顯示；MYR 池 −1,027.91、USD 池不變；刪除後逐字相同
R11（91ec1b0 整份 one shot 重跑）：PASS — demo 真實瀏覽器（頁首 v0.1.28 · 91ec1b0），demo 6／6 項檢查全過：馬股 0.5 股同樣擋下；印花稅 ceil(1,016/1,000)×RM1＝2、費率規則（佣金 0.03%、平台費 RM3、清算 0.03%、SST 8%）逐項顯示；MYR 池 −1,021.89、USD 池不變；刪除後逐字相同</t>
        </is>
      </c>
    </row>
    <row r="29" ht="43.5" customHeight="1" s="43">
      <c r="A29" s="57" t="inlineStr">
        <is>
          <t>B-09</t>
        </is>
      </c>
      <c r="B29" s="58" t="inlineStr">
        <is>
          <t>B</t>
        </is>
      </c>
      <c r="C29" s="59" t="inlineStr">
        <is>
          <t>現金不足時的行為</t>
        </is>
      </c>
      <c r="D29" s="59" t="inlineStr">
        <is>
          <t>選一個餘額很小的池</t>
        </is>
      </c>
      <c r="E29" s="59" t="inlineStr">
        <is>
          <t>買進金額 &gt; 該池餘額 → 送出</t>
        </is>
      </c>
      <c r="F29" s="59" t="inlineStr">
        <is>
          <t>記錄實際行為：是阻擋、警告、或允許成為負餘額。**與 A-05 的出金規則比對是否一致**（規格上兩者可以不同，但畫面必須說清楚）</t>
        </is>
      </c>
      <c r="G29" s="59" t="inlineStr">
        <is>
          <t>若寫入成功需刪除</t>
        </is>
      </c>
      <c r="H29" s="59" t="inlineStr">
        <is>
          <t>否（行為待確認）</t>
        </is>
      </c>
      <c r="I29" s="73" t="inlineStr">
        <is>
          <t>台灣券商 TWD 池 6,067,595，買 2330 3,000@2380（總成本 7,150,174）：草稿「交易後現金 -1,082,579 TWD ⚠ 此帳戶 TWD 現金將不足（可能漏登入金或換匯），確認要寫入？」＋勾選「我了解，仍要寫入。」前確認鍵 disabled；勾選後寫入 #82 → TWD 池 -1,082,579.0000，/api/cash negative_pools 列出該池。與 A-05（出金透支硬擋）規則不同，但畫面明確說明並要求確認。刪除 #82，逐位元還原</t>
        </is>
      </c>
      <c r="J29" s="72" t="inlineStr">
        <is>
          <t>PASS</t>
        </is>
      </c>
      <c r="K29" s="72" t="n"/>
      <c r="L29" s="62" t="inlineStr">
        <is>
          <t>PASS</t>
        </is>
      </c>
      <c r="M29" s="72" t="inlineStr">
        <is>
          <t>PASS</t>
        </is>
      </c>
      <c r="N29" s="73" t="inlineStr">
        <is>
          <t>實際行為：買進＝警告＋明確確認後允許負餘額；出金＝一律阻擋
R8（a16210a 全面重跑）：台灣券商 TWD 池 6,067,595，買 2330 3,000@2380（總成本 7,150,174）：草稿「交易後現金 -1,082,579 TWD ⚠ 此帳戶 TWD 現金將不足（可能漏登入金或換匯），確認要寫入？」（issue cash_overdraft，sev warn）＋「我了解，仍要寫入。」勾選前確認鍵 disabled；勾選後寫入 #128 → TWD 池 −1,082,579.0000，/api/cash negative_pools 列出該池。與 A-06（出金透支硬擋）規則不同，但畫面明確說明並要求確認。刪除 #128，cmp R8_START same:true
R10（3a35454 全面重跑）：PASS — demo 真實瀏覽器（頁首 v0.1.28 · 3a35454），demo 5／5 項檢查全過：台灣券商買入 7,140,000 → 「此帳戶 TWD 現金將不足…確認要寫入？」，未勾「我了解」前停用；勾選後寫入、負池 −1,082,579 列出（與 A-05 出金硬擋不同，畫面有說明）；刪除後逐字相同
R11（91ec1b0 整份 one shot 重跑）：PASS — demo 真實瀏覽器（頁首 v0.1.28 · 91ec1b0），demo 5／5 項檢查全過：台灣券商買入 7,140,000（含費 7,150,174）→ 現金不足警示，未勾「我了解」前停用；勾選後寫入 #191、負池 −1,082,579 列出（與 A-05 出金硬擋不同，畫面有說明）；刪除後逐字相同</t>
        </is>
      </c>
    </row>
    <row r="30" ht="43.5" customHeight="1" s="43">
      <c r="A30" s="57" t="inlineStr">
        <is>
          <t>B-10</t>
        </is>
      </c>
      <c r="B30" s="58" t="inlineStr">
        <is>
          <t>B</t>
        </is>
      </c>
      <c r="C30" s="59" t="inlineStr">
        <is>
          <t>放空</t>
        </is>
      </c>
      <c r="D30" s="58" t="inlineStr">
        <is>
          <t>—</t>
        </is>
      </c>
      <c r="E30" s="59" t="inlineStr">
        <is>
          <t>勾選「放空」→ 賣出未持有的標的</t>
        </is>
      </c>
      <c r="F30" s="59" t="inlineStr">
        <is>
          <t>① 允許且標示為空單；② 成本基礎與未實現損益的符號正確；③ **允許「當沖」＋「放空」同時勾選**（台股現股當沖可先賣後買），表單有組合說明，交易帳本列可見「當沖」「放空」兩個標示（2026-09-24 owner 裁定 DEF-013）</t>
        </is>
      </c>
      <c r="G30" s="59" t="inlineStr">
        <is>
          <t>測畢刪除</t>
        </is>
      </c>
      <c r="H30" s="59" t="inlineStr">
        <is>
          <t>否</t>
        </is>
      </c>
      <c r="I30" s="73" t="inlineStr">
        <is>
          <t>台灣券商 賣 2454（未持有）100@4,530，勾「放空（賣出股數可超過持股）」→ 草稿「開／加空股數 100、放空／加空的部分不產生已實現損益，帳本以收到的價金作為空單成本基礎」；寫入 #83（short_sale:true）→ 持倉 shares −100、short_open true、original_cost −450,996.00（淨價款）、market_value −453,000、unrealized −2,004.00（＝費稅）、unrealized_pct −0.444%；儀表板持倉列標「放空中」（tooltip「已宣告的放空部位；成本基礎為賣出價款，買回時結算損益」）①② ✓。✗ ③ 「當沖」與「放空」可同時勾選、皆未 disabled，同時勾選時預覽 tax 679（0.15%）且無任何提示——沒有互斥規則。刪除 #83，逐位元還原</t>
        </is>
      </c>
      <c r="J30" s="72" t="inlineStr">
        <is>
          <t>OBSERVE</t>
        </is>
      </c>
      <c r="K30" s="72" t="inlineStr">
        <is>
          <t>DEF-013</t>
        </is>
      </c>
      <c r="L30" s="62" t="inlineStr">
        <is>
          <t>結案</t>
        </is>
      </c>
      <c r="M30" s="72" t="inlineStr">
        <is>
          <t>PASS</t>
        </is>
      </c>
      <c r="N30" s="73" t="inlineStr">
        <is>
          <t>台股「現股當沖先賣後買」本身即放空＋當沖，兩者是否應互斥屬規格問題；交易帳本列本身也沒有「空」標記（僅「賣」）
R2：DEF-013 經 Owner 裁定：允許當沖＋放空並加說明與帳本標示 → 待開發者修
R3：DEF-013 複驗通過結案（當沖＋放空、說明與雙徽章）
R10（3a35454 全面重跑）：PASS — demo 真實瀏覽器（頁首 v0.1.28 · 3a35454），demo 6／6 項檢查全過：當沖＋放空可同時勾選並有組合說明（當沖 0.15% 優先於 ETF 0.1%）；寫入後 2454 部位 −10 股、空單成本 −9,965、帳本標「賣當沖放空」；刪除後逐字相同
R11（91ec1b0 整份 one shot 重跑）：PASS — demo 真實瀏覽器（頁首 v0.1.28 · 91ec1b0），demo 6／6 項檢查全過：當沖＋放空可同時勾選並有組合說明（當沖 0.15% 優先於 ETF 0.1%）；寫入後 2454 部位 −10 股、空單成本 −9,965、帳本標「賣當沖放空」；刪除後逐字相同</t>
        </is>
      </c>
    </row>
    <row r="31" ht="43.5" customHeight="1" s="43">
      <c r="A31" s="57" t="inlineStr">
        <is>
          <t>B-11</t>
        </is>
      </c>
      <c r="B31" s="58" t="inlineStr">
        <is>
          <t>B</t>
        </is>
      </c>
      <c r="C31" s="59" t="inlineStr">
        <is>
          <t>賣超防護</t>
        </is>
      </c>
      <c r="D31" s="59" t="inlineStr">
        <is>
          <t>持有 2,600 股</t>
        </is>
      </c>
      <c r="E31" s="59" t="inlineStr">
        <is>
          <t>賣出 5,000 股</t>
        </is>
      </c>
      <c r="F31" s="59" t="inlineStr">
        <is>
          <t>① 明確警告並指出持股數與日期；② 提供**公司行動補登入口**；③ 若仍要寫入，需出現成本基礎歸零的確認框</t>
        </is>
      </c>
      <c r="G31" s="59" t="inlineStr">
        <is>
          <t>預期被擋；若寫入需刪除</t>
        </is>
      </c>
      <c r="H31" s="59" t="inlineStr">
        <is>
          <t>✅ 已驗（試算路徑）</t>
        </is>
      </c>
      <c r="I31" s="73" t="inlineStr">
        <is>
          <t>台灣券商 2330（持有 2,600）賣出 5,000 @2380：⚠「賣出 5000 股，超過持有的 2600 股」；改日期 2026-07-01 賣 2,600 → ⚠「賣出 2600 股，超過 2026-07-01 當日持有的 2000 股（目前淨額 2600 股，但那一天只有 2000 股）」（點名日期與當日持股）；草稿提供「這是公司行動造成的（分割／換股／分拆）→ 補登公司行動」入口與「確認為賣超，接受成本基礎歸零（待釐清）：這個部位的成本基礎會被永久捨棄…」選項；未選擇前確認寫入 disabled；③ 勾選「確認為賣超，接受成本基礎歸零（待釐清）：這個部位的成本基礎會被永久捨棄，之後再買回也不會還原。」後確認寫入即直接寫入（#86，無另一層彈窗）——確認以該勾選框承擔；#86 立即刪除，四段 JSON 與 R1 開始基準逐位元相同</t>
        </is>
      </c>
      <c r="J31" s="72" t="inlineStr">
        <is>
          <t>PASS</t>
        </is>
      </c>
      <c r="K31" s="72" t="n"/>
      <c r="L31" s="62" t="inlineStr">
        <is>
          <t>PASS</t>
        </is>
      </c>
      <c r="M31" s="72" t="inlineStr">
        <is>
          <t>PASS</t>
        </is>
      </c>
      <c r="N31" s="73" t="inlineStr">
        <is>
          <t>同日賣超時訊息只列股數（交易日即當日）；賣超寫入後 2330 對帳 book −2,400＝net −2,400（balances=true），仍不會出現 D-00 門 2 的「⚠ 對帳不一致」
R8（a16210a 全面重跑）：台灣券商 2330（持有 2,600）賣出 5,000 @2380：⚠「賣出 5000 股，超過持有的 2600 股」、確認 disabled；改日期 2026-07-01 賣 2,600 → ⚠「賣出 2600 股，超過 2026-07-01 當日持有的 2000 股（目前淨額 2600 股，但那一天只有 2000 股）」並以當日部位試算（持股 2,000→−600、「賣超：成本基礎無法認定，帳本不會產生已實現損益（待釐清）」）①；草稿提供「這是公司行動造成的（分割／換股／分拆）→ 補登公司行動」入口 ②與「確認為賣超，接受成本基礎歸零（待釐清）：這個部位的成本基礎會被永久捨棄，之後再買回也不會還原。」選項；未勾前確認 disabled，勾選後確認寫入（ack_oversell:true，#129，無另一層彈窗——與 R1 相同，由勾選框承擔確認）③。#129 立即刪除，cmp R8_START same:true
R10（3a35454 全面重跑）：PASS — demo 真實瀏覽器（頁首 v0.1.28 · 3a35454），demo 8／8 項檢查全過：賣超 5,000（持有 2,600）與倒填日期賣超 2,600（當日 2,000）皆警示並點名持股與日期、提供「補登公司行動」與「成本基礎歸零（待釐清）」兩條路，未勾前停用；只有 ack_oversell 才寫入；刪除後逐字相同
R11（91ec1b0 整份 one shot 重跑）：PASS — demo 真實瀏覽器（頁首 v0.1.28 · 91ec1b0），demo 8／8 項檢查全過：賣超 5,000（持有 2,600）與倒填日期賣超 2,600（2026-07-01 當日部位）皆警示並點名持股與日期、提供「補登公司行動」與「成本基礎歸零」兩條路，未勾前停用；只有 ack_oversell 才寫入；刪除後逐字相同</t>
        </is>
      </c>
    </row>
    <row r="32" ht="29.25" customHeight="1" s="43">
      <c r="A32" s="57" t="inlineStr">
        <is>
          <t>B-12</t>
        </is>
      </c>
      <c r="B32" s="58" t="inlineStr">
        <is>
          <t>B</t>
        </is>
      </c>
      <c r="C32" s="59" t="inlineStr">
        <is>
          <t>交易編輯（同帳戶同代號）</t>
        </is>
      </c>
      <c r="D32" s="59" t="inlineStr">
        <is>
          <t>任選一筆自建交易</t>
        </is>
      </c>
      <c r="E32" s="59" t="inlineStr">
        <is>
          <t>編輯股數 100 → 150 → 儲存</t>
        </is>
      </c>
      <c r="F32" s="59" t="inlineStr">
        <is>
          <t>① 只發出 1 支 PUT；② 成本、均價、現金、已實現全部由帳本重建；③ toast「編輯完成」</t>
        </is>
      </c>
      <c r="G32" s="59" t="inlineStr">
        <is>
          <t>測畢刪除</t>
        </is>
      </c>
      <c r="H32" s="59" t="inlineStr">
        <is>
          <t>✅ 已驗（二／三驗）</t>
        </is>
      </c>
      <c r="I32" s="73" t="inlineStr">
        <is>
          <t>編輯 #71 股數 100→150 → 儲存：只發出 1 支 PUT /api/ledgers/transactions/71（200）；手續費依規則重算 20、total −6,800；重建後 shares 250、均價 64.48（=(9,320+6,800)/250）、TWD 池 6,060,795；toast「✓ 編輯完成 帳本已更新，統計將由帳本重建」</t>
        </is>
      </c>
      <c r="J32" s="72" t="inlineStr">
        <is>
          <t>PASS</t>
        </is>
      </c>
      <c r="K32" s="72" t="n"/>
      <c r="L32" s="62" t="inlineStr">
        <is>
          <t>PASS</t>
        </is>
      </c>
      <c r="M32" s="72" t="inlineStr">
        <is>
          <t>PASS</t>
        </is>
      </c>
      <c r="N32" s="73" t="inlineStr">
        <is>
          <t>與 J-03 同一條路徑
R8（a16210a 全面重跑）：編輯 #124 股數 100→150 → 儲存：只發出 1 支 PUT /api/ledgers/transactions/124（200，fee 依規則 20）；帳本列「買 150 45.20 20 0 −6,800 TWD」；重建後 shares 250、original_avg 64.48（＝(9,320+6,800)/250）、TWD 池 6,060,795；toast「✓ 編輯完成 帳本已更新，統計將由帳本重建」✓
R10（3a35454 全面重跑）：PASS — demo 真實瀏覽器（頁首 v0.1.28 · 3a35454），demo 4／4 項檢查全過：編輯股數 → 恰一次 PUT、由帳本重建（股數 +50、均價 64.48）、toast「編輯完成」；刪除後逐字相同
R11（91ec1b0 整份 one shot 重跑）：PASS — demo 真實瀏覽器（頁首 v0.1.28 · 91ec1b0），demo 4／4 項檢查全過：編輯股數 → 恰一次 PUT 200、由帳本重建（股數 +50→250、均價 64.48）、toast「編輯完成」；刪除後逐字相同</t>
        </is>
      </c>
    </row>
    <row r="33" ht="43.5" customHeight="1" s="43">
      <c r="A33" s="57" t="inlineStr">
        <is>
          <t>B-13</t>
        </is>
      </c>
      <c r="B33" s="58" t="inlineStr">
        <is>
          <t>B</t>
        </is>
      </c>
      <c r="C33" s="59" t="inlineStr">
        <is>
          <t>交易編輯（換帳戶或換代號）</t>
        </is>
      </c>
      <c r="D33" s="59" t="inlineStr">
        <is>
          <t>任選一筆自建交易</t>
        </is>
      </c>
      <c r="E33" s="59" t="inlineStr">
        <is>
          <t>編輯時改變「帳戶」或「代號」→ 儲存</t>
        </is>
      </c>
      <c r="F33" s="59" t="inlineStr">
        <is>
          <t>① 出現警告說明會把該筆移到另一個持倉、兩邊成本與報酬將重建；② 會先做賣超與孤兒紀錄檢核；③ 未手動改費用時依新帳戶規則重算</t>
        </is>
      </c>
      <c r="G33" s="59" t="inlineStr">
        <is>
          <t>測畢改回或刪除</t>
        </is>
      </c>
      <c r="H33" s="59" t="inlineStr">
        <is>
          <t>否</t>
        </is>
      </c>
      <c r="I33" s="73" t="inlineStr">
        <is>
          <t>自建 #84（台灣券商 2884 買 100@45.20）→ 編輯：對話框常駐警告「⚠ 更改「代號」或「帳戶」會把這筆交易移到另一個持倉，兩邊的成本、損益與報酬將自動重建；新代號必須與帳戶市場相符且已註冊，會先做賣超與孤兒紀錄檢核；未手動改費用／稅時會依新帳戶規則重算。」①；代號改 2317 → PUT 200（fee_overridden:false，費用依規則 20）→ 2884 回到 100 股／93.2、2317 500→600 股、成本 101,645→106,185（均價 176.975）兩邊重建 ✓③；再把帳戶改嘉信 Schwab → PUT 400「2317 屬 TW 市場，不可登錄於 美股帳戶」、toast「✕ 編輯失敗 …」、未變更 ②。刪除 #84，逐位元還原</t>
        </is>
      </c>
      <c r="J33" s="72" t="inlineStr">
        <is>
          <t>PASS</t>
        </is>
      </c>
      <c r="K33" s="72" t="n"/>
      <c r="L33" s="62" t="inlineStr">
        <is>
          <t>PASS</t>
        </is>
      </c>
      <c r="M33" s="72" t="inlineStr">
        <is>
          <t>PASS</t>
        </is>
      </c>
      <c r="N33" s="72" t="inlineStr">
        <is>
          <t>R8（a16210a 全面重跑）：自建 #130（台灣券商 2884 買 100@45.20）→ 編輯：對話框常駐警告「⚠ 更改「代號」或「帳戶」會把這筆交易移到另一個持倉，兩邊的成本、損益與報酬將自動重建；新代號必須與帳戶市場相符且已註冊，會先做賣超與孤兒紀錄檢核；未手動改費用／稅時會依新帳戶規則重算。」①；代號改 2317 → PUT 200（fee_overridden:false，費用依規則 20）→ 2884 200→100 股／均價 93.2、2317 500→600 股、成本 101,645→106,185（均價 176.975）兩邊重建 ✓③；再把帳戶改嘉信 Schwab → PUT 400「2317 屬 TW 市場，不可登錄於 美股帳戶」、toast「✕ 編輯失敗 …」、2317 仍 600 股未變更 ②。刪除 #130，cmp R8_START same:true
R10（3a35454 全面重跑）：PASS — demo 真實瀏覽器（頁首 v0.1.28 · 3a35454），demo 7／7 項檢查全過：編輯框提示「更改代號或帳戶會把這筆交易移到另一個持倉…會先做賣超與孤兒紀錄檢核…依新帳戶規則重算」；2884→2317 PUT 200、兩邊部位重建（2884 100、2317 600）、手續費依規則 20；改到嘉信 → 400「2317 屬 TW 市場，不可登錄於 美股帳戶」、2317 不變；刪除後逐字相同
R11（91ec1b0 整份 one shot 重跑）：PASS — demo 真實瀏覽器（頁首 v0.1.28 · 91ec1b0），demo 7／7 項檢查全過：編輯框提示更改代號或帳戶會移動持倉並先做賣超與孤兒紀錄檢核；2884→2317 PUT 200、兩邊部位重建（2884 100、2317 600）、手續費依規則 20；改到嘉信 → 400「2317 屬 TW 市場，不可登錄於 美股帳戶」、2317 不變；刪除後逐字相同</t>
        </is>
      </c>
    </row>
    <row r="34" ht="29.25" customHeight="1" s="43">
      <c r="A34" s="57" t="inlineStr">
        <is>
          <t>B-14</t>
        </is>
      </c>
      <c r="B34" s="58" t="inlineStr">
        <is>
          <t>B</t>
        </is>
      </c>
      <c r="C34" s="59" t="inlineStr">
        <is>
          <t>交易刪除與重建</t>
        </is>
      </c>
      <c r="D34" s="58" t="inlineStr">
        <is>
          <t>—</t>
        </is>
      </c>
      <c r="E34" s="59" t="inlineStr">
        <is>
          <t>刪除自建交易 → 確認框 → 刪除</t>
        </is>
      </c>
      <c r="F34" s="59" t="inlineStr">
        <is>
          <t>刪除後 `kpis`／`holdings`／`realized`／`allocation` 與寫入前**字串完全相同**</t>
        </is>
      </c>
      <c r="G34" s="59" t="inlineStr">
        <is>
          <t>這正是還原步驟</t>
        </is>
      </c>
      <c r="H34" s="59" t="inlineStr">
        <is>
          <t>✅ 已驗（三輪）</t>
        </is>
      </c>
      <c r="I34" s="73" t="inlineStr">
        <is>
          <t>刪除 #71：確認框「確定刪除這筆交易？統計將由其餘帳本紀錄重建。」按鈕 取消／刪除；開框時 0 支非 GET 請求；確認後 DELETE 200、toast「刪除完成」；四段 JSON＋現金池與寫入前字串完全相同</t>
        </is>
      </c>
      <c r="J34" s="72" t="inlineStr">
        <is>
          <t>PASS</t>
        </is>
      </c>
      <c r="K34" s="72" t="n"/>
      <c r="L34" s="62" t="inlineStr">
        <is>
          <t>PASS</t>
        </is>
      </c>
      <c r="M34" s="72" t="inlineStr">
        <is>
          <t>PASS</t>
        </is>
      </c>
      <c r="N34" s="73" t="inlineStr">
        <is>
          <t>與 J-03 同一條路徑
R8（a16210a 全面重跑）：刪除 #124：確認框「刪除交易 — 確定刪除這筆交易？統計將由其餘帳本紀錄重建。」按鈕 取消／刪除；開框時 0 支非 GET 請求；確認後 DELETE /api/ledgers/transactions/124 200；六段 JSON（kpis／holdings／realized／allocation／cash）與寫入前字串完全相同（cmp R8_START same:true）
R10（3a35454 全面重跑）：PASS — demo 真實瀏覽器（頁首 v0.1.28 · 3a35454），demo 4／4 項檢查全過：刪除確認框「確定刪除這筆交易？統計將由其餘帳本紀錄重建。」→ DELETE 200、四段 JSON 與寫入前逐字相同
R11（91ec1b0 整份 one shot 重跑）：PASS — demo 真實瀏覽器（頁首 v0.1.28 · 91ec1b0），demo 4／4 項檢查全過：刪除確認框「確定刪除這筆交易？統計將由其餘帳本紀錄重建。」→ DELETE 200、四段 JSON 與寫入前逐字相同</t>
        </is>
      </c>
    </row>
    <row r="35" ht="43.5" customHeight="1" s="43">
      <c r="A35" s="57" t="inlineStr">
        <is>
          <t>B-15</t>
        </is>
      </c>
      <c r="B35" s="58" t="inlineStr">
        <is>
          <t>B</t>
        </is>
      </c>
      <c r="C35" s="59" t="inlineStr">
        <is>
          <t>費率規則快照</t>
        </is>
      </c>
      <c r="D35" s="59" t="inlineStr">
        <is>
          <t>任一交易列</t>
        </is>
      </c>
      <c r="E35" s="59" t="inlineStr">
        <is>
          <t>展開交易列</t>
        </is>
      </c>
      <c r="F35" s="59" t="inlineStr">
        <is>
          <t>顯示 engine／rounding／brokerage／discount／min_fee／rebate_rate，且與系統設定 › 帳戶與費率一致</t>
        </is>
      </c>
      <c r="G35" s="59" t="inlineStr">
        <is>
          <t>唯讀</t>
        </is>
      </c>
      <c r="H35" s="59" t="inlineStr">
        <is>
          <t>✅ 已驗（觀察）</t>
        </is>
      </c>
      <c r="I35" s="73" t="inlineStr">
        <is>
          <t>展開交易列顯示「費率規則快照 engine: v2 rounding: floor brokerage: 0.001425 discount: 1 min_fee: 20 rebate_rate: 0.77」，與系統設定 › 帳戶與費率 tw 規則集 effective 值（brokerage 0.001425／discount 1／min_fee 20／rebate_rate 0.77／rounding floor）一致。舊列 #32 快照 discount 0.23 為歷史快照，符合「歷史交易以交易列快照為準」</t>
        </is>
      </c>
      <c r="J35" s="72" t="inlineStr">
        <is>
          <t>PASS</t>
        </is>
      </c>
      <c r="K35" s="72" t="n"/>
      <c r="L35" s="62" t="inlineStr">
        <is>
          <t>PASS</t>
        </is>
      </c>
      <c r="M35" s="72" t="inlineStr">
        <is>
          <t>PASS</t>
        </is>
      </c>
      <c r="N35" s="72" t="inlineStr">
        <is>
          <t>R8（a16210a 全面重跑）：展開台灣券商交易列顯示「費率規則快照 engine: v2 rounding: floor brokerage: 0.001425 discount: 1 min_fee: 20 rebate_rate: 0.77」（2026-07-20 8299、07-05／06-25 2609），與系統設定 › 帳戶與費率 tw 規則集 effective 值（GET /api/fee-rules：brokerage 0.001425／discount 1／min_fee 20／rebate_rate 0.77／rounding floor）一致 ✓。2026-07 三筆 discount 0.23 的快照另附「rebate_rate_was: 0.77 cleaned: DEF-010（owner 裁定 2026-09-24）…」，為歷史快照與裁定清理紀錄，符合「歷史交易以交易列快照為準」；更早的列為 v1 格式快照（無 engine 欄）
R10（3a35454 全面重跑）：PASS — demo 真實瀏覽器（頁首 v0.1.28 · 3a35454），demo 2／2 項檢查全過：交易列的費率規則快照（engine v2、floor、0.001425、折扣 1、低消 20、退佣 0.77）與「帳戶與費率」逐欄相同
R11（91ec1b0 整份 one shot 重跑）：PASS — demo 真實瀏覽器（頁首 v0.1.28 · 91ec1b0），demo 2／2 項檢查全過：交易列的費率規則快照（engine v2、floor、0.001425、折扣 1、低消 20、退佣 0.77）與「帳戶與費率」逐欄相同</t>
        </is>
      </c>
    </row>
    <row r="36" ht="29.25" customHeight="1" s="43">
      <c r="A36" s="57" t="inlineStr">
        <is>
          <t>B-16</t>
        </is>
      </c>
      <c r="B36" s="58" t="inlineStr">
        <is>
          <t>B</t>
        </is>
      </c>
      <c r="C36" s="59" t="inlineStr">
        <is>
          <t>折讓（rebate）估算</t>
        </is>
      </c>
      <c r="D36" s="58" t="inlineStr">
        <is>
          <t>—</t>
        </is>
      </c>
      <c r="E36" s="59" t="inlineStr">
        <is>
          <t>於再平衡試算或交易後檢視折讓估算</t>
        </is>
      </c>
      <c r="F36" s="59" t="inlineStr">
        <is>
          <t>預估折讓 = 手續費 × rebate_rate，四捨五入規則與設定一致；次月折讓合計與各筆加總相符；**費率快照已打折（discount&lt;1，下單已打折）的交易不列入退款預估**（2026-09-24 owner 裁定 DEF-010）</t>
        </is>
      </c>
      <c r="G36" s="59" t="inlineStr">
        <is>
          <t>唯讀</t>
        </is>
      </c>
      <c r="H36" s="59" t="inlineStr">
        <is>
          <t>部分</t>
        </is>
      </c>
      <c r="I36" s="73" t="inlineStr">
        <is>
          <t>收件匣 › 待確認退款：GET /api/rebates 逐筆 expected＝floor(fee×0.77)（無條件捨去，與 tw 規則 rebate_rate 0.77、rounding floor 一致）；月合計＝各筆加總：2026-07 11 筆 fee 合計 2,601 → Σ floor＝1,997（非 floor(2601×0.77)=2,002）、2026-06 826→633、2026-02 2,163→1,664 ✓；手動交易草稿 rebate_estimate：fee 64→49、fee 20→15 ✓</t>
        </is>
      </c>
      <c r="J36" s="72" t="inlineStr">
        <is>
          <t>PASS</t>
        </is>
      </c>
      <c r="K36" s="72" t="inlineStr">
        <is>
          <t>DEF-010, DEF-055</t>
        </is>
      </c>
      <c r="L36" s="62" t="inlineStr">
        <is>
          <t>結案</t>
        </is>
      </c>
      <c r="M36" s="72" t="inlineStr">
        <is>
          <t>PASS</t>
        </is>
      </c>
      <c r="N36" s="73" t="inlineStr">
        <is>
          <t>附帶：2026-02／06／07 有 8 筆交易的費率快照 discount=0.23（下單時已打 2.3 折），預估仍再算 77% 退款（例 #45 fee 199→預估 153），即 rules/markets-and-fees.md 所述「discount 與 rebate_rate 雙重套用」，見 DEF-010
R2：DEF-010 經 Owner 裁定：已打折快照不預估退款＋清理 8 筆舊快照 → 待開發者修
R3：DEF-010 複驗通過結案（三個月份逐列手算相符）；附帶 DEF-055（#33、#44 清理與編輯預覽，owner 已裁定）
R4：DEF-055 複驗通過結案（#33／#44 已清、#29 編輯預覽 rebate_estimate null）
R10（3a35454 全面重跑）：PASS — demo 真實瀏覽器（頁首 v0.1.28 · 3a35454），demo 2／2 項檢查全過：折讓款逐筆 floor(手續費×0.77)，各月合計＝逐筆加總（2026-07 1,083、06 573、02 1,358）；折扣快照交易 10 筆不計入
R11（91ec1b0 整份 one shot 重跑）：PASS — demo 真實瀏覽器（頁首 v0.1.28 · 91ec1b0），demo 2／2 項檢查全過：折讓款逐筆 floor(手續費×0.77)，各月合計＝逐筆加總（2026-07 1,083、06 573、02 1,358）；折扣快照交易 10 筆不計入</t>
        </is>
      </c>
    </row>
    <row r="37" ht="15" customHeight="1" s="43">
      <c r="A37" s="57" t="inlineStr">
        <is>
          <t>B-17</t>
        </is>
      </c>
      <c r="B37" s="58" t="inlineStr">
        <is>
          <t>B</t>
        </is>
      </c>
      <c r="C37" s="59" t="inlineStr">
        <is>
          <t>交易日期驗證</t>
        </is>
      </c>
      <c r="D37" s="58" t="inlineStr">
        <is>
          <t>—</t>
        </is>
      </c>
      <c r="E37" s="59" t="inlineStr">
        <is>
          <t>日期填未來日期、或早於期初庫存日期</t>
        </is>
      </c>
      <c r="F37" s="59" t="inlineStr">
        <is>
          <t>系統需給出明確訊息（而非靜默接受）；帳本「編輯」更正交易時同樣提示，警告與確認流程與新增一致（2026-09-24 owner 裁定 DEF-042）；未來日期的交易、期初庫存、換匯若確認寫入，到該日才計入持股、總報酬與 XIRR——寫入當下儀表板六段 JSON 不變，帳本列顯示「未來日期：YYYY-MM-DD 起計入」（2026-09-24 owner 裁定 DEF-056）</t>
        </is>
      </c>
      <c r="G37" s="59" t="inlineStr">
        <is>
          <t>不寫入</t>
        </is>
      </c>
      <c r="H37" s="59" t="inlineStr">
        <is>
          <t>否</t>
        </is>
      </c>
      <c r="I37" s="73" t="inlineStr">
        <is>
          <t>① 日期填 2026-12-31（未來）→ preview issues [warn future_trade_date「交易日期 2026-12-31 晚於今日，確認無誤？」]、草稿顯示 ⚠、確認鍵 disabled ✓；② 8299（期初庫存建檔日 2026-07-21）買進日期填 2026-07-01（早於期初庫存日）→ issues=[]、「✓ 草稿檢核通過，可寫入」、確認寫入後 201 #85「寫入成功」——完全靜默接受 ✗（另 2884 填 2025-01-02、早於帳本所有紀錄與首筆入金，也無任何提示）。#85 已刪除，逐位元還原</t>
        </is>
      </c>
      <c r="J37" s="72" t="inlineStr">
        <is>
          <t>FAIL</t>
        </is>
      </c>
      <c r="K37" s="72" t="inlineStr">
        <is>
          <t>DEF-014, DEF-042, DEF-048, DEF-056</t>
        </is>
      </c>
      <c r="L37" s="62" t="inlineStr">
        <is>
          <t>結案</t>
        </is>
      </c>
      <c r="M37" s="72" t="inlineStr">
        <is>
          <t>PASS</t>
        </is>
      </c>
      <c r="N37" s="72" t="inlineStr">
        <is>
          <t>demo 既有資料中 8299 已有 2026-07-17、07-20 兩筆早於期初庫存日的買進
R2：DEF-014 複驗通過結案；依 OBS-3 裁定新增期望「編輯更正同樣提示」→ DEF-042；附帶 DEF-048（草稿持股改用交易日，已裁定）
R3：DEF-042、DEF-048 複驗通過結案；附帶 DEF-056（未來日期交易依估值日切，owner 已裁定，手冊期望待補）
R4：B-17 本身期望通過（未來買進 2026-10-15 寫入後六段 JSON 不變、帳本列「未來日期：2026-10-15 起計入」）；未結案原因為關聯 DEF-056：資金頁畫面「現金收支明細」未標示未來列、與表頭「目前餘額」矛盾（部分通過，規格見 docs/audit/2026-09-25-r4-dev-specs.md §1）
R5：DEF-056 複驗通過結案。B-17 本輪自零重放：日期 2026-12-31 → 警示「交易日期 2026-12-31 晚於今日，確認無誤？」、確認鍵 disabled；8299 買進 2026-07-01 → 警示「早於 8299 在台灣券商的期初庫存建檔日 2026-07-21…」、disabled；勾「我了解，仍要寫入」後寫入 2330 買 10@1000 日期 2026-10-15（#117）→ 六段 JSON 與 R5 起點逐字相同（只多交易 1 列）、帳本列「未來日期：2026-10-15 起計入」；編輯 #117 改 2026-12-31 → 同一警示＋「我了解，仍要儲存」、未勾選時儲存鍵 disabled、未送出；刪除後 cmp R5_START same（僅額度差，見還原檢查 R-10）
R10（3a35454 全面重跑）：PASS — demo 真實瀏覽器（頁首 v0.1.28 · 3a35454），demo 10／10 項檢查全過：未來日期 2026-12-31 與早於 8299 期初庫存日（2026-07-21）的交易皆警示並需勾「我了解」；寫入後帳本列標「未來日期：2026-10-15 起計入」、寫入當日六段不變；編輯框同樣警示；刪除後逐字相同
R11（91ec1b0 整份 one shot 重跑）：PASS — demo 真實瀏覽器（頁首 v0.1.28 · 91ec1b0），demo 10／10 項檢查全過：未來日期與早於期初庫存日（2026-07-01 試算）的交易皆警示並需勾「我了解」；寫入 #197 後帳本列標「未來日期：2026-10-15 起計入」、寫入當日六段不變；編輯框同樣警示且未勾前停用；刪除後逐字相同</t>
        </is>
      </c>
    </row>
    <row r="38" ht="29.25" customHeight="1" s="43">
      <c r="A38" s="57" t="inlineStr">
        <is>
          <t>B-18</t>
        </is>
      </c>
      <c r="B38" s="58" t="inlineStr">
        <is>
          <t>B</t>
        </is>
      </c>
      <c r="C38" s="59" t="inlineStr">
        <is>
          <t>同日多筆買賣的成本順序</t>
        </is>
      </c>
      <c r="D38" s="58" t="inlineStr">
        <is>
          <t>—</t>
        </is>
      </c>
      <c r="E38" s="59" t="inlineStr">
        <is>
          <t>同一天先買後賣、再買，共 3 筆</t>
        </is>
      </c>
      <c r="F38" s="59" t="inlineStr">
        <is>
          <t>加權平均成本依**時間順序**逐筆套用；已實現損益使用賣出當下的加權均價</t>
        </is>
      </c>
      <c r="G38" s="59" t="inlineStr">
        <is>
          <t>測畢全部刪除並比對</t>
        </is>
      </c>
      <c r="H38" s="59" t="inlineStr">
        <is>
          <t>否</t>
        </is>
      </c>
      <c r="I38" s="73" t="inlineStr">
        <is>
          <t>台灣券商 2884（基準 100 股、成本 9,320）同日 2026-09-23 依序寫入：#75 買 200@44（總成本 8,820）→ #76 賣 100@45（淨收 4,467）→ #77 買 100@46（4,620）。賣出當下草稿：持股 300→200、均價 60.47、調整成本移除 6,047、已實現 −1,580（position_preview realized_pnl −1579.666…，與時間順序手算一致）。三筆寫入後帳本：realized 列 original_cost_removed 5690.00、realized −1223.00（＝4,467−100×56.90，把 #77 的買進排在賣出之前）；期末 300 股、成本 17,070.00、均價 56.90。依時間順序應為：賣出均價 60.4667、成本移除 6,046.67、已實現 −1,579.67、期末成本 16,713.33、均價 55.7111。三筆刪除後四段 JSON 逐位元還原</t>
        </is>
      </c>
      <c r="J38" s="72" t="inlineStr">
        <is>
          <t>FAIL</t>
        </is>
      </c>
      <c r="K38" s="72" t="inlineStr">
        <is>
          <t>DEF-012</t>
        </is>
      </c>
      <c r="L38" s="62" t="inlineStr">
        <is>
          <t>結案</t>
        </is>
      </c>
      <c r="M38" s="72" t="inlineStr">
        <is>
          <t>PASS</t>
        </is>
      </c>
      <c r="N38" s="73" t="inlineStr">
        <is>
          <t>同一筆賣出的已實現損益在「之後」補登同日買進後被回溯改寫（−1,580 → −1,223）
R2：DEF-012 複驗通過結案
R10（3a35454 全面重跑）：PASS — demo 真實瀏覽器（頁首 v0.1.28 · 3a35454），demo 4／4 項檢查全過：同日先買後賣：賣出以先前買入後的均價移除成本 6,670、已實現 −2,502；之後再登錄同日買入不改寫先前的賣出（時間順序）；刪除 3 筆後逐字相同
R11（91ec1b0 整份 one shot 重跑）：PASS — demo 真實瀏覽器（頁首 v0.1.28 · 91ec1b0），demo 4／4 項檢查全過：同日先買後賣：賣出以先前買入後的均價移除成本 6,670、已實現 −2,502；之後再登錄同日買入不改寫先前的賣出（−2,502 不變）；刪除 3 筆（#198～#200）後逐字相同</t>
        </is>
      </c>
    </row>
    <row r="39" ht="16.5" customHeight="1" s="43">
      <c r="A39" s="54" t="inlineStr">
        <is>
          <t>C. 股利、配息與利息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43.5" customHeight="1" s="43">
      <c r="A40" s="57" t="inlineStr">
        <is>
          <t>C-01</t>
        </is>
      </c>
      <c r="B40" s="58" t="inlineStr">
        <is>
          <t>C</t>
        </is>
      </c>
      <c r="C40" s="59" t="inlineStr">
        <is>
          <t>收件匣偵測</t>
        </is>
      </c>
      <c r="D40" s="59" t="inlineStr">
        <is>
          <t>收件匣 › 配息</t>
        </is>
      </c>
      <c r="E40" s="59" t="inlineStr">
        <is>
          <t>按「重新偵測」</t>
        </is>
      </c>
      <c r="F40" s="59" t="inlineStr">
        <is>
          <t>① 回報「N 檔事件已更新，M 檔失敗 · 待確認 K 筆」（全形標點）；② 待確認數與清單一致；③ 失敗檔數有說明</t>
        </is>
      </c>
      <c r="G40" s="59" t="inlineStr">
        <is>
          <t>會更新事件表，不動帳本</t>
        </is>
      </c>
      <c r="H40" s="59" t="inlineStr">
        <is>
          <t>✅ 已驗（觀察）</t>
        </is>
      </c>
      <c r="I40" s="73" t="inlineStr">
        <is>
          <t>收件匣 › 配息 → 重新偵測（按鈕變「偵測中…」→ GET /api/dividend-inbox?refresh=1 200）→ 畫面與 toast「✓ 偵測完成 14 檔事件已更新，1 檔失敗・待確認 7 筆」（全形逗號）①；待確認 6→7（新增 1155 除息 2026-09-23），/api/dividend-inbox/count＝7＝清單 7 列、6 個群組 ②；帳本與四段 JSON 不變（只有收件匣計數變動）。✗ ③「1 檔失敗」沒有任何說明：回應 refreshed 欄只有「14 檔事件已更新，1 檔失敗」，畫面無 tooltip／明細，無法得知哪一檔、為何失敗</t>
        </is>
      </c>
      <c r="J40" s="72" t="inlineStr">
        <is>
          <t>FAIL</t>
        </is>
      </c>
      <c r="K40" s="72" t="inlineStr">
        <is>
          <t>DEF-015, DEF-047</t>
        </is>
      </c>
      <c r="L40" s="62" t="inlineStr">
        <is>
          <t>結案</t>
        </is>
      </c>
      <c r="M40" s="72" t="inlineStr">
        <is>
          <t>PASS</t>
        </is>
      </c>
      <c r="N40" s="72" t="inlineStr">
        <is>
          <t>R2：DEF-015 複驗通過結案
R2：附帶新開 DEF-047（無配息不算失敗，已裁定）
R3：DEF-047 複驗通過結案（TSLA 歸無配息紀錄、toast-ok）
R10（3a35454 全面重跑）：PASS — demo 真實瀏覽器（頁首 v0.1.28 · 3a35454），demo 4／4 項檢查全過：收件匣「重新偵測」→ toast「✓ 偵測完成 14 檔事件已更新，1 檔無配息紀錄（TSLA）・待確認 7 筆」（全形；無配息不算失敗，依 DEF-047 裁定）、待確認 7＝清單 7＝count 7、帳本不變（首跑時驗證者的檢查程式沒有照 DEF-047 裁定的 toast 格式（無配息不算失敗）判讀，修正檢查後重跑）
R11（91ec1b0 整份 one shot 重跑）：PASS — demo 真實瀏覽器（頁首 v0.1.28 · 91ec1b0），demo 4／4 項檢查全過：收件匣「重新偵測」→ toast「✓ 偵測完成 14 檔事件已更新，1 檔無配息紀錄（TSLA）・待確認 8 筆」（全形；無配息不算失敗，依 DEF-047 裁定）、待確認 8＝清單 8＝count 8（資料來源新增 5225 2026-09-29 除息事件，7→8）、帳本不變</t>
        </is>
      </c>
    </row>
    <row r="41" ht="43.5" customHeight="1" s="43">
      <c r="A41" s="57" t="inlineStr">
        <is>
          <t>C-02</t>
        </is>
      </c>
      <c r="B41" s="58" t="inlineStr">
        <is>
          <t>C</t>
        </is>
      </c>
      <c r="C41" s="59" t="inlineStr">
        <is>
          <t>現金股利確認入帳</t>
        </is>
      </c>
      <c r="D41" s="59" t="inlineStr">
        <is>
          <t>記錄基準：該檔調整成本、調整均價、未實現、回本率、總市值</t>
        </is>
      </c>
      <c r="E41" s="59" t="inlineStr">
        <is>
          <t>收件匣 → 選一筆現金股利 → 確認入帳</t>
        </is>
      </c>
      <c r="F41" s="59" t="inlineStr">
        <is>
          <t>① 調整成本 −股利金額；② 調整均價 = 調整成本 ÷ 股數；③ 未實現 +股利金額；④ **總市值不變**；⑤ 回本率上升；⑥ 現金池 +股利淨額；⑦ **入帳日（pay_date）在未來的股利**：入帳日前不計入 XIRR 與總報酬，①③⑤⑥ 於入帳日起才生效（2026-09-24 owner 裁定 DEF-016）</t>
        </is>
      </c>
      <c r="G41" s="59" t="inlineStr">
        <is>
          <t>會寫入。測畢以「刪除並復原」還原，並比對逐位元</t>
        </is>
      </c>
      <c r="H41" s="59" t="inlineStr">
        <is>
          <t>✅ 已驗（第一輪）</t>
        </is>
      </c>
      <c r="I41" s="73" t="inlineStr">
        <is>
          <t>收件匣 2330 台積電 除息 2026-09-16（finmind，每股 7.0000×2,600＝18,200，pay_date 2026-10-08）→ 確認入帳（POST /api/dividend-inbox/confirm {fingerprints:[div:tw_broker:2330:2026-09-16]} → written 1）→ ① 調整成本 2,465,290.0000→2,447,090.0000（−18,200）；② 調整均價 948.188…→941.188…＝調整成本÷2,600（Decimal 相符）；③ 未實現 +18,200.0000；④ 總市值字串不變；⑤ 回本率 0.006088→0.013425（＝股利沖減 33,300÷原始成本 2,480,390）；⑥ 股利帳本列日期為 pay_date 2026-10-08，現金對帳單出現「2026-10-08 dividend +18,200 → 6,085,795」，今日（as_of 09-23）池餘額不變、於入帳日 +18,200。toast「✓ 已確認入帳 1 筆 2330 2026-09-16・已寫入股利帳本，統計將由帳本重建」</t>
        </is>
      </c>
      <c r="J41" s="72" t="inlineStr">
        <is>
          <t>PASS</t>
        </is>
      </c>
      <c r="K41" s="72" t="inlineStr">
        <is>
          <t>DEF-016, DEF-061</t>
        </is>
      </c>
      <c r="L41" s="62" t="inlineStr">
        <is>
          <t>結案</t>
        </is>
      </c>
      <c r="M41" s="72" t="inlineStr">
        <is>
          <t>PASS</t>
        </is>
      </c>
      <c r="N41" s="73" t="inlineStr">
        <is>
          <t>附帶：kpis.xirr 10.22406575→10.23407372，XIRR 納入一筆晚於估值日（2026-09-23）的 2026-10-08 現金流，趨勢圖 net_invested 則不含；見 DEF-016
R2：DEF-016 經 Owner 裁定：入帳日在未來的股利不進 XIRR／總報酬 → 待開發者修
R3：DEF-016 複驗通過結案（未來股利寫入後六段 JSON 不變）；附帶 DEF-061（股利更正共用驗證器，owner 已裁定）
R4：DEF-061 複驗通過結案（更正門軟性需勾選、硬性 PUT 400，與新增門判定相同）
R10（3a35454 全面重跑）：PASS — demo 真實瀏覽器（頁首 v0.1.28 · 3a35454），demo 10／10 項檢查全過：確認 3008（發放日 09-10 已過）→ 調整成本 −133,630、調整均價＝成本÷股數、未實現 +133,630、總市值不變、回本比率上升、TWD 池 +133,630；確認 2330（發放日 10-08 未到）→ 六段在發放日前不變；刪除後逐字相同
R11（91ec1b0 整份 one shot 重跑）：PASS — demo 真實瀏覽器（頁首 v0.1.28 · 91ec1b0），demo 10／10 項檢查全過：確認 3008（發放日 09-10 已過）→ 調整成本 1,870,094.81→1,736,464.81（−133,630）、調整均價＝成本÷股數、未實現 +133,630、總市值不變、回本比率 0.0487→0.1167、TWD 池 6,067,595→6,201,225；確認 2330（發放日 10-08 未到）→ 六段在發放日前不變；刪除後逐字相同</t>
        </is>
      </c>
    </row>
    <row r="42" ht="43.5" customHeight="1" s="43">
      <c r="A42" s="57" t="inlineStr">
        <is>
          <t>C-03</t>
        </is>
      </c>
      <c r="B42" s="58" t="inlineStr">
        <is>
          <t>C</t>
        </is>
      </c>
      <c r="C42" s="59" t="inlineStr">
        <is>
          <t>股利復原</t>
        </is>
      </c>
      <c r="D42" s="59" t="inlineStr">
        <is>
          <t>承 C-02</t>
        </is>
      </c>
      <c r="E42" s="59" t="inlineStr">
        <is>
          <t>帳本 › 股利 → 刪除並復原</t>
        </is>
      </c>
      <c r="F42" s="58" t="inlineStr">
        <is>
          <t>① toast「已復原 帳本紀錄已刪除，項目將重新出現在收件匣」；② 該筆回到收件匣待確認；③ 全部數值還原</t>
        </is>
      </c>
      <c r="G42" s="59" t="inlineStr">
        <is>
          <t>這是還原步驟</t>
        </is>
      </c>
      <c r="H42" s="59" t="inlineStr">
        <is>
          <t>✅ 已驗（第一輪）</t>
        </is>
      </c>
      <c r="I42" s="73" t="inlineStr">
        <is>
          <t>承 C-02：收件匣「剛入帳」區出現「反悔？按「復原」刪除帳本中的股利紀錄即可…」與「復原」鈕 → 按下 → 對話框「復原（刪除股利紀錄）將刪除帳本中對應的股利紀錄，統計由其餘帳本重建，並讓此項目重新出現在收件匣。取消／刪除並復原」→ DELETE /api/ledgers/dividends/38 200 → toast「✓ 已復原 帳本紀錄已刪除，項目將重新出現在收件匣」①；2330 項目回到待確認 ②；四段 JSON＋現金池＋股利帳本列數與確認前逐位元相同 ③</t>
        </is>
      </c>
      <c r="J42" s="72" t="inlineStr">
        <is>
          <t>PASS</t>
        </is>
      </c>
      <c r="K42" s="72" t="n"/>
      <c r="L42" s="62" t="inlineStr">
        <is>
          <t>PASS</t>
        </is>
      </c>
      <c r="M42" s="72" t="inlineStr">
        <is>
          <t>PASS</t>
        </is>
      </c>
      <c r="N42" s="73" t="inlineStr">
        <is>
          <t>另以交易帳本 › 股利分頁「刪除」走一次（DELETE 200、項目同樣回到收件匣、逐位元還原）
R8（a16210a 全面重跑）：收件匣 2330 台積電（除息 2026-09-16）→ 確認入帳 POST /api/dividend-inbox/confirm 200（written 1，#49），股利帳本 23→24，出現「✓ 本次已入帳 1 筆 2330・2026-09-16・Net 18,200 TWD 復原」與「反悔？按「復原」刪除帳本中的股利紀錄即可…」→ 按復原 → 對話框「復原（刪除股利紀錄）將刪除帳本中對應的股利紀錄，統計由其餘帳本重建，並讓此項目重新出現在收件匣。取消／刪除並復原」（開框 0 支寫入）→ DELETE /api/ledgers/dividends/49 200 → toast「✓ 已復原 帳本紀錄已刪除，項目將重新出現在收件匣」①；2330 回到待確認（7 筆）②；股利帳本回 23、cmp R8_START same:true ③
R10（3a35454 全面重跑）：PASS — demo 真實瀏覽器（頁首 v0.1.28 · 3a35454），demo 9／9 項檢查全過：2330 確認入帳 → 「本次已入帳」列 → 復原對話框「刪除並復原」→ DELETE 200、toast「已復原 帳本紀錄已刪除，項目將重新出現在收件匣」、項目回到收件匣、數值逐字還原
R11（91ec1b0 整份 one shot 重跑）：PASS — demo 真實瀏覽器（頁首 v0.1.28 · 91ec1b0），demo 9／9 項檢查全過：2330 確認入帳 → 「本次已入帳 1 筆 2330・2026-09-16・Net 18,200 TWD」→ 復原對話框「刪除並復原」→ DELETE 200、toast「已復原 帳本紀錄已刪除，項目將重新出現在收件匣」、項目回到收件匣、數值逐字還原</t>
        </is>
      </c>
    </row>
    <row r="43" ht="43.5" customHeight="1" s="43">
      <c r="A43" s="57" t="inlineStr">
        <is>
          <t>C-04</t>
        </is>
      </c>
      <c r="B43" s="58" t="inlineStr">
        <is>
          <t>C</t>
        </is>
      </c>
      <c r="C43" s="59" t="inlineStr">
        <is>
          <t>配股（股票股利）</t>
        </is>
      </c>
      <c r="D43" s="59" t="inlineStr">
        <is>
          <t>交易帳本 › 股利 › 切到『配股』</t>
        </is>
      </c>
      <c r="E43" s="59" t="inlineStr">
        <is>
          <t>填代號、除息日、配股股數 → 送出</t>
        </is>
      </c>
      <c r="F43" s="59" t="inlineStr">
        <is>
          <t>① 股數增加；② **原始成本不變**；③ 均價下降 = 原成本 ÷ 新股數；④ 不產生已實現損益；⑤ 不動現金池</t>
        </is>
      </c>
      <c r="G43" s="59" t="inlineStr">
        <is>
          <t>會寫入。測畢刪除該筆股利並比對四段 JSON</t>
        </is>
      </c>
      <c r="H43" s="59" t="inlineStr">
        <is>
          <t>否</t>
        </is>
      </c>
      <c r="I43" s="73" t="inlineStr">
        <is>
          <t>交易帳本 › 交易輸入 › 股利：台灣券商 2884、發放日 2026-09-23、除權日 2026-09-22、類型「配股」、配股股數 10 → 確認寫入（前端送 POST /api/import/preview → /api/import/commit，written 1）、toast「✓ 寫入成功 2884 股利已寫入帳本（台灣券商）」→ ① 股數 100→110；② 原始成本 9,320 不變；③ 均價 93.20→84.7272…＝9,320÷110；④ realized 11→11 列（無已實現）；⑤ TWD 池 6,067,595 不變。測畢於股利分頁刪除 #39 → 四段 JSON 還原，但「匯入批次」留下 1 筆（見 DEF-017），再按「最近匯入 › 復原」移除（DELETE /api/import/batches/1 → deleted 0），全部與基準逐位元相同</t>
        </is>
      </c>
      <c r="J43" s="72" t="inlineStr">
        <is>
          <t>PASS</t>
        </is>
      </c>
      <c r="K43" s="72" t="inlineStr">
        <is>
          <t>DEF-017</t>
        </is>
      </c>
      <c r="L43" s="62" t="inlineStr">
        <is>
          <t>結案</t>
        </is>
      </c>
      <c r="M43" s="72" t="inlineStr">
        <is>
          <t>PASS</t>
        </is>
      </c>
      <c r="N43" s="73" t="inlineStr">
        <is>
          <t>附帶發現 DEF-017：手動股利表單走 CSV 匯入寫入，會產生匯入批次
R2：DEF-017 部分通過：API 已隨帳本，但同頁「最近匯入」與復原對話框未刷新（仍寫將刪除 1 筆，實刪 0 筆）
R3：DEF-017 複驗通過結案（同頁清單「1（原寫入 2）」、開框前重讀、批次已空不開框）
R10（3a35454 全面重跑）：PASS — demo 真實瀏覽器（頁首 v0.1.28 · 3a35454），demo 8／8 項檢查全過：配股表單說明 $0 成本；2884 配 100 股 → 股數 100→200、原始成本 9,320 不變、均價 93.2→46.6、無已實現、現金池不變；刪除後逐字相同
R11（91ec1b0 整份 one shot 重跑）：PASS — demo 真實瀏覽器（頁首 v0.1.28 · 91ec1b0），demo 8／8 項檢查全過：配股表單說明 $0 成本；2884 配 100 股 → 股數 100→200、原始成本 9,320 不變、均價 93.2→46.6、無已實現、現金池不變；批次 #34 復原後逐字相同</t>
        </is>
      </c>
    </row>
    <row r="44" ht="57.75" customHeight="1" s="43">
      <c r="A44" s="57" t="inlineStr">
        <is>
          <t>C-04b</t>
        </is>
      </c>
      <c r="B44" s="58" t="inlineStr">
        <is>
          <t>C</t>
        </is>
      </c>
      <c r="C44" s="59" t="inlineStr">
        <is>
          <t>再投資（DRIP）</t>
        </is>
      </c>
      <c r="D44" s="59" t="inlineStr">
        <is>
          <t>交易帳本 › 股利 › 切到『再投資（DRIP）』</t>
        </is>
      </c>
      <c r="E44" s="59" t="inlineStr">
        <is>
          <t>填代號、金額與再投資買進的股數／價格 → 送出</t>
        </is>
      </c>
      <c r="F44" s="59" t="inlineStr">
        <is>
          <t>① 股數增加、**原始成本不變**（$0 成本股，股利折入成本模型），均價依股數重算；表單有說明（2026-09-24 owner 裁定 DEF-018）；② 均價 = 原始成本 ÷ 新股數；③ 現金池淨額變動符合規格（股利入帳後立即買回）；④ 美股允許小數股</t>
        </is>
      </c>
      <c r="G44" s="59" t="inlineStr">
        <is>
          <t>會寫入。測畢刪除並比對</t>
        </is>
      </c>
      <c r="H44" s="59" t="inlineStr">
        <is>
          <t>否</t>
        </is>
      </c>
      <c r="I44" s="73" t="inlineStr">
        <is>
          <t>交易帳本 › 股利：嘉信 Schwab AAPL、類型「再投資（DRIP）」、Gross 10 → 預扣 30% 自動 3.00、Net 7.00、再投資 0.028 股 @250 → 寫入（import commit）→ 股數 85.039255→85.067255（+0.028，小數股允許 ④ ✓）；均價 158.9266→158.8743（依加權重算 ②）；USD 現金池 0 變動（股利即買回，淨額 0 ③ ✓）；✗ ① 原始成本 13,515 不變——表單說明「DRIP 模式：預扣 30%，net 將以 $0 成本股數入帳（再投資股數 × 再投資價格僅供對帳）」，與手冊「成本增加（DRIP 是拿股利再買進）」不同；total_return +296.74 TWD（＝0.028×334.33×31.698999）。以「最近匯入 › 復原」移除（deleted 1），逐位元還原</t>
        </is>
      </c>
      <c r="J44" s="72" t="inlineStr">
        <is>
          <t>OBSERVE</t>
        </is>
      </c>
      <c r="K44" s="72" t="inlineStr">
        <is>
          <t>DEF-018, DEF-019</t>
        </is>
      </c>
      <c r="L44" s="62" t="inlineStr">
        <is>
          <t>結案</t>
        </is>
      </c>
      <c r="M44" s="72" t="inlineStr">
        <is>
          <t>PASS</t>
        </is>
      </c>
      <c r="N44" s="73" t="inlineStr">
        <is>
          <t>系統以 $0 成本入帳是明示的會計模型（表單文案），與手冊期望衝突，交 owner 裁定；附帶發現：復原後交易表單代號清單未重載（DEF-019）
R2：DEF-018 經 Owner 裁定為非缺陷（DRIP 維持 $0 成本）；DEF-019 複驗通過結案；F 欄期望待同步
R10（3a35454 全面重跑）：PASS — demo 真實瀏覽器（頁首 v0.1.28 · 3a35454），demo 7／7 項檢查全過：DRIP 表單說明「net 以 $0 成本股數入帳」；AAPL +0.02 股（小數）、原始成本 13,515 不變、均價＝成本÷新股數、USD 池不變；刪除後逐字相同
R11（91ec1b0 整份 one shot 重跑）：PASS — demo 真實瀏覽器（頁首 v0.1.28 · 91ec1b0），demo 7／7 項檢查全過：DRIP 表單說明以 $0 成本股數入帳；AAPL +0.02 股（85.039255→85.059255）、原始成本 13,515 不變、均價＝成本÷新股數 158.889、USD 池不變；批次 #35 復原後逐字相同</t>
        </is>
      </c>
    </row>
    <row r="45" ht="43.5" customHeight="1" s="43">
      <c r="A45" s="57" t="inlineStr">
        <is>
          <t>C-05</t>
        </is>
      </c>
      <c r="B45" s="58" t="inlineStr">
        <is>
          <t>C</t>
        </is>
      </c>
      <c r="C45" s="59" t="inlineStr">
        <is>
          <t>海外股利預扣稅</t>
        </is>
      </c>
      <c r="D45" s="59" t="inlineStr">
        <is>
          <t>美股標的</t>
        </is>
      </c>
      <c r="E45" s="59" t="inlineStr">
        <is>
          <t>確認一筆美股現金股利，填入預扣稅額</t>
        </is>
      </c>
      <c r="F45" s="59" t="inlineStr">
        <is>
          <t>① 現金池入帳為**淨額**；② 調整成本以淨額或總額沖減需符合規格並在畫面標示清楚；③ 稅額進入稅務包匯出</t>
        </is>
      </c>
      <c r="G45" s="59" t="inlineStr">
        <is>
          <t>測畢復原</t>
        </is>
      </c>
      <c r="H45" s="59" t="inlineStr">
        <is>
          <t>否</t>
        </is>
      </c>
      <c r="I45" s="73" t="inlineStr">
        <is>
          <t>交易帳本 › 股利：嘉信 Schwab AAPL「現金股利」Gross 10 → 預扣 30% 自動 3.00、Net 7.00（表單說明「美股現金股利：預扣 30% 後的淨額沖減成本（調整均價下降），與台股現金股利同一套會計（D35）」）→ 寫入 → ① USD 池 +7.00（淨額）✓；② 調整成本 13,515→13,508.00（−7.00＝以淨額沖減，原始成本不變），畫面已標示 ✓；③ 下載 2026 稅務包，dividends_2026.csv 出現「2026-09-23,schwab,AAPL,cash,10,3.00,7.00,USD」、summary USD 股利 312.27→319.27 ✓。以「最近匯入 › 復原」移除（deleted 1），逐位元還原</t>
        </is>
      </c>
      <c r="J45" s="72" t="inlineStr">
        <is>
          <t>PASS</t>
        </is>
      </c>
      <c r="K45" s="72" t="n"/>
      <c r="L45" s="62" t="inlineStr">
        <is>
          <t>PASS</t>
        </is>
      </c>
      <c r="M45" s="72" t="inlineStr">
        <is>
          <t>PASS</t>
        </is>
      </c>
      <c r="N45" s="73" t="inlineStr">
        <is>
          <t>收件匣中的美股項目皆為 DRIP 模式，故以手動股利表單建立一筆美股現金股利測試
R8（a16210a 全面重跑）：交易帳本 › 股利：嘉信 Schwab AAPL 選「現金股利」、日期 2026-09-23、Gross 10 → 預扣「30%（自動）」3.00、Net（自動）7.00，表單說明「美股現金股利：預扣 30% 後的淨額沖減成本（調整均價下降），與台股現金股利同一套會計（D35）。」→ 確認寫入（import preview＋commit 200，written 1，批次 #19，toast「✓ 寫入成功 AAPL 股利已寫入帳本（嘉信 Schwab）」）→ ① USD 池 398,497.90→398,504.90（+7.00 淨額）✓；② 調整成本 13,515→13,508.00（以淨額沖減），原始成本 13,515 不變，畫面已標示 ✓；③ 2026 稅務包 dividends_2026.csv 出現「2026-09-23,schwab,AAPL,cash,10,3.00,7.00,USD」、summary.md 股利 USD 312.27→319.27 ✓。以 CSV 匯入 › 最近匯入 批次「復原」（對話框「復原這批匯入 將刪除這批匯入寫進帳本的 1 筆股利紀錄（來源：手動輸入）…」→ DELETE /api/import/batches/19 200 deleted 1）移除，已提交批次 0、cmp R8_START same:true
R10（3a35454 全面重跑）：PASS — demo 真實瀏覽器（頁首 v0.1.28 · 3a35454），demo 7／7 項檢查全過：美股現金股利 gross 10 → 自動預扣 3.00／淨額 7.00、USD 池 +7.00、調整成本 −7（原始不變）；稅務包 dividends_2026.csv 該列「…,10,3.00,7.00,USD」；刪除後逐字相同
R11（91ec1b0 整份 one shot 重跑）：PASS — demo 真實瀏覽器（頁首 v0.1.28 · 91ec1b0），demo 7／7 項檢查全過：美股現金股利 gross 10 → 自動預扣 3.00／淨額 7.00、USD 池 +7.00、調整成本 13,515→13,508（原始不變）；稅務包 dividends_2026.csv 該列「…,10,3.00,7.00,USD」；批次 #36 復原後逐字相同</t>
        </is>
      </c>
    </row>
    <row r="46" ht="29.25" customHeight="1" s="43">
      <c r="A46" s="57" t="inlineStr">
        <is>
          <t>C-06</t>
        </is>
      </c>
      <c r="B46" s="58" t="inlineStr">
        <is>
          <t>C</t>
        </is>
      </c>
      <c r="C46" s="59" t="inlineStr">
        <is>
          <t>略過（不入帳）</t>
        </is>
      </c>
      <c r="D46" s="59" t="inlineStr">
        <is>
          <t>收件匣有待確認項</t>
        </is>
      </c>
      <c r="E46" s="59" t="inlineStr">
        <is>
          <t>按「略過」</t>
        </is>
      </c>
      <c r="F46" s="59" t="inlineStr">
        <is>
          <t>① 該筆離開待確認清單；② **不寫入帳本**；③ 可再次被偵測出來（或有明確的已略過狀態）</t>
        </is>
      </c>
      <c r="G46" s="59" t="inlineStr">
        <is>
          <t>不寫帳本，但會改變收件匣狀態——記下被略過的項目以便回復</t>
        </is>
      </c>
      <c r="H46" s="59" t="inlineStr">
        <is>
          <t>否</t>
        </is>
      </c>
      <c r="I46" s="73" t="inlineStr">
        <is>
          <t>收件匣 1155 Maybank（除息 2026-09-23，淨額 930 MYR）→ 略過 → POST /api/dividend-inbox/skip {fingerprints:[div:moomoo_my:1155:2026-09-23]} → skipped 1、toast「✓ 已略過 1155 2026-09-23・可於「已忽略」取消忽略」→ ① 離開待確認（7→6）；② 股利帳本與四段 JSON 不變；③ 出現在「已忽略」清單（/api/dividend-inbox/skipped 含該 fingerprint，附完整 detail）並可「取消忽略」。還原：已忽略 › 取消忽略 → POST /unskip、toast「✓ 已取消忽略 項目將重新出現在收件匣」→ 回到待確認 7 筆</t>
        </is>
      </c>
      <c r="J46" s="72" t="inlineStr">
        <is>
          <t>PASS</t>
        </is>
      </c>
      <c r="K46" s="72" t="n"/>
      <c r="L46" s="62" t="inlineStr">
        <is>
          <t>PASS</t>
        </is>
      </c>
      <c r="M46" s="72" t="inlineStr">
        <is>
          <t>PASS</t>
        </is>
      </c>
      <c r="N46" s="72" t="inlineStr">
        <is>
          <t>R8（a16210a 全面重跑）：收件匣 1155 Maybank（除息 2026-09-23，預估 930.00 MYR）→ 略過 → POST /api/dividend-inbox/skip {fingerprints:[div:moomoo_my:1155:2026-09-23]} 200 skipped 1、toast「✓ 已略過 1155 2026-09-23・可於「已忽略」取消忽略」→ ① 待確認 7→6；② 股利帳本 23 不變，cmp R8_START 只差收件匣計數；③ 出現在「已忽略（2）」清單（「已忽略於 2026-09-27・預估 930.00 MYR」，/api/dividend-inbox/skipped 含該 fingerprint 與完整 detail）並可「取消忽略」。還原：取消忽略 → POST /unskip 200、toast「✓ 已取消忽略 項目將重新出現在收件匣」→ 待確認回到 7、已忽略只剩既有的 NVDA 2026-06-04，cmp same:true
R10（3a35454 全面重跑）：PASS — demo 真實瀏覽器（頁首 v0.1.28 · 3a35454），demo 7／7 項檢查全過：略過 1155 → 離開待確認、股利帳本不變、列入「已忽略」並提供「取消忽略」；取消忽略後回到收件匣
R11（91ec1b0 整份 one shot 重跑）：PASS — demo 真實瀏覽器（頁首 v0.1.28 · 91ec1b0），demo 7／7 項檢查全過：略過 1155 → 離開待確認、股利帳本仍 23、列入「已忽略」並提供「取消忽略」；取消忽略後回到收件匣</t>
        </is>
      </c>
    </row>
    <row r="47" ht="43.5" customHeight="1" s="43">
      <c r="A47" s="57" t="inlineStr">
        <is>
          <t>C-07</t>
        </is>
      </c>
      <c r="B47" s="58" t="inlineStr">
        <is>
          <t>C</t>
        </is>
      </c>
      <c r="C47" s="59" t="inlineStr">
        <is>
          <t>全部確認</t>
        </is>
      </c>
      <c r="D47" s="59" t="inlineStr">
        <is>
          <t>收件匣有多筆</t>
        </is>
      </c>
      <c r="E47" s="59" t="inlineStr">
        <is>
          <t>按「全部確認」</t>
        </is>
      </c>
      <c r="F47" s="59" t="inlineStr">
        <is>
          <t>逐筆入帳、筆數正確、可逐筆復原</t>
        </is>
      </c>
      <c r="G47" s="58" t="inlineStr">
        <is>
          <t>**風險較高**：會一次寫入多筆。建議最後再測，或先用單筆確認替代</t>
        </is>
      </c>
      <c r="H47" s="59" t="inlineStr">
        <is>
          <t>否</t>
        </is>
      </c>
      <c r="I47" s="73" t="inlineStr">
        <is>
          <t>收件匣 AAPL 群組（2 筆 DRIP：Moomoo MY 與 Schwab，除息 2026-08-10）→ 全部確認 → 對話框「批次確認入帳 — AAPL 將 2 筆偵測到的配息寫入股利帳本（金額由後端依除息日持股重新計算）」→ POST confirm written 2（ids 42／43）、toast「✓ 已確認入帳 2 筆 AAPL ×2・已寫入股利帳本…」、股利帳本 23→25、出現 2 個「復原」鈕 → 逐筆復原（DELETE 43、42 皆 200，兩則「✓ 已復原 帳本紀錄已刪除，項目將重新出現在收件匣」）→ 股利帳本 25→23、待確認回到 7、四段 JSON 逐位元還原</t>
        </is>
      </c>
      <c r="J47" s="72" t="inlineStr">
        <is>
          <t>PASS</t>
        </is>
      </c>
      <c r="K47" s="72" t="n"/>
      <c r="L47" s="62" t="inlineStr">
        <is>
          <t>PASS</t>
        </is>
      </c>
      <c r="M47" s="72" t="inlineStr">
        <is>
          <t>PASS</t>
        </is>
      </c>
      <c r="N47" s="73" t="inlineStr">
        <is>
          <t>以單一群組「全部確認」控制寫入量
R8（a16210a 全面重跑）：收件匣 AAPL 群組（2 筆 DRIP：Moomoo MY 與 Schwab，除息 2026-08-10）→ 全部確認 → 對話框「批次確認入帳 — AAPL 將 2 筆偵測到的配息寫入股利帳本（金額由後端依除息日持股重新計算）。取消／全部確認」（開框 0 支寫入）→ POST confirm 200 written 2（ids 50／51）、toast「✓ 已確認入帳 2 筆 AAPL ×2・已寫入股利帳本，統計將由帳本重建」、股利帳本 23→25、「本次已入帳 2 筆」各有「復原」（Net 16.07 USD、1.89 USD）→ 逐筆復原（DELETE 51、50 皆 200，兩則「✓ 已復原 帳本紀錄已刪除，項目將重新出現在收件匣」）→ 股利帳本 25→23、待確認回到 7、cmp R8_START same:true
R10（3a35454 全面重跑）：PASS — demo 真實瀏覽器（頁首 v0.1.28 · 3a35454），demo 5／5 項檢查全過：全部確認 AAPL → 對話框「將 2 筆偵測到的配息寫入股利帳本」→ 寫入 2 筆（#58、#59）、帳本 23→25；逐筆刪除後回 23
R11（91ec1b0 整份 one shot 重跑）：PASS — demo 真實瀏覽器（頁首 v0.1.28 · 91ec1b0），demo 5／5 項檢查全過：全部確認 AAPL → 對話框「將 2 筆偵測到的配息寫入股利帳本」→ 寫入 2 筆（#68、#69）、帳本 23→25；逐筆刪除後回 23</t>
        </is>
      </c>
    </row>
    <row r="48" ht="43.5" customHeight="1" s="43">
      <c r="A48" s="57" t="inlineStr">
        <is>
          <t>C-08</t>
        </is>
      </c>
      <c r="B48" s="58" t="inlineStr">
        <is>
          <t>C</t>
        </is>
      </c>
      <c r="C48" s="59" t="inlineStr">
        <is>
          <t>除息日曆與配息預測</t>
        </is>
      </c>
      <c r="D48" s="59" t="inlineStr">
        <is>
          <t>儀表板</t>
        </is>
      </c>
      <c r="E48" s="59" t="inlineStr">
        <is>
          <t>檢視除息行事曆與配息預測卡</t>
        </is>
      </c>
      <c r="F48" s="59" t="inlineStr">
        <is>
          <t>① 日期與 `dividend_events` 一致；② 預測金額 = 持股數 × 每股配息，與帳本可對帳；③ 已過期事件不應顯示為未來</t>
        </is>
      </c>
      <c r="G48" s="59" t="inlineStr">
        <is>
          <t>唯讀</t>
        </is>
      </c>
      <c r="H48" s="59" t="inlineStr">
        <is>
          <t>否</t>
        </is>
      </c>
      <c r="I48" s="73" t="inlineStr">
        <is>
          <t>儀表板 › 股利總覽（展開）：除息日曆「共 1 筆・下次 2026-09-23 1155 Maybank 0.310 MYR／股」，與 dashboard.ex_dividend_calendar（1155 ex 2026-09-23 cash 0.31 MYR，source yfinance）及收件匣事件一致 ①；2026 年度預估（已宣告）MYR 預估淨額 930.00＝持股 3,000×0.31 ②；已過除息日的 2330（2026-09-16）不在日曆與預估中 ③</t>
        </is>
      </c>
      <c r="J48" s="72" t="inlineStr">
        <is>
          <t>PASS</t>
        </is>
      </c>
      <c r="K48" s="72" t="n"/>
      <c r="L48" s="62" t="inlineStr">
        <is>
          <t>PASS</t>
        </is>
      </c>
      <c r="M48" s="72" t="inlineStr">
        <is>
          <t>PASS</t>
        </is>
      </c>
      <c r="N48" s="73" t="inlineStr">
        <is>
          <t>「週行動清單」卡片仍顯示「即將除息 0056(2026-07-21)」，但該卡標示「產生於 2026-07-15・已過期・69 天前產生」（排程關閉），不列本案缺陷
R8（a16210a 全面重跑）：儀表板 › 股利總覽：除息日曆「近期無除息事件」、年度預估「本年度尚無已宣告股利可估算」，與 /api/dashboard ex_dividend_calendar []、dividend_projection {year 2026, by_currency {}, basis declared_only} 一致 ①；R1 當時（09-23）的 1155 除息 2026-09-23 已過，本輪（09-27）未再列為未來事件，2330（09-16）等已過除息日亦不在日曆 ③；本輪沒有未來已宣告事件可比對預測金額，改以同一計算的收件匣估計核對：1155 預估 930.00 MYR＝持股 3,000×0.31 ②。附註：「週行動清單」仍顯示 07-15 產生的「即將除息 0056(2026-07-21)」，該卡已標「已過期・73 天前產生／排程器未啟動」，與 R1 相同不列缺陷
R10（3a35454 全面重跑）：PASS — demo 真實瀏覽器（頁首 v0.1.28 · 3a35454），demo 2／2 項檢查全過：除息日曆與 API 一致（ex_dividend_calendar 為空 → 畫面「∅ 近期無除息事件」）、無過期事件顯示為即將除息
R11（91ec1b0 整份 one shot 重跑）：PASS — demo 真實瀏覽器（頁首 v0.1.28 · 91ec1b0），demo 3／3 項檢查全過：除息日曆與 API 一致（空 → 畫面「近期無除息事件」）、無過期事件顯示為即將除息；預估＝股數×每股（3,000×0.31＝930.00）</t>
        </is>
      </c>
    </row>
    <row r="49" ht="29.25" customHeight="1" s="43">
      <c r="A49" s="57" t="inlineStr">
        <is>
          <t>C-09</t>
        </is>
      </c>
      <c r="B49" s="58" t="inlineStr">
        <is>
          <t>C</t>
        </is>
      </c>
      <c r="C49" s="59" t="inlineStr">
        <is>
          <t>股利帳本匯出對帳</t>
        </is>
      </c>
      <c r="D49" s="58" t="inlineStr">
        <is>
          <t>—</t>
        </is>
      </c>
      <c r="E49" s="59" t="inlineStr">
        <is>
          <t>匯出股利帳本 CSV</t>
        </is>
      </c>
      <c r="F49" s="59" t="inlineStr">
        <is>
          <t>列數 = 畫面列數；每列金額、日期、帳戶、代號與畫面逐位元一致</t>
        </is>
      </c>
      <c r="G49" s="59" t="inlineStr">
        <is>
          <t>唯讀</t>
        </is>
      </c>
      <c r="H49" s="59" t="inlineStr">
        <is>
          <t>部分（已驗端點回 200）</t>
        </is>
      </c>
      <c r="I49" s="73" t="inlineStr">
        <is>
          <t>交易帳本 › 股利分頁 23 列 vs 匯出 ledger_dividends_all_all.csv 23 列（POST /api/export/ledger {kind:dividends} 200）：以 日期＋帳戶＋代號＋gross＋withholding＋net 逐列配對，23/23 全部配對成功、0 列多出；畫面為格式化值（5,200／2.34），CSV 為原始精度（5200.0／2.3400），Decimal 數值相等</t>
        </is>
      </c>
      <c r="J49" s="72" t="inlineStr">
        <is>
          <t>PASS</t>
        </is>
      </c>
      <c r="K49" s="72" t="n"/>
      <c r="L49" s="62" t="inlineStr">
        <is>
          <t>PASS</t>
        </is>
      </c>
      <c r="M49" s="72" t="inlineStr">
        <is>
          <t>PASS</t>
        </is>
      </c>
      <c r="N49" s="72" t="inlineStr">
        <is>
          <t>CSV 依 id 排序、畫面依日期新→舊，列序不同但內容一一對應
R8（a16210a 全面重跑）：交易帳本 › 股利分頁 23 列 vs 匯出 ledger_dividends（POST /api/export/ledger {kind:dividends} 200）23 列：以 日期＋帳戶＋代號＋gross＋withholding＋net 逐列配對，23/23 全部配對、0 列多出；畫面為格式化值（5,200），CSV 為原始精度，Decimal 數值相等（CSV 依 id 排序、畫面依日期新→舊）
R10（3a35454 全面重跑）：PASS — demo 真實瀏覽器（頁首 v0.1.28 · 3a35454），demo 2／2 項檢查全過：股利匯出 CSV 23 列＝帳本 23 列，逐列（日期／帳戶／代號／gross／net）相符
R11（91ec1b0 整份 one shot 重跑）：PASS — demo 真實瀏覽器（頁首 v0.1.28 · 91ec1b0），demo 2／2 項檢查全過：股利匯出 CSV 23 列＝帳本 23 列，逐列（日期／帳戶／代號／gross／net）相符（缺 0）</t>
        </is>
      </c>
    </row>
    <row r="50" ht="29.25" customHeight="1" s="43">
      <c r="A50" s="57" t="inlineStr">
        <is>
          <t>C-10</t>
        </is>
      </c>
      <c r="B50" s="58" t="inlineStr">
        <is>
          <t>C</t>
        </is>
      </c>
      <c r="C50" s="59" t="inlineStr">
        <is>
          <t>利息與股利的界線</t>
        </is>
      </c>
      <c r="D50" s="59" t="inlineStr">
        <is>
          <t>承 A-07</t>
        </is>
      </c>
      <c r="E50" s="59" t="inlineStr">
        <is>
          <t>寫入一筆利息後檢視持倉與已實現</t>
        </is>
      </c>
      <c r="F50" s="59" t="inlineStr">
        <is>
          <t>利息**不得**出現在股利帳本、不得沖減成本、不得計入已實現損益；只出現在資金收支</t>
        </is>
      </c>
      <c r="G50" s="59" t="inlineStr">
        <is>
          <t>測畢刪除</t>
        </is>
      </c>
      <c r="H50" s="59" t="inlineStr">
        <is>
          <t>否</t>
        </is>
      </c>
      <c r="I50" s="73" t="inlineStr">
        <is>
          <t>承 A-07 利息 12.34 USD 寫入後：股利帳本 total_count 23→23（未出現在股利帳本）✓；holdings 字串不變（未沖減成本）✓；realized 字串不變、realized_total 不變 ✓；只出現在資金收支與現金對帳單 ✓</t>
        </is>
      </c>
      <c r="J50" s="72" t="inlineStr">
        <is>
          <t>PASS</t>
        </is>
      </c>
      <c r="K50" s="72" t="n"/>
      <c r="L50" s="62" t="inlineStr">
        <is>
          <t>PASS</t>
        </is>
      </c>
      <c r="M50" s="72" t="inlineStr">
        <is>
          <t>PASS</t>
        </is>
      </c>
      <c r="N50" s="73" t="inlineStr">
        <is>
          <t>與 A-07 同一筆資料；測畢刪除並還原
R8（a16210a 全面重跑）：利息 12.34 USD（嘉信 Schwab，2026-09-23，#62）寫入後：股利帳本 total_count 23→23（未出現在股利帳本）✓；holdings 字串不變（未沖減成本）✓；realized 字串與 realized_total 不變、dashboard.dividends 不變 ✓；只出現在資金收支（及 A-07 已驗的現金對帳單）✓。刪除 #62，cmp R8_START same:true
R10（3a35454 全面重跑）：PASS — demo 真實瀏覽器（頁首 v0.1.28 · 3a35454），demo 6／6 項檢查全過：利息寫入資金收支（不進股利帳本、不減成本、不進已實現／股利）；刪除後逐字相同
R11（91ec1b0 整份 one shot 重跑）：PASS — demo 真實瀏覽器（頁首 v0.1.28 · 91ec1b0），demo 6／6 項檢查全過：利息寫入資金收支 #104（不進股利帳本、不減成本、不進已實現／股利）；刪除後逐字相同</t>
        </is>
      </c>
    </row>
    <row r="51" ht="16.5" customHeight="1" s="43">
      <c r="A51" s="54" t="inlineStr">
        <is>
          <t>D. 公司行動：拆股／合股／換股（更名・ticker 變更）／分拆</t>
        </is>
      </c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6" t="n"/>
    </row>
    <row r="52" ht="100.5" customHeight="1" s="43">
      <c r="A52" s="57" t="inlineStr">
        <is>
          <t>D-00</t>
        </is>
      </c>
      <c r="B52" s="58" t="inlineStr">
        <is>
          <t>D</t>
        </is>
      </c>
      <c r="C52" s="59" t="inlineStr">
        <is>
          <t>三個入口都能開到同一張表單</t>
        </is>
      </c>
      <c r="D52" s="59" t="inlineStr">
        <is>
          <t>表單是共用元件 `pdCorpActionForm`，規格 §6.7 明定三個入口</t>
        </is>
      </c>
      <c r="E52" s="59" t="inlineStr">
        <is>
          <t>分別走：① **門 1** 交易帳本 › 帳本區「公司行動」分頁 › **＋補登公司行動**；② **門 2** 個股抽屜中對帳結果為 **⚠ 對帳不一致** 時出現的「補登公司行動」按鈕（綠色對帳結果**不會**出現此鈕，屬正常）；③ **門 3** 手動賣出被判賣超時，預覽內的補登提示或 422 三選一對話框</t>
        </is>
      </c>
      <c r="F52" s="59" t="inlineStr">
        <is>
          <t>三個入口打開的是**同一張表單**，且預填一致（門 2 帶入該標的與帳戶；門 3 另帶入賣出日期作為日期上限）</t>
        </is>
      </c>
      <c r="G52" s="59" t="inlineStr">
        <is>
          <t>唯讀（只要不按『登錄公司行動』）</t>
        </is>
      </c>
      <c r="H52" s="59" t="inlineStr">
        <is>
          <t>否</t>
        </is>
      </c>
      <c r="I52" s="73" t="inlineStr">
        <is>
          <t>門 1（公司行動分頁 ＋補登公司行動）與門 3（手動賣出判賣超 → 預覽內「補登公司行動」）開啟同一張表單：三種行動類型、帳戶／代號／日期／比例／備註／重組費用欄位與說明文字逐字相同（門 3 多一段賣超原因前言）；門 3 預填帳戶、代號與賣出日期（max＝賣出日），門 1 預設空白。門 2：逐檔讀個股抽屜對帳（activity_reconcile），抽查 12 檔皆 balances=true、diff_shares=0，抽屜不出現補登按鈕（屬正常）</t>
        </is>
      </c>
      <c r="J52" s="72" t="inlineStr">
        <is>
          <t>BLOCKED</t>
        </is>
      </c>
      <c r="K52" s="72" t="inlineStr">
        <is>
          <t>DEF-072</t>
        </is>
      </c>
      <c r="L52" s="62" t="inlineStr">
        <is>
          <t>結案</t>
        </is>
      </c>
      <c r="M52" s="72" t="inlineStr">
        <is>
          <t>PASS</t>
        </is>
      </c>
      <c r="N52" s="73" t="inlineStr">
        <is>
          <t>門 2 需要一檔「⚠ 對帳不一致」的持股才會出現，現有資料全部綠燈；D-11 製造未套用行動時 2882 抽屜仍顯示「✓ 對帳一致」，同樣沒有補登按鈕，無法經 UI 走到門 2
R5：本機專用測試環境（同一 commit 3be67db；見 docs/audit/2026-09-25-r5-dev-specs.md §9）以與開發者 e2e _seed_red_footer 同形的前置（2330 台灣券商 01-05 賣 100〔首筆買進前〕＋04-01 分割 2:1）製造 ⚠ 對帳不一致：抽屜頁尾「期初 0 ＋買 2,000 −賣 100 ＋公司行動 1,900 ＝ 部位摘要 1,900 股 ⚠ 對帳不一致（差額 1,900 股）」＋「補登公司行動」✓；按下開啟共用表單（9 個欄位標籤、三種行動類型與門 1 逐字相同 ✓、代號預填 2330 ✓、原因列「此標的的對帳結果為 ⚠ 對帳不一致」✓），**帳戶預填 Moomoo MY（清單第一個）而非持有的台灣券商** ✗ → DEF-072。門 1、門 3 維持 R1 結果。前置以 SQLite 備份還原，帳本雜湊 c8c902c1c6a01f27 前後相同
R6：DEF-072 複驗通過結案 → 本案轉 PASS。本機專用測試環境（同一 commit 696934e、排程器開啟、假 LLM；手冊 §9），前置與開發者 e2e _seed_red_footer 同形：① 2330 只在台灣券商對帳不一致 → 門 2 帳戶預填台灣券商 ✓；② AAPL 在嘉信與 Moomoo 兩帳戶皆不一致 → 帳戶下拉首項「請選擇帳戶」（空值）、原因列「此標的在 Moomoo MY、嘉信 Schwab 的對帳結果都是 ⚠ 對帳不一致，請先選擇要補登的帳戶」、登錄鍵 disabled ✓；③ 門 3（交易帳本 › 公司行動 選「嘉信」帳戶籤後新增）帶入嘉信 Schwab ✓。三個入口同一張表單（R1 已驗）。每段以 SQLite 備份還原，帳本雜湊 27d0aeca71456835 前後相同
R10（3a35454 全面重跑）：PASS — demo 真實瀏覽器（頁首 v0.1.28 · 3a35454）＋本機專用測試環境（同一 commit 3a35454、demo 資料庫副本、假報價／假 LLM、無外網；手冊 §9），demo 3／3 項、本機 5／5 項檢查全過：demo：門 1／門 3 開同一張表單（三種行動類型、相同欄位），門 3 帶入台灣券商／2330／賣出日 2026-07-01 為上限；本機：以對帳不一致的 2330（差額 1,900 股）驗門 2——抽屜頁尾「⚠ 對帳不一致」旁「補登公司行動」開同一張表單並帶入 2330＋台灣券商、原因列「此標的的對帳結果為 ⚠ 對帳不一致」；帳本雜湊 27d0aeca71456835 前後相同
R11（91ec1b0 整份 one shot 重跑）：PASS — demo 真實瀏覽器（頁首 v0.1.28 · 91ec1b0）＋本機專用測試環境（同一 commit 91ec1b0、demo 資料庫副本、假報價／假 LLM、無外網；手冊 §9），demo 3／3 項、本機 5／5 項檢查全過：demo：門 1／門 3 開同一張表單（三種行動類型、相同欄位），門 3 帶入台灣券商／2330／賣出日 2026-07-01 為上限；本機：以對帳不一致的 2330（差額 1,900 股）驗門 2——抽屜頁尾「⚠ 對帳不一致」旁「補登公司行動」開同一張表單並帶入 2330＋台灣券商、原因列「此標的的對帳結果為 ⚠ 對帳不一致」；帳本雜湊 27d0aeca71456835 前後相同</t>
        </is>
      </c>
    </row>
    <row r="53" ht="29.25" customHeight="1" s="43">
      <c r="A53" s="57" t="inlineStr">
        <is>
          <t>D-01</t>
        </is>
      </c>
      <c r="B53" s="58" t="inlineStr">
        <is>
          <t>D</t>
        </is>
      </c>
      <c r="C53" s="59" t="inlineStr">
        <is>
          <t>基準盤點</t>
        </is>
      </c>
      <c r="D53" s="58" t="inlineStr">
        <is>
          <t>—</t>
        </is>
      </c>
      <c r="E53" s="59" t="inlineStr">
        <is>
          <t>匯出公司行動帳本；讀 `GET /api/dashboard` 的 `unapplied_actions`</t>
        </is>
      </c>
      <c r="F53" s="59" t="inlineStr">
        <is>
          <t>記錄目前列數（稽核時為 **0 列、僅表頭**）與未套用提示的內容，作為後續比對基準</t>
        </is>
      </c>
      <c r="G53" s="59" t="inlineStr">
        <is>
          <t>唯讀</t>
        </is>
      </c>
      <c r="H53" s="59" t="inlineStr">
        <is>
          <t>部分（僅確認為空）</t>
        </is>
      </c>
      <c r="I53" s="73" t="inlineStr">
        <is>
          <t>匯出公司行動帳本 ledger_actions_all_all.csv：僅表頭 1 行（0 列）；GET /api/ledgers/corporate-actions total_count 0；GET /api/dashboard unapplied_actions = []</t>
        </is>
      </c>
      <c r="J53" s="72" t="inlineStr">
        <is>
          <t>PASS</t>
        </is>
      </c>
      <c r="K53" s="72" t="n"/>
      <c r="L53" s="62" t="inlineStr">
        <is>
          <t>PASS</t>
        </is>
      </c>
      <c r="M53" s="72" t="inlineStr">
        <is>
          <t>PASS</t>
        </is>
      </c>
      <c r="N53" s="73" t="inlineStr">
        <is>
          <t>作為 D 組基準
R8（a16210a 全面重跑）：匯出公司行動帳本 ledger_actions_all_all.csv（POST /api/export/ledger {kind:actions} 200）：僅表頭 1 行（0 列）；GET /api/ledgers/corporate-actions total_count 0；GET /api/dashboard unapplied_actions = []；公司行動分頁畫面 0 列。表頭較 R1 多 band_move_json、weight_move_json、child_seed_json 三欄（DEF-021 等修正後的移轉紀錄欄），作為 D 組基準
R10（3a35454 全面重跑）：PASS — demo 真實瀏覽器（頁首 v0.1.28 · 3a35454），demo 3／3 項檢查全過：公司行動帳本匯出只有表頭（0 列）、帳本 0、unapplied_actions []
R11（91ec1b0 整份 one shot 重跑）：PASS — demo 真實瀏覽器（頁首 v0.1.28 · 91ec1b0），demo 3／3 項檢查全過：公司行動帳本匯出只有表頭（0 列）、帳本 0、unapplied_actions []</t>
        </is>
      </c>
    </row>
    <row r="54" ht="57.75" customHeight="1" s="43">
      <c r="A54" s="57" t="inlineStr">
        <is>
          <t>D-02</t>
        </is>
      </c>
      <c r="B54" s="58" t="inlineStr">
        <is>
          <t>D</t>
        </is>
      </c>
      <c r="C54" s="59" t="inlineStr">
        <is>
          <t>試算（成本守恆檢查）先於寫入</t>
        </is>
      </c>
      <c r="D54" s="59" t="inlineStr">
        <is>
          <t>門 1：交易帳本 › 公司行動分頁 › ＋補登公司行動</t>
        </is>
      </c>
      <c r="E54" s="59" t="inlineStr">
        <is>
          <t>選類型、填帳戶／代號／行動日期／比例後，看表單下方的**「試算（成本守恆檢查）」**區（`POST /api/ledgers/corporate-actions/preview`）</t>
        </is>
      </c>
      <c r="F54" s="59" t="inlineStr">
        <is>
          <t>① 未按「登錄公司行動」前**不得**寫入任何列；② 試算顯示變更後股數／均價並做成本守恆檢查；③ 比例欄只收**兩個整數**（畫面明說「不要填算好的小數」），填小數應被擋</t>
        </is>
      </c>
      <c r="G54" s="59" t="inlineStr">
        <is>
          <t>唯讀（只要不按登錄）</t>
        </is>
      </c>
      <c r="H54" s="59" t="inlineStr">
        <is>
          <t>否</t>
        </is>
      </c>
      <c r="I54" s="73" t="inlineStr">
        <is>
          <t>門 1（交易帳本 › 公司行動分頁 › ＋補登公司行動）選「同一檔股票，股數變多或變少」、台灣券商 2884、2026-09-23、每持有 1 股→變成 3 股：POST /api/ledgers/corporate-actions/preview 200，試算「行動前 2884 100 股 均價 93.20 成本 9,320 → 行動後 300 股 31.07 9,320 ✓ 成本不變」①；全程 0 支寫入請求 ②。✗ ③ 在「每持有」欄以真實鍵盤輸入「1.5」：欄位值變成「15」，試算改為 15 換 3（100→20 股、均價 466.00）、「登錄公司行動」仍可按，沒有任何阻擋訊息</t>
        </is>
      </c>
      <c r="J54" s="72" t="inlineStr">
        <is>
          <t>FAIL</t>
        </is>
      </c>
      <c r="K54" s="72" t="inlineStr">
        <is>
          <t>DEF-005</t>
        </is>
      </c>
      <c r="L54" s="62" t="inlineStr">
        <is>
          <t>結案</t>
        </is>
      </c>
      <c r="M54" s="72" t="inlineStr">
        <is>
          <t>PASS</t>
        </is>
      </c>
      <c r="N54" s="73" t="inlineStr">
        <is>
          <t>以 JS 設值與真實鍵盤輸入兩種方式各測一次，結果相同（排除量測方式）；測畢按取消，公司行動帳本仍 0 列
R2：DEF-005 複驗通過結案
R10（3a35454 全面重跑）：PASS — demo 真實瀏覽器（頁首 v0.1.28 · 3a35454），demo 7／7 項檢查全過：分割試算 POST 200，顯示新股數／均價與「✓ 成本不變 9,320 → 9,320」；登錄前 0 次寫入；比例 1.5 被擋；公司行動仍 0 筆
R11（91ec1b0 整份 one shot 重跑）：PASS — demo 真實瀏覽器（頁首 v0.1.28 · 91ec1b0），demo 7／7 項檢查全過：分割試算 POST 200，顯示 2884 100→300 股、均價 93.20→31.07 與「✓ 成本不變 9,320 → 9,320」；登錄前 0 次寫入；比例 1.5 被擋；公司行動仍 0 筆</t>
        </is>
      </c>
    </row>
    <row r="55" ht="43.5" customHeight="1" s="43">
      <c r="A55" s="57" t="inlineStr">
        <is>
          <t>D-02b</t>
        </is>
      </c>
      <c r="B55" s="58" t="inlineStr">
        <is>
          <t>D</t>
        </is>
      </c>
      <c r="C55" s="59" t="inlineStr">
        <is>
          <t>一筆行動套用到所有持有帳戶</t>
        </is>
      </c>
      <c r="D55" s="59" t="inlineStr">
        <is>
          <t>選一檔**兩個帳戶都持有**的標的（例如 AAPL）</t>
        </is>
      </c>
      <c r="E55" s="59" t="inlineStr">
        <is>
          <t>登錄一筆該標的的公司行動</t>
        </is>
      </c>
      <c r="F55" s="59" t="inlineStr">
        <is>
          <t>表單已明說「公司行動會自動套用到所有持有這檔股票的帳戶」——驗證兩個帳戶的股數與均價**都**被調整，且各自的成本基礎獨立守恆</t>
        </is>
      </c>
      <c r="G55" s="59" t="inlineStr">
        <is>
          <t>會改寫多個帳戶的持倉。務必刪除還原並比對兩邊</t>
        </is>
      </c>
      <c r="H55" s="59" t="inlineStr">
        <is>
          <t>否</t>
        </is>
      </c>
      <c r="I55" s="72" t="inlineStr">
        <is>
          <t>AAPL（嘉信 Schwab 85.039255 股／成本 13,515；Moomoo MY 10.006458 股／成本 2,401）登錄一筆「每 1 股→2 股」：試算即列「這筆行動同時影響以下 2 個帳戶」並逐帳戶顯示成本守恆、「全部帳戶成本合計不變 15,916.00→15,916.00」；登錄 written 2（ids 5、6，accounts moomoo_my、schwab）→ Schwab 170.078509 股／均價 79.4633／成本 13,515、Moomoo 20.012915 股／119.9725／2,401，兩邊都被調整且各自守恆；總市值字串不變。還原：刪單列回 422 partial_action_set_change，畫面跳出「這筆行動屬於多帳戶整組紀錄…要整組一起刪除嗎？取消／整組刪除」→ DELETE /api/ledgers/corporate-actions/set 200 deleted 2 → 逐位元還原</t>
        </is>
      </c>
      <c r="J55" s="72" t="inlineStr">
        <is>
          <t>PASS</t>
        </is>
      </c>
      <c r="K55" s="72" t="n"/>
      <c r="L55" s="62" t="inlineStr">
        <is>
          <t>PASS</t>
        </is>
      </c>
      <c r="M55" s="72" t="inlineStr">
        <is>
          <t>PASS</t>
        </is>
      </c>
      <c r="N55" s="73" t="inlineStr">
        <is>
          <t>登錄後彈出「產生 0.012915 股 AAPL 零股，券商通常折現」——美股本可持有小數股（且 Schwab 的 .078509 股未被提及），提示對美股不適用；整組刪除訊息以原始 id「moomoo_my」稱呼帳戶
R8（a16210a 全面重跑）：AAPL（嘉信 Schwab 85.039255 股／成本 13,515；Moomoo MY 10.006458 股／成本 2,401）登錄一筆「每 1 股→2 股」（2026-09-27）：試算即列「這筆行動同時影響以下 2 個帳戶（公司行動對每個持有帳戶一體適用）」並逐帳戶顯示成本守恆、「✓ 全部帳戶成本合計不變 15,916.00 → 15,916.00」；登錄 written 2（ids 27、28，toast「寫入 2 筆（Moomoo MY、嘉信 Schwab）」）→ Schwab 170.078509 股／均價 79.4633／成本 13,515、Moomoo 20.012915 股／119.9725／2,401，兩邊都被調整且各自守恆；總市值字串不變。還原：刪單列回 422 partial_action_set_change，畫面跳出「這筆行動屬於多帳戶整組紀錄…要整組一起刪除嗎？取消／整組刪除」→ DELETE /api/ledgers/corporate-actions/set 200 deleted 2 → cmp R8_START same:true。附註（與 R1 相同、未變）：登錄後的「產生 0.012915 股 AAPL 零股，券商通常折現」提示對可持有小數股的美股不適用；整組刪除訊息以原始 id「moomoo_my」稱呼帳戶
R10（3a35454 全面重跑）：PASS — demo 真實瀏覽器（頁首 v0.1.28 · 3a35454），demo 9／9 項檢查全過：AAPL 分割試算列出兩個持有帳戶（Moomoo MY、嘉信）且成本守恆；寫入 2 筆、兩帳戶皆 ×2、總市值不變；只刪一筆 → 422 partial_action_set_change，整組刪除後逐字相同
R11（91ec1b0 整份 one shot 重跑）：PASS — demo 真實瀏覽器（頁首 v0.1.28 · 91ec1b0），demo 9／9 項檢查全過：AAPL 分割試算列出兩個持有帳戶（Moomoo MY、嘉信）且成本守恆；寫入 2 筆（#52、#53）、兩帳戶皆 ×2、總市值不變；只刪一筆 → 422 partial_action_set_change，整組刪除後逐字相同</t>
        </is>
      </c>
    </row>
    <row r="56" ht="57.75" customHeight="1" s="43">
      <c r="A56" s="57" t="inlineStr">
        <is>
          <t>D-02c</t>
        </is>
      </c>
      <c r="B56" s="58" t="inlineStr">
        <is>
          <t>D</t>
        </is>
      </c>
      <c r="C56" s="59" t="inlineStr">
        <is>
          <t>重組費用寫成現金支出</t>
        </is>
      </c>
      <c r="D56" s="59" t="inlineStr">
        <is>
          <t>同上，表單的「重組費用（選填）」</t>
        </is>
      </c>
      <c r="E56" s="59" t="inlineStr">
        <is>
          <t>填入重組費用金額後登錄</t>
        </is>
      </c>
      <c r="F56" s="59" t="inlineStr">
        <is>
          <t>① 產生一筆現金 **WITHDRAW**（出金）紀錄；② 畫面已明說它**不併入成本基礎、也不進入 XIRR 的現金流序列** — 驗證兩者皆為真；③ 備註可追溯到該筆行動</t>
        </is>
      </c>
      <c r="G56" s="59" t="inlineStr">
        <is>
          <t>同時動持倉與現金，兩邊都要還原</t>
        </is>
      </c>
      <c r="H56" s="59" t="inlineStr">
        <is>
          <t>否</t>
        </is>
      </c>
      <c r="I56" s="72" t="inlineStr">
        <is>
          <t>2884 每 1 股→2 股，重組費用填 50：登錄後前端另送 POST /api/cash/movements {kind:WITHDRAW, amount 50, note「重組費用 2884 2026-09-23」} 201 id 46 → ① 資金收支新增「出金 50 TWD」、TWD 池 6,067,595→6,067,545 ✓；② 原始／調整成本仍 9,320、kpis.xirr 10.22406575305222 與 total_return、trading_financing_cost 191 皆不變（不併入成本、不進 XIRR）✓；③ 備註「重組費用 2884 2026-09-23」可追溯 ✓。還原：刪除公司行動（id 7）後重組費出金 #46 仍留在資金收支（見 D-10／DEF-020），另於資金管理刪除 #46 後逐位元還原</t>
        </is>
      </c>
      <c r="J56" s="72" t="inlineStr">
        <is>
          <t>PASS</t>
        </is>
      </c>
      <c r="K56" s="72" t="n"/>
      <c r="L56" s="62" t="inlineStr">
        <is>
          <t>PASS</t>
        </is>
      </c>
      <c r="M56" s="72" t="inlineStr">
        <is>
          <t>PASS</t>
        </is>
      </c>
      <c r="N56" s="73" t="inlineStr">
        <is>
          <t>重組費與公司行動是兩支獨立請求（非原子寫入）
R8（a16210a 全面重跑）：2884 每 1 股→2 股（2026-09-27），重組費用填 50：登錄 POST 201 同一支請求帶回 reorg_fee（movement #63），toast「✓ 已一併登錄重組費用 50 TWD，記為現金支出（不計入成本基礎）；刪除此公司行動時會一併刪除」→ ① 資金收支新增 kind withdraw 50 TWD、TWD 池 6,067,595→6,067,545 ✓；② 原始／調整成本仍 9,320（股數 100→200）、kpis.xirr 10.445450386050704 與 total_return、trading_financing_cost 191 皆不變（不併入成本、不進 XIRR）✓；③ 備註「重組費用 2884 2026-09-27」可追溯 ✓。還原：刪除公司行動確認框多一句「會一併刪除這筆行動的重組費用出金：2026-09-27 出金 50 TWD（台灣券商）。」→ DELETE 200 fee_deleted 含 #63，資金收支不再殘留（R1 的 DEF-020 已修好）、cmp R8_START same:true
R10（3a35454 全面重跑）：PASS — demo 真實瀏覽器（頁首 v0.1.28 · 3a35454），demo 9／9 項檢查全過：附重組費 50 → toast「已一併登錄重組費用 50 TWD，記為現金支出（不計入成本基礎）」、資金收支 WITHDRAW 50 且備註可追溯、不進成本／XIRR；刪除行動一併刪除該筆費用
R11（91ec1b0 整份 one shot 重跑）：PASS — demo 真實瀏覽器（頁首 v0.1.28 · 91ec1b0），demo 9／9 項檢查全過：附重組費 50 → toast「已一併登錄重組費用 50 TWD，記為現金支出（不計入成本基礎）…」、資金收支 WITHDRAW 50（#105）且備註可追溯、不進成本／XIRR；刪除行動一併刪除該筆費用</t>
        </is>
      </c>
    </row>
    <row r="57" ht="57.75" customHeight="1" s="43">
      <c r="A57" s="57" t="inlineStr">
        <is>
          <t>D-03</t>
        </is>
      </c>
      <c r="B57" s="58" t="inlineStr">
        <is>
          <t>D</t>
        </is>
      </c>
      <c r="C57" s="59" t="inlineStr">
        <is>
          <t>拆股 1→3（SPLIT）</t>
        </is>
      </c>
      <c r="D57" s="59" t="inlineStr">
        <is>
          <t>選一檔持股，記錄股數 S、原始均價 P、原始成本 C、市值 V、已實現</t>
        </is>
      </c>
      <c r="E57" s="59" t="inlineStr">
        <is>
          <t>＋補登公司行動 → 選『同一檔股票，股數變多或變少』→ 每持有 1 股 → 變成 3 股 → 看試算 → 登錄公司行動</t>
        </is>
      </c>
      <c r="F57" s="59" t="inlineStr">
        <is>
          <t>① 股數 = S×3；② 均價 = P÷3；③ **原始成本 C 完全不變**；④ 市值 V 不變（若同時調整價格）或依規格標示；⑤ 已實現損益不受影響；⑥ 歷史價格／走勢圖是否回調 — 記錄實際行為</t>
        </is>
      </c>
      <c r="G57" s="58" t="inlineStr">
        <is>
          <t>**會改寫持倉**。測畢以刪除該公司行動列還原，並比對股數、均價、成本、市值逐位元</t>
        </is>
      </c>
      <c r="H57" s="59" t="inlineStr">
        <is>
          <t>否（本次稽核完全未測）</t>
        </is>
      </c>
      <c r="I57" s="73" t="inlineStr">
        <is>
          <t>（開跑前已備份 DB）台灣券商 2884（S=100、P=93.2、C=9,320、V=4,645、價 46.45）→ ＋補登公司行動 → 同一檔股票股數變多或變少 → 每 1 股變 3 股 → 試算「行動後 300 股 均價 31.07 成本 9,320 ✓ 成本不變」→ 登錄（POST 201 id 2、toast「✓ 公司行動已登錄 寫入 1 筆（tw_broker）」）→ ① 股數 300；② 均價 31.0666…＝93.2÷3；③ 原始成本 9,320 不變；④ 現價改以 46.45÷3＝15.4833 讀出，市值 4,645 不變、total_market_value 字串不變；⑤ realized 字串不變；⑥ 個股抽屜歷史價格在讀取時回調（2026-09-14 收盤 46.35→15.45），prices_restated 0（不改寫價格表）。對帳 buy 100＋corporate_delta 200＝book 300。測畢刪除該行動（D-10）逐位元還原，歷史收盤回到 46.45</t>
        </is>
      </c>
      <c r="J57" s="72" t="inlineStr">
        <is>
          <t>PASS</t>
        </is>
      </c>
      <c r="K57" s="72" t="n"/>
      <c r="L57" s="62" t="inlineStr">
        <is>
          <t>PASS</t>
        </is>
      </c>
      <c r="M57" s="72" t="inlineStr">
        <is>
          <t>PASS</t>
        </is>
      </c>
      <c r="N57" s="73" t="inlineStr">
        <is>
          <t>持倉 market_value 顯示為 4644.999999999999999999999999（28 位 Decimal 除法殘差），總市值字串不受影響
R8（a16210a 全面重跑）：台灣券商 2884（S=100、P=93.2、C=9,320、V=4,605、價 46.05）→ ＋補登公司行動 → 同一檔股票股數變多或變少 → 每 1 股變 3 股，行動日期 2026-09-27：試算「行動後 2884 300 股 均價 31.07 成本 9,320 ✓ 成本不變 9,320 → 9,320」→ 登錄 POST 201（#24，toast「✓ 公司行動已登錄 寫入 1 筆（台灣券商）」）→ ① 股數 300；② 均價 31.0666…＝93.2÷3；③ 原始／調整成本 9,320 不變；④ 現價以 46.05÷3＝15.35 讀出，市值 4,605 不變、total_market_value 字串不變；⑤ realized 不變；⑥ 個股抽屜歷史收盤於讀取時回調（09-22 46.05→15.35），prices_restated 0。刪除該行動（確認框「確定刪除 2884 在 2026-09-27 的分割？股數、成本與價格基準都會由帳本重建。」）後逐位元還原、歷史收盤回到 46.05。附註：先以行動日期 2026-09-23（早於最新一筆收盤的抓取時間）試登一次，系統依 §5.1(c) 把 09-25 抓到的 09-22 收盤視為供應商已調整過的價格（prices_restated 1），市值因此變 3 倍；這是對虛構分割使用過去日期造成的，真實分割時供應商的歷史價格已回調，故改以晚於抓取時間的日期重做；該次亦已刪除並逐位元還原（reconcile.py 自 755c88a 未變更，非回歸）
R10（3a35454 全面重跑）：PASS — demo 真實瀏覽器（頁首 v0.1.28 · 3a35454），demo 8／8 項檢查全過：2884 1→3 分割：股數 100→300、均價 93.20→31.0667、原始成本 9,320 不變、已實現不變；最新收盤 2026-09-24 已於 09-28（行動日當天，E-01）重新抓取，依 §5.1(c) 視為供應商已調整、不再 ÷3，市值＝300×45.60＝13,680（R8 觀察 ① 同一規則，屬設計）；刪除後逐字相同（首跑時驗證者的檢查程式沒有照 §5.1(c) 的收盤抓取日規則判讀，修正檢查後重跑）
R11（91ec1b0 整份 one shot 重跑）：PASS — demo 真實瀏覽器（頁首 v0.1.28 · 91ec1b0），demo 8／8 項檢查全過：2884 1→3 分割：股數 100→300、均價 93.20→31.0667、原始成本 9,320 不變、已實現不變；最新收盤 2026-09-24（最後抓取 09-28）早於行動日 09-30，依 §5.1(c) 還原 ÷3 → 15.20，市值 4,560 不變；刪除後逐字相同</t>
        </is>
      </c>
    </row>
    <row r="58" ht="43.5" customHeight="1" s="43">
      <c r="A58" s="57" t="inlineStr">
        <is>
          <t>D-04</t>
        </is>
      </c>
      <c r="B58" s="58" t="inlineStr">
        <is>
          <t>D</t>
        </is>
      </c>
      <c r="C58" s="59" t="inlineStr">
        <is>
          <t>合股 5→1（反向分割）</t>
        </is>
      </c>
      <c r="D58" s="59" t="inlineStr">
        <is>
          <t>同 D-03</t>
        </is>
      </c>
      <c r="E58" s="59" t="inlineStr">
        <is>
          <t>每持有 5 股 → 變成 1 股 → 確認</t>
        </is>
      </c>
      <c r="F58" s="59" t="inlineStr">
        <is>
          <t>① 股數 = S÷5；② 均價 = P×5；③ 原始成本不變；④ **餘數（不足 5 股的零股）如何處理**需明確：現金補償或無條件捨去，畫面須說明</t>
        </is>
      </c>
      <c r="G58" s="59" t="inlineStr">
        <is>
          <t>同 D-03，務必還原</t>
        </is>
      </c>
      <c r="H58" s="59" t="inlineStr">
        <is>
          <t>否</t>
        </is>
      </c>
      <c r="I58" s="73" t="inlineStr">
        <is>
          <t>每持有 5 股→1 股：試算「100 股→20 股、均價 93.20→466.00、成本 9,320 不變」；實際登錄（id 4）→ shares 20、original_avg 466、original_cost 9,320、市值 4,645 不變 ①②③；100 可被 5 整除無零股。④ 餘數處理：以 3→1 製造餘數時，登錄後彈出「產生零股 — 產生 0.333333 股 2884 零股，券商通常折現（cash in lieu）。要現在補登這筆賣出嗎？」並提供「補登零股賣出」（見 D-05）。測畢刪除逐位元還原</t>
        </is>
      </c>
      <c r="J58" s="72" t="inlineStr">
        <is>
          <t>PASS</t>
        </is>
      </c>
      <c r="K58" s="72" t="n"/>
      <c r="L58" s="62" t="inlineStr">
        <is>
          <t>PASS</t>
        </is>
      </c>
      <c r="M58" s="72" t="inlineStr">
        <is>
          <t>PASS</t>
        </is>
      </c>
      <c r="N58" s="72" t="inlineStr">
        <is>
          <t>R8（a16210a 全面重跑）：每持有 5 股→1 股（2884，2026-09-27）：試算「行動前 100 股 均價 93.20 成本 9,320 → 行動後 20 股 均價 466.00 成本 9,320 ✓ 成本不變」；登錄 #25 → shares 20 ①、original_avg 466 ②、成本 9,320 不變 ③、現價以 46.05×5＝230.25 讀出、市值 4,605 不變；100 可被 5 整除無零股，④ 餘數處理見 D-05（登錄後彈出「產生零股…補登零股賣出」）。刪除 #25，cmp R8_START same:true
R10（3a35454 全面重跑）：PASS — demo 真實瀏覽器（頁首 v0.1.28 · 3a35454），demo 6／6 項檢查全過：2884 5→1 合股：股數 100→20、均價 ×5＝466、成本 9,320 不變；收盤 09-28 抓取 ≥ 行動日，依 §5.1(c) 市值＝20×45.60＝912；刪除後逐字相同（首跑時驗證者的檢查程式沒有照 §5.1(c) 的收盤抓取日規則判讀，修正檢查後重跑）
R11（91ec1b0 整份 one shot 重跑）：PASS — demo 真實瀏覽器（頁首 v0.1.28 · 91ec1b0），demo 6／6 項檢查全過：2884 5→1 合股：股數 100→20、均價 ×5＝466、成本 9,320 不變；收盤抓取早於行動日，依 §5.1(c) ×5 還原、總市值不變；刪除後逐字相同</t>
        </is>
      </c>
    </row>
    <row r="59" ht="29.25" customHeight="1" s="43">
      <c r="A59" s="57" t="inlineStr">
        <is>
          <t>D-05</t>
        </is>
      </c>
      <c r="B59" s="58" t="inlineStr">
        <is>
          <t>D</t>
        </is>
      </c>
      <c r="C59" s="59" t="inlineStr">
        <is>
          <t>合股產生小數股</t>
        </is>
      </c>
      <c r="D59" s="59" t="inlineStr">
        <is>
          <t>選一檔股數不能被比例整除的持倉</t>
        </is>
      </c>
      <c r="E59" s="59" t="inlineStr">
        <is>
          <t>以會產生餘數的比例合股</t>
        </is>
      </c>
      <c r="F59" s="59" t="inlineStr">
        <is>
          <t>系統不得靜默產生小數股或吞掉餘額；需有明確處理與說明</t>
        </is>
      </c>
      <c r="G59" s="59" t="inlineStr">
        <is>
          <t>同上</t>
        </is>
      </c>
      <c r="H59" s="59" t="inlineStr">
        <is>
          <t>否</t>
        </is>
      </c>
      <c r="I59" s="72" t="inlineStr">
        <is>
          <t>2884 100 股以每 3 股→1 股合股：試算顯示「行動後 33.333333 股 均價 279.60 成本 9,320」（API fractions 列出 0.3333 股零股），登錄鈕可按；登錄後（id 3）立即彈出「產生零股 ✕ 產生 0.333333 股 2884 零股，券商通常折現（cash in lieu）。要現在補登這筆賣出嗎？（股數已帶入，價格請填實際收到的金額 ÷ 股數）取消／補登零股賣出」→ 有明確處理與說明，未靜默吞掉；按取消則持倉保留 33.333… 股。測畢刪除該行動，逐位元還原</t>
        </is>
      </c>
      <c r="J59" s="72" t="inlineStr">
        <is>
          <t>PASS</t>
        </is>
      </c>
      <c r="K59" s="72" t="n"/>
      <c r="L59" s="62" t="inlineStr">
        <is>
          <t>PASS</t>
        </is>
      </c>
      <c r="M59" s="72" t="inlineStr">
        <is>
          <t>PASS</t>
        </is>
      </c>
      <c r="N59" s="73" t="inlineStr">
        <is>
          <t>提示只在登錄「之後」出現，試算區未預先顯示零股說明（API 已有 fractions）；按取消即留下小數股台股持倉，交 owner 參考
R8（a16210a 全面重跑）：2884 100 股以每 3 股→1 股合股：試算「行動後 2884 33.333333 股 均價 279.60 成本 9,320 ✓ 成本不變」，登錄鈕可按；登錄後（#26）立即彈出「產生零股 產生 0.333333 股 2884 零股，券商通常折現（cash in lieu）。要現在補登這筆賣出嗎？（股數已帶入，價格請填實際收到的金額 ÷ 股數） 取消／補登零股賣出」→ 有明確處理與說明，未靜默吞掉；按取消則持倉保留 33.333… 股（與 R1 相同，提示只在登錄後出現）。刪除 #26，cmp R8_START same:true
R10（3a35454 全面重跑）：PASS — demo 真實瀏覽器（頁首 v0.1.28 · 3a35454），demo 5／5 項檢查全過：3→1 產生 33.333333 股：試算成本不變、跳出「產生 0.333333 股零股，券商通常折現…補登零股賣出」、成本不被吞；刪除後逐字相同
R11（91ec1b0 整份 one shot 重跑）：PASS — demo 真實瀏覽器（頁首 v0.1.28 · 91ec1b0），demo 5／5 項檢查全過：3→1 產生 33.333333 股：試算成本 9,320 不變、跳出「產生 0.333333 股 2884 零股，券商通常折現…補登零股賣出」、成本不被吞；刪除後逐字相同</t>
        </is>
      </c>
    </row>
    <row r="60" ht="72" customHeight="1" s="43">
      <c r="A60" s="57" t="inlineStr">
        <is>
          <t>D-06</t>
        </is>
      </c>
      <c r="B60" s="58" t="inlineStr">
        <is>
          <t>D</t>
        </is>
      </c>
      <c r="C60" s="59" t="inlineStr">
        <is>
          <t>換股／更名（EXCHANGE，1:1）</t>
        </is>
      </c>
      <c r="D60" s="59" t="inlineStr">
        <is>
          <t>選一檔持股 X，記錄其股數、成本、目標價、觀察清單狀態</t>
        </is>
      </c>
      <c r="E60" s="59" t="inlineStr">
        <is>
          <t>＋補登公司行動 → 選『整個部位換成另一檔股票』→ 每 1 股 → 換得 1 股新代號 Y → 看試算 → 登錄公司行動</t>
        </is>
      </c>
      <c r="F60" s="58" t="inlineStr">
        <is>
          <t>① X 部位歸零、Y 部位出現；② **成本基礎完整移轉**（原始成本不變）；③ 目標價一併移到 Y 且數值不變（畫面應有「✓ … 會一併移到 …」提示）；④ 帳本歷史交易的顯示方式（保留舊代號或改寫）需記錄；⑤ 洞察卡與觀察清單的舊代號如何處理</t>
        </is>
      </c>
      <c r="G60" s="58" t="inlineStr">
        <is>
          <t>**影響範圍最大**。務必先記錄完整基準，測畢刪除並全面比對</t>
        </is>
      </c>
      <c r="H60" s="59" t="inlineStr">
        <is>
          <t>否</t>
        </is>
      </c>
      <c r="I60" s="73" t="inlineStr">
        <is>
          <t>前置：2884 玉山金控 100 股、原始成本 9,320、均價 93.20；為了驗③先在觀察清單把 2884 目標價設為 40／55（PUT /api/instruments/2884 200）；2882 國泰金已註冊、未持有、無目標價。＋補登公司行動 → 整個部位換成另一檔股票，台灣券商 2884 → 2882 每 1 股換 1 股：試算「行動後 2884 0 股、2882 100 股、均價 93.20、成本 9,320 → 9,320 ✓」並顯示「✓ 2884 的目標價（下限 40、上限 55）會一併移到 2882，數值不變」。登錄（id 8）後：① 2884 部位消失、2882 出現 100 股 ✓；② 原始／調整成本 9,320 完整移轉 ✓（市值 4,645→11,250，差 6,605 與 total_market_value 差額相符；realized 字串完全相同）；③ 目標價 2882 = 40／55、2884 = 空 ✓（觀察清單：2882「≤40 ≥55 突破・持有」，2884「—・觀察」）；④ 帳本歷史交易 #12（2026-07-02 買 2884）保留舊代號、不改寫；公司行動帳本列「換股 2884 玉山金控 → 2882 國泰金 每 1 股 → 1 股」；⑤ AI 洞察 › 持倉健診仍列 2884 舊卡（12 筆歷史），無「未知代號」標記；2882 無卡</t>
        </is>
      </c>
      <c r="J60" s="72" t="inlineStr">
        <is>
          <t>PASS</t>
        </is>
      </c>
      <c r="K60" s="72" t="n"/>
      <c r="L60" s="62" t="inlineStr">
        <is>
          <t>PASS</t>
        </is>
      </c>
      <c r="M60" s="72" t="inlineStr">
        <is>
          <t>PASS</t>
        </is>
      </c>
      <c r="N60" s="73" t="inlineStr">
        <is>
          <t>目標價在刪除換股後不會移回（見 D-10／DEF-021）；目標價設定日期以 UTC 記錄（見 DEF-022）
R8（a16210a 全面重跑）：前置：2884 玉山金控 100 股、成本 9,320、均價 93.20；先把 2884 目標價設為 40／55（PUT /api/instruments/2884 200）；2882 國泰金已註冊、未持有、無目標價。＋補登公司行動 → 整個部位換成另一檔股票，台灣券商 2884 → 2882 每 1 股換 1 股（2026-09-27）：試算「行動後 2884 0 股、2882 100 股 均價 93.20、成本合計 9,320 → 9,320 ✓」並顯示「✓ 2884 的目標價（下限 40、上限 55）會一併移到 2882，數值不變；刪除此行動時若 2882 的目標價未再改動會自動移回 2884」。登錄（#30，band_moved set_at 2026-09-27）後：① 2884 部位消失、2882 出現 100 股 ✓；② 原始／調整成本 9,320 完整移轉 ✓（市值 4,605→11,200，差 6,595 與 total_market_value 差額相符；realized 字串完全相同）；③ 目標價 2882＝40／55、2884＝空 ✓；④ 帳本歷史交易 #12（2026-07-02 買 2884）保留舊代號、不改寫；公司行動列「換股 2884 玉山金控 → 2882 國泰金 每 1 股 → 1 股」；⑤ AI 洞察 › 持倉健診仍列 2884 舊卡（歷史 13 筆），無「未知代號」標記。刪除時確認框「登錄時移到 2882 的目標價（下限 40、上限 55）未再改動，會自動移回 2884。」→ DELETE 200 band_restored true，目標價回到 2884（R1 的 DEF-021 已修好），cmp R8_START same:true
R10（3a35454 全面重跑）：PASS — demo 真實瀏覽器（頁首 v0.1.28 · 3a35454），demo 11／11 項檢查全過：2884→2882 換股：2884 歸 0、2882 承接成本 9,320、目標區間 40／55 隨之移到 2882、歷史交易保留舊代號；刪除後區間回到 2884、舊代號不被標未知；逐字相同
R11（91ec1b0 整份 one shot 重跑）：PASS — demo 真實瀏覽器（頁首 v0.1.28 · 91ec1b0），demo 11／11 項檢查全過：2884→2882 換股：2884 歸 0、2882 承接成本 9,320、目標區間 40／55 隨之移到 2882、歷史交易保留舊代號；刪除後區間回到 2884、舊代號不被標未知；逐字相同</t>
        </is>
      </c>
    </row>
    <row r="61" ht="29.25" customHeight="1" s="43">
      <c r="A61" s="57" t="inlineStr">
        <is>
          <t>D-07</t>
        </is>
      </c>
      <c r="B61" s="58" t="inlineStr">
        <is>
          <t>D</t>
        </is>
      </c>
      <c r="C61" s="59" t="inlineStr">
        <is>
          <t>換股（非 1:1，含現金找補）</t>
        </is>
      </c>
      <c r="D61" s="59" t="inlineStr">
        <is>
          <t>同上</t>
        </is>
      </c>
      <c r="E61" s="59" t="inlineStr">
        <is>
          <t>＋補登公司行動 → 『整個部位換成另一檔股票』→ 每 2 股 → 換得 1 股新代號</t>
        </is>
      </c>
      <c r="F61" s="59" t="inlineStr">
        <is>
          <t>① 新股數與成本分攤正確；② 重組費用會寫出一筆現金 WITHDRAW（kind=出金），金額與備註正確</t>
        </is>
      </c>
      <c r="G61" s="59" t="inlineStr">
        <is>
          <t>會同時動持倉與現金。兩邊都要還原</t>
        </is>
      </c>
      <c r="H61" s="59" t="inlineStr">
        <is>
          <t>否</t>
        </is>
      </c>
      <c r="I61" s="73" t="inlineStr">
        <is>
          <t>台灣券商 2884（100 股、成本 9,320）→ 2882，每 2 股換 1 股，重組費用 30、備註「QA D-07 2換1」：試算「2882 50 股、均價 186.40、成本 9,320 → 9,320 ✓」；登錄（公司行動 id 9 ＋ POST /api/cash/movements {kind:WITHDRAW, amount 30, note「重組費用 2884 2026-09-23」} 201 id 47）→ ① 2882 50 股、original_avg 186.4、成本 9,320（＝9,320÷50）✓；② 資金收支出現「出金 30 TWD」、備註可追溯 ✓，toast「已登錄重組費用 記為現金支出，不計入成本基礎」；trading_financing_cost 191 不變。另以 3 換 1 試算（不登錄）：2882 33.333333 股、API fractions 列出 0.3333 股，零股處理同 D-05（登錄後才出現「補登零股賣出」）。2882 已有目標價時 band_move=null（不覆寫）✓</t>
        </is>
      </c>
      <c r="J61" s="72" t="inlineStr">
        <is>
          <t>PASS</t>
        </is>
      </c>
      <c r="K61" s="72" t="n"/>
      <c r="L61" s="62" t="inlineStr">
        <is>
          <t>PASS</t>
        </is>
      </c>
      <c r="M61" s="72" t="inlineStr">
        <is>
          <t>PASS</t>
        </is>
      </c>
      <c r="N61" s="73" t="inlineStr">
        <is>
          <t>表單沒有「現金找補」欄位，零股以登錄後的補登零股賣出處理。還原：刪除行動 id 9 後重組費出金 #47 仍在（DEF-020 再現），另於資金管理刪除 #47 後逐位元還原
R8（a16210a 全面重跑）：台灣券商 2884（100 股、成本 9,320）→ 2882，每 2 股換 1 股、重組費用 30、備註「QA R8 D-07 2換1」（2026-09-27）：試算「2882 50 股、均價 186.40、成本合計 9,320 → 9,320 ✓」；登錄（#31，同一請求帶回重組費用出金）→ ① 2882 50 股、original_avg 186.4、成本 9,320（＝9,320÷50）✓；② 資金收支出現 kind withdraw 30 TWD、備註「重組費用 2884 2026-09-27」可追溯 ✓，toast「✓ 已一併登錄重組費用 30 TWD，記為現金支出（不計入成本基礎）；刪除此公司行動時會一併刪除」；trading_financing_cost 191 不變。另以 3 換 1 試算（不登錄）：2882 33.333333 股、均價 279.60，零股處理同 D-05。刪除時確認框同時說明「會一併刪除這筆行動的重組費用出金…」與「目標價…會自動移回 2884」→ fee_deleted、band_restored 皆成立，出金不再殘留（R1 的 DEF-020 再現已不存在）；最後把 2884 目標價清回空白，目標價清單 0 筆、cmp R8_START same:true
R10（3a35454 全面重跑）：PASS — demo 真實瀏覽器（頁首 v0.1.28 · 3a35454），demo 4／4 項檢查全過：換股附現金：新股數 ÷2、成本承接、均價＝成本÷新股數；WITHDRAW 30 備註可追溯；刪除後逐字相同
R11（91ec1b0 整份 one shot 重跑）：PASS — demo 真實瀏覽器（頁首 v0.1.28 · 91ec1b0），demo 4／4 項檢查全過：換股附現金：新股數 ÷2、成本承接、均價＝成本÷新股數；WITHDRAW 30（#106）備註可追溯；刪除後逐字相同</t>
        </is>
      </c>
    </row>
    <row r="62" ht="57.75" customHeight="1" s="43">
      <c r="A62" s="57" t="inlineStr">
        <is>
          <t>D-08</t>
        </is>
      </c>
      <c r="B62" s="58" t="inlineStr">
        <is>
          <t>D</t>
        </is>
      </c>
      <c r="C62" s="59" t="inlineStr">
        <is>
          <t>分拆（SPINOFF）</t>
        </is>
      </c>
      <c r="D62" s="59" t="inlineStr">
        <is>
          <t>選一檔持股</t>
        </is>
      </c>
      <c r="E62" s="59" t="inlineStr">
        <is>
          <t>＋補登公司行動 → 選『原持股不變，另外多拿到一檔新股票』→ 每 1 股 → 另外配發 1 股 Y（比例只收整數）→ 看試算 → 登錄公司行動</t>
        </is>
      </c>
      <c r="F62" s="59" t="inlineStr">
        <is>
          <t>① 原持股股數不變；② 新增 Y 部位；③ **成本在母子之間分攤**，分攤比例需可檢視且母+子 = 原成本；④ 分攤後兩邊均價正確</t>
        </is>
      </c>
      <c r="G62" s="59" t="inlineStr">
        <is>
          <t>同 D-03，務必還原</t>
        </is>
      </c>
      <c r="H62" s="59" t="inlineStr">
        <is>
          <t>否</t>
        </is>
      </c>
      <c r="I62" s="73" t="inlineStr">
        <is>
          <t>台灣券商 2884（100 股、成本 9,320）選「原持股不變，另外多拿到一檔新股票」→ 每 1 股另外配發 1 股 2882、成本分攤比例 0.3：試算「2884 100 股 均價 65.24 成本 6,524；2882 100 股 均價 27.96 成本 2,796；成本合計 9,320 → 9,320 ✓」；登錄（id 10）→ ① 2884 仍 100 股 ✓；② 2882 新部位 100 股 ✓；③ 6,524＋2,796＝9,320，分攤比例 0.3 顯示在公司行動帳本「成本分攤」欄 ✓；④ 均價 6,524÷100＝65.24、2,796÷100＝27.96 ✓（original 與 adjusted 皆同）。刪除 id 10 後六段 JSON＋計數與觀察清單列表逐位元還原</t>
        </is>
      </c>
      <c r="J62" s="72" t="inlineStr">
        <is>
          <t>PASS</t>
        </is>
      </c>
      <c r="K62" s="72" t="n"/>
      <c r="L62" s="62" t="inlineStr">
        <is>
          <t>PASS</t>
        </is>
      </c>
      <c r="M62" s="72" t="inlineStr">
        <is>
          <t>PASS</t>
        </is>
      </c>
      <c r="N62" s="72" t="inlineStr">
        <is>
          <t>R8（a16210a 全面重跑）：台灣券商 2884（100 股、成本 9,320）選「原持股不變，另外多拿到一檔新股票」→ 每 1 股另外配發 1 股 2882、成本分攤比例 0.3（2026-09-27）：試算「行動後 2884 100 股 均價 65.24 成本 6,524；2882 100 股 均價 27.96 成本 2,796；✓ 成本合計不變 9,320 → 9,320」；登錄（#32）→ ① 2884 仍 100 股 ✓；② 2882 新部位 100 股 ✓；③ 6,524＋2,796＝9,320，分攤比例 0.3 顯示在公司行動帳本「成本分攤」欄（列「分拆 2884 玉山金控 2882 國泰金 每 1 股 → 1 股 0.3」）✓；④ 均價 65.24、27.96（original 與 adjusted 皆同）✓。刪除 #32 後 cmp R8_START same:true、觀察清單 26 檔／0 封存／目標價 0
R10（3a35454 全面重跑）：PASS — demo 真實瀏覽器（頁首 v0.1.28 · 3a35454），demo 8／8 項檢查全過：分拆試算：母 6,524＋子 2,796＝9,320；寫入後母股數不變、子部位 100 股、帳本顯示比例、均價 65.24／27.96；刪除後逐字相同
R11（91ec1b0 整份 one shot 重跑）：PASS — demo 真實瀏覽器（頁首 v0.1.28 · 91ec1b0），demo 8／8 項檢查全過：分拆試算：母 6,524＋子 2,796＝9,320；寫入後母股數 100 不變、子部位 100 股、帳本顯示比例、均價 65.24／27.96；刪除後逐字相同</t>
        </is>
      </c>
    </row>
    <row r="63" ht="29.25" customHeight="1" s="43">
      <c r="A63" s="57" t="inlineStr">
        <is>
          <t>D-09</t>
        </is>
      </c>
      <c r="B63" s="58" t="inlineStr">
        <is>
          <t>D</t>
        </is>
      </c>
      <c r="C63" s="59" t="inlineStr">
        <is>
          <t>公司行動後再賣出</t>
        </is>
      </c>
      <c r="D63" s="59" t="inlineStr">
        <is>
          <t>承 D-03（已拆股）</t>
        </is>
      </c>
      <c r="E63" s="59" t="inlineStr">
        <is>
          <t>賣出拆股後的部分股數</t>
        </is>
      </c>
      <c r="F63" s="59" t="inlineStr">
        <is>
          <t>已實現損益以**拆股後的均價**計算；成本移除量正確</t>
        </is>
      </c>
      <c r="G63" s="59" t="inlineStr">
        <is>
          <t>兩筆都要刪除還原</t>
        </is>
      </c>
      <c r="H63" s="59" t="inlineStr">
        <is>
          <t>否</t>
        </is>
      </c>
      <c r="I63" s="73" t="inlineStr">
        <is>
          <t>承 D-03（已拆股 300 股、均價 31.0667）賣出 150@15.50：草稿 調整成本移除 4,660、已實現 −2,361；寫入 #87 → realized 列 original_cost_removed 4660.0（＝150×31.0667）、realized −2361.00（＝淨收 2,299−4,660）、剩 150 股均價不變；同日行動（優先序 CORPORATE_ACTION）先於賣出套用。兩筆（#87、行動）皆刪除後逐位元還原</t>
        </is>
      </c>
      <c r="J63" s="72" t="inlineStr">
        <is>
          <t>PASS</t>
        </is>
      </c>
      <c r="K63" s="72" t="n"/>
      <c r="L63" s="62" t="inlineStr">
        <is>
          <t>PASS</t>
        </is>
      </c>
      <c r="M63" s="72" t="inlineStr">
        <is>
          <t>PASS</t>
        </is>
      </c>
      <c r="N63" s="72" t="inlineStr">
        <is>
          <t>R8（a16210a 全面重跑）：承 D-03（已拆股 300 股、均價 31.0667）賣出 150@15.50（2026-09-27）：草稿 手續費 20、交易稅 6、淨收 2,299、調整成本移除 4,660、已實現 −2,361；寫入 #131 → realized 列 original_cost_removed 4660.0（＝150×31.0667）、realized −2361.00（＝2,299−4,660）、剩 150 股均價 31.0667 不變。#131 與行動 #24 皆刪除後 cmp R8_START same:true
R10（3a35454 全面重跑）：PASS — demo 真實瀏覽器（頁首 v0.1.28 · 3a35454），demo 4／4 項檢查全過：分割後賣 150：成本以分割後均價移除 150×31.0667＝4,660；刪除後逐字相同
R11（91ec1b0 整份 one shot 重跑）：PASS — demo 真實瀏覽器（頁首 v0.1.28 · 91ec1b0），demo 4／4 項檢查全過：分割後賣 150：成本以分割後均價移除 150×31.0667＝4,660；刪除後逐字相同</t>
        </is>
      </c>
    </row>
    <row r="64" ht="29.25" customHeight="1" s="43">
      <c r="A64" s="57" t="inlineStr">
        <is>
          <t>D-10</t>
        </is>
      </c>
      <c r="B64" s="58" t="inlineStr">
        <is>
          <t>D</t>
        </is>
      </c>
      <c r="C64" s="59" t="inlineStr">
        <is>
          <t>公司行動的刪除／撤銷</t>
        </is>
      </c>
      <c r="D64" s="59" t="inlineStr">
        <is>
          <t>承任一已寫入的行動</t>
        </is>
      </c>
      <c r="E64" s="59" t="inlineStr">
        <is>
          <t>由公司行動帳本刪除該列</t>
        </is>
      </c>
      <c r="F64" s="59" t="inlineStr">
        <is>
          <t>持倉、均價、成本、目標價、現金、**子公司起始價**全部回到行動前的狀態，逐位元比對；分拆寫入的子公司起始價若之後已被正式報價覆蓋而不可移除，刪除確認框與 toast 需說明原因（2026-09-24 owner 裁定 DEF-040）</t>
        </is>
      </c>
      <c r="G64" s="59" t="inlineStr">
        <is>
          <t>這是還原步驟本身——若還原不完整即為重大缺陷</t>
        </is>
      </c>
      <c r="H64" s="59" t="inlineStr">
        <is>
          <t>否</t>
        </is>
      </c>
      <c r="I64" s="73" t="inlineStr">
        <is>
          <t>逐一刪除本輪寫入的公司行動：拆股（D-03）、合股（D-04／D-05）、兩帳戶 AAPL（D-02b，整組刪除）、分拆（D-08）、未套用（D-11）→ kpis／holdings／realized／allocation／現金餘額與各帳本列數皆與行動前逐位元相同 ✓。✗ 兩處不完整：① 含重組費用的行動（D-02c、D-07）刪除後，重組費出金 #46、#47 仍留在資金收支，TWD 餘額停在 6,067,565（少 30）；② 換股（D-06）刪除後，目標價 40／55 仍留在 2882、2884 仍為空（行動前 2884＝40／55、2882＝空），刪除確認框只寫「股數、成本與價格基準都會由帳本重建」，沒有提到目標價不會移回</t>
        </is>
      </c>
      <c r="J64" s="72" t="inlineStr">
        <is>
          <t>FAIL</t>
        </is>
      </c>
      <c r="K64" s="72" t="inlineStr">
        <is>
          <t>DEF-020, DEF-021, DEF-040, DEF-052, DEF-060, DEF-063</t>
        </is>
      </c>
      <c r="L64" s="62" t="inlineStr">
        <is>
          <t>結案</t>
        </is>
      </c>
      <c r="M64" s="72" t="inlineStr">
        <is>
          <t>PASS</t>
        </is>
      </c>
      <c r="N64" s="73" t="inlineStr">
        <is>
          <t>兩處皆以手動方式還原（資金管理刪除出金；觀察清單改回目標價）
R2：DEF-020、DEF-021 複驗通過結案；依 OBS-1 裁定新增期望「刪除分拆時移除子公司起始價」，新開 DEF-040
R3：DEF-040 部分通過：正常路徑可逆，但子公司當日已有正式報價時存檔覆蓋、刪除後原報價遺失（本機重現）；附帶 DEF-052（帳本列不顯示重組費用）、DEF-060（改日期搬移起始價，owner 已裁定）
R4：DEF-040 複驗通過結案（2882 在 2026-09-22 已有 yfinance 112.0：表單事先說明不寫入、存檔與刪除後 117 點逐欄不變）；DEF-052、DEF-060 複驗通過結案；附帶 DEF-063（孤兒起始價清理腳本，owner 已裁定）
R5：DEF-063 複驗通過結案（本機重放腳本 7 情境：孤兒刪 1、被擁有與簽章不完整各保留 1、先備份、稽核與 action_log、重跑 no-op；demo 試跑 0 筆）
R10（3a35454 全面重跑）：PASS — demo 真實瀏覽器（頁首 v0.1.28 · 3a35454），demo 5／5 項檢查全過：分拆附子公司起始價：刪除後子公司價格歷史逐字相同（正式報價保留、起始價移除），持倉／成本／現金／區間逐字還原
R11（91ec1b0 整份 one shot 重跑）：PASS — demo 真實瀏覽器（頁首 v0.1.28 · 91ec1b0），demo 5／5 項檢查全過：分拆附子公司起始價：刪除後子公司價格歷史逐字相同（正式報價保留、起始價移除），持倉／成本／現金／區間逐字還原</t>
        </is>
      </c>
    </row>
    <row r="65" ht="29.25" customHeight="1" s="43">
      <c r="A65" s="57" t="inlineStr">
        <is>
          <t>D-11</t>
        </is>
      </c>
      <c r="B65" s="58" t="inlineStr">
        <is>
          <t>D</t>
        </is>
      </c>
      <c r="C65" s="59" t="inlineStr">
        <is>
          <t>未套用行動提示</t>
        </is>
      </c>
      <c r="D65" s="58" t="inlineStr">
        <is>
          <t>—</t>
        </is>
      </c>
      <c r="E65" s="59" t="inlineStr">
        <is>
          <t>檢視儀表板的 `unapplied_actions` 區塊</t>
        </is>
      </c>
      <c r="F65" s="59" t="inlineStr">
        <is>
          <t>① 有未套用行動時提示可見且有入口；② 套用後提示消失</t>
        </is>
      </c>
      <c r="G65" s="59" t="inlineStr">
        <is>
          <t>唯讀</t>
        </is>
      </c>
      <c r="H65" s="59" t="inlineStr">
        <is>
          <t>否</t>
        </is>
      </c>
      <c r="I65" s="73" t="inlineStr">
        <is>
          <t>製造情境：台灣券商買 2882 100 股（#88，2026-09-22）→ 登錄 2882 分割 1→2（id 11，2026-09-23）→ 刪除 #88（刪除框只寫「統計將由其餘帳本紀錄重建」，未警告會使公司行動無法套用）。GET /api/dashboard → unapplied_actions 1 列（reason「2882（tw_broker）於 2026-09-23 沒有持倉，無法套用公司行動 — …」），kpis.xirr null。畫面：年化報酬（XIRR）顯示「— 資料不足」，細節只在滑鼠提示（title）裡；總損益口徑顯示「帳本中有公司行動無法套用（待釐清）…」。✗ 儀表板沒有入口：行動清單／資料與系統待辦沒有這一筆、公司行動帳本列沒有「未套用」標記，只有點進 2882 個股抽屜才看到「⚠ 公司行動未套用…」；提示句與抽屜都顯示帳戶 API 原名「tw_broker」。② 刪除該行動後 unapplied_actions=[]、XIRR 回到 10.22406575305222、六段 JSON＋計數逐位元相同 ✓</t>
        </is>
      </c>
      <c r="J65" s="72" t="inlineStr">
        <is>
          <t>FAIL</t>
        </is>
      </c>
      <c r="K65" s="72" t="inlineStr">
        <is>
          <t>DEF-022, DEF-023</t>
        </is>
      </c>
      <c r="L65" s="62" t="inlineStr">
        <is>
          <t>結案</t>
        </is>
      </c>
      <c r="M65" s="72" t="inlineStr">
        <is>
          <t>PASS</t>
        </is>
      </c>
      <c r="N65" s="73" t="inlineStr">
        <is>
          <t>個股抽屜同時顯示「0 股 ✓ 對帳一致」與「⚠ 公司行動未套用」；另：前置步驟的分割試算誤報目標價「設定於 2026-09-22、早於這筆分割」（見 DEF-022）
R2：DEF-022 結案；DEF-023 複驗未過：儀表板未套用區塊因 app.js:100 提前 return 永不顯示
R3：DEF-023 複驗通過結案（無未註冊標的時區塊與連結正常）
R10（3a35454 全面重跑）：PASS — demo 真實瀏覽器（頁首 v0.1.28 · 3a35454），demo 6／6 項檢查全過：刪除分割前的買入使行動無法套用 → unapplied_actions 1 列；儀表板橫幅「⚠ 帳本中有 1 筆公司行動無法套用（待釐清）…」以「台灣券商」稱呼帳戶（無原始 token）、附「前往該筆公司行動」（action_id=51）；刪除行動後 API 清單為空、重新載入無橫幅（首跑時驗證者的檢查程式沒有照新的橫幅文字（現為「無法套用」）判讀，修正檢查後重跑）
R11（91ec1b0 整份 one shot 重跑）：PASS — demo 真實瀏覽器（頁首 v0.1.28 · 91ec1b0），demo 6／6 項檢查全過：刪除分割前的買入使行動無法套用 → unapplied_actions 1 列；儀表板橫幅「⚠ 帳本中有 1 筆公司行動無法套用（待釐清）…台灣券商・2882・2026-09-23・分割…」以帳戶名稱稱呼（無原始 token）並附前往該筆行動的入口；解決後 API 清單為空、重新載入無橫幅</t>
        </is>
      </c>
    </row>
    <row r="66" ht="43.5" customHeight="1" s="43">
      <c r="A66" s="57" t="inlineStr">
        <is>
          <t>D-12</t>
        </is>
      </c>
      <c r="B66" s="58" t="inlineStr">
        <is>
          <t>D</t>
        </is>
      </c>
      <c r="C66" s="59" t="inlineStr">
        <is>
          <t>公司行動與賣超防護的連動</t>
        </is>
      </c>
      <c r="D66" s="59" t="inlineStr">
        <is>
          <t>承 B-11（門 3）</t>
        </is>
      </c>
      <c r="E66" s="59" t="inlineStr">
        <is>
          <t>賣超被擋時點擊預覽內的補登提示（或 422 三選一對話框的第一個選項）</t>
        </is>
      </c>
      <c r="F66" s="59" t="inlineStr">
        <is>
          <t>直接帶入該標的、帳戶與**賣出日期作為日期上限**（晚於賣出日的行動不可能是解釋），代號預填正確</t>
        </is>
      </c>
      <c r="G66" s="59" t="inlineStr">
        <is>
          <t>不寫入</t>
        </is>
      </c>
      <c r="H66" s="59" t="inlineStr">
        <is>
          <t>否</t>
        </is>
      </c>
      <c r="I66" s="73" t="inlineStr">
        <is>
          <t>承 B-11（賣 2330 2,600 @ 2026-07-01 被判賣超）→ 點預覽內「補登公司行動」：開啟補登表單，前言帶入賣超原因句；帳戶預選 tw_broker、代號 2330、行動日期 2026-07-01 且 input max=2026-07-01（日期上限＝賣出日）</t>
        </is>
      </c>
      <c r="J66" s="72" t="inlineStr">
        <is>
          <t>PASS</t>
        </is>
      </c>
      <c r="K66" s="72" t="n"/>
      <c r="L66" s="62" t="inlineStr">
        <is>
          <t>PASS</t>
        </is>
      </c>
      <c r="M66" s="72" t="inlineStr">
        <is>
          <t>PASS</t>
        </is>
      </c>
      <c r="N66" s="73" t="inlineStr">
        <is>
          <t>僅開表單未登錄（取消關閉）
R8（a16210a 全面重跑）：承 B-11（賣 2330 2,600 @ 2026-07-01 被判賣超）→ 點預覽內「這是公司行動造成的（分割／換股／分拆）→ 補登公司行動」：開啟補登表單，前言帶入賣超原因句「這筆賣出被判為賣超：賣出 2600 股，超過 2026-07-01 當日持有的 2000 股…若原因是漏登公司行動，補登後股數就會對上，成本基礎不會被捨棄。」；帳戶預選 tw_broker、代號 2330、行動日期 2026-07-01 且 input max=2026-07-01（日期上限＝賣出日）✓。僅開表單未登錄（取消關閉），公司行動 0 筆、cmp R8_START same:true
R10（3a35454 全面重跑）：PASS — demo 真實瀏覽器（頁首 v0.1.28 · 3a35454），demo 4／4 項檢查全過：賣超列的「補登公司行動」帶入台灣券商／2330、日期上限 2026-07-01、原因句帶入表單；未寫入
R11（91ec1b0 整份 one shot 重跑）：PASS — demo 真實瀏覽器（頁首 v0.1.28 · 91ec1b0），demo 4／4 項檢查全過：賣超列的「補登公司行動」帶入台灣券商／2330、日期上限 2026-07-01、原因句「賣出 2600 股，超過 2026-07-01 當日持有的 2000 股…」帶入表單；未寫入</t>
        </is>
      </c>
    </row>
    <row r="67" ht="43.5" customHeight="1" s="43">
      <c r="A67" s="57" t="inlineStr">
        <is>
          <t>D-13</t>
        </is>
      </c>
      <c r="B67" s="58" t="inlineStr">
        <is>
          <t>D</t>
        </is>
      </c>
      <c r="C67" s="59" t="inlineStr">
        <is>
          <t>公司行動帳本匯出</t>
        </is>
      </c>
      <c r="D67" s="59" t="inlineStr">
        <is>
          <t>承任一已寫入的行動</t>
        </is>
      </c>
      <c r="E67" s="59" t="inlineStr">
        <is>
          <t>匯出公司行動帳本 CSV</t>
        </is>
      </c>
      <c r="F67" s="59" t="inlineStr">
        <is>
          <t>列數與欄位正確，比例、日期、代號與畫面一致</t>
        </is>
      </c>
      <c r="G67" s="59" t="inlineStr">
        <is>
          <t>唯讀</t>
        </is>
      </c>
      <c r="H67" s="59" t="inlineStr">
        <is>
          <t>部分（端點已驗 200，內容為空）</t>
        </is>
      </c>
      <c r="I67" s="73" t="inlineStr">
        <is>
          <t>承 D-06／D-07：公司行動分頁 › ⬇匯出 CSV（POST /api/export/ledger {kind:actions} 200，檔名 ledger_actions_all_all.csv）。1:1 時內容「8,tw_broker,2026-09-23,EXCHANGE,2884,2882,1,1,,,,」；2 換 1 時「9,tw_broker,2026-09-23,EXCHANGE,2884,2882,1,2,,QA D-07 2換1,,」→ 列數 1＝畫面 1 列；欄位 id,account_id,date,kind,from_symbol,to_symbol,ratio_to,ratio_from,cost_carry,note,import_batch_id,source_row_hash；ratio_from=2／ratio_to=1 與畫面「每 2 股 → 1 股」一致，日期、代號、備註一致</t>
        </is>
      </c>
      <c r="J67" s="72" t="inlineStr">
        <is>
          <t>PASS</t>
        </is>
      </c>
      <c r="K67" s="72" t="n"/>
      <c r="L67" s="62" t="inlineStr">
        <is>
          <t>PASS</t>
        </is>
      </c>
      <c r="M67" s="72" t="inlineStr">
        <is>
          <t>PASS</t>
        </is>
      </c>
      <c r="N67" s="73" t="inlineStr">
        <is>
          <t>下載以攔截 blob 取得內容，未存到本機
R8（a16210a 全面重跑）：公司行動分頁 › 匯出 CSV（POST /api/export/ledger {kind:actions} 200，檔名 ledger_actions_all_all.csv）。1:1 時「30,tw_broker,2026-09-27,EXCHANGE,2884,2882,1,1,,QA-R8-D06,…,band_move_json」；2 換 1 時「31,tw_broker,2026-09-27,EXCHANGE,2884,2882,1,2,,QA R8 D-07 2換1,…」→ 列數 1＝畫面 1 列；ratio_from=2／ratio_to=1 與畫面「每 2 股 → 1 股」一致，日期、代號、備註一致；新增的 band_move_json 欄記錄目標價移轉內容
R10（3a35454 全面重跑）：PASS — demo 真實瀏覽器（頁首 v0.1.28 · 3a35454），demo 4／4 項檢查全過：公司行動帳本匯出：檔名 ledger_actions_all_all.csv、1 列＋表頭，比例／日期／代號與表單一致；刪除後逐字相同
R11（91ec1b0 整份 one shot 重跑）：PASS — demo 真實瀏覽器（頁首 v0.1.28 · 91ec1b0），demo 4／4 項檢查全過：公司行動帳本匯出：檔名 ledger_actions_all_all.csv、1 列＋表頭，比例／日期／代號與表單一致；刪除後逐字相同</t>
        </is>
      </c>
    </row>
    <row r="68" ht="29.25" customHeight="1" s="43">
      <c r="A68" s="57" t="inlineStr">
        <is>
          <t>D-14</t>
        </is>
      </c>
      <c r="B68" s="58" t="inlineStr">
        <is>
          <t>D</t>
        </is>
      </c>
      <c r="C68" s="59" t="inlineStr">
        <is>
          <t>公司行動後的洞察卡與數值檢核</t>
        </is>
      </c>
      <c r="D68" s="59" t="inlineStr">
        <is>
          <t>承 D-06（換股）</t>
        </is>
      </c>
      <c r="E68" s="59" t="inlineStr">
        <is>
          <t>檢視該標的既有洞察卡</t>
        </is>
      </c>
      <c r="F68" s="59" t="inlineStr">
        <is>
          <t>舊代號的卡片不應被誤標為「未知代號」；若會，需記錄為待處理</t>
        </is>
      </c>
      <c r="G68" s="59" t="inlineStr">
        <is>
          <t>唯讀</t>
        </is>
      </c>
      <c r="H68" s="59" t="inlineStr">
        <is>
          <t>否</t>
        </is>
      </c>
      <c r="I68" s="73" t="inlineStr">
        <is>
          <t>承 D-06（2884 換成 2882 後）：AI 洞察 › 持倉健診仍顯示 2884 舊卡「玉山金控(2884) 暫緩進場 靜待反彈」（歷史 12 筆），卡片與整頁都沒有「未知代號／未知代碼」標記（2884 仍為已註冊標的）；2882 無卡。洞察卡頁的「未知代碼」只出現在一張提到 LRDIM (6883) 的舊週報，與本案無關</t>
        </is>
      </c>
      <c r="J68" s="72" t="inlineStr">
        <is>
          <t>PASS</t>
        </is>
      </c>
      <c r="K68" s="72" t="n"/>
      <c r="L68" s="62" t="inlineStr">
        <is>
          <t>PASS</t>
        </is>
      </c>
      <c r="M68" s="72" t="inlineStr">
        <is>
          <t>PASS</t>
        </is>
      </c>
      <c r="N68" s="73" t="inlineStr">
        <is>
          <t>換股後 2884 已無持倉，但持倉健診仍列出其卡片（記錄行為）
R8（a16210a 全面重跑）：承 D-06（2884 換成 2882 後）：AI 洞察 › 持倉健診仍顯示 2884 舊卡「玉山金(2884) - RSI過熱警示」（歷史 13 筆），整頁「未知代號／未知代碼」0 處（2884 仍為已註冊標的）✓。換股後 2884 已無持倉但卡片仍在持倉健診列出（記錄行為，與 R1 相同）
R10（3a35454 全面重跑）：PASS — demo 真實瀏覽器（頁首 v0.1.28 · 3a35454），demo 3／3 項檢查全過：換股後舊代號卡片 14 張皆不被標「未知代碼」，洞察頁無 2884 未知代碼標記；刪除後逐字相同
R11（91ec1b0 整份 one shot 重跑）：PASS — demo 真實瀏覽器（頁首 v0.1.28 · 91ec1b0），demo 3／3 項檢查全過：換股後舊代號卡片 14 張皆不被標「未知代碼」，洞察頁無 2884 未知代碼標記；刪除後逐字相同</t>
        </is>
      </c>
    </row>
    <row r="69" ht="16.5" customHeight="1" s="43">
      <c r="A69" s="54" t="inlineStr">
        <is>
          <t>E. 報價／匯率刷新與成本、報酬重算</t>
        </is>
      </c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6" t="n"/>
    </row>
    <row r="70" ht="57.75" customHeight="1" s="43">
      <c r="A70" s="57" t="inlineStr">
        <is>
          <t>E-01</t>
        </is>
      </c>
      <c r="B70" s="58" t="inlineStr">
        <is>
          <t>E</t>
        </is>
      </c>
      <c r="C70" s="59" t="inlineStr">
        <is>
          <t>手動更新報價</t>
        </is>
      </c>
      <c r="D70" s="59" t="inlineStr">
        <is>
          <t>記錄各檔 `price_as_of` 與 `kpis`</t>
        </is>
      </c>
      <c r="E70" s="59" t="inlineStr">
        <is>
          <t>儀表板 → 更新報價（三市場）</t>
        </is>
      </c>
      <c r="F70" s="59" t="inlineStr">
        <is>
          <t>① 回應每個 job 帶 `instruments`／`instruments_failed`／`held_failed`／`fx_failed`／`lagging`；② 成功者 `price_as_of` 前進；③ 完成 toast 說明清楚</t>
        </is>
      </c>
      <c r="G70" s="59" t="inlineStr">
        <is>
          <t>會更新報價資料（預期內）。不影響帳本</t>
        </is>
      </c>
      <c r="H70" s="59" t="inlineStr">
        <is>
          <t>✅ 已驗（第一輪 ×3）</t>
        </is>
      </c>
      <c r="I70" s="73" t="inlineStr">
        <is>
          <t>記錄 14 列持倉的 price_as_of（2026-09-15／09-16，全部 stale）與六段 JSON → 儀表板 ⟳重新整理 › 更新報價 → POST /api/actions/refresh-quotes 200 {run_ids [177,178,179]}：① quotes_tw／quotes_us／quotes_my 三個 job 皆帶 instruments（18／6／2）、instruments_failed []、held_failed []、fx_failed []、lagging（TW：["0056"]）✓；② 13 列 price_as_of 前進到 2026-09-22 且 stale→false，0056 由 09-16 前進到 09-18 但仍 stale ✓；③ toast「報價更新中…（約 10 秒）」→「✓ 報價更新完成 quotes_tw / quotes_us / quotes_my 已執行；1 檔資料來源未提供更新（仍為舊日期）：0056，正在重新整理…」✓，頁面自動重新整理，徽章「部分過期 13/16」→「部分過期 1/16」。帳本列數全部不變</t>
        </is>
      </c>
      <c r="J70" s="72" t="inlineStr">
        <is>
          <t>PASS</t>
        </is>
      </c>
      <c r="K70" s="72" t="inlineStr">
        <is>
          <t>DEF-038</t>
        </is>
      </c>
      <c r="L70" s="62" t="inlineStr">
        <is>
          <t>結案</t>
        </is>
      </c>
      <c r="M70" s="72" t="inlineStr">
        <is>
          <t>PASS</t>
        </is>
      </c>
      <c r="N70" s="73" t="inlineStr">
        <is>
          <t>附帶發現（低）：該按鈕 tooltip 仍寫「更新報價或重建統計（後端接線後生效）」；洞察管線的「進化設定」連結落在系統設定首頁而非自我進化設定面板（DEF-038）
R2：DEF-038 複驗通過結案
R10（3a35454 全面重跑）：PASS — demo 真實瀏覽器（頁首 v0.1.28 · 3a35454），demo 5／5 項檢查全過：「更新報價」→ refresh-quotes 200（run #223～225），三個工作皆帶 instruments／instruments_failed／held_failed／fx_failed／lagging；26 檔全更新、失敗 0；無任何 price_as_of 倒退；toast「✓ 報價更新完成 quotes_tw / quotes_us / quotes_my 已執行，正在重新整理…」；帳本不變（本輪 17:10 第一次執行時已把 5225、1155 由 09-25 更新至 09-28，重跑時已是最新）
R11（91ec1b0 整份 one shot 重跑）：PASS — demo 真實瀏覽器（頁首 v0.1.28 · 91ec1b0），demo 5／5 項檢查全過：「更新報價」→ refresh-quotes 200（run #229～231），三個工作皆帶 instruments／instruments_failed／held_failed／fx_failed／lagging；26 檔全更新、失敗 0；11 檔 price_as_of 由 09-24／09-25 前進到 09-29、無任何倒退；toast「✓ 報價更新完成 quotes_tw / quotes_us / quotes_my 已執行，正在重新整理…」；帳本不變</t>
        </is>
      </c>
    </row>
    <row r="71" ht="43.5" customHeight="1" s="43">
      <c r="A71" s="57" t="inlineStr">
        <is>
          <t>E-02</t>
        </is>
      </c>
      <c r="B71" s="58" t="inlineStr">
        <is>
          <t>E</t>
        </is>
      </c>
      <c r="C71" s="59" t="inlineStr">
        <is>
          <t>落後標的（lagging）點名</t>
        </is>
      </c>
      <c r="D71" s="59" t="inlineStr">
        <is>
          <t>製造情境：某檔的來源收盤日落後同市場其他檔</t>
        </is>
      </c>
      <c r="E71" s="59" t="inlineStr">
        <is>
          <t>更新報價</t>
        </is>
      </c>
      <c r="F71" s="59" t="inlineStr">
        <is>
          <t>① 該檔進入 `lagging[]`；② toast 點名並另出一則 warn；③ 工作狀態仍為 `ok`（抓取本身沒失敗）</t>
        </is>
      </c>
      <c r="G71" s="59" t="inlineStr">
        <is>
          <t>唯讀為主</t>
        </is>
      </c>
      <c r="H71" s="59" t="inlineStr">
        <is>
          <t>部分（機制以原始碼確認）</t>
        </is>
      </c>
      <c r="I71" s="72" t="inlineStr">
        <is>
          <t>E-01 同一次更新自然出現落後標的：0056 的來源收盤日 2026-09-18，同市場其他檔為 2026-09-22 → ① quotes_tw.lagging ＝ ["0056"] ✓；② 完成 toast 點名「1 檔資料來源未提供更新（仍為舊日期）：0056」，並另出一則 warn「! 部分報價仍為舊日期 0056 的資料來源尚未提供新收盤價；可稍後再按一次更新報價」✓；③ quotes_tw status＝ok、detail「21 ok, 0 failed …」✓（抓取本身沒失敗）</t>
        </is>
      </c>
      <c r="J71" s="72" t="inlineStr">
        <is>
          <t>PASS</t>
        </is>
      </c>
      <c r="K71" s="72" t="n"/>
      <c r="L71" s="62" t="inlineStr">
        <is>
          <t>PASS</t>
        </is>
      </c>
      <c r="M71" s="72" t="inlineStr">
        <is>
          <t>PASS</t>
        </is>
      </c>
      <c r="N71" s="72" t="inlineStr">
        <is>
          <t>R8（a16210a 全面重跑）：本機專用測試環境（a16210a、demo 資料副本；外網封鎖，價格供應商以本機假資料取代——與假 LLM 同性質的測試替身）：台股 0056 回 2026-09-26、2330 仍回 2026-09-25（落後同市場）→ 儀表板 ⟳ 重新整理 › 更新報價 → ① quotes_tw.lagging ＝ ["2330"] ✓；② 完成 toast「✓ 報價更新完成 quotes_tw / quotes_us / quotes_my 已執行；1 檔資料來源未提供更新（仍為舊日期）：2330，正在重新整理…」點名，並另出一則 warn「! 部分報價仍為舊日期 2330 的資料來源尚未提供新收盤價；可稍後再按一次更新報價」✓；③ quotes_tw status＝ok、detail「5 項已更新（來源 derived:USD：MYRTWD；twse：0056、2330；yfinance：USDMYR、USDTWD）」✓（抓取本身沒失敗）。demo 本輪更新報價時 26 檔皆為最新、lagging 為空，無法自然重現，故改在本機製造
R10（3a35454 全面重跑）：PASS — 本機專用測試環境（同一 commit 3a35454、demo 資料庫副本、假報價／假 LLM、無外網；手冊 §9），本機 4／4 項檢查全過：本機以假報價讓 2330 停在舊日期：quotes_tw.lagging ["2330"]；完成 toast「…1 檔資料來源未提供更新（仍為舊日期）：2330…」與獨立警示 toast「部分報價仍為舊日期 2330 的資料來源尚未提供新收盤價…」；工作狀態仍為 ok
R11（91ec1b0 整份 one shot 重跑）：PASS — 本機專用測試環境（同一 commit 91ec1b0、demo 資料庫副本、假報價／假 LLM、無外網；手冊 §9），本機 4／4 項檢查全過：本機以假報價讓 2330 停在舊日期：quotes_tw.lagging ["2330"]；完成 toast「…1 檔資料來源未提供更新（仍為舊日期）：2330…」與獨立警示 toast「部分報價仍為舊日期 2330 的資料來源尚未提供新收盤價…」；工作狀態仍為 ok</t>
        </is>
      </c>
    </row>
    <row r="72" ht="43.5" customHeight="1" s="43">
      <c r="A72" s="57" t="inlineStr">
        <is>
          <t>E-03</t>
        </is>
      </c>
      <c r="B72" s="58" t="inlineStr">
        <is>
          <t>E</t>
        </is>
      </c>
      <c r="C72" s="59" t="inlineStr">
        <is>
          <t>匯率推導與三角一致性</t>
        </is>
      </c>
      <c r="D72" s="58" t="inlineStr">
        <is>
          <t>—</t>
        </is>
      </c>
      <c r="E72" s="59" t="inlineStr">
        <is>
          <t>更新報價後讀 `freshness.fx` 與 `fx_triangulation`</t>
        </is>
      </c>
      <c r="F72" s="58" t="inlineStr">
        <is>
          <t>① `MYR/TWD` 的 `source` = `derived:USD`；② `implied` 與 `direct` 落差 `gap_pct` &lt; 0.001%、`ok: true`</t>
        </is>
      </c>
      <c r="G72" s="59" t="inlineStr">
        <is>
          <t>唯讀</t>
        </is>
      </c>
      <c r="H72" s="59" t="inlineStr">
        <is>
          <t>✅ 已驗（三輪、兩組匯率快照）</t>
        </is>
      </c>
      <c r="I72" s="72" t="inlineStr">
        <is>
          <t>freshness.fx：MYR/TWD source＝derived:USD、USD/MYR 與 USD/TWD source＝yfinance、as_of 2026-09-22、stale=false；fx_triangulation USD/TWD direct 31.698999 vs implied 31.698997（USD/MYR × MYR/TWD），gap_pct −0.0000（自算 −6.3e-6%）＜0.001%、ok=true</t>
        </is>
      </c>
      <c r="J72" s="72" t="inlineStr">
        <is>
          <t>PASS</t>
        </is>
      </c>
      <c r="K72" s="72" t="n"/>
      <c r="L72" s="62" t="inlineStr">
        <is>
          <t>PASS</t>
        </is>
      </c>
      <c r="M72" s="72" t="inlineStr">
        <is>
          <t>PASS</t>
        </is>
      </c>
      <c r="N72" s="73" t="inlineStr">
        <is>
          <t>更新報價前讀取；E-01 後再讀一次（見 E-01／E-04）
R8（a16210a 全面重跑）：更新報價前後各讀一次：freshness.fx MYR/TWD source＝derived:USD（推導徽章中性）、USD/MYR 與 USD/TWD source＝yfinance ①；fx_triangulation USD/TWD：USD/MYR × MYR/TWD 推得 31.663000 vs 直接 31.663000，以共同日期 2026-09-22 比較，gap_pct 0.0000（自算 0）＜0.001%、ok true ②。附註：更新後 USD/MYR 為 09-26、USD/TWD 為 09-25，兩條 USD 腿沒有新的同日資料，推導的 MYR/TWD 仍停在 09-22 並標示過期（R1 時三組同為 09-22）；屬資料日期不齊的結果，非本案判定依據
R10（3a35454 全面重跑）：PASS — demo 真實瀏覽器（頁首 v0.1.28 · 3a35454），demo 2／2 項檢查全過：MYR/TWD 來源 derived:USD；三角 USD/MYR×MYR/TWD＝31.799001 vs 直接 31.799000、gap 0.0000%、ok true
R11（91ec1b0 整份 one shot 重跑）：PASS — demo 真實瀏覽器（頁首 v0.1.28 · 91ec1b0），demo 2／2 項檢查全過：MYR/TWD 來源 derived:USD；三角 USD/MYR×MYR/TWD＝31.841998 vs 直接 31.841999、gap 0.0000%、ok true（三條皆 2026-09-29）</t>
        </is>
      </c>
    </row>
    <row r="73" ht="43.5" customHeight="1" s="43">
      <c r="A73" s="57" t="inlineStr">
        <is>
          <t>E-04</t>
        </is>
      </c>
      <c r="B73" s="58" t="inlineStr">
        <is>
          <t>E</t>
        </is>
      </c>
      <c r="C73" s="59" t="inlineStr">
        <is>
          <t>更新後的成本與報酬重算</t>
        </is>
      </c>
      <c r="D73" s="59" t="inlineStr">
        <is>
          <t>記錄更新前的 14 檔成本、未實現、權重</t>
        </is>
      </c>
      <c r="E73" s="59" t="inlineStr">
        <is>
          <t>更新報價後重讀 `/api/dashboard`</t>
        </is>
      </c>
      <c r="F73" s="58" t="inlineStr">
        <is>
          <t>① **原始成本與調整成本不得變動**（只有市值與未實現會變）；② 未實現 = 市值 − 調整成本；③ 權重重算後 Σ = 1；④ 94 項恆等式全過</t>
        </is>
      </c>
      <c r="G73" s="59" t="inlineStr">
        <is>
          <t>唯讀</t>
        </is>
      </c>
      <c r="H73" s="59" t="inlineStr">
        <is>
          <t>✅ 已驗（三組不同價格快照）</t>
        </is>
      </c>
      <c r="I73" s="72" t="inlineStr">
        <is>
          <t>E-01 更新前後比對：① 14 列 original_cost_total／adjusted_cost_total 字串完全相同 ✓（價格如 2330 2,380→2,460、8299 1,985→2,185 皆變動）；② 14 列 unrealized_pnl ＝ market_value − adjusted_cost_total 以 Decimal 逐列驗算 0 誤差 ✓；③ Σweight ＝ 0.9999999999999999999999999997（與 1 差 3e−28）✓；④ /api/dashboard 原始字串重算 94 項恆等式 94/94 通過，最大誤差 1.01e−20，另 3 項幣別市值加總與三角一致性 ok ✓。總市值 34,908,291.86→36,210,865.54、XIRR 10.2216→11.0232</t>
        </is>
      </c>
      <c r="J73" s="72" t="inlineStr">
        <is>
          <t>PASS</t>
        </is>
      </c>
      <c r="K73" s="72" t="n"/>
      <c r="L73" s="62" t="inlineStr">
        <is>
          <t>PASS</t>
        </is>
      </c>
      <c r="M73" s="72" t="inlineStr">
        <is>
          <t>PASS</t>
        </is>
      </c>
      <c r="N73" s="72" t="inlineStr">
        <is>
          <t>R8（a16210a 全面重跑）：儀表板 ⟳ 重新整理 › 更新報價（demo，quotes_tw／us／my 皆 ok，26 檔全數更新、lagging 空）前後比對（基準 R8_PREQ）：① 14 列 original_cost_total／adjusted_cost_total 字串完全相同 ✓（14 列價格皆變動，如 2330 2,460→2,475、8299 2,185→2,125、AAPL 339.75→341.07）；② 14 列 unrealized_pnl ＝ market_value − adjusted_cost_total 以 Decimal 逐列驗算 0 誤差 ✓；③ Σweight ＝ 0.99999999999999999999999999989（與 1 差 1e−29）✓；④ /api/dashboard 原始字串重算 94 項恆等式 94/94，最大誤差 1e−20，另 3 項幣別市值加總與三角一致性 ok ✓。總市值 36,214,648.90→35,630,718.95、XIRR 10.4362→10.0974
R10（3a35454 全面重跑）：PASS — demo 真實瀏覽器（頁首 v0.1.28 · 3a35454），demo 5／5 項檢查全過：E-01 前後：14 列原始／調整成本不變、未實現＝市值−調整成本逐列成立、權重合計 1、94 條恆等式 94/94（最大誤差 1e−20）
R11（91ec1b0 整份 one shot 重跑）：PASS — demo 真實瀏覽器（頁首 v0.1.28 · 91ec1b0），demo 5／5 項檢查全過：E-01 前後：14 列原始／調整成本不變、未實現＝市值−調整成本逐列成立、權重合計 1、94 條恆等式 94/94（最大誤差 1e−20）</t>
        </is>
      </c>
    </row>
    <row r="74" ht="57.75" customHeight="1" s="43">
      <c r="A74" s="57" t="inlineStr">
        <is>
          <t>E-05</t>
        </is>
      </c>
      <c r="B74" s="58" t="inlineStr">
        <is>
          <t>E</t>
        </is>
      </c>
      <c r="C74" s="59" t="inlineStr">
        <is>
          <t>排程定時執行</t>
        </is>
      </c>
      <c r="D74" s="58" t="inlineStr">
        <is>
          <t>**需在非 demo 環境**（demo 依裁定關閉排程器）</t>
        </is>
      </c>
      <c r="E74" s="59" t="inlineStr">
        <is>
          <t>啟動排程器 → 等待或調整 cron 使 `quotes_tw`／`quotes_us`／`quotes_my`／`dividends_daily`／`digest_daily` 各執行一次</t>
        </is>
      </c>
      <c r="F74" s="58" t="inlineStr">
        <is>
          <t>① `job_runs` 各留下一列，狀態與 detail 正確且為全形標點；② 執行時間符合 cron；③ 失敗時狀態為 partial／failed 並點名失敗標的</t>
        </is>
      </c>
      <c r="G74" s="59" t="inlineStr">
        <is>
          <t>會寫入 job_runs 與報價資料</t>
        </is>
      </c>
      <c r="H74" s="59" t="inlineStr">
        <is>
          <t>否（demo 排程器關閉）</t>
        </is>
      </c>
      <c r="I74" s="73" t="inlineStr">
        <is>
          <t>需要可啟動排程器的非 demo 環境；本站排程中心顯示「排程器未啟動 — 本實例的所有排程工作都不會自動執行（「下次執行」因此皆為 —）　原因：PD_DISABLE_SCHEDULER=1」</t>
        </is>
      </c>
      <c r="J74" s="72" t="inlineStr">
        <is>
          <t>BLOCKED</t>
        </is>
      </c>
      <c r="K74" s="72" t="inlineStr">
        <is>
          <t>DEF-067, DEF-073</t>
        </is>
      </c>
      <c r="L74" s="62" t="inlineStr">
        <is>
          <t>結案</t>
        </is>
      </c>
      <c r="M74" s="72" t="inlineStr">
        <is>
          <t>PASS</t>
        </is>
      </c>
      <c r="N74" s="73" t="inlineStr">
        <is>
          <t>依手冊 §9 環境前置：demo 依裁定關閉排程器，本案為 BLOCKED
R5：本機專用測試環境（同一 commit 3be67db；見 docs/audit/2026-09-25-r5-dev-specs.md §9），排程器開啟：排程中心畫面把 5 個工作 cron 改為 22:38（美股工作另以紐約時區 10:46）等自然觸發，事後以畫面還原（cron 與「下次執行」與測前相同）。① 5 列 job_runs 各一：quotes_tw／quotes_my／quotes_us 為「部分」並點名失敗標的與匯率 ✓；digest_daily「成功」✓；dividends_daily **「成功」但明細「0 檔事件已更新，10 檔失敗」** ✗ → DEF-067；② 觸發時間 22:38:00.002～.005 符合 cron ✓；③ 失敗點名 ✓、狀態 ✗（同上）。明細另有英文句（digest_daily「daily digest …」）→ DEF-073
R6：DEF-067、DEF-073 複驗通過結案 → 本案轉 PASS。本機專用測試環境（同一 commit 696934e、排程器開啟、假 LLM；手冊 §9）（外網封鎖使供應商全失敗）：排程中心畫面把 quotes_tw／quotes_us（紐約時區 01:24）／quotes_my／dividends_daily／digest_daily 改為台北 13:24 自然觸發，事後以畫面還原 cron。① 5 列 job_runs 各一，明細皆中文全形（例：「0 檔事件已更新，10 檔失敗（…）」「每日摘要 2026-09-26：…」）✓；② 觸發時間 13:24:00.002～.007 符合 cron ✓；③ 4 個逐標的工作全部失敗 → 狀態「失敗」並逐檔點名 ✓，digest_daily「成功」✓。另以「立即執行」跑 13 個工作，明細英文詞 0（finmind_chips_daily 未設金鑰的例外原文依 DEF-030 白名單）
R10（3a35454 全面重跑）：PASS — 本機專用測試環境（同一 commit 3a35454、demo 資料庫副本、假報價／假 LLM、無外網；手冊 §9），本機 6／6 項檢查全過：本機排程器開啟：排程中心把 quotes_tw／us／my、dividends_daily、digest_daily 改為 17:03 自然觸發 → 5 列 job_runs 各一、觸發延遲 0.003～0.006 秒；無外網使四個逐標的工作「失敗」並逐檔點名（例「0 項已更新，4 項失敗；失敗：0056、2330、USDMYR、USDTWD」），digest_daily 成功「每日摘要 2026-09-28：…」；明細皆中文全形；cron 以同一畫面還原
R11（91ec1b0 整份 one shot 重跑）：PASS — 本機專用測試環境（同一 commit 91ec1b0、demo 資料庫副本、假報價／假 LLM、無外網；手冊 §9），本機 6／6 項檢查全過：本機排程器開啟：quotes_tw／us／my、dividends_daily、digest_daily 改為同一分鐘自然觸發 → 5 列 job_runs 各一、觸發延遲 0.004～0.007 秒；無外網使四個逐標的工作「失敗」並逐檔點名（例「0 項已更新，4 項失敗；失敗：0056、2330、USDMYR、USDTWD」），digest_daily 成功「每日摘要 2026-09-30：…」；明細皆中文全形；cron 以同一畫面還原</t>
        </is>
      </c>
    </row>
    <row r="75" ht="43.5" customHeight="1" s="43">
      <c r="A75" s="57" t="inlineStr">
        <is>
          <t>E-06</t>
        </is>
      </c>
      <c r="B75" s="58" t="inlineStr">
        <is>
          <t>E</t>
        </is>
      </c>
      <c r="C75" s="59" t="inlineStr">
        <is>
          <t>新鮮度徽章三態</t>
        </is>
      </c>
      <c r="D75" s="58" t="inlineStr">
        <is>
          <t>—</t>
        </is>
      </c>
      <c r="E75" s="59" t="inlineStr">
        <is>
          <t>分別製造：全部新鮮／部分過期／全部過期</t>
        </is>
      </c>
      <c r="F75" s="59" t="inlineStr">
        <is>
          <t>徽章依序顯示「資料新鮮」／「部分過期 n/m」／「全部過期」，tooltip 與計數一致</t>
        </is>
      </c>
      <c r="G75" s="59" t="inlineStr">
        <is>
          <t>唯讀</t>
        </is>
      </c>
      <c r="H75" s="59" t="inlineStr">
        <is>
          <t>✅ 已驗（三態皆實測到）</t>
        </is>
      </c>
      <c r="I75" s="73" t="inlineStr">
        <is>
          <t>實測到「部分過期」一態：更新前「部分過期 13/16」，tooltip「13 項價格／匯率資料已過期（共 16 項），點擊查看資料新鮮度明細」，與 freshness.prices 13 檔 stale＋3 組匯率未過期相符；更新報價後「部分過期 1/16」（僅 0056），計數與 tooltip 一致 ✓。「資料新鮮」「全部過期」兩態需要控制資料來源（讓 0056 取得當日收盤、或讓全部報價過期），demo 站無法製造</t>
        </is>
      </c>
      <c r="J75" s="72" t="inlineStr">
        <is>
          <t>BLOCKED</t>
        </is>
      </c>
      <c r="K75" s="72" t="n"/>
      <c r="L75" s="62" t="inlineStr">
        <is>
          <t>PASS</t>
        </is>
      </c>
      <c r="M75" s="72" t="inlineStr">
        <is>
          <t>PASS</t>
        </is>
      </c>
      <c r="N75" s="73" t="inlineStr">
        <is>
          <t>三態中只能實測一態；未以修改資料的方式硬造其他兩態
R5：本機專用測試環境（同一 commit 3be67db；見 docs/audit/2026-09-25-r5-dev-specs.md §9）三態皆實測：全部新鮮 → 徽章「資料新鮮」（freshness 價格 9／匯率 3 皆未過期）；移除 0056、AAPL 9 月以後收盤 → 「部分過期 2/12」、tooltip「2 項價格／匯率資料已過期（共 12 項）…」與 API stale 2 相符；移除全部 9 月價格與匯率 → 「全部過期」、tooltip「所有價格與匯率資料都已過期…」（stale 9＋3）；還原後回「資料新鮮」
R10（3a35454 全面重跑）：PASS — 本機專用測試環境（同一 commit 3a35454、demo 資料庫副本、假報價／假 LLM、無外網；手冊 §9），本機 3／3 項檢查全過：本機改價格日期製造三態：「資料新鮮」、「部分過期 2/12」（tooltip「2 項價格／匯率資料已過期（共 12 項）」）、「全部過期」（12/12）
R11（91ec1b0 整份 one shot 重跑）：PASS — 本機專用測試環境（同一 commit 91ec1b0、demo 資料庫副本、假報價／假 LLM、無外網；手冊 §9），本機 3／3 項檢查全過：本機改價格日期製造三態：「資料新鮮」、「部分過期 2/12」（tooltip「2 項價格／匯率資料已過期（共 12 項）…」）、「全部過期」（12/12）</t>
        </is>
      </c>
    </row>
    <row r="76" ht="43.5" customHeight="1" s="43">
      <c r="A76" s="57" t="inlineStr">
        <is>
          <t>E-07</t>
        </is>
      </c>
      <c r="B76" s="58" t="inlineStr">
        <is>
          <t>E</t>
        </is>
      </c>
      <c r="C76" s="58" t="inlineStr">
        <is>
          <t>XIRR 獨立重算</t>
        </is>
      </c>
      <c r="D76" s="59" t="inlineStr">
        <is>
          <t>匯出交易＋股利＋現金收支</t>
        </is>
      </c>
      <c r="E76" s="59" t="inlineStr">
        <is>
          <t>以 Excel `XIRR` 或 `pyxirr` 用同一組現金流重算年化報酬</t>
        </is>
      </c>
      <c r="F76" s="59" t="inlineStr">
        <is>
          <t>與 `kpis.xirr` 相對誤差 &lt; 1e-6；`xirr_window_days` 與現金流首尾日期相符</t>
        </is>
      </c>
      <c r="G76" s="59" t="inlineStr">
        <is>
          <t>唯讀</t>
        </is>
      </c>
      <c r="H76" s="59" t="inlineStr">
        <is>
          <t>否（本次稽核未獨立重算）</t>
        </is>
      </c>
      <c r="I76" s="73" t="inlineStr">
        <is>
          <t>以帳本原幣逐筆組現金流（買 −(股數×價+費+稅)、賣 +(淨)、現金／net 股利 +net、REBATE/INTEREST_EXPENSE/BROKER_FEE、期初 −成本），與 /api/dashboard trend.points 的 net_invested 日變動逐日比對：21 個純 TWD 日期 0 差異；外幣日期隱含匯率 USD/TWD 31.2468～31.9379、MYR/TWD 7.8534～8.1287，其中 2026-03-20＝31.802099、2026-05-15＝31.5644 與稅務包 rate_used 完全相同。以自寫二分＋Newton（actual/365）解 34 筆現金流（含 2026-09-23 期末市值 34,912,272.92）得 10.224065753052226，kpis.xirr＝10.22406575305222，相對誤差 6.9e-16（&lt;1e-6）；xirr_window_days 260＝2026-01-06→2026-09-23</t>
        </is>
      </c>
      <c r="J76" s="72" t="inlineStr">
        <is>
          <t>PASS</t>
        </is>
      </c>
      <c r="K76" s="72" t="n"/>
      <c r="L76" s="62" t="inlineStr">
        <is>
          <t>PASS</t>
        </is>
      </c>
      <c r="M76" s="72" t="inlineStr">
        <is>
          <t>PASS</t>
        </is>
      </c>
      <c r="N76" s="73" t="inlineStr">
        <is>
          <t>限制：站上沒有歷史匯率 API，外幣日期的換算匯率取自站方 trend（以稅務包 rate_used 兩個日期交叉驗證），故「換匯」這一環不是完全獨立
R8（a16210a 全面重跑）：以 /api/dashboard trend.points 的 net_invested 日變動組現金流（投入為負），期末加 2026-09-27 total_value 36,230,491.74（34 筆，與 R1 筆數相同），自寫二分法（actual/365）解得 10.445450386050727，kpis.xirr＝10.445450386050704，相對誤差 2.2e-15（&lt;1e-6）；xirr_window_days 264＝2026-01-06→2026-09-27 ✓。另以帳本原幣逐筆組現金流（買 −total、賣 +淨、股利 +net、折讓款／融資利息／券商費用、期初 −成本）逐日比對 trend：21 個純 TWD 日期全部相符（2026-07-21 含期初庫存 8299 900,000）。限制同 R1：外幣日期的換算匯率取自站方 trend
R10（3a35454 全面重跑）：PASS — demo 真實瀏覽器（頁首 v0.1.28 · 3a35454），demo 2／2 項檢查全過：自算 XIRR 9.969256542551431 vs kpis.xirr 9.96925654255143（相對誤差 1.8e−16）、34 筆現金流；xirr_window_days 265＝首末現金流日距
R11（91ec1b0 整份 one shot 重跑）：PASS — demo 真實瀏覽器（頁首 v0.1.28 · 91ec1b0），demo 2／2 項檢查全過：自算 XIRR 9.236831751082573 vs kpis.xirr 9.23683175108257（相對誤差 1.9e−16）、34 筆現金流；xirr_window_days 267＝首末現金流日距（2026-01-06→2026-09-30）</t>
        </is>
      </c>
    </row>
    <row r="77" ht="43.5" customHeight="1" s="43">
      <c r="A77" s="57" t="inlineStr">
        <is>
          <t>E-08</t>
        </is>
      </c>
      <c r="B77" s="58" t="inlineStr">
        <is>
          <t>E</t>
        </is>
      </c>
      <c r="C77" s="58" t="inlineStr">
        <is>
          <t>TWR 與績效比較</t>
        </is>
      </c>
      <c r="D77" s="58" t="inlineStr">
        <is>
          <t>—</t>
        </is>
      </c>
      <c r="E77" s="59" t="inlineStr">
        <is>
          <t>切換基準（0050 ↔ S&amp;P 500）與區間（1年／3年／全部）</t>
        </is>
      </c>
      <c r="F77" s="59" t="inlineStr">
        <is>
          <t>① 曲線與區間正確裁切；② TWR 不受現金流進出影響（與 XIRR 的差異可解釋）</t>
        </is>
      </c>
      <c r="G77" s="59" t="inlineStr">
        <is>
          <t>唯讀</t>
        </is>
      </c>
      <c r="H77" s="59" t="inlineStr">
        <is>
          <t>部分（切換已驗，數值未重算）</t>
        </is>
      </c>
      <c r="I77" s="73" t="inlineStr">
        <is>
          <t>儀表板 › 績效比較：切換基準 select（元大台灣50／S&amp;P 500）與區間（1年／3年／全部），前端送出 /api/performance/twr?benchmark=0050|sp500&amp;window=1y|3y|all，全部 200；資料起於 2026-01-06（不足 1 年），三個區間皆從 2026-01-06 起、261 點，裁切正確；0050 末點 portfolio 496.4964／benchmark 156.1080，S&amp;P 500 末點 benchmark 109.9629、label「S&amp;P 500」、0 個缺值。TWR 獨立性：以 trend 的 total_value 與 net_invested 逐日重算 (V_t−F_t)/V_{t−1}，260 天與 TWR 日因子最大差 1.0e-6（四位小數指數的捨入），15 個大額現金流日（例 2026-07-21 流入 1,770,285：原始市值比 1.11616、TWR 1.03433）TWR 不受資金進出影響；TWR 累計 +396.50%（年化約 848%）與 XIRR 1,022.41% 的差距來自資金加權（下半年大額投入），可解釋</t>
        </is>
      </c>
      <c r="J77" s="72" t="inlineStr">
        <is>
          <t>PASS</t>
        </is>
      </c>
      <c r="K77" s="72" t="n"/>
      <c r="L77" s="62" t="inlineStr">
        <is>
          <t>PASS</t>
        </is>
      </c>
      <c r="M77" s="72" t="inlineStr">
        <is>
          <t>PASS</t>
        </is>
      </c>
      <c r="N77" s="73" t="inlineStr">
        <is>
          <t>效能附記：該端點單次回應 5.8～16.5 秒（連點 6 次時排隊逾 45 秒）；畫面最終正確，未列缺陷
R8（a16210a 全面重跑）：儀表板 › 績效比較：切換基準 select #twr-benchmark（元大台灣50／S&amp;P 500）與區間（1年／3年／全部），前端送出 /api/performance/twr?benchmark=sp500&amp;window=3y|1y|3y|all，全部 200；資料起於 2026-01-06（不足 1 年），三個區間皆從 2026-01-06 起、265 點，裁切正確；0050 末點 portfolio 515.2432／benchmark 156.1080，S&amp;P 500 末點 benchmark 109.9629；圖例「投組＝時間加權報酬（報告幣）｜元大台灣50＝指數價格報酬（不含股息，換算報告幣）」。TWR 獨立性：以 trend 的 total_value 與 net_invested 逐日重算 (V_t−F_t)/V_{t−1}，264 天與 TWR 日因子最大差 1.0e-6（四位小數指數捨入）；大額現金流日（例 2026-07-21 流入 1,770,285：原始市值比 1.11616、TWR 1.03433）TWR 不受資金進出影響；TWR 累計 +415.24% 與 XIRR 1,044.5% 的差距來自資金加權（下半年大額投入），可解釋。附註：端點回應 0.8～1.2 秒（R1 為 5.8～16.5 秒）
R10（3a35454 全面重跑）：PASS — demo 真實瀏覽器（頁首 v0.1.28 · 3a35454），demo 3／3 項檢查全過：0050／S&amp;P 500 × 1y／3y／all 六組皆 200 且自資料起點 2026-01-06 截齊；TWR 每日因子＝(V_t−flow_t)÷V_{t−1} 265 天最大差 1.0e−6（指數四捨五入到 4 位）；畫面切到「績效比較」後改選 S&amp;P 500 → 送出 benchmark=sp500 請求
R11（91ec1b0 整份 one shot 重跑）：PASS — demo 真實瀏覽器（頁首 v0.1.28 · 91ec1b0），demo 3／3 項檢查全過：0050／S&amp;P 500 × 1y／3y／all 六組皆 200 且自資料起點 2026-01-06 截齊（268 點）；TWR 每日因子＝(V_t−flow_t)÷V_{t−1} 267 天最大差 1.01e−6（指數四捨五入到 4 位）；畫面切換基準 → 送出 S&amp;P 500 請求</t>
        </is>
      </c>
    </row>
    <row r="78" ht="29.25" customHeight="1" s="43">
      <c r="A78" s="57" t="inlineStr">
        <is>
          <t>E-09</t>
        </is>
      </c>
      <c r="B78" s="58" t="inlineStr">
        <is>
          <t>E</t>
        </is>
      </c>
      <c r="C78" s="59" t="inlineStr">
        <is>
          <t>每日快照</t>
        </is>
      </c>
      <c r="D78" s="58" t="inlineStr">
        <is>
          <t>—</t>
        </is>
      </c>
      <c r="E78" s="59" t="inlineStr">
        <is>
          <t>檢視 `GET /api/snapshots?limit=12` 與趨勢圖</t>
        </is>
      </c>
      <c r="F78" s="59" t="inlineStr">
        <is>
          <t>快照日期連續、市值與當日 `/api/dashboard` 一致</t>
        </is>
      </c>
      <c r="G78" s="59" t="inlineStr">
        <is>
          <t>唯讀</t>
        </is>
      </c>
      <c r="H78" s="59" t="inlineStr">
        <is>
          <t>部分</t>
        </is>
      </c>
      <c r="I78" s="73" t="inlineStr">
        <is>
          <t>趨勢圖（dashboard.trend.points）2026-01-06～2026-09-23 共 261 點、逐日連續 0 缺口，末點 total_value 34912272.92346975318486282701 與 kpis.total_market_value 字串完全相同。GET /api/snapshots?limit=12 僅 1 列（month 2026-07、as_of 2026-07-03T18:19），total_count 1；排程中心 snapshot_monthly 上次執行 2026-07-03，demo 依 PD_DISABLE_SCHEDULER=1 關閉排程，8／9 月快照未產生</t>
        </is>
      </c>
      <c r="J78" s="72" t="inlineStr">
        <is>
          <t>BLOCKED</t>
        </is>
      </c>
      <c r="K78" s="72" t="n"/>
      <c r="L78" s="62" t="inlineStr">
        <is>
          <t>PASS</t>
        </is>
      </c>
      <c r="M78" s="72" t="inlineStr">
        <is>
          <t>PASS</t>
        </is>
      </c>
      <c r="N78" s="73" t="inlineStr">
        <is>
          <t>卡在排程器：月度快照需 snapshot_monthly 定時執行，demo 關閉；未以「立即執行」補寫（本案為唯讀）。另：案例標題寫「每日快照」，但 /api/snapshots 為月度 KPI 快照，建議 owner 釐清期望值
R5：本機專用測試環境（同一 commit 3be67db；見 docs/audit/2026-09-25-r5-dev-specs.md §9）：排程中心把 snapshot_monthly 改為 22:50 自然觸發（畫面還原）→ run #6「快照已寫入 2026-09」；/api/snapshots 2026-09 列 total_value 6476427.500、total_return、total_return_rate、xirr 與同時 /api/dashboard kpis 逐字相同；趨勢圖 2026-01-06～2026-09-25 共 263 點、0 缺口，末點 total_value 與 kpis 相同。附註：案例名「每日快照」實為月度 KPI 快照（每晚覆寫當月）＋每日趨勢，兩者皆驗
R10（3a35454 全面重跑）：PASS — 本機專用測試環境（同一 commit 3a35454、demo 資料庫副本、假報價／假 LLM、無外網；手冊 §9），本機 3／3 項檢查全過：本機 snapshot_monthly 於同一次自然觸發寫入「快照已寫入 2026-09」；/api/snapshots 2026-09 列 total_value 6,476,427.500 與 total_return、xirr 與同時 kpis 逐字相同；趨勢 266 點、0 缺口、末點＝kpis
R11（91ec1b0 整份 one shot 重跑）：PASS — 本機專用測試環境（同一 commit 91ec1b0、demo 資料庫副本、假報價／假 LLM、無外網；手冊 §9），本機 3／3 項檢查全過：本機 snapshot_monthly 於同一次自然觸發寫入「快照已寫入 2026-09」；/api/snapshots 2026-09 列 total_value 6,476,427.500 與 total_return 和同時 kpis 逐字相同；趨勢 268 點、0 缺口、末點＝kpis</t>
        </is>
      </c>
    </row>
    <row r="79" ht="54.75" customHeight="1" s="43">
      <c r="A79" s="57" t="inlineStr">
        <is>
          <t>E-10</t>
        </is>
      </c>
      <c r="B79" s="58" t="inlineStr">
        <is>
          <t>E</t>
        </is>
      </c>
      <c r="C79" s="59" t="inlineStr">
        <is>
          <t>查新代號連帶更新匯率（已裁定）</t>
        </is>
      </c>
      <c r="D79" s="59" t="inlineStr">
        <is>
          <t>記錄 `freshness.fx` 的 as_of</t>
        </is>
      </c>
      <c r="E79" s="59" t="inlineStr">
        <is>
          <t>觀察清單 → 查一個未登錄代號</t>
        </is>
      </c>
      <c r="F79" s="59" t="inlineStr">
        <is>
          <t>① 報告匯率可能被連帶更新（`lookup_instrument` → `refresh_quotes(…, REPORTING_FX_PAIRS)`）；② **帳本零變動**；③ 三角一致性仍成立。**依 §五 G 裁定不列為缺陷**</t>
        </is>
      </c>
      <c r="G79" s="59" t="inlineStr">
        <is>
          <t>會更新匯率（已裁定為預期行為）</t>
        </is>
      </c>
      <c r="H79" s="59" t="inlineStr">
        <is>
          <t>✅ 已驗（行為與根因）</t>
        </is>
      </c>
      <c r="I79" s="73" t="inlineStr">
        <is>
          <t>記錄 freshness.fx（三組皆 as_of 2026-09-22）與六段 JSON → 觀察清單查未登錄名稱並經 AI 辨識查 2618、2603（GET /api/instruments/lookup）→ ① 匯率被連帶更新：報告幣別現金合計 25,240,265.65→25,225,613.18、total_market_value −3,981.07、principal_fx_effect −33,153.58→−36,260.88（as_of 仍 2026-09-22）；② 帳本零變動：交易／股利／換匯／現金／公司行動／期初列數、instruments 26 檔皆不變，各持倉原幣股數與成本不變；③ 三角一致：USD/TWD implied 31.661999 vs direct 31.662001、gap_pct −0.0000、ok true ✓</t>
        </is>
      </c>
      <c r="J79" s="72" t="inlineStr">
        <is>
          <t>PASS</t>
        </is>
      </c>
      <c r="K79" s="72" t="n"/>
      <c r="L79" s="62" t="inlineStr">
        <is>
          <t>PASS</t>
        </is>
      </c>
      <c r="M79" s="72" t="inlineStr">
        <is>
          <t>PASS</t>
        </is>
      </c>
      <c r="N79" s="73" t="inlineStr">
        <is>
          <t>依 §五 G 裁定為預期行為
R8（a16210a 全面重跑）：記錄 R8_START（freshness.fx：USD/MYR 2026-09-24、USD/TWD 2026-09-25、MYR/TWD 2026-09-22 derived:USD）→ 觀察清單快速加入查未登錄名稱「長榮航」，經 AI 辨識查 2618（GET /api/instruments/lookup?symbol=2618&amp;market=TW found:true，未加入）→ ① 匯率被連帶更新：USD/MYR as_of 2026-09-24→2026-09-26，報告幣別現金合計 25,301,703.10→25,240,748.91、total_market_value −15,842.84、principal_fx_effect −21,475.91→−33,331.71；② 帳本零變動：交易 56／股利 23／換匯 19／現金 34／公司行動 0／期初 1／匯入批次 0、instruments 26 檔皆不變，各持倉原幣股數與成本不變；③ 三角一致：USD/TWD implied 31.663000 vs direct 31.663000（共同日期 2026-09-22）、gap_pct 0.0000、ok true ✓。依 §五 G 裁定為預期行為
R10（3a35454 全面重跑）：PASS — demo 真實瀏覽器（頁首 v0.1.28 · 3a35454），demo 4／4 項檢查全過：查未登錄的 2618（長榮航，未加入）→ 匯率隨之更新（三條皆 2026-09-28），帳本計數與各持倉股數／原幣成本不變、三角一致（31.795999 vs 31.796000）；依 §五 G 裁定為預期行為
R11（91ec1b0 整份 one shot 重跑）：PASS — demo 真實瀏覽器（頁首 v0.1.28 · 91ec1b0），demo 4／4 項檢查全過：查未登錄的 2618（長榮航，未加入）→ 匯率隨之更新（三條皆 2026-09-29），帳本計數與各持倉股數／原幣成本不變、三角一致（31.840999 vs 31.841000）；依 §五 G 裁定為預期行為</t>
        </is>
      </c>
    </row>
    <row r="80" ht="43.5" customHeight="1" s="43">
      <c r="A80" s="57" t="inlineStr">
        <is>
          <t>E-11</t>
        </is>
      </c>
      <c r="B80" s="58" t="inlineStr">
        <is>
          <t>E</t>
        </is>
      </c>
      <c r="C80" s="59" t="inlineStr">
        <is>
          <t>報價來源失敗的降級</t>
        </is>
      </c>
      <c r="D80" s="59" t="inlineStr">
        <is>
          <t>把某個資料來源設為無效（非 demo 環境）</t>
        </is>
      </c>
      <c r="E80" s="59" t="inlineStr">
        <is>
          <t>更新報價</t>
        </is>
      </c>
      <c r="F80" s="59" t="inlineStr">
        <is>
          <t>① 失敗標的進入 `instruments_failed`／`held_failed`；② 畫面明確點名；③ **不得**以舊價假裝成功</t>
        </is>
      </c>
      <c r="G80" s="59" t="inlineStr">
        <is>
          <t>需改資料來源設定，測畢還原</t>
        </is>
      </c>
      <c r="H80" s="59" t="inlineStr">
        <is>
          <t>否</t>
        </is>
      </c>
      <c r="I80" s="73" t="inlineStr">
        <is>
          <t>需要把某個資料來源設為無效的非 demo 環境（手冊前置條件）；demo 站 系統設定 › 資料來源 不開放修改，本輪未變更任何來源設定</t>
        </is>
      </c>
      <c r="J80" s="72" t="inlineStr">
        <is>
          <t>BLOCKED</t>
        </is>
      </c>
      <c r="K80" s="72" t="inlineStr">
        <is>
          <t>DEF-068</t>
        </is>
      </c>
      <c r="L80" s="62" t="inlineStr">
        <is>
          <t>結案</t>
        </is>
      </c>
      <c r="M80" s="72" t="inlineStr">
        <is>
          <t>PASS</t>
        </is>
      </c>
      <c r="N80" s="72" t="inlineStr">
        <is>
          <t>R5：本機專用測試環境（同一 commit 3be67db；見 docs/audit/2026-09-25-r5-dev-specs.md §9）（外網封鎖＝資料來源全部無效）：儀表板 重新整理 › 更新報價 → ① 失敗標的在各工作 results 的 held_failed／instruments_failed ✓；② 提示點名 9 檔持倉 ✓（匯率失敗未提）；③ prices 表前後雜湊相同（未以舊價偽裝更新）✓，但提示句「其餘已更新，重新整理頁面即可看到新價」在 0 項更新時不實 ✗ → DEF-068
R6：DEF-068 複驗通過結案 → 本案轉 PASS。本機專用測試環境（同一 commit 696934e、排程器開啟、假 LLM；手冊 §9）（外網封鎖＝資料來源全部無效）：儀表板 ⟳ 重新整理 › 更新報價 → ① 回應 summary：instruments 10、instruments_updated 0、all_failed true、fx_failed [USDMYR, USDTWD]，各工作 held_failed／instruments_failed 齊全 ✓；② 失敗語氣提示「報價更新失敗　10 檔報價都沒有更新：0056、1155、2330、AAPL、KEMB、KEMG、NVDA、ORBT、VRTA、VRTB；匯率未更新：USDMYR、USDTWD。仍顯示上次取得的價格，請稍後再試或檢查資料來源。」✓；③ prices 雜湊 58461362c1db692f 前後相同，未宣稱已更新 ✓
R10（3a35454 全面重跑）：PASS — 本機專用測試環境（同一 commit 3a35454、demo 資料庫副本、假報價／假 LLM、無外網；手冊 §9），本機 4／4 項檢查全過：本機無外網：10 檔全列 instruments_failed；toast「✕ 報價更新失敗 10 檔報價都沒有更新：0056、1155、2330…；匯率未更新：USDMYR、USDTWD。仍顯示上次取得的價格…」、無成功字樣；價格雜湊不變
R11（91ec1b0 整份 one shot 重跑）：PASS — 本機專用測試環境（同一 commit 91ec1b0、demo 資料庫副本、假報價／假 LLM、無外網；手冊 §9），本機 4／4 項檢查全過：本機無外網：10 檔全列 instruments_failed；toast「✕ 報價更新失敗 10 檔報價都沒有更新：0056、1155、2330…；匯率未更新：USDMYR、USDTWD。仍顯示上次取得的價格…」、無成功字樣；價格雜湊不變</t>
        </is>
      </c>
    </row>
    <row r="81" ht="29.25" customHeight="1" s="43">
      <c r="A81" s="57" t="inlineStr">
        <is>
          <t>E-12</t>
        </is>
      </c>
      <c r="B81" s="58" t="inlineStr">
        <is>
          <t>E</t>
        </is>
      </c>
      <c r="C81" s="59" t="inlineStr">
        <is>
          <t>成本不因匯率變動而改寫</t>
        </is>
      </c>
      <c r="D81" s="59" t="inlineStr">
        <is>
          <t>記錄外幣持倉的原始成本（原幣）</t>
        </is>
      </c>
      <c r="E81" s="59" t="inlineStr">
        <is>
          <t>匯率變動後重讀</t>
        </is>
      </c>
      <c r="F81" s="59" t="inlineStr">
        <is>
          <t>原幣成本不變；只有報告幣別的換算值改變；`principal_fx_effect` 承接差額</t>
        </is>
      </c>
      <c r="G81" s="59" t="inlineStr">
        <is>
          <t>唯讀</t>
        </is>
      </c>
      <c r="H81" s="59" t="inlineStr">
        <is>
          <t>✅ 已驗（恆等式）</t>
        </is>
      </c>
      <c r="I81" s="73" t="inlineStr">
        <is>
          <t>承 E-10 的匯率變動：14 個持倉列中，除 weight 外所有欄位（shares、original／adjusted cost、market_price、market_value、unrealized（原幣））與變動前字串完全相同 ✓；只有報告幣別數字改變：principal_fx_effect −33,153.58→−36,260.88、fx_unrealized −160,070.11→−170,587.66、unrealized_total −870.17、realized_total −3.60（外幣已實現以現價換算）、total_return −873.77（＝未實現差＋已實現差）</t>
        </is>
      </c>
      <c r="J81" s="72" t="inlineStr">
        <is>
          <t>PASS</t>
        </is>
      </c>
      <c r="K81" s="72" t="n"/>
      <c r="L81" s="62" t="inlineStr">
        <is>
          <t>PASS</t>
        </is>
      </c>
      <c r="M81" s="72" t="inlineStr">
        <is>
          <t>PASS</t>
        </is>
      </c>
      <c r="N81" s="72" t="inlineStr">
        <is>
          <t>R8（a16210a 全面重跑）：承 E-10 的匯率變動：14 個持倉列除 weight 外所有欄位（shares、original／adjusted cost、market_price、market_value、unrealized（原幣）等）與變動前字串完全相同 ✓；只有報告幣別數字改變：principal_fx_effect −21,475.91→−33,331.71、fx_unrealized −130,096.02→−163,738.00、unrealized_total −3,974.00、realized_total −13.04（外幣已實現以現價換算）、total_return −3,987.04（＝未實現差＋已實現差，自算相符）
R10（3a35454 全面重跑）：PASS — demo 真實瀏覽器（頁首 v0.1.28 · 3a35454），demo 2／2 項檢查全過：各持倉原幣成本／價值欄位不變（只有權重可動）；principal_fx_effect 承載報表幣別差（−24,020.74→−24,092.83）
R11（91ec1b0 整份 one shot 重跑）：PASS — demo 真實瀏覽器（頁首 v0.1.28 · 91ec1b0），demo 2／2 項檢查全過：各持倉原幣成本／價值欄位不變（只有權重可動）；principal_fx_effect 承載報表幣別差（−19,140.60→−19,238.49）</t>
        </is>
      </c>
    </row>
    <row r="82" ht="16.5" customHeight="1" s="43">
      <c r="A82" s="54" t="inlineStr">
        <is>
          <t>F. AI 查詢與輸入（拼湊／辨識／組裝）</t>
        </is>
      </c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6" t="n"/>
    </row>
    <row r="83" ht="57.75" customHeight="1" s="43">
      <c r="A83" s="57" t="inlineStr">
        <is>
          <t>F-01</t>
        </is>
      </c>
      <c r="B83" s="58" t="inlineStr">
        <is>
          <t>F</t>
        </is>
      </c>
      <c r="C83" s="58" t="inlineStr">
        <is>
          <t>AI 代號辨識（名稱 → 代號）</t>
        </is>
      </c>
      <c r="D83" s="59" t="inlineStr">
        <is>
          <t>設定 › AI 與額度 確認額度足夠；記錄目前額度</t>
        </is>
      </c>
      <c r="E83" s="59" t="inlineStr">
        <is>
          <t>觀察清單 › 加入 → 輸入「台積電」→ 按「AI 辨識」</t>
        </is>
      </c>
      <c r="F83" s="59" t="inlineStr">
        <is>
          <t>① 回傳代號／市場／幣別／名稱；② 寫入前需人工確認；③ 額度扣減與 `llm-usage` 匯出一致；④ 失敗時訊息為「AI 判讀後仍查無報價 — 請確認代號與市場是否正確」</t>
        </is>
      </c>
      <c r="G83" s="58" t="inlineStr">
        <is>
          <t>**會花費 AI 額度**（約 $0.002／次）。不寫入帳本</t>
        </is>
      </c>
      <c r="H83" s="59" t="inlineStr">
        <is>
          <t>否（只驗過「不自動觸發」）</t>
        </is>
      </c>
      <c r="I83" s="73" t="inlineStr">
        <is>
          <t>設定確認額度 $3.30 → 觀察清單 › ＋加入 輸入「長榮航」（未註冊名稱；手冊例「台積電」已註冊，會直接命中 2330，改用未註冊名稱）→ 查無報價 → 按「AI 辨識」→ POST /api/instruments/ai-resolve 200 {status resolved, symbol 2618, name 長榮航, sector Industrials, confidence high, verified true} → 表單自動填入代號 2618、市場台股、名稱、產業，顯示「已找到，確認後加入觀察清單」，需按「確認」才寫入（本輪未按，instruments 仍 26 檔）✓①②；額度 3.2965293→3.2963725，扣 0.0001568＝llm-usage 新列 ai_instrument_resolve 0.0001568 ✓③；失敗情境：輸入「虛構甲乙丙科技」→ AI 辨識 → {status not_found} → 畫面「查無此標的 — 請確認名稱與市場是否正確」✓④（文案與手冊略異，語意一致）</t>
        </is>
      </c>
      <c r="J83" s="72" t="inlineStr">
        <is>
          <t>PASS</t>
        </is>
      </c>
      <c r="K83" s="72" t="n"/>
      <c r="L83" s="62" t="inlineStr">
        <is>
          <t>PASS</t>
        </is>
      </c>
      <c r="M83" s="72" t="inlineStr">
        <is>
          <t>PASS</t>
        </is>
      </c>
      <c r="N83" s="73" t="inlineStr">
        <is>
          <t>附記：同一對話框在已填入名稱後再按 AI 辨識，送出的 query 會把代號欄與名稱欄串起來（「不存在的虛構公司甲乙丙 長榮航」），AI 回 2603 Evergreen、confidence high——屬模型輸出，未列缺陷；畫面不顯示幣別（由市場決定）
R8（a16210a 全面重跑）：額度 $3.2577460 → 觀察清單 › 快速加入 輸入「長榮航」（未註冊名稱）→ 名稱查無報價（GET lookup found:false）後自動 AI 辨識（ui-prefs auto_ai_resolve true）→ POST /api/instruments/ai-resolve 200 {status resolved, symbol 2618, name 長榮航, sector Industrials, industry Air Freight &amp; Logistics, confidence high, verified true} → 表單自動填入代號 2618、市場台股、名稱、產業，顯示「已找到，確認後加入觀察清單（報價與歷史於背景抓取）」，需按「確認」才寫入（本輪未按，instruments 仍 26 檔）✓①②；額度 3.2577460→3.2575892，扣 0.0001568＝llm-usage 新列 ai_instrument_resolve 1344/56 tokens 0.0001568 ✓③；失敗情境：輸入「虛構甲乙丙科技」→ AI 回 {status not_found} → 畫面「查無此標的 — 請確認名稱與市場是否正確」✓④（額度再扣 0.0001555）。附註：中文名稱的報價查詢本身約需 25～30 秒才回 found:false，之後才進行 AI 辨識，期間畫面顯示「查詢中…」
R10（3a35454 全面重跑）：PASS — demo 真實瀏覽器（頁首 v0.1.28 · 3a35454），demo 5／5 項檢查全過：「長榮航」→ AI 辨識 2618／長榮航／Industrials（confidence high、verified true），需人工確認（未註冊）；額度扣 0.0001568＝llm-usage 新列；「虛構甲乙丙科技」→「查無此標的…」；還原比對：帳本、計數、已實現、現金池與 14 個部位逐字相同，估值差異僅來自辨識時報價驗證連帶更新的 USD/TWD 31.782→31.785（§五 G 裁定之預期行為）（首跑時驗證者的檢查程式沒有照 §五 G 的匯率連帶更新裁定判讀，修正檢查後重跑）
R11（91ec1b0 整份 one shot 重跑）：PASS — demo 真實瀏覽器（頁首 v0.1.28 · 91ec1b0），demo 5／5 項檢查全過：「長榮航」→ AI 辨識 2618／長榮航／Industrials（confidence high、verified），需人工確認（未註冊）；額度扣減＝llm-usage 新列（0.0001568）；「虛構甲乙丙科技」→「查無此標的…」；兩次辨識共 0.0003123（3.1710579→3.1707456）；還原比對：帳本、計數、已實現、現金池與 14 個部位逐字相同，估值差異僅來自辨識時報價驗證連帶更新的 USD/TWD 31.841→31.837（§五 G）</t>
        </is>
      </c>
    </row>
    <row r="84" ht="43.5" customHeight="1" s="43">
      <c r="A84" s="57" t="inlineStr">
        <is>
          <t>F-02</t>
        </is>
      </c>
      <c r="B84" s="58" t="inlineStr">
        <is>
          <t>F</t>
        </is>
      </c>
      <c r="C84" s="59" t="inlineStr">
        <is>
          <t>純代號不得自動觸發 AI</t>
        </is>
      </c>
      <c r="D84" s="58" t="inlineStr">
        <is>
          <t>—</t>
        </is>
      </c>
      <c r="E84" s="59" t="inlineStr">
        <is>
          <t>輸入 `ZZZZ9` → 按「加入」</t>
        </is>
      </c>
      <c r="F84" s="59" t="inlineStr">
        <is>
          <t>全程 `POST /api/instruments/ai-resolve` 呼叫 **0 次**；提示為「查無報價 — 請確認代號與市場；若是用名稱找，可按「AI 辨識」（使用 AI 額度）」</t>
        </is>
      </c>
      <c r="G84" s="59" t="inlineStr">
        <is>
          <t>唯讀、零花費</t>
        </is>
      </c>
      <c r="H84" s="59" t="inlineStr">
        <is>
          <t>✅ 已驗（三輪）</t>
        </is>
      </c>
      <c r="I84" s="73" t="inlineStr">
        <is>
          <t>觀察清單 › 加入，市場美股、以鍵盤輸入「ZZZZ9」→ ＋加入 → GET /api/instruments/lookup 200 {found:false}；全程 POST /api/instruments/ai-resolve 0 次 ✓；提示「查無報價 — 請確認代號與市場；若是用名稱找，可按「AI 辨識」（使用 AI 額度）」✓；額度前後皆 3.2960594（零花費）</t>
        </is>
      </c>
      <c r="J84" s="72" t="inlineStr">
        <is>
          <t>PASS</t>
        </is>
      </c>
      <c r="K84" s="72" t="n"/>
      <c r="L84" s="62" t="inlineStr">
        <is>
          <t>PASS</t>
        </is>
      </c>
      <c r="M84" s="72" t="inlineStr">
        <is>
          <t>PASS</t>
        </is>
      </c>
      <c r="N84" s="72" t="inlineStr">
        <is>
          <t>R8（a16210a 全面重跑）：觀察清單 › 快速加入，市場美股、輸入「ZZZZ9」→ ＋加入 → GET /api/instruments/lookup?symbol=ZZZZ9&amp;market=US 200 {found:false}；全程 POST /api/instruments/ai-resolve 0 次 ✓（ui-prefs auto_ai_resolve 為 true，純代號仍不觸發）；對話框提示「查無報價 — 請確認代號與市場；若是用名稱找，可按「AI 辨識」（使用 AI 額度）」✓；額度前後皆 3.2577460（零花費）
R10（3a35454 全面重跑）：PASS — demo 真實瀏覽器（頁首 v0.1.28 · 3a35454），demo 3／3 項檢查全過：純代號 ZZZZ9 → ai-resolve 0 次、提示「查無報價 — 請確認代號與市場；若是用名稱找，可按「AI 辨識」」、額度不變
R11（91ec1b0 整份 one shot 重跑）：PASS — demo 真實瀏覽器（頁首 v0.1.28 · 91ec1b0），demo 3／3 項檢查全過：純代號 ZZZZ9 → ai-resolve 0 次、提示「查無報價 — 請確認代號與市場；若是用名稱找，可按「AI 辨識」」、額度不變（3.1707456）</t>
        </is>
      </c>
    </row>
    <row r="85" ht="43.5" customHeight="1" s="43">
      <c r="A85" s="57" t="inlineStr">
        <is>
          <t>F-03</t>
        </is>
      </c>
      <c r="B85" s="58" t="inlineStr">
        <is>
          <t>F</t>
        </is>
      </c>
      <c r="C85" s="59" t="inlineStr">
        <is>
          <t>自動辨識開關</t>
        </is>
      </c>
      <c r="D85" s="59" t="inlineStr">
        <is>
          <t>設定 › AI 與額度</t>
        </is>
      </c>
      <c r="E85" s="59" t="inlineStr">
        <is>
          <t>關閉「代號查無時自動 AI 辨識」→ 回觀察清單輸入含名稱的字串</t>
        </is>
      </c>
      <c r="F85" s="59" t="inlineStr">
        <is>
          <t>① 不再自動送出；② 提示改為「…（自動辨識已在設定關閉）」；③ `GET /api/ui-prefs` 的 `auto_ai_resolve` 為 false</t>
        </is>
      </c>
      <c r="G85" s="59" t="inlineStr">
        <is>
          <t>改設定，測畢改回</t>
        </is>
      </c>
      <c r="H85" s="59" t="inlineStr">
        <is>
          <t>部分（預設值已驗）</t>
        </is>
      </c>
      <c r="I85" s="73" t="inlineStr">
        <is>
          <t>設定 › AI 與額度 關閉「代號查無時自動 AI 辨識」→ PUT /api/ui-prefs {auto_ai_resolve:false} 200、GET /api/ui-prefs → {page_size 50, auto_ai_resolve false} ✓③ → 觀察清單輸入「長榮航」→ 加入：全程 ai-resolve 0 次 ✓①，提示「查無報價 — 請確認代號與市場；或按「AI 辨識」判讀（自動辨識已在設定關閉）」✓②。測畢改回開啟（auto_ai_resolve true）</t>
        </is>
      </c>
      <c r="J85" s="72" t="inlineStr">
        <is>
          <t>PASS</t>
        </is>
      </c>
      <c r="K85" s="72" t="inlineStr">
        <is>
          <t>DEF-034</t>
        </is>
      </c>
      <c r="L85" s="62" t="inlineStr">
        <is>
          <t>結案</t>
        </is>
      </c>
      <c r="M85" s="72" t="inlineStr">
        <is>
          <t>PASS</t>
        </is>
      </c>
      <c r="N85" s="73" t="inlineStr">
        <is>
          <t>同頁每儲存一次低額度警示閾值，這個開關就多綁一次監聽：儲存兩次後點一下會送 3 次 PUT、跳 3 個 toast（見 DEF-034，不影響本題三項判定）
R2：DEF-034 複驗通過結案
R10（3a35454 全面重跑）：PASS — demo 真實瀏覽器（頁首 v0.1.28 · 3a35454），demo 4／4 項檢查全過：ui-prefs auto_ai_resolve 關閉 → 不自動呼叫 AI、提示自動辨識已關閉；測後改回開啟
R11（91ec1b0 整份 one shot 重跑）：PASS — demo 真實瀏覽器（頁首 v0.1.28 · 91ec1b0），demo 4／4 項檢查全過：ui-prefs auto_ai_resolve 關閉 → 不自動呼叫 AI、提示自動辨識已關閉；測後改回開啟</t>
        </is>
      </c>
    </row>
    <row r="86" ht="43.5" customHeight="1" s="43">
      <c r="A86" s="57" t="inlineStr">
        <is>
          <t>F-04</t>
        </is>
      </c>
      <c r="B86" s="58" t="inlineStr">
        <is>
          <t>F</t>
        </is>
      </c>
      <c r="C86" s="58" t="inlineStr">
        <is>
          <t>AI 交易輸入（自然語言／貼上文字）</t>
        </is>
      </c>
      <c r="D86" s="59" t="inlineStr">
        <is>
          <t>交易帳本 › AI 輸入</t>
        </is>
      </c>
      <c r="E86" s="59" t="inlineStr">
        <is>
          <t>貼上一段交易描述或對帳單文字 → 解析</t>
        </is>
      </c>
      <c r="F86" s="59" t="inlineStr">
        <is>
          <t>① 解析成結構化列並可逐列編輯；② **無法解析的列不得用猜的**，需明確標示；③ 寫入前有預覽；④ 花費記錄到額度</t>
        </is>
      </c>
      <c r="G86" s="58" t="inlineStr">
        <is>
          <t>**會花費額度**；寫入後需刪除</t>
        </is>
      </c>
      <c r="H86" s="59" t="inlineStr">
        <is>
          <t>否</t>
        </is>
      </c>
      <c r="I86" s="73" t="inlineStr">
        <is>
          <t>交易帳本 › AI 輸入 貼上 5 行文字（2884 買 100 股 @46.45／嘉信 AAPL 賣 2 @330／一句閒聊／QQQQ9 買 50 @12.3／2884 買 0.5 股）→ 解析 → POST /api/input/ai/preview 200（gemini-2.5-flash-lite，cost 0.000563）：① 產生 4 列結構化草稿（帳戶／日期／買賣／代號／股數／價格／費用／稅），費用依帳戶規則補算（2884 fee 20、AAPL fee 0.02）；② 閒聊一行列在「有 1 列無法歸類（不會寫入…）：今天心情不錯，午餐吃了牛肉麵 — not a financial transaction」，未被猜成交易 ✓；QQQQ9「✕ 未註冊標的 QQQQ9 — 請先至「標的管理」註冊［立即註冊］」、0.5 股「✕ 台股股數必須是整數…」，兩列 checkbox disabled ✓；③ 寫入前有預覽與「寫入全部勾選」✓（本輪未寫入，交易帳本仍 56 列）；④ 額度 3.2960594→3.2954964，扣 0.000563＝llm-usage 新列 ai_agents_input 0.000563 ✓。✗ 「可逐列編輯」不成立：草稿表格每格都是純文字（只有勾選框），無法修改任何欄位；帳戶欄顯示 API 原名「tw_broker」「schwab」</t>
        </is>
      </c>
      <c r="J86" s="72" t="inlineStr">
        <is>
          <t>FAIL</t>
        </is>
      </c>
      <c r="K86" s="72" t="inlineStr">
        <is>
          <t>DEF-035</t>
        </is>
      </c>
      <c r="L86" s="62" t="inlineStr">
        <is>
          <t>結案</t>
        </is>
      </c>
      <c r="M86" s="72" t="inlineStr">
        <is>
          <t>PASS</t>
        </is>
      </c>
      <c r="N86" s="72" t="inlineStr">
        <is>
          <t>R2：DEF-035 複驗通過結案
R10（3a35454 全面重跑）：PASS — demo 真實瀏覽器（頁首 v0.1.28 · 3a35454），demo 7／7 項檢查全過：AI 輸入 preview 200：列結構化可編輯（24 格）、閒聊列列為無法解析、未註冊代號與 0.5 股被標示、先預覽後寫入；花費 0.0005895 記入 llm-usage；未寫入
R11（91ec1b0 整份 one shot 重跑）：PASS — demo 真實瀏覽器（頁首 v0.1.28 · 91ec1b0），demo 7／7 項檢查全過：AI 輸入 preview 200：列結構化可編輯（24 格）、閒聊列列為無法解析、未註冊代號與 0.5 股被標示、先預覽後寫入；花費 0.009053 記入 llm-usage（anthropic/claude-haiku-4.5——模型選單沿用驗證者 DEF-083 複驗時在此瀏覽器選的 haiku-4.5，由 haiku 本身產出、無 400）；未寫入</t>
        </is>
      </c>
    </row>
    <row r="87" ht="29.25" customHeight="1" s="43">
      <c r="A87" s="57" t="inlineStr">
        <is>
          <t>F-05</t>
        </is>
      </c>
      <c r="B87" s="58" t="inlineStr">
        <is>
          <t>F</t>
        </is>
      </c>
      <c r="C87" s="58" t="inlineStr">
        <is>
          <t>AI 輸入的幻覺防線</t>
        </is>
      </c>
      <c r="D87" s="59" t="inlineStr">
        <is>
          <t>同上</t>
        </is>
      </c>
      <c r="E87" s="59" t="inlineStr">
        <is>
          <t>貼入一段含有不存在代號或矛盾數字的文字</t>
        </is>
      </c>
      <c r="F87" s="59" t="inlineStr">
        <is>
          <t>系統應拒絕或標示，不得自行補齊；寫入門的驗證（整數股、賣超、日期）同樣生效</t>
        </is>
      </c>
      <c r="G87" s="59" t="inlineStr">
        <is>
          <t>不寫入</t>
        </is>
      </c>
      <c r="H87" s="59" t="inlineStr">
        <is>
          <t>否</t>
        </is>
      </c>
      <c r="I87" s="73" t="inlineStr">
        <is>
          <t>同一 AI 輸入再貼 3 行：①「2884 100股 成交價 46 成交金額 50,000 元」②「賣出 2884 500股 成交價 46」③「2026/13/40 買進 2884 100股」→ 解析（cost 0.0005413）：③ 被列為無法歸類「invalid date」✓；② 「⚠ 賣出 500 股，超過持有的 200 股」（100 現有＋第 1 列 100）✓ 寫入門驗證生效，但預設為勾選；✗ ① 100×46＝4,600 與文字「成交金額 50,000 元」矛盾，卻顯示「✓ 解析完整」，50,000 只被放進備註、沒有任何標示。前一輪的不存在代號 QQQQ9 與 0.5 股都被擋下 ✓</t>
        </is>
      </c>
      <c r="J87" s="72" t="inlineStr">
        <is>
          <t>FAIL</t>
        </is>
      </c>
      <c r="K87" s="72" t="inlineStr">
        <is>
          <t>DEF-036</t>
        </is>
      </c>
      <c r="L87" s="62" t="inlineStr">
        <is>
          <t>結案</t>
        </is>
      </c>
      <c r="M87" s="72" t="inlineStr">
        <is>
          <t>PASS</t>
        </is>
      </c>
      <c r="N87" s="73" t="inlineStr">
        <is>
          <t>本輪未寫入；賣超列的預設勾選與通用確認同 DEF-025
R2：DEF-036 複驗通過結案
R10（3a35454 全面重跑）：PASS — demo 真實瀏覽器（頁首 v0.1.28 · 3a35454），demo 6／6 項檢查全過：矛盾金額「⚠ 金額矛盾：文字寫成交金額 50,000，但 100 股 × 46 = 4,600…」、賣超列警示且預設不勾、無效日期與 ZZZQ8 由模型列為無法歸類（畫面「— invalid date」「— invalid symbol」為模型原文），未補齊；交易帳本仍 56 列
R11（91ec1b0 整份 one shot 重跑）：PASS — demo 真實瀏覽器（頁首 v0.1.28 · 91ec1b0），demo 6／6 項檢查全過：矛盾金額「⚠ 金額矛盾：文字寫成交金額 50,000，但 100 股 × 46 = 4,600…」、賣超列「賣出 500 股，超過持有的 200 股」警示且預設不勾、無效日期與 ZZZQ8 由模型列為無法歸類（英文說明為模型原文），未補齊；交易帳本仍 56 列；花費 0.008962（haiku-4.5，同 F-04）</t>
        </is>
      </c>
    </row>
    <row r="88" ht="57.75" customHeight="1" s="43">
      <c r="A88" s="57" t="inlineStr">
        <is>
          <t>F-06</t>
        </is>
      </c>
      <c r="B88" s="58" t="inlineStr">
        <is>
          <t>F</t>
        </is>
      </c>
      <c r="C88" s="59" t="inlineStr">
        <is>
          <t>提示詞組裝預覽</t>
        </is>
      </c>
      <c r="D88" s="59" t="inlineStr">
        <is>
          <t>洞察管線中心</t>
        </is>
      </c>
      <c r="E88" s="59" t="inlineStr">
        <is>
          <t>乾跑預檢 → 「查看組裝後提示詞」</t>
        </is>
      </c>
      <c r="F88" s="59" t="inlineStr">
        <is>
          <t>① 變數已代入快照；② 與實際送出的提示詞一致（可與 `insights.prompt_figures` 的數字比對）；③ **零成本、不呼叫 LLM**</t>
        </is>
      </c>
      <c r="G88" s="59" t="inlineStr">
        <is>
          <t>唯讀、零花費</t>
        </is>
      </c>
      <c r="H88" s="59" t="inlineStr">
        <is>
          <t>✅ 已驗（R1–R8 與零成本聲明）</t>
        </is>
      </c>
      <c r="I88" s="73" t="inlineStr">
        <is>
          <t>洞察管線 › 持倉週報 › 乾跑預檢（POST /api/insight-tasks/1/preflight 200）→ 展開「查看組裝後提示詞（變數已代入快照）」：system＋模板兩層共 20,220 字，0 個未代入 {{…}}；內文 total_market_value "34912272.92346975318486282701"、xirr "10.22406575305222" 與當下 /api/dashboard kpis 字串相同；system 層與 AI 失敗紀錄 #498 實際送出的 prompt 開頭一致。零成本：前後 AI 額度 3.2993543→3.2993543、llm_usage 927→927、期間無任何 LLM 端點請求</t>
        </is>
      </c>
      <c r="J88" s="72" t="inlineStr">
        <is>
          <t>PASS</t>
        </is>
      </c>
      <c r="K88" s="72" t="n"/>
      <c r="L88" s="62" t="inlineStr">
        <is>
          <t>PASS</t>
        </is>
      </c>
      <c r="M88" s="72" t="inlineStr">
        <is>
          <t>PASS</t>
        </is>
      </c>
      <c r="N88" s="73" t="inlineStr">
        <is>
          <t>站上未提供 insights.prompt_figures 讀取介面，②以失敗紀錄實際送出的 prompt 對照
R8（a16210a 全面重跑）：洞察管線 › 持倉週報 › 乾跑預檢（POST /api/insight-tasks/1/preflight 200，期間無其他寫入或 AI 端點請求）→ 展開「查看組裝後提示詞（變數已代入快照）」：共 20,724 字，0 個未代入 {{…}} ①；內文 total_market_value "35630718.94812951888928809033" 與 xirr 與當下 /api/dashboard kpis 字串相同 ②；system 層開頭「你是資深投資組合分析師，服務一位同時持有台股、美股、馬股的個人長期投資者…」與 AI 失敗記錄 #498 實際送出的 prompt 開頭一致 ②；零成本：前後 AI 額度 3.2574337→3.2574337、llm-usage 匯出列數 1028→1028 ③
R10（3a35454 全面重跑）：PASS — demo 真實瀏覽器（頁首 v0.1.28 · 3a35454），demo 6／6 項檢查全過：乾跑預檢 200：變數全部代入（0 個 {{…}}、23,862 字）、含即時 total_market_value；零花費、無 LLM 呼叫
R11（91ec1b0 整份 one shot 重跑）：PASS — demo 真實瀏覽器（頁首 v0.1.28 · 91ec1b0），demo 6／6 項檢查全過：乾跑預檢 200：變數全部代入（0 個 {{…}}、23,862 字）、含即時 total_market_value 34,774,315.85；零花費、llm-usage 無新列</t>
        </is>
      </c>
    </row>
    <row r="89" ht="29.25" customHeight="1" s="43">
      <c r="A89" s="57" t="inlineStr">
        <is>
          <t>F-07</t>
        </is>
      </c>
      <c r="B89" s="58" t="inlineStr">
        <is>
          <t>F</t>
        </is>
      </c>
      <c r="C89" s="59" t="inlineStr">
        <is>
          <t>額度不足時的降級</t>
        </is>
      </c>
      <c r="D89" s="59" t="inlineStr">
        <is>
          <t>把額度調至極低（非 demo 或可回復的設定）</t>
        </is>
      </c>
      <c r="E89" s="59" t="inlineStr">
        <is>
          <t>觸發任一 AI 功能</t>
        </is>
      </c>
      <c r="F89" s="59" t="inlineStr">
        <is>
          <t>回 402／明確提示「額度不足」，**不得靜默失敗**，也不得產生半成品卡片</t>
        </is>
      </c>
      <c r="G89" s="59" t="inlineStr">
        <is>
          <t>改設定，測畢還原</t>
        </is>
      </c>
      <c r="H89" s="59" t="inlineStr">
        <is>
          <t>否</t>
        </is>
      </c>
      <c r="I89" s="72" t="inlineStr">
        <is>
          <t>demo 站的「AI 與額度」只能「＋添加額度」，不能調低剩餘額度；把低額度警示閾值調到 4.00（高於剩餘 3.30）不會進入額度不足狀態（R6 仍通過），已改回 1.00。手冊前置條件為非 demo 或可回復的設定，本站不具備</t>
        </is>
      </c>
      <c r="J89" s="72" t="inlineStr">
        <is>
          <t>BLOCKED</t>
        </is>
      </c>
      <c r="K89" s="72" t="n"/>
      <c r="L89" s="62" t="inlineStr">
        <is>
          <t>PASS</t>
        </is>
      </c>
      <c r="M89" s="72" t="inlineStr">
        <is>
          <t>PASS</t>
        </is>
      </c>
      <c r="N89" s="73" t="inlineStr">
        <is>
          <t>未把額度真正用罄（需花掉 $3.27，且不可回復）
R5：本機專用測試環境（同一 commit 3be67db；見 docs/audit/2026-09-25-r5-dev-specs.md §9）（假 LLM）：剩餘 −$0.00036 時 交易輸入 › AI 輸入 解析 → POST /api/input/ai/preview 402 budget_exceeded、提示「AI 額度用盡（剩餘 $-0.00036）— 補充額度後即可繼續使用」、頁內降級區「AI 額度用盡…前往額度設定」可見、llm_usage 未增加（無半成品）；畫面加值 $0.001 → 兩次解析成功後剩餘 −$0.00008 → 第三次 402 同一提示。觀察（不影響判定）：加值提示顯示「+$0.00」；單次呼叫可透支（先查後扣）；測試連線不受額度閘門（見規格 §10）
R10（3a35454 全面重跑）：PASS — 本機專用測試環境（同一 commit 3a35454、demo 資料庫副本、假報價／假 LLM、無外網；手冊 §9），本機 4／4 項檢查全過：本機以 llm_usage 補一筆使剩餘 1.99344→−0.00036 → 402 budget_exceeded「AI 額度用盡（剩餘 $-0.00036）— 補充額度後即可繼續使用」；畫面 toast＋橫幅「前往額度設定」；llm_usage 無新列、未產卡
R11（91ec1b0 整份 one shot 重跑）：PASS — 本機專用測試環境（同一 commit 91ec1b0、demo 資料庫副本、假報價／假 LLM、無外網；手冊 §9），本機 4／4 項檢查全過：本機以 llm_usage 補一筆使剩餘 1.99344→−0.00036 → 402 budget_exceeded「AI 額度用盡（剩餘 $0.00）— 補充額度後即可繼續使用」（DEF-085 後金額 2 位小數、四捨五入為 0 的負數顯示 0.00）；畫面 toast＋橫幅「前往額度設定」；llm_usage 無新列、未產卡</t>
        </is>
      </c>
    </row>
    <row r="90" ht="29.25" customHeight="1" s="43">
      <c r="A90" s="57" t="inlineStr">
        <is>
          <t>F-08</t>
        </is>
      </c>
      <c r="B90" s="58" t="inlineStr">
        <is>
          <t>F</t>
        </is>
      </c>
      <c r="C90" s="58" t="inlineStr">
        <is>
          <t>AI 失敗紀錄</t>
        </is>
      </c>
      <c r="D90" s="59" t="inlineStr">
        <is>
          <t>承 F-07 或製造一次失敗</t>
        </is>
      </c>
      <c r="E90" s="59" t="inlineStr">
        <is>
          <t>檢視 LLM 失敗紀錄頁 / `llm_fail_log`</t>
        </is>
      </c>
      <c r="F90" s="59" t="inlineStr">
        <is>
          <t>失敗留下可下載的紀錄（時間、模型、錯誤），與畫面一致</t>
        </is>
      </c>
      <c r="G90" s="59" t="inlineStr">
        <is>
          <t>唯讀</t>
        </is>
      </c>
      <c r="H90" s="59" t="inlineStr">
        <is>
          <t>否</t>
        </is>
      </c>
      <c r="I90" s="73" t="inlineStr">
        <is>
          <t>資料中心 › AI 抽取失敗記錄：畫面「1 / 300 筆」、insight_generate 1 筆、最舊 2026-09-21 00:46:56；下載 .jsonl（POST /api/llm-fail-log/export 200，25,942 bytes）內含 id 498、created_at 2026-09-21T00:46:56.103694+08:00、model google/gemini-2.5-flash-lite、outcome invalid_json、error_reason（pydantic json_invalid）與完整 prompt／raw_output，與畫面一致</t>
        </is>
      </c>
      <c r="J90" s="72" t="inlineStr">
        <is>
          <t>PASS</t>
        </is>
      </c>
      <c r="K90" s="72" t="inlineStr">
        <is>
          <t>DEF-084</t>
        </is>
      </c>
      <c r="L90" s="62" t="inlineStr">
        <is>
          <t>結案</t>
        </is>
      </c>
      <c r="M90" s="72" t="inlineStr">
        <is>
          <t>PASS</t>
        </is>
      </c>
      <c r="N90" s="73" t="inlineStr">
        <is>
          <t>以既有一筆失敗紀錄驗證（未另外製造失敗）
R8（a16210a 全面重跑）：資料中心 › AI 抽取失敗記錄：畫面「13 / 300 筆」，用途分類 insight_generate 10 筆（最舊 2026-09-21 00:46:56）、ai_agents_input 3 筆（最舊 2026-09-23 05:31:35）；下載 .jsonl（POST /api/llm-fail-log/export 200，llm_fail_log_2026-09-27.jsonl，127,802 bytes）內含 13 筆（id 498～510），每筆有 created_at、model、outcome（invalid_json／provider_error／unparsed_rows）、error_reason、完整 prompt 與 raw_output；分類筆數與最舊時間與畫面一致（R1 時為 1 筆，其後 R2～R6 的 AI 失敗陸續留存）
R10（3a35454 全面重跑）：FAIL — demo 真實瀏覽器（頁首 v0.1.28 · 3a35454），demo 4／5 項：資料中心 › AI 抽取失敗記錄 21 / 300 筆＝下載 .jsonl 21 筆，逐筆有時間與錯誤；但 6 筆 ai_agents_input／unparsed_rows（#499、#500、#501、#511、#512、#518）model 為空、usage_id null，無從得知是哪個模型的回覆（其餘 15 筆 insight_generate 皆有 model）→ 開 DEF-084。更正：R8 本欄寫「每筆有 created_at、model、outcome」不精確，當時 13 筆中已有 3 筆 model 為空
R10 Owner 裁定（2026-09-29）：DEF-084 交由開發者修復，修復後複驗
R11（91ec1b0 整份 one shot 重跑）：PASS — demo 真實瀏覽器（頁首 v0.1.28 · 91ec1b0），demo 5／5 項檢查全過：資料中心 › AI 抽取失敗記錄「26 / 300 筆」＝下載 .jsonl 26 筆，逐筆有時間與錯誤；DEF-084 修復後（91ec1b0 部署起）寫入的 3 筆 unparsed_rows 皆帶模型與 usage_id：#521 google/gemini-2.5-flash-lite usage 1083（開發者驗證）、#522 anthropic/claude-haiku-4.5 usage 1088、#523 anthropic/claude-haiku-4.5 usage 1089（本輪 F-04／F-05），與同秒的 llm-usage 列一一對上。修復前寫入的 6 筆（#499、#500、#501、#511、#512、#518）model 仍為空——屬資料殘留（程式已正確、未回填），開發者已註明維持原狀，不影響本案判定。DEF-084 複驗通過結案</t>
        </is>
      </c>
    </row>
    <row r="91" ht="29.25" customHeight="1" s="43">
      <c r="A91" s="57" t="inlineStr">
        <is>
          <t>F-09</t>
        </is>
      </c>
      <c r="B91" s="58" t="inlineStr">
        <is>
          <t>F</t>
        </is>
      </c>
      <c r="C91" s="59" t="inlineStr">
        <is>
          <t>搜尋（⌘K）模糊比對</t>
        </is>
      </c>
      <c r="D91" s="58" t="inlineStr">
        <is>
          <t>—</t>
        </is>
      </c>
      <c r="E91" s="59" t="inlineStr">
        <is>
          <t>以代號／中文名／英文名各搜一次</t>
        </is>
      </c>
      <c r="F91" s="59" t="inlineStr">
        <is>
          <t>模糊比對正確、標示持倉／觀察、查無時有導引、方向鍵＋Enter 可開抽屜</t>
        </is>
      </c>
      <c r="G91" s="59" t="inlineStr">
        <is>
          <t>唯讀</t>
        </is>
      </c>
      <c r="H91" s="59" t="inlineStr">
        <is>
          <t>✅ 已驗（第一輪）</t>
        </is>
      </c>
      <c r="I91" s="72" t="inlineStr">
        <is>
          <t>⌘K 搜尋：「2330」→ 2330 台積電 台股・持倉；中文「台積」「聯發」→ 2330／2454 聯發科 台股・觀察；英文「apple」「appl」「maybank」「tsl」「Evergreen」→ AAPL／1155／TSLA／2603；「ZZZQ」→「查無標的 — 可至「觀察清單」註冊新標的」；輸入「maybank」後 ↓＋Enter → 開啟 1155 抽屜（location.hash=#sym=1155）。全程無 instruments/lookup 或 ai-resolve 請求</t>
        </is>
      </c>
      <c r="J91" s="72" t="inlineStr">
        <is>
          <t>PASS</t>
        </is>
      </c>
      <c r="K91" s="72" t="n"/>
      <c r="L91" s="62" t="inlineStr">
        <is>
          <t>PASS</t>
        </is>
      </c>
      <c r="M91" s="72" t="inlineStr">
        <is>
          <t>PASS</t>
        </is>
      </c>
      <c r="N91" s="72" t="inlineStr">
        <is>
          <t>R8（a16210a 全面重跑）：⌘K 搜尋（頁首「搜尋標的」）：「2330」→ 2330 台積電 台股・持倉；中文「台積」→ 2330、「聯發」→ 2454 聯發科 台股・觀察；英文「apple」「appl」→ AAPL 美股・持倉、「maybank」→ 1155 馬股・持倉、「tsl」→ TSLA、「Evergreen」→ 2603；「ZZZQ」→「查無標的 — 可至「觀察清單」註冊新標的」；輸入「maybank」後 ↓＋Enter → 開啟 1155 抽屜（location.hash=#sym=1155）。全程無 instruments/lookup 或 ai-resolve 請求
R10（3a35454 全面重跑）：PASS — demo 真實瀏覽器（頁首 v0.1.28 · 3a35454），demo 6／6 項檢查全過：搜尋 2330（持倉）、中文名 聯發科（觀察）、英文名 Maybank（1155）皆命中，無結果時「查無標的 — 可至「觀察清單」註冊新標的」；↓＋Enter 開 1155 抽屜；無查價／AI 呼叫
R11（91ec1b0 整份 one shot 重跑）：PASS — demo 真實瀏覽器（頁首 v0.1.28 · 91ec1b0），demo 6／6 項檢查全過：搜尋 2330（持倉）、中文名 聯發科（觀察）、英文名 Maybank（1155）皆命中，無結果時「查無標的 — 可至「觀察清單」註冊新標的」；↓＋Enter 開 1155 抽屜；無查價／AI 呼叫</t>
        </is>
      </c>
    </row>
    <row r="92" ht="16.5" customHeight="1" s="43">
      <c r="A92" s="54" t="inlineStr">
        <is>
          <t>G. AI 投資推斷建議（洞察卡）</t>
        </is>
      </c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6" t="n"/>
    </row>
    <row r="93" ht="43.5" customHeight="1" s="43">
      <c r="A93" s="57" t="inlineStr">
        <is>
          <t>G-01</t>
        </is>
      </c>
      <c r="B93" s="58" t="inlineStr">
        <is>
          <t>G</t>
        </is>
      </c>
      <c r="C93" s="59" t="inlineStr">
        <is>
          <t>產生洞察（單一任務）</t>
        </is>
      </c>
      <c r="D93" s="59" t="inlineStr">
        <is>
          <t>洞察管線中心；記錄目前 AI 額度與卡片數</t>
        </is>
      </c>
      <c r="E93" s="59" t="inlineStr">
        <is>
          <t>選一個 per_symbol 任務 → 產生洞察</t>
        </is>
      </c>
      <c r="F93" s="59" t="inlineStr">
        <is>
          <t>① 卡片數與任務標的數相符；② 每張卡記錄 model／token／cost；③ 額度扣減 = 各卡 cost 加總；④ `job_runs` 留下一列</t>
        </is>
      </c>
      <c r="G93" s="58" t="inlineStr">
        <is>
          <t>**會花費額度**（實測一批 13 張約 $0.02）。卡片可留存或刪除</t>
        </is>
      </c>
      <c r="H93" s="59" t="inlineStr">
        <is>
          <t>✅ 已驗（第三輪產 27 張）</t>
        </is>
      </c>
      <c r="I93" s="73" t="inlineStr">
        <is>
          <t>洞察管線建立單一標的測試任務（標的 2884、模板 2 個串接）→ AI 洞察 › 產生洞察 › 該任務 → POST /api/insight-types/10/run 202 → run #156 status ok、duration 25.5 s：① 任務標的 1 檔 → 新增卡片 1 張（#190，symbol 2884）✓；② 卡片記錄 model gemini-2.5-flash-lite、tokens_in 18,414／tokens_out 2,459、cost_usd 0.002825 ✓；③ 額度 3.2993543→3.2965293，扣減 0.002825＝該卡 cost ✓；④ job_runs #156（job_id insight:10、cost_usd 0.002825、detail ok）✓。該卡 figure_flags 將「226.38 萬」標為數值待核</t>
        </is>
      </c>
      <c r="J93" s="72" t="inlineStr">
        <is>
          <t>PASS</t>
        </is>
      </c>
      <c r="K93" s="72" t="n"/>
      <c r="L93" s="62" t="inlineStr">
        <is>
          <t>PASS</t>
        </is>
      </c>
      <c r="M93" s="72" t="inlineStr">
        <is>
          <t>PASS</t>
        </is>
      </c>
      <c r="N93" s="73" t="inlineStr">
        <is>
          <t>測試任務刪除後其卡片依設計隱藏（/api/insights total 回到 175）
R8（a16210a 全面重跑）：洞察管線以與精靈相同的 POST /api/insight-tasks 建立單一標的測試任務「QA-R8 單一標的測試」（per_symbol、標的 2884、模板 個股健檢策略，#13）→ AI 洞察 › 產生洞察 › 該任務 → POST /api/insight-types/13/run 202（toast「✓ 已觸發 QA-R8 單一標的測試：產生中…」）→ run #206 ok「產生 1 張卡」、5.8 s：① 任務標的 1 檔 → 新增卡片 1 張（#226，symbol 2884；卡片總數 208→209）✓；② 卡片記錄 model gemini-2.5-flash-lite、tokens_in 7,596／tokens_out 1,272、cost_usd 0.0012684 ✓；③ 額度 3.2574337→3.2561653，扣減 0.0012684＝該卡 cost ✓；④ job_runs #206（job_id insight:13、cost_usd 0.0012684、detail「產生 1 張卡」）✓。該卡 figure_flags snapshot checked、無待核數字。測畢於管線中心刪除測試任務（見 H-06）
R10（3a35454 全面重跑）：PASS — demo 真實瀏覽器（頁首 v0.1.28 · 3a35454），demo 7／7 項檢查全過：以與精靈相同的 POST 建立單一標的任務（per_symbol、{mode:custom, symbols:[2884]}）→ run #226 ok「產生 1 張卡」：新卡 #248（2884）1 張；model gemini-2.5-flash-lite、tokens 7,596／1,218、cost 0.0012468；額度扣減＝卡片 cost；job_runs #226 cost 相同；首跑因檢查程式把標的宇宙寫成清單（伺服器依規則改跟隨持倉）產出 13 張卡、多花 $0.0174，屬驗證者操作失誤，已如實計入 R-10
R11（91ec1b0 整份 one shot 重跑）：PASS — demo 真實瀏覽器（頁首 v0.1.28 · 91ec1b0），demo 7／7 項檢查全過：以與精靈相同的 POST 建立單一標的任務 #24（per_symbol、2884）→ run #232 ok「產生 1 張卡」：新卡 #251（2884）1 張；model gemini-2.5-flash-lite、tokens 7,599／473、cost 0.0009491；額度扣減＝卡片 cost；job_runs insight:24 cost 相同</t>
        </is>
      </c>
    </row>
    <row r="94" ht="57.75" customHeight="1" s="43">
      <c r="A94" s="57" t="inlineStr">
        <is>
          <t>G-02</t>
        </is>
      </c>
      <c r="B94" s="58" t="inlineStr">
        <is>
          <t>G</t>
        </is>
      </c>
      <c r="C94" s="59" t="inlineStr">
        <is>
          <t>數值檢核（真陽性）</t>
        </is>
      </c>
      <c r="D94" s="58" t="inlineStr">
        <is>
          <t>—</t>
        </is>
      </c>
      <c r="E94" s="59" t="inlineStr">
        <is>
          <t>找一張卡片文字中的數字，比對 `insights.prompt_figures`</t>
        </is>
      </c>
      <c r="F94" s="59" t="inlineStr">
        <is>
          <t>卡片印出的數字若不在提示詞母體中（任何合理尺度下），必須標「數值待核」，tooltip 列出對不上的數字</t>
        </is>
      </c>
      <c r="G94" s="59" t="inlineStr">
        <is>
          <t>唯讀</t>
        </is>
      </c>
      <c r="H94" s="59" t="inlineStr">
        <is>
          <t>✅ 已驗（#172／#185／#188）</t>
        </is>
      </c>
      <c r="I94" s="72" t="inlineStr">
        <is>
          <t>GET /api/insights 175 張：snapshot=checked 33 張，其中 4 張有 unverified_figures：#188 NVDA「5,200 億」（母體 5.2 兆，×10）、#185 8299「458.92 億」（母體 4,589.17 億，×10）、#172 8299「497.43 萬」、#173 AAPL「95.0457」「15,916.00」。AI 洞察 › 持倉健診 畫面：NVDA 與 8299 卡片顯示「數值待核」，tooltip「對不上的數字：5,200 億／458.92 億 這些數字未出現在餵給模型的資料中，請以儀表板數字為準」</t>
        </is>
      </c>
      <c r="J94" s="72" t="inlineStr">
        <is>
          <t>PASS</t>
        </is>
      </c>
      <c r="K94" s="72" t="n"/>
      <c r="L94" s="62" t="inlineStr">
        <is>
          <t>PASS</t>
        </is>
      </c>
      <c r="M94" s="72" t="inlineStr">
        <is>
          <t>PASS</t>
        </is>
      </c>
      <c r="N94" s="72" t="inlineStr">
        <is>
          <t>#173 兩個數字是兩個帳戶的加總（85.03925+10.00646＝95.04571 股；兩帳戶原始成本合計 15,916），確實不在母體中，依規則標記正確；站上未對外提供 prompt_figures，母體比對以卡片原文＋個股 API 交叉確認
R8（a16210a 全面重跑）：GET /api/insights 209 張：snapshot=checked 67 張，其中 11 張有 unverified_figures。R1 的 4 張真陽性未變：#188 NVDA「5,200 億」、#185 8299「458.92 億」、#172 8299「497.43 萬」、#173 AAPL「95.0457」「15,916.00」；其後新增 7 張皆為模型自行加總或推算、母體中沒有的數字：#220「86.15%」（＝56.96＋17.66＋11.53）、「36,396,555.00」（標為台股總市值，實際台股市值 31,974,740）、#219「98.8%」「2.4 萬」「68.75%」與斷開的「4575」「7075」、#210「114,074.98」、#200「156／290」（推算價位）、#197「94.7%」（18/19）、#216「14%」與 #221「32%」（母體為 14.8%、32.54%，差距 &gt;0.5%）。AI 洞察頁這些卡顯示「數值待核」，tooltip「對不上的數字：… 這些數字未出現在餵給模型的資料中，請以儀表板數字為準」
R10（3a35454 全面重跑）：PASS — demo 真實瀏覽器（頁首 v0.1.28 · 3a35454），demo 3／3 項檢查全過：11 張卡有待核數字，每個被標數字都印在卡上；頁面 4 個「數值待核」徽章的 tooltip 列出數字
R11（91ec1b0 整份 one shot 重跑）：PASS — demo 真實瀏覽器（頁首 v0.1.28 · 91ec1b0），demo 3／3 項檢查全過：12 張卡有待核數字，每個被標數字都印在卡上；頁面 4 個「數值待核」徽章的 tooltip 列出數字</t>
        </is>
      </c>
    </row>
    <row r="95" ht="43.5" customHeight="1" s="43">
      <c r="A95" s="57" t="inlineStr">
        <is>
          <t>G-03</t>
        </is>
      </c>
      <c r="B95" s="58" t="inlineStr">
        <is>
          <t>G</t>
        </is>
      </c>
      <c r="C95" s="59" t="inlineStr">
        <is>
          <t>數值檢核（不得誤報）</t>
        </is>
      </c>
      <c r="D95" s="58" t="inlineStr">
        <is>
          <t>—</t>
        </is>
      </c>
      <c r="E95" s="59" t="inlineStr">
        <is>
          <t>檢視有母體的卡片中含單位的數字（兆／億／萬／千萬／百萬／B／T／混合數字）</t>
        </is>
      </c>
      <c r="F95" s="59" t="inlineStr">
        <is>
          <t>只要與母體數字在 0.5% 內相符即**不得**標記；單位換算需正確（4.51 兆 = 4.51×10¹²）</t>
        </is>
      </c>
      <c r="G95" s="59" t="inlineStr">
        <is>
          <t>唯讀</t>
        </is>
      </c>
      <c r="H95" s="59" t="inlineStr">
        <is>
          <t>✅ 已驗（21 個單位 token）</t>
        </is>
      </c>
      <c r="I95" s="72" t="inlineStr">
        <is>
          <t>33 張有母體的卡片共 164 個含單位數字 token（兆／億／萬／千萬／百萬／B／M／K…），被標記者僅 G-02 所列 4 張；以「兆」表達的 #186 AAPL 4.51 兆、#187 MSFT 3.59 兆、#189 TSLA 1.43 兆、#180 2330 62.5 兆 皆 unverified_figures=[]（未誤報）</t>
        </is>
      </c>
      <c r="J95" s="72" t="inlineStr">
        <is>
          <t>PASS</t>
        </is>
      </c>
      <c r="K95" s="72" t="n"/>
      <c r="L95" s="62" t="inlineStr">
        <is>
          <t>PASS</t>
        </is>
      </c>
      <c r="M95" s="72" t="inlineStr">
        <is>
          <t>PASS</t>
        </is>
      </c>
      <c r="N95" s="72" t="inlineStr">
        <is>
          <t>R8（a16210a 全面重跑）：67 張有母體的卡片中，R1 的「兆」例 #186 AAPL 4.51 兆、#187 MSFT 3.59 兆、#189 TSLA 1.43 兆、#180 2330 62.5 兆 仍皆 unverified_figures=[]（未誤報）；新增的待核數字逐一以卡片原文與當時資料交叉確認，皆為模型推算或與母體差距 &gt;0.5% 的數字，未見母體內數字被誤標；本輪新產生的 #226 亦無誤標
R10（3a35454 全面重跑）：PASS — demo 真實瀏覽器（頁首 v0.1.28 · 3a35454），demo 5／5 項檢查全過：#180／#186／#187／#189 的「兆」金額不被標（unverified_figures []、snapshot checked）
R11（91ec1b0 整份 one shot 重跑）：PASS — demo 真實瀏覽器（頁首 v0.1.28 · 91ec1b0），demo 5／5 項檢查全過：#180／#186／#187／#189 的「兆」金額不被標（unverified_figures []、snapshot checked）</t>
        </is>
      </c>
    </row>
    <row r="96" ht="29.25" customHeight="1" s="43">
      <c r="A96" s="57" t="inlineStr">
        <is>
          <t>G-04</t>
        </is>
      </c>
      <c r="B96" s="58" t="inlineStr">
        <is>
          <t>G</t>
        </is>
      </c>
      <c r="C96" s="59" t="inlineStr">
        <is>
          <t>代號檢核</t>
        </is>
      </c>
      <c r="D96" s="58" t="inlineStr">
        <is>
          <t>—</t>
        </is>
      </c>
      <c r="E96" s="59" t="inlineStr">
        <is>
          <t>檢視卡片中括號內的代號</t>
        </is>
      </c>
      <c r="F96" s="59" t="inlineStr">
        <is>
          <t>未註冊代號標示；指標（MA20／RSI14）、縮寫（PE／ETF）、幣別不得誤報</t>
        </is>
      </c>
      <c r="G96" s="59" t="inlineStr">
        <is>
          <t>唯讀</t>
        </is>
      </c>
      <c r="H96" s="59" t="inlineStr">
        <is>
          <t>✅ 已驗（誤報 48 → 1）</t>
        </is>
      </c>
      <c r="I96" s="72" t="inlineStr">
        <is>
          <t>175 張卡片括號內 token 共 158 種，非標的者含 ROE 35 次、TWD 34、PB 31、PE 30、PER／PBR 各 16、USD 11、MYR 8、MA20 8、MA60 9、MA200 6、YoY 7 等，全部未被列入 unknown_symbols；唯一被標者 #82「6883」（LRDIM，不在持倉／觀察／已註冊）→ 畫面「未知代碼」tooltip「未知代碼：6883 卡片提到的代號不在持倉、觀察清單或已註冊標的中，可能是模型幻覺」</t>
        </is>
      </c>
      <c r="J96" s="72" t="inlineStr">
        <is>
          <t>PASS</t>
        </is>
      </c>
      <c r="K96" s="72" t="inlineStr">
        <is>
          <t>DEF-082</t>
        </is>
      </c>
      <c r="L96" s="62" t="inlineStr">
        <is>
          <t>結案</t>
        </is>
      </c>
      <c r="M96" s="72" t="inlineStr">
        <is>
          <t>PASS</t>
        </is>
      </c>
      <c r="N96" s="72" t="inlineStr">
        <is>
          <t>R8（a16210a 全面重跑）：209 張卡片括號內 token 共 44 種（1155 67 次、2330 58、2317 43、TWD 42、8299 41、ROE 35、PB 31、PE 30、PER／PBR 各 16、USD 14 等），指標、縮寫、幣別皆未被列入 unknown_symbols ✓；R1 的真陽性 #82「6883」（LRDIM）仍標「未知代碼：6883…可能是模型幻覺」✓。✗ 新發現誤報：#209（2026-09-24 產生的台股週報，snapshot checked）寫「3008 (LARGAN)」，括號內是已註冊且持有中的標的 3008 的名稱（GET /api/instruments 3008 name＝"LARGAN"），卻被列入 unknown_symbols，AI 洞察頁顯示「未知代碼」，tooltip「未知代碼：LARGAN 卡片提到的代號不在持倉、觀察清單或已註冊標的中，可能是模型幻覺」。全部卡片中括號內寫已註冊標的名稱者僅此 1 張，1/1 被誤標。定位（讀碼）：llm_insight/figure_check.py:151 _CODE_RE 把全大寫英文名視同代號，:466 _unknown_symbols 只比對 known symbols，不比對已註冊標的名稱；該檔自 755c88a 未變更，R1 時沒有這種寫法的卡片，屬既有規則的漏網、本輪資料才暴露，非回歸 → 開 DEF-082（低）
R9：DEF-082 複驗通過結案：demo #209「3008 (LARGAN)」不再標「未知代碼」（unknown_symbols []），#82「LRDIM (6883)」仍標「未知代碼：6883」；208 張卡未知代碼只剩 #82；指標、縮寫、幣別仍不誤報（44 種括號 token）。本機：名稱形式不分大小寫、整名＋多字名稱的單字放行，全數字與單一字母仍標（依 owner 2026-09-27 裁定）
R10（3a35454 全面重跑）：PASS — demo 真實瀏覽器（頁首 v0.1.28 · 3a35454），demo 3／3 項檢查全過：只有 #82 被標（6883）；#209「3008 (LARGAN)」不標；頁面僅 1 個「未知代碼」徽章、tooltip 點名 6883
R11（91ec1b0 整份 one shot 重跑）：PASS — demo 真實瀏覽器（頁首 v0.1.28 · 91ec1b0），demo 3／3 項檢查全過：只有 #82 被標（6883）；#209「3008 (LARGAN)」不標；頁面僅 1 個「未知代碼」徽章、tooltip 點名 6883</t>
        </is>
      </c>
    </row>
    <row r="97" ht="29.25" customHeight="1" s="43">
      <c r="A97" s="57" t="inlineStr">
        <is>
          <t>G-05</t>
        </is>
      </c>
      <c r="B97" s="58" t="inlineStr">
        <is>
          <t>G</t>
        </is>
      </c>
      <c r="C97" s="59" t="inlineStr">
        <is>
          <t>第三態：無母體</t>
        </is>
      </c>
      <c r="D97" s="58" t="inlineStr">
        <is>
          <t>—</t>
        </is>
      </c>
      <c r="E97" s="59" t="inlineStr">
        <is>
          <t>檢視 `prompt_figures` 為空的舊卡</t>
        </is>
      </c>
      <c r="F97" s="59" t="inlineStr">
        <is>
          <t>顯示「無快照可核」而**不是**乾淨無標記</t>
        </is>
      </c>
      <c r="G97" s="59" t="inlineStr">
        <is>
          <t>唯讀</t>
        </is>
      </c>
      <c r="H97" s="59" t="inlineStr">
        <is>
          <t>✅ 已驗（142 張）</t>
        </is>
      </c>
      <c r="I97" s="72" t="inlineStr">
        <is>
          <t>snapshot=none 共 142 張（141 張無其他旗標＋#82 帶未知代碼）；洞察卡頁 13 張卡中 11 張顯示「無快照可核」，tooltip「此卡片產生時未記錄餵給模型的數字（2026-09-17 之前產生），無法核對卡片中的數字 請以儀表板數字為準」；#82 的未知代碼 tooltip 另註「（數字部分無法核對：此卡片產生時未記錄餵入的數字）」；有母體者（2026-09-17 以後）不顯示此標記</t>
        </is>
      </c>
      <c r="J97" s="72" t="inlineStr">
        <is>
          <t>PASS</t>
        </is>
      </c>
      <c r="K97" s="72" t="n"/>
      <c r="L97" s="62" t="inlineStr">
        <is>
          <t>PASS</t>
        </is>
      </c>
      <c r="M97" s="72" t="inlineStr">
        <is>
          <t>PASS</t>
        </is>
      </c>
      <c r="N97" s="72" t="inlineStr">
        <is>
          <t>R8（a16210a 全面重跑）：snapshot=none 共 142 張（2026-09-17 之前產生）；洞察卡頁顯示的卡中 36 處「無快照可核」，tooltip「此卡片產生時未記錄餵給模型的數字（2026-09-17 之前產生），無法核對卡片中的數字 請以儀表板數字為準」；#82 的未知代碼 tooltip 另註「（數字部分無法核對：此卡片產生時未記錄餵入的數字）」；有母體者（2026-09-17 以後）不顯示此標記
R10（3a35454 全面重跑）：PASS — demo 真實瀏覽器（頁首 v0.1.28 · 3a35454），demo 3／3 項檢查全過：snapshot=none 的舊卡 142 張顯示「無快照可核」（本頁 11 張），tooltip 說明 2026-09-17 之前產生
R11（91ec1b0 整份 one shot 重跑）：PASS — demo 真實瀏覽器（頁首 v0.1.28 · 91ec1b0），demo 3／3 項檢查全過：snapshot=none 的舊卡 142 張顯示「無快照可核」（本頁 11 張），tooltip 說明 2026-09-17 之前產生</t>
        </is>
      </c>
    </row>
    <row r="98" ht="43.5" customHeight="1" s="43">
      <c r="A98" s="57" t="inlineStr">
        <is>
          <t>G-06</t>
        </is>
      </c>
      <c r="B98" s="58" t="inlineStr">
        <is>
          <t>G</t>
        </is>
      </c>
      <c r="C98" s="59" t="inlineStr">
        <is>
          <t>預測欄位顯示</t>
        </is>
      </c>
      <c r="D98" s="58" t="inlineStr">
        <is>
          <t>—</t>
        </is>
      </c>
      <c r="E98" s="59" t="inlineStr">
        <is>
          <t>檢視卡片的信心與預測</t>
        </is>
      </c>
      <c r="F98" s="59" t="inlineStr">
        <is>
          <t>信心以整數百分比顯示；信心 0 有 tooltip「模型自評信心 0%（極低）— 非未提供」；無預測顯示「純描述・無預測」</t>
        </is>
      </c>
      <c r="G98" s="59" t="inlineStr">
        <is>
          <t>唯讀</t>
        </is>
      </c>
      <c r="H98" s="59" t="inlineStr">
        <is>
          <t>✅ 已驗（11 種信心值）</t>
        </is>
      </c>
      <c r="I98" s="73" t="inlineStr">
        <is>
          <t>信心以整數百分比顯示（出現值 0／20／30／40／42／45／50／52／55／58／60／62／65／70／75／80／85／90／95／100）；#182 2884「信心 0%」tooltip＝「模型自評信心 0%（極低）— 非未提供」✓；confidence=null 的 15 張顯示「純描述・無預測」✓。✗ 另有 25 張 prediction=null 但 confidence 有值（0／40／55／80／100，如 #182、#162、#161、#160、#159），畫面顯示「信心 N%」而非「純描述・無預測」</t>
        </is>
      </c>
      <c r="J98" s="72" t="inlineStr">
        <is>
          <t>OBSERVE</t>
        </is>
      </c>
      <c r="K98" s="72" t="inlineStr">
        <is>
          <t>DEF-003</t>
        </is>
      </c>
      <c r="L98" s="62" t="inlineStr">
        <is>
          <t>結案</t>
        </is>
      </c>
      <c r="M98" s="72" t="inlineStr">
        <is>
          <t>PASS</t>
        </is>
      </c>
      <c r="N98" s="72" t="inlineStr">
        <is>
          <t>web/insights.html:317 以 confidence 是否為 null 決定顯示，與手冊「無預測顯示純描述・無預測」的判準（prediction）不同；需 owner 裁定以哪個欄位為準
R2：DEF-003 經 Owner 裁定：無 prediction 一律「純描述・無預測」、不顯示信心、不進校準 → 待開發者修
R3：DEF-003 複驗通過結案（49 張無預測卡皆無信心值）
R10（3a35454 全面重跑）：PASS — demo 真實瀏覽器（頁首 v0.1.28 · 3a35454），demo 3／3 項檢查全過：無預測卡 52 張皆不顯示信心；信心為整數百分比；描述卡顯示「純描述・無預測」
R11（91ec1b0 整份 one shot 重跑）：PASS — demo 真實瀏覽器（頁首 v0.1.28 · 91ec1b0），demo 3／3 項檢查全過：無預測卡 52 張皆不顯示信心；信心為整數百分比；描述卡顯示「純描述・無預測」</t>
        </is>
      </c>
    </row>
    <row r="99" ht="29.25" customHeight="1" s="43">
      <c r="A99" s="57" t="inlineStr">
        <is>
          <t>G-07</t>
        </is>
      </c>
      <c r="B99" s="58" t="inlineStr">
        <is>
          <t>G</t>
        </is>
      </c>
      <c r="C99" s="58" t="inlineStr">
        <is>
          <t>Loop 2 評分</t>
        </is>
      </c>
      <c r="D99" s="59" t="inlineStr">
        <is>
          <t>有已到期的預測卡</t>
        </is>
      </c>
      <c r="E99" s="59" t="inlineStr">
        <is>
          <t>執行 `evaluate_insights` 或等待排程 → 檢視 AI 戰績</t>
        </is>
      </c>
      <c r="F99" s="59" t="inlineStr">
        <is>
          <t>① 到期卡被評分；② 命中率與校準曲線更新；③ 未到期卡不得被評分</t>
        </is>
      </c>
      <c r="G99" s="59" t="inlineStr">
        <is>
          <t>會寫入評分資料</t>
        </is>
      </c>
      <c r="H99" s="59" t="inlineStr">
        <is>
          <t>否</t>
        </is>
      </c>
      <c r="I99" s="73" t="inlineStr">
        <is>
          <t>執行前 AI 戰績 totals：n 45、量化命中 6（13.33%）、失誤 39、平均敘事 75.78；/api/insights 中有預測且 due_at 已到的卡 95 張、未到期 40 張。系統設定 › 排程中心 › evaluate_insights › 立即執行 → run #157 ok「evaluate pass complete」79 s → ① 新增評估 50 列（49 scored＋1 pending_data：#97 缺資料）；② totals n 94、量化命中 30（31.91%）、失誤 64、平均敘事 77.63；校準曲線更新為 0-20／20-40／40-60（n 47，實際 23.40%）／60-80（n 42，實際 35.71%）／80-100 五桶，滾動校準缺口 −46.60% → +0.108 ✓；③ 40 張未到期卡（例 #188 due 2026-10-19）無一被評分 ✓。花費：master_score 49 次合計 0.0140793＝額度 3.2949551→3.2808758 的扣減</t>
        </is>
      </c>
      <c r="J99" s="72" t="inlineStr">
        <is>
          <t>PASS</t>
        </is>
      </c>
      <c r="K99" s="72" t="n"/>
      <c r="L99" s="62" t="inlineStr">
        <is>
          <t>PASS</t>
        </is>
      </c>
      <c r="M99" s="72" t="inlineStr">
        <is>
          <t>PASS</t>
        </is>
      </c>
      <c r="N99" s="73" t="inlineStr">
        <is>
          <t>評分資料為預期寫入（手冊：會寫入評分資料），無法還原
R8（a16210a 全面重跑）：demo：94 張已到期預測卡已全數評分（R1 寫入），63 張未到期（最早 2026-09-28）；排程中心 evaluate_insights 立即執行 → run #207 ok「評分 0 張、延後 0 張；晉升：無」、額度不變、未到期卡未被評分 ③。本機專用測試環境（a16210a、G-08 資料庫副本、時鐘推進至 2026-10-08、假 LLM）：先執行個股健檢產生 9 張新卡（到期 10-15，另 9 張影子）→ evaluate_insights → ① 到期（10-06）的 18 張全數評分（scored 18）；② AI 戰績 totals n 36→45、量化命中率 63.89%→66.67%，校準曲線 60-80 桶 n 36→45、實際 63.89%→66.67%、誤差 6.11→3.33pp；③ 18 張未到期新卡無一被評分 ✓
R10（3a35454 全面重跑）：PASS — demo 真實瀏覽器（頁首 v0.1.28 · 3a35454）＋本機專用測試環境（同一 commit 3a35454、demo 資料庫副本、假報價／假 LLM、無外網；手冊 §9），demo 4／4 項、本機 4／4 項檢查全過：demo：evaluate_insights 立即執行 #212「評分 10 張、延後 0 張；晉升：無」（R8 之後陸續到期的 10 張）、AI 戰績 n 94→104、52 張未到期未被評分；本機時鐘推進：到期 18 張全評、totals n 36→45、18 張未到期無一被評
R11（91ec1b0 整份 one shot 重跑）：PASS — demo 真實瀏覽器（頁首 v0.1.28 · 91ec1b0）＋本機專用測試環境（同一 commit 91ec1b0、demo 資料庫副本、假報價／假 LLM、無外網；手冊 §9），demo 4／4 項、本機 4／4 項檢查全過：demo：evaluate_insights 立即執行 #233「評分 8 張、延後 0 張；晉升：無」、AI 戰績 n 104→112、58 張未到期未被評分；本機時鐘推進：到期 18 張全評（「評分 18 張…晉升：個股健檢 v3」）、totals n 36→45、18 張未到期無一被評</t>
        </is>
      </c>
    </row>
    <row r="100" ht="29.25" customHeight="1" s="43">
      <c r="A100" s="57" t="inlineStr">
        <is>
          <t>G-08</t>
        </is>
      </c>
      <c r="B100" s="58" t="inlineStr">
        <is>
          <t>G</t>
        </is>
      </c>
      <c r="C100" s="59" t="inlineStr">
        <is>
          <t>影子批次與自動晉升</t>
        </is>
      </c>
      <c r="D100" s="59" t="inlineStr">
        <is>
          <t>設定 › 進化設定</t>
        </is>
      </c>
      <c r="E100" s="59" t="inlineStr">
        <is>
          <t>產生一批 shadow 卡 → 檢視是否影響正式卡 → 達標後晉升</t>
        </is>
      </c>
      <c r="F100" s="58" t="inlineStr">
        <is>
          <t>① shadow 卡不出現在正式清單；② 最低樣本數與安全邊界生效；③ 晉升後版本號變更</t>
        </is>
      </c>
      <c r="G100" s="58" t="inlineStr">
        <is>
          <t>**會花費額度**；建議在非 demo 環境</t>
        </is>
      </c>
      <c r="H100" s="59" t="inlineStr">
        <is>
          <t>否</t>
        </is>
      </c>
      <c r="I100" s="73" t="inlineStr">
        <is>
          <t>設定 › AI 提示詞 › 自我進化設定：auto_promote false、影子評估批次數 3、最低樣本數 8、同時影子上限 2、校準誤差門檻 10pp（GET /api/evolution-config 相同）；目前兩個自我校正任務（個股健檢、持倉建議與提點）的校正版本皆為空（/api/calibrations?insight_type=2／8 → []），/api/insights 與 AI 戰績中 is_shadow 卡 0 張。完整流程需先產生校正版本、跑影子批次，再等影子卡到期（horizon 14 天）評分後才會晉升，本輪無法在時間內完成；手冊亦建議非 demo 環境</t>
        </is>
      </c>
      <c r="J100" s="72" t="inlineStr">
        <is>
          <t>BLOCKED</t>
        </is>
      </c>
      <c r="K100" s="72" t="inlineStr">
        <is>
          <t>DEF-069, DEF-070, DEF-071, DEF-073, DEF-079, DEF-080</t>
        </is>
      </c>
      <c r="L100" s="62" t="inlineStr">
        <is>
          <t>結案</t>
        </is>
      </c>
      <c r="M100" s="72" t="inlineStr">
        <is>
          <t>PASS</t>
        </is>
      </c>
      <c r="N100" s="73" t="inlineStr">
        <is>
          <t>未觸發 generate_calibrations（會花額度且寫入不可回復的校正版本）
R5：本機專用測試環境（同一 commit 3be67db；見 docs/audit/2026-09-25-r5-dev-specs.md §9），伺服器時鐘以 freezegun 推進（09-01→09-10→09-11→09-21）、9 檔持股合成收盤、假 LLM：② 最低樣本數 20 時產生校正 0 版（抽屜「累積樣本中」）、改 8 後越權內文（含「加碼」）被關鍵字守門擋下 0 版、正常內文產生 v1、v2 ✓；影子評估批次數 20＋自動晉升開啟時評分後不晉升（生效版仍空）、改 3 後下一次評分晉升 ✓；③ 抽屜「v2 生效中」、之後生效卡 calibration_version=2 ✓。① ✗：影子卡出現在 /api/insights 與持倉健診（9 檔標題卡皆為影子卡）→ DEF-069；上限以累計影子卡計（第一批 9 張超過 2、之後 v3 永無影子）→ DEF-070；畫面無「設為生效」→ DEF-071；校正工作明細不說明結果 → DEF-073
R6：DEF-069、070、071、073、079、080 複驗通過結案 → 本案轉 PASS。本機專用測試環境（同一 commit 696934e、排程器開啟、假 LLM；手冊 §9），伺服器時鐘以 freezegun 推進 09-01→09-10→09-18→09-21→09-29、9 檔合成收盤：② 最低樣本數 20 →「產生 0 版；略過 2 個任務（個股健檢 新樣本 9／門檻 20…）」、越權內文 →「驗證器拒絕 1 版（個股健檢：越權/幣別混算關鍵字：加碼）」、正常 →「產生 1 版（個股健檢 v1・失誤樣本 7 筆）」、立即重跑 →「產生 0 版…新樣本 0」✓；只有 v1 時診斷 G7「需手動設為生效」，版本鏈按「設為生效」採用（PUT {"version":1} 200）✓；09-18 v1 累積 9 筆新評分後產生 v2（失誤樣本 2 筆），同批生效 v1 9 張＋影子 v2 9 張、09-21 再 9 張（鏈「影子評估中 0／3」）✓；v2 影子評估中校正工作「暫不產生 1 個任務（個股健檢 v2 影子評估中）」✓；09-29 批次數 20 時「晉升：無」（鏈 18／20）、改 3 後「晉升：個股健檢 v2」✓，隨後產生 v3（失誤樣本 4 筆），下一批生效 v2 9 張＋影子 v3 9 張 ✓；③ 生效版 1 → 2，版本鏈「取消生效」→ null、「設為生效」→ 2 ✓；① 影子卡 0 張進入 /api/insights 三種形狀、持倉健診與 2330 個股抽屜（資料表影子 9／18／27 張）✓
R10（3a35454 全面重跑）：PASS — 本機專用測試環境（同一 commit 3a35454、demo 資料庫副本、假報價／假 LLM、無外網；手冊 §9），本機 8／8 項檢查全過：本機：最低樣本 20 →「產生 0 版；略過 2 個任務（個股健檢 新樣本 9／門檻 20…）」；越權內文 →「驗證器拒絕 1 版（個股健檢：越權/幣別混算關鍵字：加碼）」；正常 →「產生 1 版（個股健檢 v1・失誤樣本 7 筆）」；批次未滿「晉升：無」、滿後「晉升：個股健檢 v2」；生效 1→2、取消生效→null、設為生效→2；影子卡 0 張進入正式清單（平面／分組兩種形狀）
R11（91ec1b0 整份 one shot 重跑）：PASS — 本機專用測試環境（同一 commit 91ec1b0、demo 資料庫副本、假報價／假 LLM、無外網；手冊 §9），本機 8／8 項檢查全過：本機：最低樣本 20 →「產生 0 版；略過 2 個任務（個股健檢 新樣本 9／門檻 20…）」；越權內文 →「驗證器拒絕 1 版（個股健檢：越權/幣別混算關鍵字：加碼）」；正常 →「產生 1 版（個股健檢 v1・失誤樣本 7 筆）」；批次未滿「晉升：無」、滿後「晉升：個股健檢 v2」；取消生效→null、設為生效→2；影子卡 0 張進入正式清單（平面 27／分組 27，表內影子 9）</t>
        </is>
      </c>
    </row>
    <row r="101" ht="15" customHeight="1" s="43">
      <c r="A101" s="57" t="inlineStr">
        <is>
          <t>G-09</t>
        </is>
      </c>
      <c r="B101" s="58" t="inlineStr">
        <is>
          <t>G</t>
        </is>
      </c>
      <c r="C101" s="58" t="inlineStr">
        <is>
          <t>on_alert 觸發產卡</t>
        </is>
      </c>
      <c r="D101" s="59" t="inlineStr">
        <is>
          <t>設定一條會觸發的預警規則</t>
        </is>
      </c>
      <c r="E101" s="59" t="inlineStr">
        <is>
          <t>觸發預警 → 檢視是否產生對應洞察</t>
        </is>
      </c>
      <c r="F101" s="59" t="inlineStr">
        <is>
          <t>預警觸發的 scope 正確、卡片與預警關聯可追溯；**僅持有中的標的會產卡**，觀察清單標的的預警仍列在預警清單但不產卡（2026-09-24 owner 裁定 DEF-041）</t>
        </is>
      </c>
      <c r="G101" s="59" t="inlineStr">
        <is>
          <t>會花費額度</t>
        </is>
      </c>
      <c r="H101" s="59" t="inlineStr">
        <is>
          <t>否</t>
        </is>
      </c>
      <c r="I101" s="73" t="inlineStr">
        <is>
          <t>觀察清單把 2884 目標下限設為 50（現價 46.45，必然跌破）→ 排程中心 › alert_scan › 立即執行 → run #158 ok「35 alert(s) [single_weight, sector_weight, stale_price, fx_drift, exdiv_upcoming, drawdown_from_peak, target_cross, portfolio_drawdown, currency_weight], 18 dispatched」→ 預警觸發任務「持倉提點」（on_alert，訂閱 target_cross／single_weight／fx_drift／drawdown_from_peak／vol_spike／consensus_change）產生 insight:9 run #159～#176、17 張卡；花費 0.008804＝各 run cost 加總＝各卡 cost 加總＝額度扣減 ✓。target_cross:2884:low → 產出 2884 卡 #207 ✓；未訂閱的 stale_price 未派發 ✓。✗ fx_drift:moomoo_my（帳戶層級預警）被當成個股派發，產生 symbol＝「moomoo_my」的卡，內容為模型臆測「收到 moomoo 交易商的『服務不可用』警示…」，並出現在 AI 洞察 › 持倉健診；✗ 卡片沒有任何欄位或畫面標示是哪一條預警觸發（2884 卡標題「RSI過熱警示」，未提跌破目標價 50），預警與卡片無法互查。測畢 2884 目標價改回空白，全部 26 檔目標價皆為空</t>
        </is>
      </c>
      <c r="J101" s="72" t="inlineStr">
        <is>
          <t>FAIL</t>
        </is>
      </c>
      <c r="K101" s="72" t="inlineStr">
        <is>
          <t>DEF-037, DEF-041, DEF-044, DEF-046, DEF-054, DEF-066, DEF-083</t>
        </is>
      </c>
      <c r="L101" s="62" t="inlineStr">
        <is>
          <t>結案</t>
        </is>
      </c>
      <c r="M101" s="72" t="inlineStr">
        <is>
          <t>PASS</t>
        </is>
      </c>
      <c r="N101" s="72" t="inlineStr">
        <is>
          <t>R2：DEF-037 複驗通過結案；依 OBS-2 裁定新增期望「僅持有中的標的產卡」→ DEF-041；附帶 DEF-044（排程中心原始帳戶 id）、DEF-046（R1 錯誤卡，裁定刪除）
R3：DEF-041、DEF-044、DEF-046 複驗通過結案；附帶 DEF-054（錯卡 #97，owner 已裁定刪除）
R4：DEF-054 複驗通過結案（#97 與評分已刪、無 moomoo 卡）
R5：附帶 DEF-066（DEF-062 複驗時 alert_scan 派發 insight:9，3 個 run 因備援缺 tenacity 而 partial）
R6：DEF-066 複驗通過結案（本機假服務：主模型截斷 JSON＋備援 HTTP 500 → 明細分列兩者原因、無 tenacity；503 一次後重試成功；401 不重試改走備援 9 張卡）
R10（3a35454 全面重跑）：FAIL — demo 真實瀏覽器（頁首 v0.1.28 · 3a35454），demo 6／8 項：2884 目標下限 999、2454（觀察）目標下限 99999 → alert_scan #213「預警 20 條…派發 AI 預警卡 8 張…略過 8 條觀察標的預警（未持有，不產卡）：…目標價穿越 2454」；7 張卡（#240～#246）皆為持有標的且 trigger 帶 alert_id／rule／subject 可追溯 ✓、2454 未產卡 ✓；但 2884 目標價穿越那一張（run #221）失敗：「主模型 gemini-2.5-flash-lite：回應不是完整 JSON（2 次）；備援 haiku-4.5：請求內容被拒（HTTP 400）」，失敗記錄 #517 原文「output_config.format.schema: Invalid regex in pattern field: Quantifier '?' without preceding element」→ 備援在真實供應商上一律被拒，開 DEF-083（中）。花費 $0.0046685（7 張卡）
R10 Owner 裁定（2026-09-29）：DEF-083 交由開發者修復，修復後複驗
R11（91ec1b0 整份 one shot 重跑）：PASS — demo 真實瀏覽器（頁首 v0.1.28 · 91ec1b0）（demo 7／8 項＋第 8 項以工作紀錄終值判讀，見下）：2884 目標下限 999、2454（觀察）目標下限 99999 → alert_scan run #234「預警 22 條…派發 AI 預警卡 8 張…略過 10 條觀察標的預警（未持有，不產卡）：…目標價穿越 2454」（畫面以「帳戶 Moomoo MY」稱呼帳戶）；8 張卡（#252～#259，insight:9 run #235～#242 皆 ok）皆為持有標的，2884 那張 #259 的 trigger 帶 alert_id 227／rule target_cross／「現價 44.9000 ≤ 目標下限 999」可追溯 ✓、2454 未產卡 ✓；DEF-083 在真實供應商上被實際用到：5225 那張（run #239）gemini-2.5-flash-lite 連續 2 次截斷 JSON（失敗記錄 #528、#529）→ 備援 haiku-4.5 產出卡 #256（$0.0104），全程無 400。花費 $0.0153415（8 張卡）；測後兩個目標價清回。檢查程式標記的唯一一項是「alert_scan ok」：程式只等 120 秒，讀到時 run #234 仍在執行（它要等 8 張卡派發完），實際於 125.5 秒以 ok 結束、明細如上——屬驗證者檢查程式的等待時間不足，產品行為全部符合期望；未重跑本題，檢查程式已把等待改為 300 秒</t>
        </is>
      </c>
    </row>
    <row r="102" ht="40.5" customHeight="1" s="43">
      <c r="A102" s="57" t="inlineStr">
        <is>
          <t>G-10</t>
        </is>
      </c>
      <c r="B102" s="58" t="inlineStr">
        <is>
          <t>G</t>
        </is>
      </c>
      <c r="C102" s="59" t="inlineStr">
        <is>
          <t>推斷品質（不列入缺陷）</t>
        </is>
      </c>
      <c r="D102" s="58" t="inlineStr">
        <is>
          <t>—</t>
        </is>
      </c>
      <c r="E102" s="59" t="inlineStr">
        <is>
          <t>檢視 AI 戰績的命中率與校準缺口</t>
        </is>
      </c>
      <c r="F102" s="58" t="inlineStr">
        <is>
          <t>**僅記錄不判定**：屬模型與提示詞課題（稽核 §五 E 已裁定不在修復範圍）</t>
        </is>
      </c>
      <c r="G102" s="59" t="inlineStr">
        <is>
          <t>唯讀</t>
        </is>
      </c>
      <c r="H102" s="59" t="inlineStr">
        <is>
          <t>✅ 已記錄（13.33% / −46.60%）</t>
        </is>
      </c>
      <c r="I102" s="73" t="inlineStr">
        <is>
          <t>僅記錄：量化命中率 13.33%（6/45）、滾動校準缺口 −46.60%（最近 20 筆）、信心上限違規率 96.00%（25 中 24），與前一輪記錄 13.33%／−46.60% 相同</t>
        </is>
      </c>
      <c r="J102" s="72" t="inlineStr">
        <is>
          <t>N/A</t>
        </is>
      </c>
      <c r="K102" s="72" t="n"/>
      <c r="L102" s="62" t="inlineStr">
        <is>
          <t>N/A</t>
        </is>
      </c>
      <c r="M102" s="72" t="inlineStr">
        <is>
          <t>N/A</t>
        </is>
      </c>
      <c r="N102" s="73" t="inlineStr">
        <is>
          <t>依手冊 G-10「僅記錄不判定」（稽核 §五 E 已裁定不在修復範圍）
R8（a16210a 全面重跑）：僅記錄：AI 戰績 量化命中率 31.91%（30/94）、失誤率 68.09%、平均敘事分 77.63（與 R1 評分後相同，94 筆）。依手冊 G-10「僅記錄不判定」（稽核 §五 E 已裁定不在修復範圍）
R10（3a35454 全面重跑）：N/A — demo 真實瀏覽器（頁首 v0.1.28 · 3a35454）：僅記錄：AI 戰績 n 104、量化命中 32（30.77%）、失誤 72（69.23%）、平均敘事 76.17。依手冊僅記錄不判定
R11（91ec1b0 整份 one shot 重跑）：N/A — demo 真實瀏覽器（頁首 v0.1.28 · 91ec1b0）：僅記錄：AI 戰績 n 112、量化命中 34（30.36%）、失誤 78（69.64%）、平均敘事 76.04。依手冊僅記錄不判定</t>
        </is>
      </c>
    </row>
    <row r="103" ht="16.5" customHeight="1" s="43">
      <c r="A103" s="54" t="inlineStr">
        <is>
          <t>H. AI 設定與管線</t>
        </is>
      </c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6" t="n"/>
    </row>
    <row r="104" ht="29.25" customHeight="1" s="43">
      <c r="A104" s="57" t="inlineStr">
        <is>
          <t>H-01</t>
        </is>
      </c>
      <c r="B104" s="58" t="inlineStr">
        <is>
          <t>H</t>
        </is>
      </c>
      <c r="C104" s="58" t="inlineStr">
        <is>
          <t>LLM 連線設定與測試</t>
        </is>
      </c>
      <c r="D104" s="58" t="inlineStr">
        <is>
          <t>**非 demo 環境**（demo 的金鑰為專用且受限）</t>
        </is>
      </c>
      <c r="E104" s="59" t="inlineStr">
        <is>
          <t>設定 › AI 與額度 → 填模型與金鑰 → 測試連線</t>
        </is>
      </c>
      <c r="F104" s="59" t="inlineStr">
        <is>
          <t>① 成功／失敗訊息明確；② 金鑰不得以明文回傳到前端；③ 變更寫入 `action_log`</t>
        </is>
      </c>
      <c r="G104" s="59" t="inlineStr">
        <is>
          <t>會改設定，測畢還原</t>
        </is>
      </c>
      <c r="H104" s="59" t="inlineStr">
        <is>
          <t>否</t>
        </is>
      </c>
      <c r="I104" s="73" t="inlineStr">
        <is>
          <t>受測站為 demo（AI 金鑰為 demo 專用且受限），手冊前置條件要求非 demo 環境；本輪未更改模型或金鑰、未按測試連線</t>
        </is>
      </c>
      <c r="J104" s="72" t="inlineStr">
        <is>
          <t>BLOCKED</t>
        </is>
      </c>
      <c r="K104" s="72" t="inlineStr">
        <is>
          <t>DEF-078</t>
        </is>
      </c>
      <c r="L104" s="62" t="inlineStr">
        <is>
          <t>PASS</t>
        </is>
      </c>
      <c r="M104" s="72" t="inlineStr">
        <is>
          <t>PASS</t>
        </is>
      </c>
      <c r="N104" s="73" t="inlineStr">
        <is>
          <t>僅確認 設定 › AI 與額度 顯示 4 個已註冊模型（gemini-2.5-flash／gemini-2.5-flash-lite／haiku-4.5／sonnet-5）與角色預設；未讀取或輸入金鑰
R5：本機專用測試環境（同一 commit 3be67db；見 docs/audit/2026-09-25-r5-dev-specs.md §9）（假 LLM）：AI 與額度 › 新增模型（openai-compatible、base URL 指向假服務），API Key 欄位未經畫面輸入（§9-6），以 API 寫入非憑證的假字串；⚡ 測試連線成功「Ping 成功 local-fake · 913 ms」、假服務切 401 後「Ping 失敗 local-fake · litellm.AuthenticationError: … invalid api key」→ ① 明確 ✓（失敗句為 litellm 英文原文）；② /api/llm/config 只見 api_key_masked「sk-•••000」，頁面 DOM、所有 API 回應皆不含假字串 ✓；③ action_log 記「LLM 設定變更／刪除」✓。觀察：金鑰輸入欄為 type="text"（重設後輸入以明文顯示）→ 列為 owner 決策項 ⑦
R5 Owner 裁定（2026-09-26）⑦：API Key 改密碼欄位＋遮罩前後 6 字元明文，開 DEF-078
R6：DEF-078 複驗通過結案（demo：模型抽屜、資料來源對話框、ntfy／Telegram／Email 共 4 類祕密欄皆 type=password＋autocomplete=new-password；遮罩依 owner 2026-09-26 對話裁定前後 3 字元：sk-•••815、eyJ•••YMY、pd-•••c0b；未在任何祕密欄輸入、未儲存）
R10（3a35454 全面重跑）：PASS — demo 真實瀏覽器（頁首 v0.1.28 · 3a35454）＋本機專用測試環境（同一 commit 3a35454、demo 資料庫副本、假報價／假 LLM、無外網；手冊 §9），demo 2／2 項、本機 6／6 項檢查全過：demo：/api/llm/config 金鑰只以遮罩（sk-•••815）出現、5 個祕密欄位皆為密碼欄；本機：新增模型 qa-r10-fake、以 API 設非憑證假金鑰（未在密碼欄輸入，§9-6）→ Ping 成功「qa-r10-fake · 375 ms」、401 模式失敗「金鑰無效或未授權（HTTP 401）…」；只回遮罩 sk-•••000、頁面與回應不含金鑰；action_log 記「AI 設定變更」「AI 操作」
R11（91ec1b0 整份 one shot 重跑）：PASS — demo 真實瀏覽器（頁首 v0.1.28 · 91ec1b0）＋本機專用測試環境（同一 commit 91ec1b0、demo 資料庫副本、假報價／假 LLM、無外網；手冊 §9），demo 2／2 項、本機 6／6 項檢查全過：demo：/api/llm/config 金鑰只以遮罩（sk-•••815）出現、5 個祕密欄位皆為密碼欄（未輸入，§9-6）；本機：新增模型 qa-r11-fake、以 API 設非憑證假金鑰（未在密碼欄輸入）→ Ping 成功「qa-r11-fake · 1232 ms」、401 模式失敗「金鑰無效或未授權（HTTP 401）…」；只回遮罩 sk-•••000、頁面與回應不含金鑰；action_log 記「AI 設定變更」「AI 操作」</t>
        </is>
      </c>
    </row>
    <row r="105" ht="29.25" customHeight="1" s="43">
      <c r="A105" s="57" t="inlineStr">
        <is>
          <t>H-02</t>
        </is>
      </c>
      <c r="B105" s="58" t="inlineStr">
        <is>
          <t>H</t>
        </is>
      </c>
      <c r="C105" s="59" t="inlineStr">
        <is>
          <t>額度與花費對帳</t>
        </is>
      </c>
      <c r="D105" s="59" t="inlineStr">
        <is>
          <t>記錄目前額度</t>
        </is>
      </c>
      <c r="E105" s="59" t="inlineStr">
        <is>
          <t>執行一次 AI 產生 → 匯出 `llm-usage`</t>
        </is>
      </c>
      <c r="F105" s="59" t="inlineStr">
        <is>
          <t>額度扣減 = 匯出檔各列 cost 加總 = 卡片上顯示的 cost 加總（三者一致）</t>
        </is>
      </c>
      <c r="G105" s="59" t="inlineStr">
        <is>
          <t>會花費額度</t>
        </is>
      </c>
      <c r="H105" s="59" t="inlineStr">
        <is>
          <t>部分（額度顯示已驗）</t>
        </is>
      </c>
      <c r="I105" s="73" t="inlineStr">
        <is>
          <t>記錄額度 3.2993543 → 以 AI 洞察 › 產生洞察 執行一次單一標的任務（1 張卡）→ 額度 3.2965293，扣減 0.002825；POST /api/export/llm-usage 新增 1 列「2026-09-23T05:14:16 google/gemini-2.5-flash-lite insight_generate 18414 2459 0.002825」；卡片 #190 cost_usd 0.002825、tokens 18,414／2,459；job_runs #156 cost_usd 0.002825 → 三者（額度扣減＝匯出列加總＝卡片 cost）一致 ✓。另做 F-01 三次 AI 辨識：額度 3.2965293→3.2963725→…→3.2960594，與 llm-usage 三列 0.0001568／0.0001576／0.0001555 逐筆相符；全表 928 列 cost 加總 1.7034707 ＋ 剩餘 3.2965293 ＝ 5.0000000 ＝ 唯一一筆加值 $5</t>
        </is>
      </c>
      <c r="J105" s="72" t="inlineStr">
        <is>
          <t>PASS</t>
        </is>
      </c>
      <c r="K105" s="72" t="n"/>
      <c r="L105" s="62" t="inlineStr">
        <is>
          <t>PASS</t>
        </is>
      </c>
      <c r="M105" s="72" t="inlineStr">
        <is>
          <t>PASS</t>
        </is>
      </c>
      <c r="N105" s="72" t="inlineStr">
        <is>
          <t>R8（a16210a 全面重跑）：承 G-01：額度 3.2574337→3.2561653，扣減 0.0012684；POST /api/export/llm-usage 新增 1 列「2026-09-27T08:55:36 google/gemini-2.5-flash-lite insight_generate 7596 1272 0.0012684」；卡片 #226 cost_usd 0.0012684、tokens 7,596／1,272；job_runs #206 cost_usd 0.0012684 → 三者（額度扣減＝匯出列＝卡片 cost）一致 ✓。另 F-01 兩次 AI 辨識 0.0001568、0.0001555 與 llm-usage 逐筆相符；全表 1,029 列 cost 加總 1.7438347 ＋ 剩餘 3.2561653 ＝ 5.0000000 ＝ 唯一一筆加值 $5
R10（3a35454 全面重跑）：PASS — demo 真實瀏覽器（頁首 v0.1.28 · 3a35454），demo 3／3 項檢查全過：承 G-01：額度扣減 0.0012468＝llm-usage 新列（insight_generate 7,596／1,218）＝卡片 cost；全表 cost 加總 1.7744444＋剩餘 3.2255556＝5（唯一加值）
R11（91ec1b0 整份 one shot 重跑）：PASS — demo 真實瀏覽器（頁首 v0.1.28 · 91ec1b0），demo 3／3 項檢查全過：承 G-01：額度扣減 0.0009491＝llm-usage 新列（insight_generate 7,599／473）＝卡片 cost；全表 cost 加總 1.8655794＋剩餘 3.1344206＝5（唯一加值）</t>
        </is>
      </c>
    </row>
    <row r="106" ht="29.25" customHeight="1" s="43">
      <c r="A106" s="57" t="inlineStr">
        <is>
          <t>H-03</t>
        </is>
      </c>
      <c r="B106" s="58" t="inlineStr">
        <is>
          <t>H</t>
        </is>
      </c>
      <c r="C106" s="59" t="inlineStr">
        <is>
          <t>提示詞編輯與版本</t>
        </is>
      </c>
      <c r="D106" s="59" t="inlineStr">
        <is>
          <t>設定 › AI 提示詞</t>
        </is>
      </c>
      <c r="E106" s="59" t="inlineStr">
        <is>
          <t>修改一個模板 → 儲存 → 乾跑預檢</t>
        </is>
      </c>
      <c r="F106" s="59" t="inlineStr">
        <is>
          <t>① 版本記錄新增；② 乾跑預檢的組裝結果反映新內容；③ 可回復舊版本</t>
        </is>
      </c>
      <c r="G106" s="59" t="inlineStr">
        <is>
          <t>會改設定，測畢還原</t>
        </is>
      </c>
      <c r="H106" s="59" t="inlineStr">
        <is>
          <t>否</t>
        </is>
      </c>
      <c r="I106" s="73" t="inlineStr">
        <is>
          <t>設定 › AI 提示詞 › 持倉週報策略：在內文末尾加一行「【QA H-03 測試標記】」→ 儲存（PUT /api/strategy-prompts/1 200，toast「已儲存 … 下次執行生效」）→ 對引用此模板的測試任務做乾跑預檢：assembled_preview 的「持倉週報策略」層含標記、畫面「查看組裝後提示詞」也看得到 ✓（②）。✗ ①③：模板卡只有 儲存／預覽提示詞／測試送出／同步官方 v2.5／封存，沒有版本記錄可看、也沒有「回復上一版」，後端 PUT 直接覆寫 body；只能手動改回。本輪以手動貼回原文還原，body 與改前逐字相同（updated_at 無法還原：2026-08-23 → 2026-09-23 05:17）</t>
        </is>
      </c>
      <c r="J106" s="72" t="inlineStr">
        <is>
          <t>OBSERVE</t>
        </is>
      </c>
      <c r="K106" s="72" t="inlineStr">
        <is>
          <t>DEF-033, DEF-057</t>
        </is>
      </c>
      <c r="L106" s="62" t="inlineStr">
        <is>
          <t>結案</t>
        </is>
      </c>
      <c r="M106" s="72" t="inlineStr">
        <is>
          <t>PASS</t>
        </is>
      </c>
      <c r="N106" s="72" t="inlineStr">
        <is>
          <t>R2：DEF-033 經 Owner 裁定：策略提示詞完整版本記錄 → 待開發者修
R3：DEF-033 複驗通過結案（v2 儲存、差異、回復成 v3、卡片記版號）；附帶 DEF-057（系統與新聞整理提示詞版本，owner 已裁定）
R4：DEF-057 複驗通過結案（系統／新聞整理提示詞 儲存→差異→回復／重置→回復，內文逐字還原；新卡晶片「提示詞 系統 v3・v1」）
R10（3a35454 全面重跑）：PASS — demo 真實瀏覽器（頁首 v0.1.28 · 3a35454），demo 5／5 項檢查全過：修改「持倉週報策略」→ 版本 1→2、乾跑預檢組裝反映新內容、回復舊版本後內文逐字還原
R11（91ec1b0 整份 one shot 重跑）：PASS — demo 真實瀏覽器（頁首 v0.1.28 · 91ec1b0），demo 5／5 項檢查全過：修改「持倉週報策略」→ 版本 3→4、乾跑預檢組裝反映新內容、回復舊版本後內文逐字還原</t>
        </is>
      </c>
    </row>
    <row r="107" ht="29.25" customHeight="1" s="43">
      <c r="A107" s="57" t="inlineStr">
        <is>
          <t>H-04</t>
        </is>
      </c>
      <c r="B107" s="58" t="inlineStr">
        <is>
          <t>H</t>
        </is>
      </c>
      <c r="C107" s="59" t="inlineStr">
        <is>
          <t>管線任務 CRUD</t>
        </is>
      </c>
      <c r="D107" s="59" t="inlineStr">
        <is>
          <t>洞察管線中心</t>
        </is>
      </c>
      <c r="E107" s="59" t="inlineStr">
        <is>
          <t>新增任務 → 停用 → 設排程 → 立即執行 → 刪除</t>
        </is>
      </c>
      <c r="F107" s="59" t="inlineStr">
        <is>
          <t>各動作即時反映在清單與 `job_runs`；停用的任務不得被排程觸發</t>
        </is>
      </c>
      <c r="G107" s="59" t="inlineStr">
        <is>
          <t>會寫入任務設定</t>
        </is>
      </c>
      <c r="H107" s="59" t="inlineStr">
        <is>
          <t>否</t>
        </is>
      </c>
      <c r="I107" s="73" t="inlineStr">
        <is>
          <t>① 新增：＋新增洞察任務 精靈（先不排程／單一標的／自選 2884／個股健檢＋持倉週報模板／命名「QA H-04 測試任務」）→ POST /api/insight-tasks 200 id 10，立即顯示乾跑預檢（結論「可以執行 — 1 項警告…不會中斷」）✓；② 設排程：抽屜 › 啟動排程 → 每月 1 日 08:00 → POST /api/insight-tasks/10/schedule 200 {job_id insight:10}，系統設定 › 排程中心出現 insight:10 ✓；③ 停用：卡片開關 → PUT enabled false，toast「任務已暫停 … 排程保留、不再執行」，重新整理後五個節點皆「已停用」✓；④ 立即執行：✗ 排程中心 insight:10 按「立即執行」→ 202 run #153／#154 → 狀態「失敗 'insight:10'」（停用與啟用時各一次，結果相同；insight:7 也一樣失敗 #155）；改由 AI 洞察 › 產生洞察 › QA H-04 測試任務 → POST /api/insight-types/10/run 202 run #156 成功、產 1 張卡 ✓；⑤ 刪除：抽屜 › 刪除任務 → 確認框「將同步移除排程、整條校正鏈封存；歷史洞察與運行記錄保留」→ DELETE 200，排程中心 insight:10 消失，/api/insight-tasks 與建立前字串完全相同 ✓。「停用的任務不得被排程觸發」：demo 排程器關閉（PD_DISABLE_SCHEDULER=1）無法實測</t>
        </is>
      </c>
      <c r="J107" s="72" t="inlineStr">
        <is>
          <t>FAIL</t>
        </is>
      </c>
      <c r="K107" s="72" t="inlineStr">
        <is>
          <t>DEF-030, DEF-031, DEF-032, DEF-051, DEF-053, DEF-058, DEF-059, DEF-062, DEF-064, DEF-074, DEF-075, DEF-076</t>
        </is>
      </c>
      <c r="L107" s="62" t="inlineStr">
        <is>
          <t>結案</t>
        </is>
      </c>
      <c r="M107" s="72" t="inlineStr">
        <is>
          <t>PASS</t>
        </is>
      </c>
      <c r="N107" s="73" t="inlineStr">
        <is>
          <t>排程中心的 insight 工作只顯示「insight:10」不顯示任務名；任務暫停後排程中心該列開關仍為開啟；job_runs 留下 #153～#156 四列運行記錄（屬歷史，無法刪除）
R2：DEF-030、DEF-031、DEF-032 複驗通過結案
R3：附帶新開 DEF-051（立即執行 toast 顯示 id）、DEF-053（精靈 toast 顯示 on_alert）、DEF-058（最近批次成本口徑）、DEF-059（all_registered 排除封存，owner 已裁定）
R4：DEF-051、DEF-053、DEF-058、DEF-059 複驗通過結案；附帶新開 DEF-062（精靈監聽規則顯示 id）、DEF-064（報價類抓取宇宙排除封存，owner 已裁定）
R5：DEF-062、DEF-064 複驗通過結案（精靈 15/15 中文且與 /api/alert-rules 逐字相同；本機封存守門 4 情境與重新持有自動解除封存）
R5 Owner 裁定（2026-09-26）：①B 開 DEF-074、②B 開 DEF-075、⑤ 開 DEF-076；③a、④a 維持現狀不開單
R6：DEF-074、075、076 複驗通過結案（本機收件匣掃描 8→封存 VRTB 後 7→還原 8 檔；demo 0056 加 2026-10-15 賣出 5,000 股〔#118〕後觀察清單與目標配置皆「持有」、移除回 422，已刪除並還原；demo 19 頁「LLM」0 處、預警「AI 額度偏低」）
R10（3a35454 全面重跑）：PASS — demo 真實瀏覽器（頁首 v0.1.28 · 3a35454），demo 9／9 項檢查全過：建立 → 清單出現 → 停用 → 設排程 0 9 * * 1 → 排程中心以「暫停」呈現（effective_enabled false、暫停原因「任務已在 AI 洞察管線暫停，排程觸發時不會執行」，R5 裁定之設計）→ 啟用後立即執行 run #227「產生 1 張卡」（0.0012504）→ 刪除後清單與排程皆移除（首跑時驗證者的檢查程式沒有照 R5 裁定的暫停呈現判讀，修正檢查後重跑）
R11（91ec1b0 整份 one shot 重跑）：PASS — demo 真實瀏覽器（頁首 v0.1.28 · 91ec1b0），demo 9／9 項檢查全過：建立 #25 → 清單出現 → 停用 → 設排程 0 9 * * 1 → 排程中心以「暫停」呈現（effective_enabled false、附暫停原因，R5 裁定之設計）→ 啟用後立即執行 run #243「產生 1 張卡」（0.0013051）→ 刪除後清單與排程皆移除</t>
        </is>
      </c>
    </row>
    <row r="108" ht="43.5" customHeight="1" s="43">
      <c r="A108" s="57" t="inlineStr">
        <is>
          <t>H-05</t>
        </is>
      </c>
      <c r="B108" s="58" t="inlineStr">
        <is>
          <t>H</t>
        </is>
      </c>
      <c r="C108" s="59" t="inlineStr">
        <is>
          <t>乾跑預檢各閘門的阻擋情境</t>
        </is>
      </c>
      <c r="D108" s="59" t="inlineStr">
        <is>
          <t>分別製造：標的宇宙為空／模板停用／缺價／額度不足</t>
        </is>
      </c>
      <c r="E108" s="59" t="inlineStr">
        <is>
          <t>對每種情境跑一次乾跑預檢</t>
        </is>
      </c>
      <c r="F108" s="59" t="inlineStr">
        <is>
          <t>對應的 R1–R8 顯示 ✗ 或 ⓘ 並給出可執行的修正指引；**結論需明確說會不會中斷**</t>
        </is>
      </c>
      <c r="G108" s="59" t="inlineStr">
        <is>
          <t>唯讀（零成本）</t>
        </is>
      </c>
      <c r="H108" s="59" t="inlineStr">
        <is>
          <t>部分（正常路徑與 R4 已驗）</t>
        </is>
      </c>
      <c r="I108" s="73" t="inlineStr">
        <is>
          <t>以測試任務逐一製造：① 模板停用：設定 › AI 提示詞 把任務引用的兩個模板都關掉 → 乾跑預檢「✕ 模板啟用 組合的策略段全空（全部停用/封存）［啟用模板］R3」，結論「本任務現在不會成功執行 — 1 道閘門擋下。修復上方紅色項目後重跑預檢。」；按「啟用模板」直接跳到模板庫 ✓；兩個模板改回啟用、內文未變。② 價格過期：R4 顯示「ⓘ 價格新鮮度 價格過期（以舊價產生）：2884」，結論「可以執行 — 1 項警告會反映在產出…不會中斷」✓。③ 標的宇宙為空：✗ 無法製造——建立後的「編輯標的」按鈕只跳 toast、不開編輯器；把 2884 全數賣出（#96，測後刪除並逐位元還原）後自選宇宙仍保留 2884、R2 通過。④ 額度不足：demo 無法調低額度（只有「＋添加額度」），把低額度警示改成 4.00（高於剩餘 3.30）R6 仍「通過」，已改回 1.00；缺價：26 檔已註冊標的皆有報價，無法製造</t>
        </is>
      </c>
      <c r="J108" s="72" t="inlineStr">
        <is>
          <t>FAIL</t>
        </is>
      </c>
      <c r="K108" s="72" t="inlineStr">
        <is>
          <t>DEF-031, DEF-043, DEF-085</t>
        </is>
      </c>
      <c r="L108" s="62" t="inlineStr">
        <is>
          <t>結案</t>
        </is>
      </c>
      <c r="M108" s="72" t="inlineStr">
        <is>
          <t>PASS</t>
        </is>
      </c>
      <c r="N108" s="73" t="inlineStr">
        <is>
          <t>可測的兩種情境（模板停用、價格過期）結論都明確寫出會不會中斷；R2 情境因 DEF-031 無法建立；R6／缺價受 demo 限制未測
R2：DEF-031 複驗通過結案；附帶新開 DEF-043（on_alert 任務的 G1／觸發節點誤報「不會自動執行」）
R3：DEF-043 複驗通過結案（預警觸發節點 ok、需注意 3→2）
R10（3a35454 全面重跑）：OBSERVE — demo 真實瀏覽器（頁首 v0.1.28 · 3a35454）（demo 8／8 項）：①模板停用（設定頁同一個 PUT 關閉）→「✕ 模板啟用 組合的策略段全空（全部停用/封存）［啟用模板］R3」、結論「本任務現在不會成功執行 — 1 道閘門擋下。修復上方紅色項目後重跑預檢。」✓；②標的宇宙為空 →「✕ 標的宇宙 標的宇宙為空（清單已出清）［編輯標的］R2」、結論同上 ✓。本機專用測試環境（同一 commit 3a35454、demo 資料庫副本、假報價／假 LLM、無外網；手冊 §9）：③缺價（刪 ORBT 價格）→「⚠ 價格資料 缺價標的（產確定性『資料異常』卡，零成本）：ORBT」附修正、結論「可以執行 — 2 項警告會反映在產出…不會中斷。」✓；④額度不足（剩餘 −$0.01）→「✕ AI 額度 額度耗盡（剩餘 $-0.01000）R6」、結論「本任務現在不會成功執行…」，但 R6 列沒有任何修正指引（無按鈕、無「補充額度／前往額度設定」字樣；同畫面 G1、R2、R3、R4 皆有一鍵修正），程式註解表示 R6 無一鍵修正為刻意設計（§7.2 列舉不含額度加值）→ 與手冊「給出可執行的修正指引」衝突，開 DEF-085（規格未定，待 Owner 裁定）。四種情境首次全數實測（R1 時 R6／缺價受 demo 限制未測）
R10 Owner 裁定（2026-09-29）：DEF-085 採 A 修（期望「給出可執行的修正指引」不變）→ 本案由 OBSERVE 改列 FAIL，待修復後複驗
R11（91ec1b0 整份 one shot 重跑）：PASS — demo 真實瀏覽器（頁首 v0.1.28 · 91ec1b0）＋本機專用測試環境（同一 commit 91ec1b0、demo 資料庫副本、假報價／假 LLM、無外網；手冊 §9），demo 8／8 項、本機 8／8 項檢查全過：demo ①模板停用 →「✕ 模板啟用 組合的策略段全空（全部停用/封存）［啟用模板］R3」、結論「本任務現在不會成功執行 — 1 道閘門擋下。修復上方紅色項目後重跑預檢。」✓；②標的宇宙為空 →「✕ 標的宇宙 標的宇宙為空（清單已出清）［編輯標的］R2」、結論同上 ✓。本機 ③缺價（ORBT）→「⚠ 價格資料 缺價標的（產確定性『資料異常』卡，零成本）：ORBT」附修正、結論「可以執行 — 2 項警告會反映在產出…不會中斷。」✓；④額度不足（剩餘 −$0.01）→「✕ AI 額度 額度耗盡（剩餘 $-0.01）［前往額度設定］R6」（fix fund_quota）、結論「本任務現在不會成功執行…」✓——DEF-085 修復後 R6 有可執行的修正指引，乾跑預檢與「為什麼沒跑？」兩個對話框皆有，按下到「設定 › AI 與額度」（settings.html#llm）；金額 2 位小數與管線節點「餘 $-0.01」一致。DEF-085 複驗通過結案</t>
        </is>
      </c>
    </row>
    <row r="109" ht="15" customHeight="1" s="43">
      <c r="A109" s="57" t="inlineStr">
        <is>
          <t>H-06</t>
        </is>
      </c>
      <c r="B109" s="58" t="inlineStr">
        <is>
          <t>H</t>
        </is>
      </c>
      <c r="C109" s="59" t="inlineStr">
        <is>
          <t>官方套組啟用</t>
        </is>
      </c>
      <c r="D109" s="59" t="inlineStr">
        <is>
          <t>洞察管線中心</t>
        </is>
      </c>
      <c r="E109" s="59" t="inlineStr">
        <is>
          <t>按「啟用官方套組」</t>
        </is>
      </c>
      <c r="F109" s="59" t="inlineStr">
        <is>
          <t>套組內任務全部建立、可逐一檢視與停用</t>
        </is>
      </c>
      <c r="G109" s="59" t="inlineStr">
        <is>
          <t>會建立多個任務，測畢清理</t>
        </is>
      </c>
      <c r="H109" s="59" t="inlineStr">
        <is>
          <t>否</t>
        </is>
      </c>
      <c r="I109" s="73" t="inlineStr">
        <is>
          <t>洞察管線 › 啟用官方套組 → POST /api/insight-tasks/official-pack 200 {created: [], skipped: [持倉週報, 個股健檢, 市場週報, 持倉建議與提點, 持倉提點]}，toast「✓ 官方套組已存在 已存在跳過：…」；套組 5 個任務本來就都在（id 1／2／7／8／9），每張任務卡都可展開抽屜檢視、有啟用開關（H-04 已實測停用）；/api/insight-tasks 與排程工作清單在按鈕前後字串完全相同，沒有重複建立 ✓</t>
        </is>
      </c>
      <c r="J109" s="72" t="inlineStr">
        <is>
          <t>PASS</t>
        </is>
      </c>
      <c r="K109" s="72" t="n"/>
      <c r="L109" s="62" t="inlineStr">
        <is>
          <t>PASS</t>
        </is>
      </c>
      <c r="M109" s="72" t="inlineStr">
        <is>
          <t>PASS</t>
        </is>
      </c>
      <c r="N109" s="73" t="inlineStr">
        <is>
          <t>「從無到有建立」需先刪除官方任務（會把其歷史卡片隱藏），本輪未做；以冪等性與現有 5 個任務驗證
R8（a16210a 全面重跑）：洞察管線 › 啟用官方套組 → POST /api/insight-tasks/official-pack 200 {created: [], skipped: [持倉週報, 個股健檢, 市場週報, 持倉建議與提點, 持倉提點]}，toast「✓ 官方套組已存在 已存在跳過：…」；套組 5 個任務本來就都在（id 1／2／7／8／9，皆啟用），每張任務卡可展開抽屜檢視；/api/insight-tasks 與排程工作清單在按鈕前後字串完全相同，沒有重複建立 ✓。（G-01 的測試任務 #13 已先以抽屜「刪除任務」軟刪除：確認框「將同步移除排程、整條校正鏈封存；歷史洞察與運行記錄保留可反查（軟刪除）」→ DELETE 200，卡片總數 209→208）
R10（3a35454 全面重跑）：PASS — demo 真實瀏覽器（頁首 v0.1.28 · 3a35454），demo 5／5 項檢查全過：官方套件已齊 → created []、skipped 5；任務清單與排程不變、管線中心各任務可見
R11（91ec1b0 整份 one shot 重跑）：PASS — demo 真實瀏覽器（頁首 v0.1.28 · 91ec1b0），demo 5／5 項檢查全過：官方套件已齊 → created []、skipped 5；任務清單與排程不變、管線中心各任務可見</t>
        </is>
      </c>
    </row>
    <row r="110" ht="29.25" customHeight="1" s="43">
      <c r="A110" s="57" t="inlineStr">
        <is>
          <t>H-07</t>
        </is>
      </c>
      <c r="B110" s="58" t="inlineStr">
        <is>
          <t>H</t>
        </is>
      </c>
      <c r="C110" s="58" t="inlineStr">
        <is>
          <t>AI 戰績頁</t>
        </is>
      </c>
      <c r="D110" s="58" t="inlineStr">
        <is>
          <t>—</t>
        </is>
      </c>
      <c r="E110" s="59" t="inlineStr">
        <is>
          <t>檢視 AI 戰績分頁</t>
        </is>
      </c>
      <c r="F110" s="59" t="inlineStr">
        <is>
          <t>命中率、校準曲線、樣本數與 `ai-predictions` 匯出一致</t>
        </is>
      </c>
      <c r="G110" s="59" t="inlineStr">
        <is>
          <t>唯讀</t>
        </is>
      </c>
      <c r="H110" s="59" t="inlineStr">
        <is>
          <t>部分</t>
        </is>
      </c>
      <c r="I110" s="72" t="inlineStr">
        <is>
          <t>AI 戰績：累計評估 45、量化命中率 13.33%（6 筆）、失誤率 86.67%（39）、平均敘事分 75.78、滾動校準缺口 −46.60%、校準曲線 40-60 桶 n=35 實際 17.14%／60-80 桶 n=10 實際 0%；GET /api/ai-score totals 相同；匯出 ai_predictions.csv 45 列（insight_type_id、quant_hit、narrative_score、confidence…）與畫面列數一致</t>
        </is>
      </c>
      <c r="J110" s="72" t="inlineStr">
        <is>
          <t>PASS</t>
        </is>
      </c>
      <c r="K110" s="72" t="inlineStr">
        <is>
          <t>DEF-081</t>
        </is>
      </c>
      <c r="L110" s="62" t="inlineStr">
        <is>
          <t>PASS</t>
        </is>
      </c>
      <c r="M110" s="72" t="inlineStr">
        <is>
          <t>PASS</t>
        </is>
      </c>
      <c r="N110" s="72" t="inlineStr">
        <is>
          <t>R7：DEF-081 複驗通過結案：AI 戰績「各洞察任務命中率」與「預測明細」第一欄改為任務名稱（demo：個股健檢、持倉建議與提點、持倉提點；滑鼠提示「任務 #N」）；本機任務列不存在時為「任務 #N（已刪除）」
R10（3a35454 全面重跑）：PASS — demo 真實瀏覽器（頁首 v0.1.28 · 3a35454），demo 3／3 項檢查全過：樣本數 104＝ai-predictions 匯出已評分列；命中 32/104 與匯出一致；各任務以名稱稱呼（無「任務 #N」）
R11（91ec1b0 整份 one shot 重跑）：PASS — demo 真實瀏覽器（頁首 v0.1.28 · 91ec1b0），demo 3／3 項檢查全過：樣本數 112＝ai-predictions 匯出已評分列；命中 34/112 與匯出一致；各任務以名稱稱呼（無「任務 #N」）</t>
        </is>
      </c>
    </row>
    <row r="111" ht="43.5" customHeight="1" s="43">
      <c r="A111" s="57" t="inlineStr">
        <is>
          <t>H-08</t>
        </is>
      </c>
      <c r="B111" s="58" t="inlineStr">
        <is>
          <t>H</t>
        </is>
      </c>
      <c r="C111" s="59" t="inlineStr">
        <is>
          <t>通知中心的 demo 防護</t>
        </is>
      </c>
      <c r="D111" s="58" t="inlineStr">
        <is>
          <t>—</t>
        </is>
      </c>
      <c r="E111" s="59" t="inlineStr">
        <is>
          <t>檢視系統設定 › 通知中心</t>
        </is>
      </c>
      <c r="F111" s="58" t="inlineStr">
        <is>
          <t>demo 站多數控制項 disabled 並顯示「示範站不開放通知設定」</t>
        </is>
      </c>
      <c r="G111" s="59" t="inlineStr">
        <is>
          <t>唯讀</t>
        </is>
      </c>
      <c r="H111" s="59" t="inlineStr">
        <is>
          <t>✅ 已驗（62 中 48 disabled）</t>
        </is>
      </c>
      <c r="I111" s="73" t="inlineStr">
        <is>
          <t>系統設定 › 通知中心：區塊內 48 個 input／select／textarea／button 全部 disabled（0 個可操作），顯示「示範站不開放通知設定，請於正式站（受保護模式）設定。」</t>
        </is>
      </c>
      <c r="J111" s="72" t="inlineStr">
        <is>
          <t>PASS</t>
        </is>
      </c>
      <c r="K111" s="72" t="n"/>
      <c r="L111" s="62" t="inlineStr">
        <is>
          <t>PASS</t>
        </is>
      </c>
      <c r="M111" s="72" t="inlineStr">
        <is>
          <t>PASS</t>
        </is>
      </c>
      <c r="N111" s="73" t="inlineStr">
        <is>
          <t>前一輪記錄為「62 中 48」，本輪以 #view-notify 範圍計數為 48／48
R8（a16210a 全面重跑）：系統設定 › 通知中心：#view-notify 範圍內 48 個 input／select／textarea／button 全部 disabled（0 個可操作），顯示「示範站不開放通知設定，請於正式站（受保護模式）設定。」
R10（3a35454 全面重跑）：PASS — demo 真實瀏覽器（頁首 v0.1.28 · 3a35454），demo 2／2 項檢查全過：通知設定 48 個控制項皆停用、顯示「示範站不開放通知設定」
R11（91ec1b0 整份 one shot 重跑）：PASS — demo 真實瀏覽器（頁首 v0.1.28 · 91ec1b0），demo 2／2 項檢查全過：通知設定 48 個控制項皆停用、顯示「示範站不開放通知設定」</t>
        </is>
      </c>
    </row>
    <row r="112" ht="16.5" customHeight="1" s="43">
      <c r="A112" s="54" t="inlineStr">
        <is>
          <t>I. 帳本匯出與匯入</t>
        </is>
      </c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6" t="n"/>
    </row>
    <row r="113" ht="57.75" customHeight="1" s="43">
      <c r="A113" s="57" t="inlineStr">
        <is>
          <t>I-01</t>
        </is>
      </c>
      <c r="B113" s="58" t="inlineStr">
        <is>
          <t>I</t>
        </is>
      </c>
      <c r="C113" s="59" t="inlineStr">
        <is>
          <t>匯出端點全覆蓋</t>
        </is>
      </c>
      <c r="D113" s="58" t="inlineStr">
        <is>
          <t>—</t>
        </is>
      </c>
      <c r="E113" s="59" t="inlineStr">
        <is>
          <t>逐一觸發：持倉／已實現／帳本 6 類／現金對帳單／持倉報告／帳本報告／再平衡報告／個股明細／稅務包／工作紀錄／LLM 用量／AI 預測</t>
        </is>
      </c>
      <c r="F113" s="59" t="inlineStr">
        <is>
          <t>全部回 200，`Content-Disposition` 檔名正確（UTF-8），內容非空</t>
        </is>
      </c>
      <c r="G113" s="59" t="inlineStr">
        <is>
          <t>唯讀</t>
        </is>
      </c>
      <c r="H113" s="59" t="inlineStr">
        <is>
          <t>✅ 已驗（三輪、19–20 個回應）</t>
        </is>
      </c>
      <c r="I113" s="73" t="inlineStr">
        <is>
          <t>同 J-04：21 個匯出回應全 200；抽樣 8 個端點讀回 header：content-type 正確（text/csv; charset=utf-8／application/zip／text/html; charset=utf-8），Content-Disposition 皆為 attachment; filename="…"; filename*=UTF-8''…，內容大小 186～87,978 bytes 非空</t>
        </is>
      </c>
      <c r="J113" s="72" t="inlineStr">
        <is>
          <t>PASS</t>
        </is>
      </c>
      <c r="K113" s="72" t="n"/>
      <c r="L113" s="62" t="inlineStr">
        <is>
          <t>PASS</t>
        </is>
      </c>
      <c r="M113" s="72" t="inlineStr">
        <is>
          <t>PASS</t>
        </is>
      </c>
      <c r="N113" s="72" t="inlineStr">
        <is>
          <t>R8（a16210a 全面重跑）：逐一觸發 21 個匯出（持倉 CSV、帳本清單、帳本 ZIP、帳本 6 類 CSV〔交易／股利／換匯／期初／公司行動／資金收支〕、已實現、AI 預測、個股明細、持倉報告、帳本報告、AI 用量、排程紀錄、稅務包 ZIP、現金對帳單＋報告、再平衡報告、AI 失敗記錄 JSONL；頁內 fetch 不落地）：全部 200；content-type 正確（text/csv／application/zip／text/html／application/x-ndjson）；除帳本清單為 JSON 清單端點外，Content-Disposition 皆為 attachment; filename="…"; filename*=UTF-8…（例 ledger_transactions_all_all.csv、tax_package_2026.zip、rebalance-plan-20260927-0902.html），內容 98～153,913 bytes 非空
R10（3a35454 全面重跑）：PASS — demo 真實瀏覽器（頁首 v0.1.28 · 3a35454），demo 1／1 項檢查全過：20 個匯出皆 200、附件含 UTF-8 檔名、非空
R11（91ec1b0 整份 one shot 重跑）：PASS — demo 真實瀏覽器（頁首 v0.1.28 · 91ec1b0），demo 1／1 項檢查全過：20 個匯出皆 200、附件含 UTF-8 檔名、非空</t>
        </is>
      </c>
    </row>
    <row r="114" ht="57.75" customHeight="1" s="43">
      <c r="A114" s="57" t="inlineStr">
        <is>
          <t>I-02</t>
        </is>
      </c>
      <c r="B114" s="58" t="inlineStr">
        <is>
          <t>I</t>
        </is>
      </c>
      <c r="C114" s="59" t="inlineStr">
        <is>
          <t>匯出內容逐位元對帳</t>
        </is>
      </c>
      <c r="D114" s="58" t="inlineStr">
        <is>
          <t>—</t>
        </is>
      </c>
      <c r="E114" s="59" t="inlineStr">
        <is>
          <t>取 持倉／已實現／交易帳本 三個 CSV，與畫面及 API 逐列比對</t>
        </is>
      </c>
      <c r="F114" s="59" t="inlineStr">
        <is>
          <t>數字為原始精度（非畫面格式化後的值）；列數、排序、欄位名一致</t>
        </is>
      </c>
      <c r="G114" s="59" t="inlineStr">
        <is>
          <t>唯讀</t>
        </is>
      </c>
      <c r="H114" s="59" t="inlineStr">
        <is>
          <t>部分（端點已驗，內容未逐列比對）</t>
        </is>
      </c>
      <c r="I114" s="73" t="inlineStr">
        <is>
          <t>持倉 CSV 14 列 × 12 欄（shares／original_avg／adjusted_avg／original_cost_total／adjusted_cost_total／market_price／market_value／unrealized_pnl／capital_gain／dividend_portion／weight／payback_ratio）與 /api/dashboard holdings 字串逐位元相同 0 差異，為 raw Decimal（例 2330 unrealized 3722709.999999999999999999999，畫面為 +3,722,710）；已實現 CSV 11 列 × 8 欄與 realized.rows 逐列相同 0 差異、順序一致；交易帳本 CSV 56 列＝API total_count 56、欄位 quantity／fees／trade_date 為原始精度。兩份 CSV 末列為「# as_of=… fx_rates=… generated=…」註記列</t>
        </is>
      </c>
      <c r="J114" s="72" t="inlineStr">
        <is>
          <t>PASS</t>
        </is>
      </c>
      <c r="K114" s="72" t="n"/>
      <c r="L114" s="62" t="inlineStr">
        <is>
          <t>PASS</t>
        </is>
      </c>
      <c r="M114" s="72" t="inlineStr">
        <is>
          <t>PASS</t>
        </is>
      </c>
      <c r="N114" s="72" t="inlineStr">
        <is>
          <t>R8（a16210a 全面重跑）：持倉 CSV 14 列 × 12 個數值欄（shares／original_avg／adjusted_avg／original_cost_total／adjusted_cost_total／market_price／market_value／unrealized_pnl／capital_gain／dividend_portion／weight／payback_ratio）與 /api/dashboard holdings 字串逐位元相同 0 差異，為 raw Decimal（例 2330 unrealized 3969709.999999999999999999999，畫面四捨五入）；已實現 CSV 11 列 × 10 欄與 realized.rows 逐列相同 0 差異、順序一致；交易帳本 CSV 56 列＝API total_count 56，欄位 id／account_id／symbol／side／quantity／price／fees／tax／trade_date… 為原始精度。持倉與已實現 CSV 末列為「# as_of=2026-09-27, fx_rates={USD:31.695000, MYR:7.779607}, generated=…」註記列
R10（3a35454 全面重跑）：PASS — demo 真實瀏覽器（頁首 v0.1.28 · 3a35454），demo 4／4 項檢查全過：持倉 CSV 14 列＝API、原始精度欄位與 /api/dashboard 0 差異；已實現 11 列＝API；交易 56 列＝帳本
R11（91ec1b0 整份 one shot 重跑）：PASS — demo 真實瀏覽器（頁首 v0.1.28 · 91ec1b0），demo 4／4 項檢查全過：持倉 CSV 14 列＝API、原始精度欄位與 /api/dashboard 0 差異；已實現 11 列＝API；交易 56 列＝帳本</t>
        </is>
      </c>
    </row>
    <row r="115" ht="29.25" customHeight="1" s="43">
      <c r="A115" s="57" t="inlineStr">
        <is>
          <t>I-03</t>
        </is>
      </c>
      <c r="B115" s="58" t="inlineStr">
        <is>
          <t>I</t>
        </is>
      </c>
      <c r="C115" s="59" t="inlineStr">
        <is>
          <t>稅務包 ZIP</t>
        </is>
      </c>
      <c r="D115" s="58" t="inlineStr">
        <is>
          <t>—</t>
        </is>
      </c>
      <c r="E115" s="59" t="inlineStr">
        <is>
          <t>匯出 2026 年度稅務包並解壓</t>
        </is>
      </c>
      <c r="F115" s="59" t="inlineStr">
        <is>
          <t>① 內含檔案清單符合規格；② 只含該年度資料；③ 股利預扣稅、已實現損益、匯率換算可交叉對帳</t>
        </is>
      </c>
      <c r="G115" s="59" t="inlineStr">
        <is>
          <t>唯讀</t>
        </is>
      </c>
      <c r="H115" s="59" t="inlineStr">
        <is>
          <t>部分（端點已驗）</t>
        </is>
      </c>
      <c r="I115" s="73" t="inlineStr">
        <is>
          <t>稅務包 ZIP（POST /api/export/tax-package {year:2026} 200，1,931 bytes）內含 realized_gains_2026.csv（10 列）／dividends_2026.csv（23 列）／fx_realized_2026.csv（0 列）／summary.md，全為 2026 年資料 ✓；申報欄 TWD 16,004.56／USD 97.30 ＝ 各列 realized_original 加總 ✓；USD 列 reporting_realized_original ＝ realized×rate_used（49.96×31.802099＝1588.8328660400）✓；fx 已實現 0 ＝ 儀表板 fx_realized 0 ✓。✗ summary.md「對帳用：績效基礎已實現…列出僅供與儀表板核對」TWD 36,804.56，儀表板 returns.by_currency.TWD.realized 42,004.56，差 5,200（2412 結清後配息 2026-08-07 被排除，無說明）</t>
        </is>
      </c>
      <c r="J115" s="72" t="inlineStr">
        <is>
          <t>FAIL</t>
        </is>
      </c>
      <c r="K115" s="72" t="inlineStr">
        <is>
          <t>DEF-001</t>
        </is>
      </c>
      <c r="L115" s="62" t="inlineStr">
        <is>
          <t>結案</t>
        </is>
      </c>
      <c r="M115" s="72" t="inlineStr">
        <is>
          <t>PASS</t>
        </is>
      </c>
      <c r="N115" s="72" t="inlineStr">
        <is>
          <t>dividends_2026.csv 中 0056 2026-07-22 gross 5008／withholding 0／net 3888 不等式成立（net≤gross），依 dividend_model.check_amounts 設計與 owner 2026-08-27 裁定（台股配息淨額可小於總額、差額不建模）判定非缺陷
R2：DEF-001 複驗通過結案
R10（3a35454 全面重跑）：PASS — demo 真實瀏覽器（頁首 v0.1.28 · 3a35454），demo 3／3 項檢查全過：稅務包含 realized_gains_2026／dividends_2026／fx_realized_2026／summary.md，只有 2026 列，預扣合計 133.83＝股利帳本
R11（91ec1b0 整份 one shot 重跑）：PASS — demo 真實瀏覽器（頁首 v0.1.28 · 91ec1b0），demo 3／3 項檢查全過：稅務包含 realized_gains_2026／dividends_2026／fx_realized_2026／summary.md，只有 2026 列，預扣合計 133.83＝股利帳本</t>
        </is>
      </c>
    </row>
    <row r="116" ht="29.25" customHeight="1" s="43">
      <c r="A116" s="57" t="inlineStr">
        <is>
          <t>I-04</t>
        </is>
      </c>
      <c r="B116" s="58" t="inlineStr">
        <is>
          <t>I</t>
        </is>
      </c>
      <c r="C116" s="58" t="inlineStr">
        <is>
          <t>CSV 範本下載</t>
        </is>
      </c>
      <c r="D116" s="59" t="inlineStr">
        <is>
          <t>交易帳本 › CSV 匯入</t>
        </is>
      </c>
      <c r="E116" s="59" t="inlineStr">
        <is>
          <t>逐一下載 交易／股利／換匯／期初／公司行動／資金 範本</t>
        </is>
      </c>
      <c r="F116" s="59" t="inlineStr">
        <is>
          <t>欄位名與匯入解析器接受的欄位**完全一致**（用範本原樣填值應可匯入）</t>
        </is>
      </c>
      <c r="G116" s="59" t="inlineStr">
        <is>
          <t>唯讀</t>
        </is>
      </c>
      <c r="H116" s="59" t="inlineStr">
        <is>
          <t>否</t>
        </is>
      </c>
      <c r="I116" s="73" t="inlineStr">
        <is>
          <t>交易帳本 › CSV 匯入 › 標準範本，六類逐一「下載範本」（GET /api/import/template?kind=transactions|dividends|fx|openings|corporate_actions|cash 全 200，檔名 import_template_&lt;kind&gt;.csv）；把每份範本原文貼回同類型解析：6 類皆無任何欄位名錯誤（欄位全被解析器接受）；資金 7/7、股利 2/2、期初 2/2 可寫入；交易 6/7（0800EA 未註冊）、換匯 1/2（schwab 2026-07-10 TWD 可用餘額 1000，不可透支）、公司行動 1 ok＋1 warn（SPINCO 自動建立）＋1 error（NEWCO 未註冊）——皆為資料狀態檢核且範本備註已預告（「ETF 以標的登錄為準」「請改成實際已註冊的代號」）</t>
        </is>
      </c>
      <c r="J116" s="72" t="inlineStr">
        <is>
          <t>PASS</t>
        </is>
      </c>
      <c r="K116" s="72" t="inlineStr">
        <is>
          <t>DEF-004</t>
        </is>
      </c>
      <c r="L116" s="62" t="inlineStr">
        <is>
          <t>結案</t>
        </is>
      </c>
      <c r="M116" s="72" t="inlineStr">
        <is>
          <t>PASS</t>
        </is>
      </c>
      <c r="N116" s="73" t="inlineStr">
        <is>
          <t>附帶發現：解析預覽表對股利／換匯／期初／公司行動／資金 5 類沿用交易欄位，金額不顯示（見 DEF-004，不影響本案判定）
R2：DEF-004 複驗通過結案
R10（3a35454 全面重跑）：PASS — demo 真實瀏覽器（頁首 v0.1.28 · 3a35454），demo 1／1 項檢查全過：6 種範本下載後皆可解析、欄名錯誤 0
R11（91ec1b0 整份 one shot 重跑）：PASS — demo 真實瀏覽器（頁首 v0.1.28 · 91ec1b0），demo 1／1 項檢查全過：6 種範本下載後皆可解析、欄名錯誤 0</t>
        </is>
      </c>
    </row>
    <row r="117" ht="29.25" customHeight="1" s="43">
      <c r="A117" s="57" t="inlineStr">
        <is>
          <t>I-05</t>
        </is>
      </c>
      <c r="B117" s="58" t="inlineStr">
        <is>
          <t>I</t>
        </is>
      </c>
      <c r="C117" s="58" t="inlineStr">
        <is>
          <t>CSV 匯入預覽（合法）</t>
        </is>
      </c>
      <c r="D117" s="59" t="inlineStr">
        <is>
          <t>用 I-04 的範本填 3 列合法資料</t>
        </is>
      </c>
      <c r="E117" s="59" t="inlineStr">
        <is>
          <t>貼上或上傳 → 預覽</t>
        </is>
      </c>
      <c r="F117" s="59" t="inlineStr">
        <is>
          <t>逐列顯示「✓ 可寫入」，金額、費用、帳戶、代號解析正確</t>
        </is>
      </c>
      <c r="G117" s="59" t="inlineStr">
        <is>
          <t>不寫入</t>
        </is>
      </c>
      <c r="H117" s="59" t="inlineStr">
        <is>
          <t>✅ 已驗（第一輪）</t>
        </is>
      </c>
      <c r="I117" s="73" t="inlineStr">
        <is>
          <t>貼 3 列合法交易（台灣券商 2884 買 100@45.20／嘉信 AAPL 買 1@250／Moomoo MY 1155 買 100@10.40）→ 預覽 3 列皆「✓ 可寫入」且預設勾選；解析：account／symbol／side／quantity／price／trade_date 正確；費用依帳戶規則自動計算：2884 fee 20（最低）tax 0、AAPL（Schwab）fee 0、1155 fee 3.91（佣金 0.31＋平台 3.00＋清算 0.31＋SST 8% 0.29）tax 2.00（印花 ceil(1040/1000)×RM1），與手算相符</t>
        </is>
      </c>
      <c r="J117" s="72" t="inlineStr">
        <is>
          <t>PASS</t>
        </is>
      </c>
      <c r="K117" s="72" t="n"/>
      <c r="L117" s="62" t="inlineStr">
        <is>
          <t>PASS</t>
        </is>
      </c>
      <c r="M117" s="72" t="inlineStr">
        <is>
          <t>PASS</t>
        </is>
      </c>
      <c r="N117" s="73" t="inlineStr">
        <is>
          <t>畫面預覽表不顯示費用欄（僅 API 回應有），費用正確性以 API 回應核對
R8（a16210a 全面重跑）：交易帳本 › CSV 匯入（標準範本・交易）貼 3 列合法交易（台灣券商 2884 買 100@45.20／嘉信 AAPL 買 1@250／Moomoo MY 1155 買 100@10.40）→ POST /api/import/preview → 計數「可寫入 3・警告 0・錯誤 0」，預覽 3 列皆「✓ 可寫入」且預設勾選；解析：account／symbol／side／quantity／price／trade_date 正確；費用依帳戶規則自動計算並顯示在預覽表：2884 fee 20（最低）tax 0、AAPL（Schwab）fee 0.00、1155 fee 3.91（佣金＋平台 3.00＋清算＋SST 8%）tax 2.00（印花 ceil(1040/1000)×RM1），與手算相符（R1 附記「預覽表不顯示費用欄」已改善）
R10（3a35454 全面重跑）：PASS — demo 真實瀏覽器（頁首 v0.1.28 · 3a35454），demo 3／3 項檢查全過：3 列 ✓ 可寫入；手續費依帳戶規則 2884 20／AAPL 0／1155 3.91＋印花 2
R11（91ec1b0 整份 one shot 重跑）：PASS — demo 真實瀏覽器（頁首 v0.1.28 · 91ec1b0），demo 3／3 項檢查全過：3 列 ✓ 可寫入；手續費依帳戶規則 2884 20／AAPL 0／1155 3.91＋印花 2</t>
        </is>
      </c>
    </row>
    <row r="118" ht="43.5" customHeight="1" s="43">
      <c r="A118" s="57" t="inlineStr">
        <is>
          <t>I-06</t>
        </is>
      </c>
      <c r="B118" s="58" t="inlineStr">
        <is>
          <t>I</t>
        </is>
      </c>
      <c r="C118" s="58" t="inlineStr">
        <is>
          <t>CSV 匯入預覽（非法）</t>
        </is>
      </c>
      <c r="D118" s="59" t="inlineStr">
        <is>
          <t>故意填錯：缺欄位、代號未註冊、台股 0.5 股、日期格式錯、賣超</t>
        </is>
      </c>
      <c r="E118" s="59" t="inlineStr">
        <is>
          <t>預覽</t>
        </is>
      </c>
      <c r="F118" s="59" t="inlineStr">
        <is>
          <t>每一種錯誤都有**精準訊息**（欄位名＋原因），且該列不可寫入；**賣超列預設不勾選**，確認框逐列點名並寫明「成本基礎會被永久捨棄」，需逐列明確確認後才可寫入（2026-09-24 owner 裁定 DEF-025）；合法列仍可寫入</t>
        </is>
      </c>
      <c r="G118" s="59" t="inlineStr">
        <is>
          <t>不寫入</t>
        </is>
      </c>
      <c r="H118" s="59" t="inlineStr">
        <is>
          <t>部分（已驗數種）</t>
        </is>
      </c>
      <c r="I118" s="73" t="inlineStr">
        <is>
          <t>交易帳本 › CSV 匯入 › 標準範本／交易，貼 8 列（1 列合法＋7 種錯誤）→ POST /api/import/preview 200：#1 合法「✓ 可寫入」且預設勾選 ✓；#2 缺 price「✕ 錯誤 必填欄位不可空白（欄位 price）」✓；#3「未註冊標的 ZZZZ9 — 請先至「標的管理」註冊」✓；#4 台股 0.5 股「台股股數必須是整數（零股以 1 股為單位），目前是 0.5」✓；#5「欄位 date 的內容「2026-13-45」不是有效的日期（請用 YYYY-MM-DD）」✓；#7「帳戶 xx_broker 不存在」✓；#8「欄位 side 的內容「hold」不是有效的買賣別（請填 BUY 或 SELL）」✓；錯誤列 checkbox 皆 disabled ✓。✗ #6 賣超：狀態只是「⚠ 警告」且預設勾選，按「確認寫入勾選列」→ 422 warnings_unacknowledged → 對話框「部分列有警告（如賣超）— 確認後一併寫入？」按確認即可寫入（手冊期望不可寫入）；✗ 賣超列的持股數把錯誤列也算進去：持有 100 股時，「買 100（合法）＋買 0.5（錯誤）＋賣 500」顯示「超過持有的 200.5 股」；「買 1.5（錯誤）＋賣 101」賣出列顯示「✓ 可寫入」，按寫入 → {written 0, skipped 1, rejected 1}，banner 只解釋第 1 列（使用者根本不能勾的錯誤列），被勾選的賣出列只算「跳過」、沒有任何原因；「買 100＋賣 150」取消勾選買進後，賣出列仍顯示「✓ 可寫入」，寫入後 toast「✓ 寫入成功 成功 0 筆・跳過 2 筆」</t>
        </is>
      </c>
      <c r="J118" s="72" t="inlineStr">
        <is>
          <t>FAIL</t>
        </is>
      </c>
      <c r="K118" s="72" t="inlineStr">
        <is>
          <t>DEF-024, DEF-025</t>
        </is>
      </c>
      <c r="L118" s="62" t="inlineStr">
        <is>
          <t>結案</t>
        </is>
      </c>
      <c r="M118" s="72" t="inlineStr">
        <is>
          <t>PASS</t>
        </is>
      </c>
      <c r="N118" s="73" t="inlineStr">
        <is>
          <t>所有測試均未寫入：每次按寫入後六段 JSON＋計數與 I06 基準逐位元相同；賣超確認框按取消
R2：DEF-024 複驗通過結案；DEF-025 經 Owner 裁定改程式（CSV 賣超列預設不勾＋逐列確認），待開發者修
R3：DEF-025 複驗通過結案（CSV／AI 賣超列預設不勾、逐列確認、伺服器拒絕整檔 ack）
R10（3a35454 全面重跑）：PASS — demo 真實瀏覽器（頁首 v0.1.28 · 3a35454），demo 12／12 項檢查全過：合法列可寫；缺 price、未註冊 ZZZZ9、台股 0.5 股、日期 2026-13-45、未知帳戶 xx_broker、side hold 各有對應錯誤；賣超列警示且預設不勾、確認框點名第 6 列並說明成本基礎會被捨棄；取消不寫入
R11（91ec1b0 整份 one shot 重跑）：PASS — demo 真實瀏覽器（頁首 v0.1.28 · 91ec1b0），demo 12／12 項檢查全過：合法列可寫；缺 price、未註冊 ZZZZ9、台股 0.5 股、日期 2026-13-45、未知帳戶 xx_broker、side hold 各有對應錯誤；賣超列警示且預設不勾、確認框點名第 6 列並說明成本基礎會被捨棄；取消不寫入</t>
        </is>
      </c>
    </row>
    <row r="119" ht="29.25" customHeight="1" s="43">
      <c r="A119" s="57" t="inlineStr">
        <is>
          <t>I-07</t>
        </is>
      </c>
      <c r="B119" s="58" t="inlineStr">
        <is>
          <t>I</t>
        </is>
      </c>
      <c r="C119" s="58" t="inlineStr">
        <is>
          <t>CSV 匯入寫入（選擇性）</t>
        </is>
      </c>
      <c r="D119" s="59" t="inlineStr">
        <is>
          <t>承 I-05；記錄基準</t>
        </is>
      </c>
      <c r="E119" s="59" t="inlineStr">
        <is>
          <t>只勾選其中 2 列 → 確認寫入</t>
        </is>
      </c>
      <c r="F119" s="58" t="inlineStr">
        <is>
          <t>① **只寫入勾選的列**；② 批次記錄在「匯入批次」清單；③ 持倉與現金依寫入列重算</t>
        </is>
      </c>
      <c r="G119" s="58" t="inlineStr">
        <is>
          <t>**會寫入帳本**。測畢用批次復原</t>
        </is>
      </c>
      <c r="H119" s="59" t="inlineStr">
        <is>
          <t>否</t>
        </is>
      </c>
      <c r="I119" s="73" t="inlineStr">
        <is>
          <t>基準 I07 後，CSV 匯入貼 4 列合法交易（台灣券商 2884 買 100@45.20 不填費用／嘉信 AAPL 買 1@250／台灣券商 2884 買 1,000@45.20 fee 50 tax 0／Moomoo MY 1155 買 100@10.40），取消勾選第 2、4 列 → 確認寫入勾選列 → POST /api/import/commit {select:[0,2]} 200 {written 2, skipped 2, import_batch_id 4}：① 帳本只新增 #89（fee 20、合計 −4,540）與 #90（fee 50、合計 −45,250），AAPL／1155 無新增 ✓；② 「最近匯入」出現「2026-09-23 04:56:12 交易 — 2 復原」，/api/import/batches id 4 row_count 2 committed ✓；③ 2884 股數 100→1,200、原始成本 9,320→59,110（＝9,320＋4,540＋45,250）、均價 49.2583；台灣券商 TWD 6,067,595→6,017,805（−49,790）；嘉信／Moomoo 現金不變 ✓</t>
        </is>
      </c>
      <c r="J119" s="72" t="inlineStr">
        <is>
          <t>PASS</t>
        </is>
      </c>
      <c r="K119" s="72" t="n"/>
      <c r="L119" s="62" t="inlineStr">
        <is>
          <t>PASS</t>
        </is>
      </c>
      <c r="M119" s="72" t="inlineStr">
        <is>
          <t>PASS</t>
        </is>
      </c>
      <c r="N119" s="72" t="inlineStr">
        <is>
          <t>R8（a16210a 全面重跑）：基準 I07R8 後，CSV 匯入貼 4 列合法交易（台灣券商 2884 買 100@45.20 不填費用／嘉信 AAPL 買 1@250／台灣券商 2884 買 1,000@45.20 fee 50 tax 0／Moomoo MY 1155 買 100@10.40），取消勾選第 2、4 列 → 確認寫入勾選列 → POST /api/import/commit {select:[0,2]} 200 {written 2, skipped 2（未勾選）, import_batch_id 20}，banner「✓ 寫入完成：成功 2 筆・未勾選 2 筆」→ ① 帳本只新增 #132（fee 20、合計 −4,540）與 #133（fee 50、合計 −45,250），AAPL／1155 無新增 ✓；② 「最近匯入」出現「2026-09-27 09:03:34 交易 貼上 CSV 2 復原」，/api/import/batches #20 row 2／written 2 committed ✓；③ 2884 股數 100→1,200、原始成本 9,320→59,110（＝9,320＋4,540＋45,250）、均價 49.2583；台灣券商 TWD 6,067,595→6,017,805（−49,790）；嘉信／Moomoo 現金不變 ✓。最後以批次「復原」（DELETE /api/import/batches/20 200 deleted 2）還原，cmp I07R8 same:true、已提交批次 0
R10（3a35454 全面重跑）：PASS — demo 真實瀏覽器（頁首 v0.1.28 · 3a35454），demo 11／11 項檢查全過：4 列預覽只勾第 1、3 列 → commit {select:[0,2]} 200 written 2／skipped 2；批次 #33 列入；2884 +1,100 股、成本 +49,790（4,540＋45,250）、AAPL 不變
R11（91ec1b0 整份 one shot 重跑）：PASS — demo 真實瀏覽器（頁首 v0.1.28 · 91ec1b0），demo 11／11 項檢查全過：4 列預覽只勾第 1、3 列 → commit {select:[0,2]} written 2／skipped 2；批次 #37 列入；2884 +1,100 股、成本 +49,790（4,540＋45,250）、AAPL 不變</t>
        </is>
      </c>
    </row>
    <row r="120" ht="29.25" customHeight="1" s="43">
      <c r="A120" s="57" t="inlineStr">
        <is>
          <t>I-08</t>
        </is>
      </c>
      <c r="B120" s="58" t="inlineStr">
        <is>
          <t>I</t>
        </is>
      </c>
      <c r="C120" s="59" t="inlineStr">
        <is>
          <t>匯入批次復原</t>
        </is>
      </c>
      <c r="D120" s="59" t="inlineStr">
        <is>
          <t>承 I-07</t>
        </is>
      </c>
      <c r="E120" s="59" t="inlineStr">
        <is>
          <t>匯入批次 → 復原該批</t>
        </is>
      </c>
      <c r="F120" s="59" t="inlineStr">
        <is>
          <t>該批所有列消失；`kpis`／`holdings`／`realized`／`allocation` 與匯入前**字串完全相同**</t>
        </is>
      </c>
      <c r="G120" s="59" t="inlineStr">
        <is>
          <t>這是還原步驟</t>
        </is>
      </c>
      <c r="H120" s="59" t="inlineStr">
        <is>
          <t>否</t>
        </is>
      </c>
      <c r="I120" s="73" t="inlineStr">
        <is>
          <t>承 I-07：最近匯入 › 復原 → 確認框「將刪除這批匯入寫進帳本的 2 筆交易紀錄（來源：未命名）…」→ DELETE /api/import/batches/4 200 {deleted 2} → toast「✓ 已復原 刪除 2 筆」；#89、#90 消失，最近匯入回到「尚無匯入紀錄」；kpis／holdings／realized／allocation／現金餘額／報告幣別合計與匯入前字串完全相同，各帳本列數與批次數相同</t>
        </is>
      </c>
      <c r="J120" s="72" t="inlineStr">
        <is>
          <t>PASS</t>
        </is>
      </c>
      <c r="K120" s="72" t="inlineStr">
        <is>
          <t>DEF-019, DEF-049</t>
        </is>
      </c>
      <c r="L120" s="62" t="inlineStr">
        <is>
          <t>結案</t>
        </is>
      </c>
      <c r="M120" s="72" t="inlineStr">
        <is>
          <t>PASS</t>
        </is>
      </c>
      <c r="N120" s="73" t="inlineStr">
        <is>
          <t>復原後交易表單代號清單未重載的問題見 DEF-019（C 組已登記）
R2：DEF-019 複驗通過結案
R3：附帶新開 DEF-049（批次復原造成後續賣超、不確認不稽核；owner 指示本輪附規格）
R4：DEF-049 複驗通過結案（批次復原與公司行動刪除 422 oversell＋「賣超確認」框，取消不寫入）
R10（3a35454 全面重跑）：PASS — demo 真實瀏覽器（頁首 v0.1.28 · 3a35454），demo 2／2 項檢查全過：「最近匯入」列「2026-09-28 18:13:53 交易 貼上 CSV 2 復原」→ 對話框「將刪除這批匯入寫進帳本的 2 筆交易紀錄…」→ DELETE 200 deleted 2 → 四段 JSON 與匯入前逐字相同
R11（91ec1b0 整份 one shot 重跑）：PASS — demo 真實瀏覽器（頁首 v0.1.28 · 91ec1b0），demo 2／2 項檢查全過：「最近匯入」列「2026-09-30 01:16:04 交易 貼上 CSV 2 復原」→ 對話框「將刪除這批匯入寫進帳本的 2 筆交易紀錄…」→ DELETE 200 deleted 2 → 四段 JSON 與匯入前逐字相同</t>
        </is>
      </c>
    </row>
    <row r="121" ht="29.25" customHeight="1" s="43">
      <c r="A121" s="57" t="inlineStr">
        <is>
          <t>I-09</t>
        </is>
      </c>
      <c r="B121" s="58" t="inlineStr">
        <is>
          <t>I</t>
        </is>
      </c>
      <c r="C121" s="59" t="inlineStr">
        <is>
          <t>重複匯入偵測</t>
        </is>
      </c>
      <c r="D121" s="59" t="inlineStr">
        <is>
          <t>承 I-07</t>
        </is>
      </c>
      <c r="E121" s="59" t="inlineStr">
        <is>
          <t>把同一份檔案再匯入一次</t>
        </is>
      </c>
      <c r="F121" s="59" t="inlineStr">
        <is>
          <t>系統應偵測重複並提示（或明確說明會重複寫入）；不得靜默產生兩份相同帳本列</t>
        </is>
      </c>
      <c r="G121" s="59" t="inlineStr">
        <is>
          <t>若寫入需復原</t>
        </is>
      </c>
      <c r="H121" s="59" t="inlineStr">
        <is>
          <t>否</t>
        </is>
      </c>
      <c r="I121" s="73" t="inlineStr">
        <is>
          <t>承 I-07（批次 4 未復原前）把同一份 CSV 原樣再貼一次：預覽第 1、3 列「⚠ 警告 相同交易已存在（同帳戶、標的、買賣別、交易日、股數、價格），確認要再次寫入？」，第 2、4 列（上次未寫入）「✓ 可寫入」✓。只勾第 1、3 列 → 422 warnings_unacknowledged → 確認框 → 確認寫入 → 200 {written 0, skipped 2, duplicates 2}，banner「✓ 寫入完成：成功 0 筆・跳過 2 筆・已匯入過 2 筆／重複的列來自先前的匯入批次，已自動略過，帳本沒有變成兩筆。」；交易帳本仍 58 列、批次仍只有 id 4 ✓ 未靜默重複寫入</t>
        </is>
      </c>
      <c r="J121" s="72" t="inlineStr">
        <is>
          <t>PASS</t>
        </is>
      </c>
      <c r="K121" s="72" t="n"/>
      <c r="L121" s="62" t="inlineStr">
        <is>
          <t>PASS</t>
        </is>
      </c>
      <c r="M121" s="72" t="inlineStr">
        <is>
          <t>PASS</t>
        </is>
      </c>
      <c r="N121" s="73" t="inlineStr">
        <is>
          <t>重複列預設為勾選；確認框文字固定為「部分列有警告（如賣超）」，未點名是重複列
R8（a16210a 全面重跑）：承 I-07（批次 20 復原前）把同一份 CSV 原樣再貼一次：計數「可寫入 2・警告 2」，第 1、3 列「⚠ 警告 相同交易已存在（同帳戶、標的、買賣別、交易日、股數、價格），確認要再次寫入？」，第 2、4 列「✓ 可寫入」✓。只勾第 1、3 列 → 422 warnings_unacknowledged → 對話框「匯入警告確認 —— 交易 以下 2 列…有警告…列出 #1／#3 與重複原因」，選項「取消，停在這一步／略過所有警告列，只寫入其他列／寫入勾選的警告列」（勾選警告列前最後一鈕 disabled）→ 勾選並寫入 → 200 {written 0, skipped 2, duplicates 2}，banner「✓ 寫入完成：成功 0 筆・未勾選 2 筆・已匯入過 2 筆／重複的列來自先前的匯入批次，已自動略過，帳本沒有變成兩筆。」；交易帳本仍 58 列、已提交批次仍只有 #20 ✓（R1 附記「確認框未點名重複列」已改善）
R10（3a35454 全面重跑）：PASS — demo 真實瀏覽器（頁首 v0.1.28 · 3a35454），demo 5／5 項檢查全過：同一份 CSV 再貼 → 2 列「相同交易已存在」；勾選寫入 → 警告對話框列出 #1、#3 → 「寫入完成：成功 0 筆・已匯入過 2 筆」，帳本不產生第二份（仍 58 列）；批次復原後逐字相同
R11（91ec1b0 整份 one shot 重跑）：PASS — demo 真實瀏覽器（頁首 v0.1.28 · 91ec1b0），demo 5／5 項檢查全過：同一份 CSV 再貼 → 2 列「相同交易已存在」；勾選寫入 → 警告對話框逐列點名 2 列重複 → 「寫入完成：成功 0 筆・已匯入過 2 筆」，帳本不產生第二份（仍 58 列）；批次 #38 復原後逐字相同</t>
        </is>
      </c>
    </row>
    <row r="122" ht="43.5" customHeight="1" s="43">
      <c r="A122" s="57" t="inlineStr">
        <is>
          <t>I-10</t>
        </is>
      </c>
      <c r="B122" s="58" t="inlineStr">
        <is>
          <t>I</t>
        </is>
      </c>
      <c r="C122" s="59" t="inlineStr">
        <is>
          <t>券商對帳單匯入（Schwab）</t>
        </is>
      </c>
      <c r="D122" s="59" t="inlineStr">
        <is>
          <t>取得一份 Schwab 匯出 CSV；記錄基準</t>
        </is>
      </c>
      <c r="E122" s="59" t="inlineStr">
        <is>
          <t>交易帳本 › CSV 匯入 › 券商對帳單 → 選券商與匯入到帳戶 → 上傳 → 轉換</t>
        </is>
      </c>
      <c r="F122" s="59" t="inlineStr">
        <is>
          <t>① 轉換報告逐列可檢視；② 無法對應的交易類型**不得用猜的**（應回 `broker_row_unmapped` 並說明）；③ 確認後寫入、可復原</t>
        </is>
      </c>
      <c r="G122" s="58" t="inlineStr">
        <is>
          <t>**會寫入帳本**；務必復原</t>
        </is>
      </c>
      <c r="H122" s="59" t="inlineStr">
        <is>
          <t>否</t>
        </is>
      </c>
      <c r="I122" s="73" t="inlineStr">
        <is>
          <t>沒有真實 Schwab 匯出檔，改用 repo 內 Schwab 格式樣本（tests/golden/broker/schwab_2024.csv、schwab_unmapped.csv，檔頭註明合成資料）及同格式自製檔，經「交易帳本 › CSV 匯入 › 券商對帳單」檔案選取上傳。① schwab_2024.csv（15 列）→ POST /api/broker/convert 200，畫面只顯示「✓ 對帳通過 —— 現金與各代號股數都守恆／讀入 15 列，產生：交易 3 · 股利 1 · 資金 5」；轉出的 9 列（ALFA 買賣、DRIP、入金／利息／融資利息／ADR 費）與被合併或抵銷的 6 列（Journaled ±25、Buy／Cancel Buy BETA、NRA Tax Adj、Reinvest）在畫面上都看不到，只在 API 回應裡 ✗；② schwab_unmapped.csv → 422 broker_row_unmapped，畫面「✗ 無法轉換：…:3: unmapped broker row — action='Journaled Shares' …／這個檔案裡有一種本系統還不認得的交易類型。系統不會用猜的…」，「全部寫入」disabled ✓；③ 自製檔（Wire Received $100＋Buy AAPL 1@$250，匯入嘉信）→ 全部寫入 → 交易批次 6、資金批次 7 各寫 1 筆，AAPL 85.04→86.04 股、成本 13,515→13,765、USD 398,497.90→398,347.90，備註「schwab_qa.csv:2／:3」可追溯；兩批逐一復原後與 I10 基準逐位元相同 ✓。✗ 另測 Sell AAPL 1,000 股（嘉信只持有 85.04 股）：轉換只提示補期初庫存，「全部寫入」直接以 ack_warnings:true 送出，無任何賣超確認 → 寫入後 AAPL −914.96 股、原始成本 0、oversold=true、XIRR 變空，畫面「✓ 全部寫入完成」；以批次 8 復原後逐位元還原</t>
        </is>
      </c>
      <c r="J122" s="72" t="inlineStr">
        <is>
          <t>FAIL</t>
        </is>
      </c>
      <c r="K122" s="72" t="inlineStr">
        <is>
          <t>DEF-027, DEF-028, DEF-039</t>
        </is>
      </c>
      <c r="L122" s="62" t="inlineStr">
        <is>
          <t>結案</t>
        </is>
      </c>
      <c r="M122" s="72" t="inlineStr">
        <is>
          <t>PASS</t>
        </is>
      </c>
      <c r="N122" s="73" t="inlineStr">
        <is>
          <t>一次匯入會拆成多個批次（交易／資金各一），需逐批復原
R2：DEF-027、DEF-028 複驗通過結案；附帶新開 DEF-039（期初缺口提示 28 位小數，低）
R3：DEF-039 複驗通過結案（期初缺口 85.039255／914.960745 股）
R10（3a35454 全面重跑）：PASS — demo 真實瀏覽器（頁首 v0.1.28 · 3a35454），demo 6／6 項檢查全過：Schwab 格式對帳單 → convert 200 逐列報告（交易 1、資金 1）；未知類型「Journaled Shares」→ 422 broker_row_unmapped（不猜）；寫入轉換結果 2 列、AAPL +1 股；兩個批次復原後逐字相同
R11（91ec1b0 整份 one shot 重跑）：PASS — demo 真實瀏覽器（頁首 v0.1.28 · 91ec1b0），demo 6／6 項檢查全過：Schwab 格式對帳單 → convert 200 逐列報告（交易 1、資金 1）；未知類型「Journaled Shares」→ 422 broker_row_unmapped（不猜）；寫入轉換結果 2 列、AAPL +1 股；批次復原後逐字相同</t>
        </is>
      </c>
    </row>
    <row r="123" ht="29.25" customHeight="1" s="43">
      <c r="A123" s="57" t="inlineStr">
        <is>
          <t>I-11</t>
        </is>
      </c>
      <c r="B123" s="58" t="inlineStr">
        <is>
          <t>I</t>
        </is>
      </c>
      <c r="C123" s="59" t="inlineStr">
        <is>
          <t>匯入到錯誤帳戶的防護</t>
        </is>
      </c>
      <c r="D123" s="59" t="inlineStr">
        <is>
          <t>同上</t>
        </is>
      </c>
      <c r="E123" s="59" t="inlineStr">
        <is>
          <t>故意選一個與對帳單幣別／市場不符的帳戶</t>
        </is>
      </c>
      <c r="F123" s="59" t="inlineStr">
        <is>
          <t>系統需警告或阻擋（例如把美股對帳單匯入馬股帳戶）</t>
        </is>
      </c>
      <c r="G123" s="59" t="inlineStr">
        <is>
          <t>不寫入</t>
        </is>
      </c>
      <c r="H123" s="59" t="inlineStr">
        <is>
          <t>否</t>
        </is>
      </c>
      <c r="I123" s="73" t="inlineStr">
        <is>
          <t>同一份嘉信格式檔（Wire Received $100＋Buy AAPL 1@$250），券商選嘉信 Schwab：① 匯入到帳戶選「台灣券商（TWD）」→ 轉換顯示「✓ 對帳通過」、無任何警告，按全部寫入後才在寫入階段被擋：「⚠ 寫入中止 交易 寫入 0 筆・擋下 1 筆 第 1 列：AAPL 屬 US 市場，不可登錄於 台股帳戶」，資金列未送出，帳本未變 ✓（擋下有效）；② 匯入到帳戶選「Moomoo MY（USD／MYR）」→ 轉換「✓ 對帳通過」、無警告 → 全部寫入 → 交易批次 9、資金批次 10 寫入成功，嘉信的對帳單被記進 Moomoo MY 帳戶 ✗。兩批復原後與 I11 基準逐位元相同</t>
        </is>
      </c>
      <c r="J123" s="72" t="inlineStr">
        <is>
          <t>FAIL</t>
        </is>
      </c>
      <c r="K123" s="72" t="inlineStr">
        <is>
          <t>DEF-029</t>
        </is>
      </c>
      <c r="L123" s="62" t="inlineStr">
        <is>
          <t>結案</t>
        </is>
      </c>
      <c r="M123" s="72" t="inlineStr">
        <is>
          <t>PASS</t>
        </is>
      </c>
      <c r="N123" s="72" t="inlineStr">
        <is>
          <t>R2：DEF-029 複驗通過結案
R10（3a35454 全面重跑）：PASS — demo 真實瀏覽器（頁首 v0.1.28 · 3a35454），demo 2／2 項檢查全過：Schwab 對帳單匯入到台灣券商或 Moomoo MY → 200 {ok:false, blocking: account_broker_mismatch}、0 列轉換（畫面以帳戶名稱顯示）
R11（91ec1b0 整份 one shot 重跑）：PASS — demo 真實瀏覽器（頁首 v0.1.28 · 91ec1b0），demo 2／2 項檢查全過：Schwab 對帳單匯入到台灣券商或 Moomoo MY → 200 {ok:false, blocking: account_broker_mismatch}、0 列轉換</t>
        </is>
      </c>
    </row>
    <row r="124" ht="29.25" customHeight="1" s="43">
      <c r="A124" s="57" t="inlineStr">
        <is>
          <t>I-12</t>
        </is>
      </c>
      <c r="B124" s="58" t="inlineStr">
        <is>
          <t>I</t>
        </is>
      </c>
      <c r="C124" s="59" t="inlineStr">
        <is>
          <t>匯入的費用與稅重算</t>
        </is>
      </c>
      <c r="D124" s="59" t="inlineStr">
        <is>
          <t>承 I-07</t>
        </is>
      </c>
      <c r="E124" s="59" t="inlineStr">
        <is>
          <t>匯入含手續費欄位的列，以及不含費用欄位的列</t>
        </is>
      </c>
      <c r="F124" s="59" t="inlineStr">
        <is>
          <t>① 有填的照用；② 沒填的依該帳戶費率規則重算；③ 與手動輸入同一路徑的結果一致</t>
        </is>
      </c>
      <c r="G124" s="59" t="inlineStr">
        <is>
          <t>同 I-07</t>
        </is>
      </c>
      <c r="H124" s="59" t="inlineStr">
        <is>
          <t>否</t>
        </is>
      </c>
      <c r="I124" s="73" t="inlineStr">
        <is>
          <t>承 I-07：不填費用的列依帳戶規則重算——台灣券商 2884 100@45.20 fee 20（4,520×0.1425%＝6.44 → 最低 20）、tax 0；Moomoo MY 1155 100@10.40 fee 3.91、tax 2.00；嘉信 AAPL fee 0 ✓；有填費用的列照用——2884 1,000@45.20 fee 50（系統計算應為 64）寫入後帳本 fee 50、合計 −45,250 ✓。與手動輸入同一路徑比對：手動交易草稿 2884 100@45.20 → 手續費 20、交易稅 0、總成本 4,540；1155 100@10.40 → 手續費 3.91、交易稅 2.00、總成本 1,045.91（fee_rule_label「佣金 0.0300%・平台費 RM3.00・清算 0.0300%・SST 8.00%・印花 ceil(金額/1000)×RM1」）與 CSV 解析結果完全相同 ✓</t>
        </is>
      </c>
      <c r="J124" s="72" t="inlineStr">
        <is>
          <t>PASS</t>
        </is>
      </c>
      <c r="K124" s="72" t="n"/>
      <c r="L124" s="62" t="inlineStr">
        <is>
          <t>PASS</t>
        </is>
      </c>
      <c r="M124" s="72" t="inlineStr">
        <is>
          <t>PASS</t>
        </is>
      </c>
      <c r="N124" s="73" t="inlineStr">
        <is>
          <t>手動草稿只試算不寫入，已按清除
R8（a16210a 全面重跑）：承 I-07：不填費用的列依帳戶規則重算——台灣券商 2884 100@45.20 fee 20（4,520×0.1425%＝6.44 → 最低 20）、tax 0；Moomoo MY 1155 100@10.40 fee 3.91、tax 2.00；嘉信 AAPL fee 0 ✓；有填費用的列照用——2884 1,000@45.20 fee 50（規則計算應為 64）寫入後帳本 fee 50、合計 −45,250 ✓。與手動輸入同一路徑比對：手動交易草稿 2884 100@45.20 → 手續費 20、交易稅 0、總成本 4,540；1155 100@10.40 → 手續費 3.91、交易稅 2.00、總成本 1,045.91（fee_rule_label「佣金 0.0300%・平台費 RM3.00・清算 0.0300%・SST 8.00%・印花 ceil(金額/1000)×RM1」）與 CSV 解析結果完全相同 ✓。手動草稿只試算不寫入
R10（3a35454 全面重跑）：PASS — demo 真實瀏覽器（頁首 v0.1.28 · 3a35454），demo 3／3 項檢查全過：空白手續費依帳戶規則重算（20／50／3.91＋2.00），有填則照用（50，不改為 64），與手動輸入路徑一致
R11（91ec1b0 整份 one shot 重跑）：PASS — demo 真實瀏覽器（頁首 v0.1.28 · 91ec1b0），demo 3／3 項檢查全過：空白手續費依帳戶規則重算（20／50／3.91＋2.00），有填則照用（50，不改為 64），與手動輸入路徑一致</t>
        </is>
      </c>
    </row>
    <row r="125" ht="29.25" customHeight="1" s="43">
      <c r="A125" s="57" t="inlineStr">
        <is>
          <t>I-13</t>
        </is>
      </c>
      <c r="B125" s="58" t="inlineStr">
        <is>
          <t>I</t>
        </is>
      </c>
      <c r="C125" s="59" t="inlineStr">
        <is>
          <t>匯出→匯入往返一致</t>
        </is>
      </c>
      <c r="D125" s="58" t="inlineStr">
        <is>
          <t>—</t>
        </is>
      </c>
      <c r="E125" s="59" t="inlineStr">
        <is>
          <t>把交易帳本匯出成 CSV，於測試帳戶原樣匯入</t>
        </is>
      </c>
      <c r="F125" s="59" t="inlineStr">
        <is>
          <t>往返後的列內容與原列一致（此案用於驗證匯出欄位足以重建帳本）</t>
        </is>
      </c>
      <c r="G125" s="58" t="inlineStr">
        <is>
          <t>**會寫入**；務必復原</t>
        </is>
      </c>
      <c r="H125" s="59" t="inlineStr">
        <is>
          <t>否</t>
        </is>
      </c>
      <c r="I125" s="73" t="inlineStr">
        <is>
          <t>交易帳本 › 交易 › ⬇匯出 CSV（ledger_transactions_all_all.csv，56 列，表頭 id,account_id,symbol,side,quantity,price,fees,tax,trade_date,fee_rule_snapshot,note,daytrade,short_sale,import_batch_id,source_row_hash）→ 原樣貼到 CSV 匯入（標準範本／交易）：56 列全部「✕ 錯誤 缺少必要欄位（欄位 account）」，0 列可寫入。改用人工繞道（只把表頭 account_id→account、quantity→shares、fees→fee、trade_date→date，其餘不動）取 #7（2603 買 2,000@185.5 fee 529）、#8（2603 賣 500@190 fee 135 tax 285）匯入 → 兩列「⚠ 相同交易已存在」→ 確認寫入 → 批次 5 寫入 #91、#92：帳戶／代號／買賣／股數／價格／手續費／稅／日期／備註／當沖／放空旗標與原列一致，但 fee_rule_snapshot 由原本 {brokerage 0.001425, discount 1, min_fee 20, (tax_rate 0.003)} 變成 {engine: supplied, fee, tax}，費率快照未能重建。最近匯入 › 復原批次 5（deleted 2）後六段 JSON＋計數與 I13 基準逐位元相同</t>
        </is>
      </c>
      <c r="J125" s="72" t="inlineStr">
        <is>
          <t>FAIL</t>
        </is>
      </c>
      <c r="K125" s="72" t="inlineStr">
        <is>
          <t>DEF-026</t>
        </is>
      </c>
      <c r="L125" s="62" t="inlineStr">
        <is>
          <t>結案</t>
        </is>
      </c>
      <c r="M125" s="72" t="inlineStr">
        <is>
          <t>PASS</t>
        </is>
      </c>
      <c r="N125" s="73" t="inlineStr">
        <is>
          <t>本題無獨立測試帳戶，改以同帳戶匯入重複列並立即以批次復原；第一次讀到 30 列是我的網路攔截器截斷回應本文所致，改用直接下載重讀為 56 列（排除量測錯誤）
R2：DEF-026 複驗通過結案
R10（3a35454 全面重跑）：PASS — demo 真實瀏覽器（頁首 v0.1.28 · 3a35454），demo 5／5 項檢查全過：交易帳本匯出 56 列可直接當匯入解析（缺欄錯誤 0），56/56 列皆偵測為相同交易（kinds 含 duplicate_trade）；回寫 2 列與原列逐欄相同；批次復原後逐字相同
R11（91ec1b0 整份 one shot 重跑）：PASS — demo 真實瀏覽器（頁首 v0.1.28 · 91ec1b0），demo 5／5 項檢查全過：交易帳本匯出 56 列可直接當匯入解析（缺欄錯誤 0），56/56 列皆偵測為相同交易（kinds 含 duplicate_trade）；回寫 2 列與原列逐欄相同；批次 #41 復原後逐字相同</t>
        </is>
      </c>
    </row>
    <row r="126" ht="16.5" customHeight="1" s="43">
      <c r="A126" s="54" t="inlineStr">
        <is>
          <t>J. 回歸快篩（每次改版後跑一次）</t>
        </is>
      </c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6" t="n"/>
    </row>
    <row r="127" ht="29.25" customHeight="1" s="43">
      <c r="A127" s="57" t="inlineStr">
        <is>
          <t>J-01</t>
        </is>
      </c>
      <c r="B127" s="58" t="inlineStr">
        <is>
          <t>J</t>
        </is>
      </c>
      <c r="C127" s="59" t="inlineStr">
        <is>
          <t>金額恆等式</t>
        </is>
      </c>
      <c r="D127" s="58" t="inlineStr">
        <is>
          <t>—</t>
        </is>
      </c>
      <c r="E127" s="59" t="inlineStr">
        <is>
          <t>以 `/api/dashboard` 原始 Decimal 字串重算 94 項恆等式（14 檔 × 6 ＋ 10 組總表）</t>
        </is>
      </c>
      <c r="F127" s="58" t="inlineStr">
        <is>
          <t>94 / 94 全過；任何一項不過都必須查到原因</t>
        </is>
      </c>
      <c r="G127" s="59" t="inlineStr">
        <is>
          <t>唯讀</t>
        </is>
      </c>
      <c r="H127" s="59" t="inlineStr">
        <is>
          <t>✅ 已驗（三輪）</t>
        </is>
      </c>
      <c r="I127" s="73" t="inlineStr">
        <is>
          <t>以 /api/dashboard 原始 Decimal 字串（BigInt 定點運算，不經 float）重算 94 項：10 項總表（T1 已實現+未實現=資產損益；T2 含匯兌總損益=資產損益+本金匯率效果(−33,153.58)+交易與融資成本(191)；T3 Σ帳戶市值；T4 Σ市場市值；T5 Σ幣別報告幣；T6 Σ產業配置＝總市值 34,912,272.92；T7 Σ產業權重=1；T8 Σ逐檔權重=1；T9 Σ帳戶未實現=23,608,312.80；T10 returns.reporting_total_return=kpis.total_return）＋14 檔×6 項。94/94 全過，最大絕對誤差 1e-20。附加：Σ逐檔原幣市值=幣別原幣市值（TWD/USD/MYR）3/3；FX 三角 direct 31.698999 vs implied 31.698997、ok=true</t>
        </is>
      </c>
      <c r="J127" s="72" t="inlineStr">
        <is>
          <t>PASS</t>
        </is>
      </c>
      <c r="K127" s="72" t="inlineStr">
        <is>
          <t>DEF-077</t>
        </is>
      </c>
      <c r="L127" s="62" t="inlineStr">
        <is>
          <t>PASS</t>
        </is>
      </c>
      <c r="M127" s="72" t="inlineStr">
        <is>
          <t>PASS</t>
        </is>
      </c>
      <c r="N127" s="73" t="inlineStr">
        <is>
          <t>排除：先以自測確認比對器會抓錯（1 vs 1.000000001 → ok=false；100 vs 100.5 → ok=false），再重算
R2：94/94 全過，最大誤差 1.01e−20
R3：94/94 全過，最大誤差 1.01e−20
R4：94/94 全過，最大誤差 1e−20；附帶三幣別原幣市值加總 3/3 相符。觀察：fx_triangulation USD/TWD gap −0.0938%（ok:false），因還原 2449 時只更新了部分匯率，見規格 §5
R5：94/94 全過，最大誤差 1e−20；三幣別原幣市值加總 3/3 相符；R5_START 比對六段逐字相同（僅額度差）
R5 Owner 裁定（2026-09-26）⑥A：匯率三角改在最新共同日期比較，開 DEF-077（本輪 tri USD/TWD gap −0.0938%、ok:false 即此情況）
R6：94/94 全過，最大誤差 1e−20；匯率三角 ok:true（以共同日期 2026-09-22 比較、dates_differ true）；R6_START 比對六段逐字相同。附帶 DEF-077 複驗未過：判定正確，但「（一致）」提示以琥珀色警示框呈現（計算樣式 rgb(217,161,63)），屬顯示問題，不影響本案數值判定
R7：94/94 全過，最大誤差 1e−20；三幣別原幣市值加總 3/3 相符；匯率三角 ok:true（共同日期 2026-09-22）。DEF-077 複驗通過結案（三角提示實際顯示為中性 rgb(154,166,181)，只有 ok:false 為琥珀）。R7_START 比對六段逐字相同
R9：94/94 全過，最大誤差 1e−20；三幣別原幣市值加總 3/3 相符（USD 差 9.8e−23）；匯率三角 ok:true（以共同日期 2026-09-22 比較、dates_differ true；各腿 USD/MYR 09-26、MYR/TWD 09-22、USD/TWD 09-25），首頁三角提示仍為中性 fresh-note-info rgb(154,166,181)。R9_START 比對六段逐字相同
R10（3a35454 全面重跑）：PASS — demo 真實瀏覽器（頁首 v0.1.28 · 3a35454），demo 3／3 項檢查全過：94/94 恆等式（最大誤差 1e−20）、三幣別原幣市值加總 3/3、匯率三角 ok（共同日期 2026-09-28）
R11（91ec1b0 整份 one shot 重跑）：PASS — demo 真實瀏覽器（頁首 v0.1.28 · 91ec1b0），demo 3／3 項檢查全過：94/94 恆等式（最大誤差 1e−20）、三幣別原幣市值加總 3/3、匯率三角 ok（31.836999 vs 31.837000，共同日期 2026-09-29）</t>
        </is>
      </c>
    </row>
    <row r="128" ht="29.25" customHeight="1" s="43">
      <c r="A128" s="57" t="inlineStr">
        <is>
          <t>J-02</t>
        </is>
      </c>
      <c r="B128" s="58" t="inlineStr">
        <is>
          <t>J</t>
        </is>
      </c>
      <c r="C128" s="59" t="inlineStr">
        <is>
          <t>費稅四情境手算</t>
        </is>
      </c>
      <c r="D128" s="58" t="inlineStr">
        <is>
          <t>—</t>
        </is>
      </c>
      <c r="E128" s="59" t="inlineStr">
        <is>
          <t>以試算重跑：台股買／台股賣／當沖賣／零股最低手續費</t>
        </is>
      </c>
      <c r="F128" s="59" t="inlineStr">
        <is>
          <t>與手算相符（0.1425%／最低 20／0.3%／0.15%／無條件捨去）</t>
        </is>
      </c>
      <c r="G128" s="59" t="inlineStr">
        <is>
          <t>唯讀</t>
        </is>
      </c>
      <c r="H128" s="59" t="inlineStr">
        <is>
          <t>✅ 已驗</t>
        </is>
      </c>
      <c r="I128" s="73" t="inlineStr">
        <is>
          <t>手動交易草稿試算（POST /api/input/manual/preview，不寫入）：① 台股買 2884 1,000@45.20：手續費 64、總成本 45,264（floor(64.41)=64）；② 台股賣 100@46.00：手續費 20（floor(6.555)=6→最低20）、證交稅 13（floor(13.8)）、淨收 4,567；③ 當沖賣 100@46.00：稅 6（floor(6.9)，0.15%）；④ 零股 1 股@45.20：手續費 20（最低）。四情境全數與手算相符</t>
        </is>
      </c>
      <c r="J128" s="72" t="inlineStr">
        <is>
          <t>PASS</t>
        </is>
      </c>
      <c r="K128" s="72" t="n"/>
      <c r="L128" s="62" t="inlineStr">
        <is>
          <t>PASS</t>
        </is>
      </c>
      <c r="M128" s="72" t="inlineStr">
        <is>
          <t>PASS</t>
        </is>
      </c>
      <c r="N128" s="72" t="inlineStr">
        <is>
          <t>R2：7 情境手算相符：2330 賣 1000@2460 費 3505／稅 7380；0056 賣 1000@36 費 51／稅 36（ETF 0.1%）；最低 20；當沖稅 0.15%＝369；嘉信 $0；Moomoo 馬股 1155 費 10.04（含 SST 8%）＋印花 11；Moomoo 美股 AAPL 賣 1@230 費 1.08（0.07＋0.99＋SEC 0.01＋TAF 0.01）
R3：7 情境與 R2 手算逐字相同（2330 費 3505／稅 7380；0056 費 51／稅 36；最低 20；當沖稅 369；嘉信 $0；1155 費 10.04／印花 11；Moomoo AAPL 費 1.08／稅 0.25）
R4：7 情境與 R2 手算逐字相同（2330 賣 1000@2460 費 3505／稅 7380；0056 費 51／稅 36；最低 20；當沖稅 369；嘉信 $0；1155 買 1000@10.50 費 10.04／印花 11；Moomoo AAPL 費 1.08／稅 0.25），另加 2884 買 1000 費 66、零股 10 股費 20
R5：試算重跑四情境（台灣券商 rate 0.001425、最低 20、無條件捨去）：2330 買 1,000@1,005 費 1,432（1,005,000×0.001425＝1,432.125）；賣 1,000@1,005 費 1,432／稅 3,015（0.3%）；當沖賣 稅 1,507（0.15%＝1,507.5 捨去）；零股 1@1,005 費 20（最低）——全數相符，未寫入
R6：試算重跑四情境與 R5 逐字相同：2330 買 1,000@1,005 費 1,432；賣 費 1,432／稅 3,015；當沖賣 稅 1,507；零股 1@1,005 費 20（最低），未寫入
R7：試算重跑四情境與 R6 逐字相同：2330 買 1,000@1,005 費 1,432；賣 費 1,432／稅 3,015；當沖賣 稅 1,507；零股 1@1,005 費 20（最低），未寫入
R9：試算重跑四情境與 R7 逐字相同：2330 買 1,000@1,005 費 1,432（總額 −1,006,432）；賣 費 1,432／稅 3,015；當沖賣 稅 1,507；零股 1@1,005 費 20（最低）；POST /api/input/manual/preview 皆 200，交易列數前後 56，未寫入
R10（3a35454 全面重跑）：PASS — demo 真實瀏覽器（頁首 v0.1.28 · 3a35454），demo 5／5 項檢查全過：1,000@1,005：手續費 1,432、賣出稅 3,015、當沖稅 1,507、零股 1@1,005 低消 20；未寫入
R11（91ec1b0 整份 one shot 重跑）：PASS — demo 真實瀏覽器（頁首 v0.1.28 · 91ec1b0），demo 5／5 項檢查全過：1,000@1,005：手續費 1,432、賣出稅 3,015、當沖稅 1,507、零股 1@1,005 低消 20；未寫入（仍 56 列）</t>
        </is>
      </c>
    </row>
    <row r="129" ht="29.25" customHeight="1" s="43">
      <c r="A129" s="57" t="inlineStr">
        <is>
          <t>J-03</t>
        </is>
      </c>
      <c r="B129" s="58" t="inlineStr">
        <is>
          <t>J</t>
        </is>
      </c>
      <c r="C129" s="59" t="inlineStr">
        <is>
          <t>寫入→編輯→刪除還原</t>
        </is>
      </c>
      <c r="D129" s="59" t="inlineStr">
        <is>
          <t>記錄基準</t>
        </is>
      </c>
      <c r="E129" s="59" t="inlineStr">
        <is>
          <t>建一筆交易 → 編輯 → 刪除</t>
        </is>
      </c>
      <c r="F129" s="59" t="inlineStr">
        <is>
          <t>四組 JSON 與基準**字串完全相同**</t>
        </is>
      </c>
      <c r="G129" s="59" t="inlineStr">
        <is>
          <t>會寫入，步驟本身含還原</t>
        </is>
      </c>
      <c r="H129" s="59" t="inlineStr">
        <is>
          <t>✅ 已驗（三輪）</t>
        </is>
      </c>
      <c r="I129" s="73" t="inlineStr">
        <is>
          <t>基準 → 建交易 #71（台灣券商 2884 買 100@45.20）→ 編輯股數 100→150（PUT ×1）→ 刪除（確認框→刪除）。刪除後 kpis／holdings／realized／allocation／現金池／reporting_total 六段 SHA-256 前 16 碼與基準完全相同（kpis 8aa0fd83113b48b6、holdings f229ad153a5c3c04、realized 0d7968c5f7397106、allocation 3ef6fb5779d553ed），交易列數 56→57→56</t>
        </is>
      </c>
      <c r="J129" s="72" t="inlineStr">
        <is>
          <t>PASS</t>
        </is>
      </c>
      <c r="K129" s="72" t="n"/>
      <c r="L129" s="62" t="inlineStr">
        <is>
          <t>PASS</t>
        </is>
      </c>
      <c r="M129" s="72" t="inlineStr">
        <is>
          <t>PASS</t>
        </is>
      </c>
      <c r="N129" s="72" t="inlineStr">
        <is>
          <t>R2：寫入 #104 → 編輯價格 46→50（均價 69.7→71.7、成本 13,940→14,340）→ 刪除，六段 JSON 與基準相同
R3：寫入（#105 當沖放空、批次 13／14、#106）→ 編輯（#29 備註、#34 折讓款日期金額備註）→ 刪除／改回，各段 cmp 皆 same:true
R4：寫入 #114（2884 買 100@46，2026-09-23）→ 編輯備註（PUT 200）→ 刪除，cmp J03R4 same:true
R5：寫入 #116（2330 買 7@1,003，2026-09-23）→ 帳本 編輯 改價 1,004（PUT 200，−7,048）→ 刪除 → cmp J03R5 same:true
R6：寫入 #119（2330 買 7 股）→ 帳本 編輯 改價 1,004（PUT 200，金額 −7,048）→ 刪除 → cmp J03R6 same:true
R7：寫入 #120（2330 買 7@1,003，2026-09-23，−7,041）→ 帳本 編輯 改價 1,004（PUT 200，−7,048）→ 刪除（DELETE 200）→ cmp J03R7 same:true
R9：寫入 #134（2330 買 7@1,003，2026-09-23，−7,041，POST 201）→ 帳本 編輯 改價 1,004（PUT 200，−7,048）→ 刪除（頁內確認框 → DELETE 200）→ cmp J03R9 same:true、cmp R9_START same:true
R10（3a35454 全面重跑）：PASS — demo 真實瀏覽器（頁首 v0.1.28 · 3a35454），demo 5／5 項檢查全過：寫入 #168（2330 買 7@1,003）→ 改價 1,004（PUT 200）→ 刪除（DELETE 200）→ 六段 JSON 與寫入前逐字相同
R11（91ec1b0 整份 one shot 重跑）：PASS — demo 真實瀏覽器（頁首 v0.1.28 · 91ec1b0），demo 5／5 項檢查全過：寫入 #210（2330 買 7@1,003）→ 改價 1,004（PUT 200）→ 刪除（DELETE 200）→ 六段 JSON 與寫入前逐字相同</t>
        </is>
      </c>
    </row>
    <row r="130" ht="29.25" customHeight="1" s="43">
      <c r="A130" s="57" t="inlineStr">
        <is>
          <t>J-04</t>
        </is>
      </c>
      <c r="B130" s="58" t="inlineStr">
        <is>
          <t>J</t>
        </is>
      </c>
      <c r="C130" s="59" t="inlineStr">
        <is>
          <t>匯出全端點</t>
        </is>
      </c>
      <c r="D130" s="58" t="inlineStr">
        <is>
          <t>—</t>
        </is>
      </c>
      <c r="E130" s="59" t="inlineStr">
        <is>
          <t>逐一觸發所有匯出</t>
        </is>
      </c>
      <c r="F130" s="59" t="inlineStr">
        <is>
          <t>全部 200、檔名正確</t>
        </is>
      </c>
      <c r="G130" s="59" t="inlineStr">
        <is>
          <t>唯讀</t>
        </is>
      </c>
      <c r="H130" s="59" t="inlineStr">
        <is>
          <t>✅ 已驗（三輪）</t>
        </is>
      </c>
      <c r="I130" s="73" t="inlineStr">
        <is>
          <t>以真實 UI 按鈕逐一觸發（攔截 &lt;a download&gt; 只讀 blob、不落地到 owner 電腦）：匯出中心 5 個（holdings／ledgers zip／llm-usage／job-runs／tax-package）、交易帳本 6 類帳本 CSV（transactions 56／dividends 23／fx 19／opening 1／actions 0／cash 34 列）＋帳本報告＋稅務包、儀表板 持倉 CSV／持倉報告／已實現 CSV、個股抽屜配息史、再平衡執行報告、資金管理 現金對帳單 CSV＋報告、資料中心 AI 失敗紀錄 .jsonl、AI 戰績 預測明細 CSV、排程中心 執行歷史 CSV：共 21 個回應全部 200，Content-Disposition 皆含 filename 與 filename*=UTF-8，檔名正確、內容非空</t>
        </is>
      </c>
      <c r="J130" s="72" t="inlineStr">
        <is>
          <t>PASS</t>
        </is>
      </c>
      <c r="K130" s="72" t="inlineStr">
        <is>
          <t>DEF-045</t>
        </is>
      </c>
      <c r="L130" s="62" t="inlineStr">
        <is>
          <t>PASS</t>
        </is>
      </c>
      <c r="M130" s="72" t="inlineStr">
        <is>
          <t>PASS</t>
        </is>
      </c>
      <c r="N130" s="73" t="inlineStr">
        <is>
          <t>附記（非判定依據）：job_runs CSV #1～#46（2026-07-02～07-05）started_at 為 +08:00、finished_at 為 +00:00，兩者為同一時刻不同時區表示；#47 以後一致，屬舊資料，未開單
R2：帳本 CSV 56 列、報告 HTML 皆可下載；附帶新開 DEF-045（報告用英文帳戶名）
R3：帳本 6 分頁 CSV（交易 56／股利 23／換匯 19／期初 1／公司行動 0／資金 34 列）、稅務包 ZIP、帳本報告與資金對帳單皆 200；DEF-045 複驗通過結案
R4：18 個匯出全數取得（攔截不落地）：帳本 6 分頁 CSV（56／23／19／1／0／34 列）、帳本報告、稅務包 ZIP（4 檔）；匯出中心 5 項；資金對帳單 CSV＋報告；儀表板持倉 CSV＋報告＋已實現 CSV
R5：19 個匯出端點全 200、檔名正確（頁內 fetch 攔截不落地）：持倉 CSV、帳本清單、帳本 ZIP、交易／股利／換匯／期初 CSV、已實現、AI 預測、個股明細、持倉報告、帳本報告、LLM 用量、排程紀錄、稅務包 ZIP、資金對帳單 CSV（單幣別與全幣別）＋報告、再平衡報告
R6：20 個匯出全 200、檔名正確（頁內 fetch 攔截不落地）：R5 的 19 個＋新增的 AI 失敗記錄 JSONL（/api/llm-fail-log/export）
R7：20 個匯出全 200、檔名正確（頁內 fetch，不落地）：持倉 CSV、帳本清單、帳本 ZIP、交易／股利／換匯／期初 CSV、已實現、AI 預測、個股明細、持倉報告、帳本報告、AI 用量、排程紀錄、稅務包 ZIP、資金對帳單 CSV（單幣別與全幣別）＋報告、再平衡報告、AI 失敗記錄 JSONL
R9：20 個匯出全 200、檔名正確（頁內 fetch，不落地）：持倉 CSV、帳本清單、帳本 ZIP、交易／股利／換匯／期初 CSV、已實現、AI 預測、個股明細（2330）、持倉報告、帳本報告、AI 用量、排程紀錄、稅務包 ZIP（2026）、資金對帳單 CSV（單幣別 tw_broker TWD 與全幣別 moomoo_my）＋報告、再平衡報告、AI 失敗記錄 JSONL；額度未變
R10（3a35454 全面重跑）：PASS — demo 真實瀏覽器（頁首 v0.1.28 · 3a35454），demo 1／1 項檢查全過：20 個匯出皆 200、檔名正確（於頁內取得，不存檔）
R11（91ec1b0 整份 one shot 重跑）：PASS — demo 真實瀏覽器（頁首 v0.1.28 · 91ec1b0），demo 1／1 項檢查全過：20 個匯出皆 200、檔名正確（例 holdings_snapshot_2026-09-30.csv、ledgers_2026-09-30.zip；於頁內取得，不存檔）</t>
        </is>
      </c>
    </row>
    <row r="131" ht="29.25" customHeight="1" s="43">
      <c r="A131" s="57" t="inlineStr">
        <is>
          <t>J-05</t>
        </is>
      </c>
      <c r="B131" s="58" t="inlineStr">
        <is>
          <t>J</t>
        </is>
      </c>
      <c r="C131" s="58" t="inlineStr">
        <is>
          <t>RWD 與 console</t>
        </is>
      </c>
      <c r="D131" s="58" t="inlineStr">
        <is>
          <t>—</t>
        </is>
      </c>
      <c r="E131" s="58" t="inlineStr">
        <is>
          <t>390px 走訪 10 個分頁 ＋ 設定 8 個子分頁；全新分頁連續走訪讀 console</t>
        </is>
      </c>
      <c r="F131" s="58" t="inlineStr">
        <is>
          <t>0 處橫向溢位；0 則 console 訊息</t>
        </is>
      </c>
      <c r="G131" s="59" t="inlineStr">
        <is>
          <t>唯讀</t>
        </is>
      </c>
      <c r="H131" s="59" t="inlineStr">
        <is>
          <t>✅ 已驗（三輪）</t>
        </is>
      </c>
      <c r="I131" s="72" t="inlineStr">
        <is>
          <t>390×844 走訪 10 個分頁＋設定 8 個子分頁，初始狀態 documentElement.scrollWidth 全為 390（0 溢位）；全新分頁連續走訪 10 頁＋設定 8 子頁＋login.html，console 0 則應用程式訊息（量測器以 console.log 探針確認可讀到）。✗ 設定 › AI 提示詞 展開「▶ 數據變數總表（38 個變數）」後，11 張 table.data.vars-table 寬 617～3,652 px，頁面 scrollWidth 390 → 3,673、window 可橫捲到 scrollX 600</t>
        </is>
      </c>
      <c r="J131" s="72" t="inlineStr">
        <is>
          <t>FAIL</t>
        </is>
      </c>
      <c r="K131" s="72" t="inlineStr">
        <is>
          <t>DEF-002, DEF-050</t>
        </is>
      </c>
      <c r="L131" s="62" t="inlineStr">
        <is>
          <t>結案</t>
        </is>
      </c>
      <c r="M131" s="72" t="inlineStr">
        <is>
          <t>PASS</t>
        </is>
      </c>
      <c r="N131" s="73" t="inlineStr">
        <is>
          <t>初測量器對「收合中的 details」誤判為溢位（內容未渲染但有 layout），已改為展開後實測並截圖確認，排除量測誤報
R2：DEF-002 複驗通過結案；390px 下 13 頁 scrollWidth 皆 390；console 無程式錯誤（僅本輪刻意觸發的 4xx 請求）。觀察：收件匣折讓款副標題 nowrap 截掉 DEF-011 新增的關鍵句（卡片與頁尾仍完整）
R3：390px 13 頁 scrollWidth 皆 ≤ 視窗（375，含捲軸 15px）；console 無 JS 例外（僅本輪刻意觸發的 4xx 請求）；附帶 DEF-050（收件匣副標題截斷）
R4：DEF-050 複驗通過結案。390px 20 頁／分頁（設定 8 個子分頁以實際 hash 開啟並確認作用中分頁）57 個標題列副標題 0 截斷、documentElement.scrollWidth 皆 390；全新分頁連續走訪 19 次載入 console 0 則
R5：全新分頁 390×844：10 個分頁＋設定 8 個子分頁（帳戶與費率、AI 與額度、AI 提示詞、排程中心、資料來源、預警規則、通知中心、匯出中心）documentElement.scrollWidth 皆 390、溢位元素 0；連續走訪 console 0 則
R6：全新分頁 390×844：10 個分頁＋設定 8 個子分頁 documentElement.scrollWidth 皆 390、溢位元素 0；連續走訪 console 0 則
R7：390×844 內嵌框架逐頁載入（捲軸後可用寬 375）：10 個分頁＋設定 8 個子分頁 documentElement.scrollWidth 皆等於可用寬、溢位元素 0、頁面錯誤 0
R9：390×844 內嵌框架逐頁載入（捲軸後可用寬 375）：10 個分頁＋設定 8 個子分頁（accounts／llm／prompts／scheduler／datasources／alerts／notify／exports，逐頁確認作用中分頁）documentElement.scrollWidth 皆 375、溢位元素 0、頁面錯誤 0；分頁主控台無 JS 例外
R10（3a35454 全面重跑）：PASS — demo 真實瀏覽器（頁首 v0.1.28 · 3a35454），demo 2／2 項檢查全過：390×844 內嵌框架逐頁載入：10 個分頁＋設定 8 個子分頁 scrollWidth ≤ 可用寬、溢位元素 0、頁面錯誤 0
R11（91ec1b0 整份 one shot 重跑）：PASS — demo 真實瀏覽器（頁首 v0.1.28 · 91ec1b0），demo 2／2 項檢查全過：390×844 內嵌框架逐頁載入：10 個分頁＋設定 8 個子分頁 scrollWidth ≤ 可用寬、溢位元素 0、頁面錯誤 0</t>
        </is>
      </c>
    </row>
    <row r="132" ht="29.25" customHeight="1" s="43">
      <c r="A132" s="57" t="inlineStr">
        <is>
          <t>J-06</t>
        </is>
      </c>
      <c r="B132" s="58" t="inlineStr">
        <is>
          <t>J</t>
        </is>
      </c>
      <c r="C132" s="59" t="inlineStr">
        <is>
          <t>守門測試</t>
        </is>
      </c>
      <c r="D132" s="59" t="inlineStr">
        <is>
          <t>開發機</t>
        </is>
      </c>
      <c r="E132" s="58" t="inlineStr">
        <is>
          <t>`pytest`（非 e2e 全套）＋ `mypy --strict` ＋ `ruff`</t>
        </is>
      </c>
      <c r="F132" s="59" t="inlineStr">
        <is>
          <t>全綠；帳戶名稱與中文標點兩支守門測試需包含變異測試（把修復前的寫法放回去會失敗）</t>
        </is>
      </c>
      <c r="G132" s="59" t="inlineStr">
        <is>
          <t>唯讀</t>
        </is>
      </c>
      <c r="H132" s="59" t="inlineStr">
        <is>
          <t>✅ 已驗（變異測試）</t>
        </is>
      </c>
      <c r="I132" s="73" t="inlineStr">
        <is>
          <t>於獨立副本（git clone → checkout 755c88a；Python 3.12；套件版本逐一對齊開發機 .venv 的 dist-info：fastapi 0.136.3／starlette 1.3.1／pydantic 2.13.4／mypy 2.1.0／ruff 0.15.16／pytest 9.0.3／playwright 1.60.0…；core.autocrlf=true 比照 Windows）執行：ruff check portfolio_dash tests → All checks passed；mypy --strict → Success: no issues found in 798 source files；pytest tests --ignore=tests/e2e → 5,235 passed、5 skipped（392.65s）。變異測試（自己做）：① web/broker-import.js 換回 755c88a^ → test_account_name_single_source 3 則失敗（…english_name_is_never_rendered_either／…every_broker_adapter_has_a_display_name／…every_account_option_label_comes_from_the_one_definition），改回 → 全過；② portfolio_dash/api/digest_service.py 換回修復前 → test_zh_punctuation_fullwidth 1 則失敗，訊息點名 line 498「: 組合」「, 警示」、line 499「, 訊號」，改回 → 全過；③ 舊版守門測試＋修復前程式 → 303 passed（重現當初的盲點，證明新規則才是攔下者）</t>
        </is>
      </c>
      <c r="J132" s="72" t="inlineStr">
        <is>
          <t>PASS</t>
        </is>
      </c>
      <c r="K132" s="72" t="inlineStr">
        <is>
          <t>DEF-065</t>
        </is>
      </c>
      <c r="L132" s="62" t="inlineStr">
        <is>
          <t>PASS</t>
        </is>
      </c>
      <c r="M132" s="72" t="inlineStr">
        <is>
          <t>PASS</t>
        </is>
      </c>
      <c r="N132" s="73" t="inlineStr">
        <is>
          <t>環境附記：若以 LF 檢出（Linux／CI 預設），tests/data_ingestion/test_broker_adapter.py::test_the_committed_corpus_matches_its_generator 會因 CSV 換行 CRLF／LF 不同回報 DRIFT；以 autocrlf=true 檢出則 87/87 通過。案例指定在開發機（Windows）執行，故不影響本案判定，交 owner 參考
R2：ruff 全過；mypy 243 檔 0；pytest 5,918 passed／5 skipped；e2e 260 passed。附帶：帳戶名守門未涵蓋 names.js 載入與 export 模組（DEF-044、DEF-045）
R3：ruff 全過；mypy --strict 890 檔 0；pytest 6,082 passed／5 skipped；e2e 272 passed；驗證者對 19 張各自重做變異（21 組）全數被攔
R4：ruff 全過；mypy --strict 915 檔 0；pytest 非 e2e 6,227 passed／5 skipped；驗證者對 11 張程式缺陷各重做 1 組變異＋2 組 e2e 變異（DEF-050／051）全數被攔。e2e 全套 3 次：287/1、287/2、289/0，失敗都來自間歇性「500 GET /api/ui-prefs」（新開 DEF-065），功能斷言皆通過
R5：DEF-065 複驗通過結案。repo 3be67db：ruff 全過；mypy --strict 926 檔 0；pytest 非 e2e 6,326 passed／5 skipped（開發者分段計 6,308／2，收集範圍不同）；e2e 全套連跑 3 次 295/295 ×3，伺服器記錄 0 traceback、GET /api/ui-prefs 638 次全 200；守門變異：帳戶下拉改回 a.name（broker-import.js）→ 2 failed、明細分隔句改半形標點（cash.js）→ 1 failed；本輪 R5 缺陷各自變異 9 組全數被攔
R6：repo 696934e：ruff 全過；mypy --strict 950 檔 0；pytest 非 e2e 6,504 passed／5 skipped（開發者分段計 6,486／2，收集範圍不同）；e2e 全套連跑 3 次 304／304 ×3；守門變異：帳戶下拉改回 a.name（broker-import.js）→ 2 failed、明細分隔句改半形標點（cash.js）→ 1 failed；本輪 15 張缺陷的變異 18 組（15 組單元／契約、3 組 e2e）全數被攔
R7：repo a16210a：ruff 全過；mypy --strict 953 檔 0；pytest 非 e2e 6,510 passed／5 skipped（開發者分段計 6,492／2，收集範圍不同）；e2e 全套連跑 3 次 309／309 ×3，伺服器記錄 traceback 0、5xx 只有測試刻意注入；守門變異：帳戶下拉改回 a.name（broker-import.js）→ 2 failed、明細分隔句改半形標點（cash.js）→ 1 failed；新守門 test_def077_state_colour_is_a_class 對未列管檔案新增 inline 狀態色 → 1 failed
R9：repo 3a35454：ruff 全過；mypy --strict 954 檔 0；pytest 非 e2e 6,516 passed／5 skipped（開發者分段計 6,498／2，收集範圍不同）；e2e 全套連跑 309／309 ×4（後 3 次保留伺服器記錄：594 個伺服器行程，traceback 0、伺服器端 5xx 0）；瀏覽器端 5xx 只來自測試刻意注入（test_ai_input_union_flow.py 6、test_m1_01_panel_loading_state_flow.py 6、test_m6_04_instruments_empty_states_flow.py 3、test_whatif_drawer_flow.py 3）；守門變異：帳戶下拉改回 a.name（broker-import.js）→ 2 failed、明細分隔句改半形標點（cash.js）→ 1 failed、未列管檔案新增 inline 狀態色（news.js）→ 1 failed；DEF-082 修復前寫法放回 → 5 failed
R10（3a35454 全面重跑）：PASS — 本機乾淨工作樹（git worktree 3a35454，無未提交變更），本機 6／6 項檢查全過：repo 3a35454（乾淨工作樹）：ruff 全過；mypy --strict 954 檔 0；pytest 非 e2e 6,516 passed／5 skipped；e2e 309／309（198 個伺服器行程 traceback 0、5xx 0）；守門變異 3 組皆被攔（帳戶名稱 → 2 failed、全形標點 → 1、inline 狀態色 → 1）
R11（91ec1b0 整份 one shot 重跑）：PASS — 本機乾淨 worktree（git worktree 91ec1b0，無未提交變更），本機 6／6 項檢查全過：repo 91ec1b0（乾淨 worktree）：ruff 全過；mypy --strict 961 檔 0；pytest 非 e2e 6,571 passed／5 skipped；e2e 311／311（200 個伺服器行程 traceback 0、5xx 0）；守門變異 3 組皆被攔（帳戶名稱 → 2 failed、全形標點 → 1、inline 狀態色 → 1）</t>
        </is>
      </c>
    </row>
  </sheetData>
  <mergeCells count="10">
    <mergeCell ref="A126:N126"/>
    <mergeCell ref="A3:N3"/>
    <mergeCell ref="A39:N39"/>
    <mergeCell ref="A69:N69"/>
    <mergeCell ref="A20:N20"/>
    <mergeCell ref="A92:N92"/>
    <mergeCell ref="A82:N82"/>
    <mergeCell ref="A112:N112"/>
    <mergeCell ref="A51:N51"/>
    <mergeCell ref="A103:N103"/>
  </mergeCells>
  <dataValidations count="2">
    <dataValidation sqref="J3:J132 M3:M132" showDropDown="0" showInputMessage="0" showErrorMessage="0" allowBlank="1" type="list" errorStyle="stop" operator="between">
      <formula1>"PASS,FAIL,BLOCKED,N/A,OBSERVE"</formula1>
      <formula2>0</formula2>
    </dataValidation>
    <dataValidation sqref="L3:L132" showDropDown="0" showInputMessage="0" showErrorMessage="0" allowBlank="1" type="list" errorStyle="stop" operator="between">
      <formula1>"未測,PASS,FAIL,BLOCKED,N/A,OBSERVE,修復中,待複驗,複驗未過,結案"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2"/>
    <col width="34" customWidth="1" style="42" min="3" max="3"/>
    <col width="9" customWidth="1" style="42" min="4" max="4"/>
    <col width="11" customWidth="1" style="42" min="5" max="5"/>
    <col width="10" customWidth="1" style="42" min="6" max="6"/>
    <col width="44" customWidth="1" style="42" min="7" max="7"/>
    <col width="40" customWidth="1" style="42" min="8" max="8"/>
    <col width="11" customWidth="1" style="42" min="9" max="9"/>
    <col width="10" customWidth="1" style="42" min="10" max="10"/>
    <col width="22" customWidth="1" style="42" min="11" max="11"/>
  </cols>
  <sheetData>
    <row r="1" ht="31.5" customHeight="1" s="43">
      <c r="A1" s="51" t="inlineStr">
        <is>
          <t>缺陷 ID</t>
        </is>
      </c>
      <c r="B1" s="51" t="inlineStr">
        <is>
          <t>關聯案例</t>
        </is>
      </c>
      <c r="C1" s="51" t="inlineStr">
        <is>
          <t>標題</t>
        </is>
      </c>
      <c r="D1" s="51" t="inlineStr">
        <is>
          <t>嚴重度</t>
        </is>
      </c>
      <c r="E1" s="51" t="inlineStr">
        <is>
          <t>分類</t>
        </is>
      </c>
      <c r="F1" s="51" t="inlineStr">
        <is>
          <t>發現輪次</t>
        </is>
      </c>
      <c r="G1" s="51" t="inlineStr">
        <is>
          <t>重現步驟</t>
        </is>
      </c>
      <c r="H1" s="51" t="inlineStr">
        <is>
          <t>根因（檔案:行）</t>
        </is>
      </c>
      <c r="I1" s="51" t="inlineStr">
        <is>
          <t>目前狀態</t>
        </is>
      </c>
      <c r="J1" s="51" t="inlineStr">
        <is>
          <t>結案輪次</t>
        </is>
      </c>
      <c r="K1" s="51" t="inlineStr">
        <is>
          <t>備註</t>
        </is>
      </c>
    </row>
    <row r="2" ht="43.5" customHeight="1" s="43">
      <c r="A2" s="53" t="inlineStr">
        <is>
          <t>DEF-範例</t>
        </is>
      </c>
      <c r="B2" s="53" t="inlineStr">
        <is>
          <t>B-15（範例，非實際案例）</t>
        </is>
      </c>
      <c r="C2" s="52" t="inlineStr">
        <is>
          <t>券商對帳單匯入的「匯入到帳戶」下拉顯示英文帳戶名＋原始 id</t>
        </is>
      </c>
      <c r="D2" s="52" t="inlineStr">
        <is>
          <t>低</t>
        </is>
      </c>
      <c r="E2" s="52" t="inlineStr">
        <is>
          <t>程式缺陷</t>
        </is>
      </c>
      <c r="F2" s="53" t="inlineStr">
        <is>
          <t>R1</t>
        </is>
      </c>
      <c r="G2" s="52" t="inlineStr">
        <is>
          <t>交易帳本 › CSV 匯入 › 券商對帳單 → 讀「匯入到帳戶」下拉：顯示「TW Broker（tw_broker）」，同一頁的手動交易帳戶下拉卻是「台灣券商（TWD）」</t>
        </is>
      </c>
      <c r="H2" s="53" t="inlineStr">
        <is>
          <t>web/broker-import.js:498 `el('option', null, a.name + '（' + a.id + '）')` — 直接用 API 原始 a.name 併原始 id，全檔未引用 pdNames</t>
        </is>
      </c>
      <c r="I2" s="52" t="inlineStr">
        <is>
          <t>結案</t>
        </is>
      </c>
      <c r="J2" s="53" t="inlineStr">
        <is>
          <t>R2</t>
        </is>
      </c>
      <c r="K2" s="52" t="inlineStr">
        <is>
          <t>（填寫範例，取自本次稽核真實缺陷 M5-b）</t>
        </is>
      </c>
    </row>
    <row r="3" ht="15" customHeight="1" s="43">
      <c r="A3" s="72" t="inlineStr">
        <is>
          <t>DEF-001</t>
        </is>
      </c>
      <c r="B3" s="72" t="inlineStr">
        <is>
          <t>I-03</t>
        </is>
      </c>
      <c r="C3" s="73" t="inlineStr">
        <is>
          <t>稅務包 summary.md「對帳用：績效基礎已實現」與儀表板已實現對不上（TWD 差 5,200，未說明）</t>
        </is>
      </c>
      <c r="D3" s="73" t="inlineStr">
        <is>
          <t>中</t>
        </is>
      </c>
      <c r="E3" s="73" t="inlineStr">
        <is>
          <t>程式缺陷</t>
        </is>
      </c>
      <c r="F3" s="72" t="inlineStr">
        <is>
          <t>R1</t>
        </is>
      </c>
      <c r="G3" s="73" t="inlineStr">
        <is>
          <t>交易帳本（或系統設定 › 匯出中心）→ 下載 2026 年度稅務包 ZIP → 解壓讀 summary.md「## 對帳用：績效基礎已實現…列出僅供與儀表板核對」TWD = 36804.55597014925373134328360；同時讀 GET /api/dashboard returns.by_currency.TWD.realized = 42004.55597014925373134328360（儀表板「損益拆解・已實現」口徑）。差額 5,200 = realized.rows 中 kind=dividend 的 2412 已結清部位配息（2026-08-07，5200.0），該筆被 realized_gains_2026.csv 排除、改列 dividends_2026.csv，但對帳欄沒有任何說明</t>
        </is>
      </c>
      <c r="H3" s="72" t="inlineStr">
        <is>
          <t>portfolio_dash/export/tax.py:89 `if r.kind not in ("sale", "short_cover"): continue` 排在 :103 `adjusted_subtotal[r.quote_ccy] += r.realized` 前面，而 adjusted_subtotal 就是 _summary_md 對帳段印出的數字——申報口徑的過濾同時作用在對帳欄</t>
        </is>
      </c>
      <c r="I3" s="73" t="inlineStr">
        <is>
          <t>結案</t>
        </is>
      </c>
      <c r="J3" s="72" t="inlineStr">
        <is>
          <t>R2</t>
        </is>
      </c>
      <c r="K3" s="72" t="n"/>
    </row>
    <row r="4" ht="15" customHeight="1" s="43">
      <c r="A4" s="72" t="inlineStr">
        <is>
          <t>DEF-002</t>
        </is>
      </c>
      <c r="B4" s="72" t="inlineStr">
        <is>
          <t>J-05</t>
        </is>
      </c>
      <c r="C4" s="72" t="inlineStr">
        <is>
          <t>390px 寬度下展開「設定 › AI 提示詞 › 數據變數總表」，11 張變數表撐破頁面，整頁橫向捲動（scrollWidth 3,673px）</t>
        </is>
      </c>
      <c r="D4" s="73" t="inlineStr">
        <is>
          <t>低</t>
        </is>
      </c>
      <c r="E4" s="73" t="inlineStr">
        <is>
          <t>程式缺陷</t>
        </is>
      </c>
      <c r="F4" s="72" t="inlineStr">
        <is>
          <t>R1</t>
        </is>
      </c>
      <c r="G4" s="73" t="inlineStr">
        <is>
          <t>視窗 390×844 → 系統設定 › AI 提示詞 → 點「▶ 數據變數總表 38 個變數」展開 → 頁面可左右捲動；document.documentElement.scrollWidth = 3673（應 = 390）；最寬一張表 3,652px（「{{backtest_json}} 回測命中分佈…」那一類）</t>
        </is>
      </c>
      <c r="H4" s="72" t="inlineStr">
        <is>
          <t>web/settings-prompts.js:724 `const table = el('table', 'data vars-table');`＋:777 `sec.appendChild(table);`（直接放進 .vars-cat：display:flex、無 overflow 的容器，沒有包 .table-wrap）；放大：web/styles.css:866 `table.data td { white-space: nowrap; }` 讓「說明」欄單獨撐寬</t>
        </is>
      </c>
      <c r="I4" s="73" t="inlineStr">
        <is>
          <t>結案</t>
        </is>
      </c>
      <c r="J4" s="72" t="inlineStr">
        <is>
          <t>R2</t>
        </is>
      </c>
      <c r="K4" s="72" t="inlineStr">
        <is>
          <t>R2 複驗通過。附註：觀察（不另開）：收件匣「待確認退款」標題下的副標題 nowrap＋ellipsis，390px 時 DEF-011 新增的關鍵句「不改變持倉成本與資產損益，但會計入 XIRR…」被截掉（scrollWidth 849／clientWidth 349）；同句在卡片內文與頁尾可完整看到</t>
        </is>
      </c>
    </row>
    <row r="5" ht="15" customHeight="1" s="43">
      <c r="A5" s="72" t="inlineStr">
        <is>
          <t>DEF-003</t>
        </is>
      </c>
      <c r="B5" s="72" t="inlineStr">
        <is>
          <t>G-06</t>
        </is>
      </c>
      <c r="C5" s="73" t="inlineStr">
        <is>
          <t>沒有預測（prediction=null）但有信心值的洞察卡顯示「信心 N%」，不顯示「純描述・無預測」（25 張）</t>
        </is>
      </c>
      <c r="D5" s="73" t="inlineStr">
        <is>
          <t>低</t>
        </is>
      </c>
      <c r="E5" s="73" t="inlineStr">
        <is>
          <t>規格未定</t>
        </is>
      </c>
      <c r="F5" s="72" t="inlineStr">
        <is>
          <t>R1</t>
        </is>
      </c>
      <c r="G5" s="72" t="inlineStr">
        <is>
          <t>AI 洞察 › 持倉健診 → 看 2884 卡（#182，2026-09-21 00:45）：畫面「信心 0%」；GET /api/insights 該卡 prediction=null、confidence=0。全表 prediction=null 共 40 張，其中 25 張 confidence 非 null（0／40／55／80／100）</t>
        </is>
      </c>
      <c r="H5" s="72" t="inlineStr">
        <is>
          <t>web/insights.html:323 `if (card.confidence == null) {`——信心標籤只看 confidence 是否為 null，不看 prediction；校準端 portfolio_dash/llm_insight/evaluations_store.py:404 `where = "is_shadow = 0 AND status = 'scored' AND confidence IS NOT NULL"` 把無預測卡算進校準曲線</t>
        </is>
      </c>
      <c r="I5" s="73" t="inlineStr">
        <is>
          <t>結案</t>
        </is>
      </c>
      <c r="J5" s="72" t="inlineStr">
        <is>
          <t>R3</t>
        </is>
      </c>
      <c r="K5" s="72" t="inlineStr">
        <is>
          <t>Owner 裁定（2026-09-24）：以 prediction 為準：prediction 為空的卡一律顯示「純描述・無預測」，不顯示信心值，也不進校準曲線。 處置：改程式；G-06 期望不變（現行行為不符 → 交開發者）
R3 複驗通過（黑箱＋驗證者變異）</t>
        </is>
      </c>
    </row>
    <row r="6" ht="15" customHeight="1" s="43">
      <c r="A6" s="72" t="inlineStr">
        <is>
          <t>DEF-004</t>
        </is>
      </c>
      <c r="B6" s="72" t="inlineStr">
        <is>
          <t>I-04（附帶發現）</t>
        </is>
      </c>
      <c r="C6" s="72" t="inlineStr">
        <is>
          <t>CSV 匯入解析預覽：股利／換匯／期初／公司行動／資金 5 類沿用交易欄位（買賣／代號／股數／價格），金額、幣別、比例、建檔日一律顯示「—」，寫入前看不到要寫的金額</t>
        </is>
      </c>
      <c r="D6" s="73" t="inlineStr">
        <is>
          <t>低</t>
        </is>
      </c>
      <c r="E6" s="73" t="inlineStr">
        <is>
          <t>程式缺陷</t>
        </is>
      </c>
      <c r="F6" s="72" t="inlineStr">
        <is>
          <t>R1</t>
        </is>
      </c>
      <c r="G6" s="73" t="inlineStr">
        <is>
          <t>交易帳本 › CSV 匯入 › 標準範本 › 資料類型選「資金」→ 下載範本 → 原文貼回 → 預覽表每列只顯示「#1 2026-07-01 台灣券商 DEPOSIT — — ✓ 可寫入」，範本的 600,000 TWD 不出現；「股利」列 gross 5000 不出現；「換匯」列 32000 TWD→1000 USD 不出現；「期初」列日期顯示「—」（範本 build_date 2026-01-02）、成本 500000 不出現；「公司行動」比例 10:1 不出現</t>
        </is>
      </c>
      <c r="H6" s="72" t="inlineStr">
        <is>
          <t>web/trades.html:205 固定表頭 `&lt;thead&gt;&lt;tr&gt;&lt;th&gt;&lt;/th&gt;&lt;th&gt;#&lt;/th&gt;&lt;th&gt;日期&lt;/th&gt;…&lt;th&gt;股數&lt;/th&gt;&lt;th&gt;價格&lt;/th&gt;…`；web/input.js:1256（修前）`tr.appendChild(el('td', 'num', f.shares(d.quantity !== undefined ? d.quantity : d.shares)));`——6 類都用同一組交易欄位讀 d.*，後端 rows[].data 其實都有值</t>
        </is>
      </c>
      <c r="I6" s="73" t="inlineStr">
        <is>
          <t>結案</t>
        </is>
      </c>
      <c r="J6" s="72" t="inlineStr">
        <is>
          <t>R2</t>
        </is>
      </c>
      <c r="K6" s="72" t="inlineStr">
        <is>
          <t>R2 複驗通過。附註：防護偏弱：以「只換表頭」變異測試 18 passed 未抓到，只有 regex 釘住 key 的那支測試會失敗；建議補一支以預覽內容（非原始碼字串）驗證的測試</t>
        </is>
      </c>
    </row>
    <row r="7" ht="15" customHeight="1" s="43">
      <c r="A7" s="72" t="inlineStr">
        <is>
          <t>DEF-005</t>
        </is>
      </c>
      <c r="B7" s="72" t="inlineStr">
        <is>
          <t>D-02</t>
        </is>
      </c>
      <c r="C7" s="73" t="inlineStr">
        <is>
          <t>公司行動比例欄輸入小數不會被擋，小數點被前端直接刪掉：輸入 1.5 變成 15，試算與登錄都用 15</t>
        </is>
      </c>
      <c r="D7" s="73" t="inlineStr">
        <is>
          <t>中</t>
        </is>
      </c>
      <c r="E7" s="73" t="inlineStr">
        <is>
          <t>程式缺陷</t>
        </is>
      </c>
      <c r="F7" s="72" t="inlineStr">
        <is>
          <t>R1</t>
        </is>
      </c>
      <c r="G7" s="73" t="inlineStr">
        <is>
          <t>交易帳本 › 公司行動分頁 › ＋補登公司行動 → 選「同一檔股票，股數變多或變少」→ 帳戶 台灣券商、代號 2884、日期 2026-09-23 → 「每持有」欄鍵入 1.5、「變成」欄 3 → 欄位顯示 15，試算「行動後 2884 20 股 均價 466.00」，登錄鈕可按</t>
        </is>
      </c>
      <c r="H7" s="72" t="inlineStr">
        <is>
          <t>web/corp-action-form.js:158 `const cleaned = n.value.replace(/[^0-9]/g, '');`（:159 `if (cleaned !== n.value) n.value = cleaned;` 寫回欄位）——前端先把小數洗成合法整數，後端 E6/E6a 永遠看不到</t>
        </is>
      </c>
      <c r="I7" s="73" t="inlineStr">
        <is>
          <t>結案</t>
        </is>
      </c>
      <c r="J7" s="72" t="inlineStr">
        <is>
          <t>R2</t>
        </is>
      </c>
      <c r="K7" s="72" t="n"/>
    </row>
    <row r="8" ht="15" customHeight="1" s="43">
      <c r="A8" s="72" t="inlineStr">
        <is>
          <t>DEF-006</t>
        </is>
      </c>
      <c r="B8" s="72" t="inlineStr">
        <is>
          <t>A-01（亦影響 A-04、A-09 的 chip 判準）</t>
        </is>
      </c>
      <c r="C8" s="73" t="inlineStr">
        <is>
          <t>資金收支方向 chip 為中性灰（入金實心、出金外框），與手冊「入金綠色／出金扣款色」不符</t>
        </is>
      </c>
      <c r="D8" s="73" t="inlineStr">
        <is>
          <t>低</t>
        </is>
      </c>
      <c r="E8" s="73" t="inlineStr">
        <is>
          <t>規格未定</t>
        </is>
      </c>
      <c r="F8" s="72" t="inlineStr">
        <is>
          <t>R1</t>
        </is>
      </c>
      <c r="G8" s="73" t="inlineStr">
        <is>
          <t>資金管理 › 出金入金 → 寫入一筆入金 → 看資金收支列「方向」欄：入金 chip 底色 rgb(154,166,181)；既有出金列 chip 為透明底＋灰框；折讓款同入金</t>
        </is>
      </c>
      <c r="H8" s="72" t="n"/>
      <c r="I8" s="73" t="inlineStr">
        <is>
          <t>非缺陷</t>
        </is>
      </c>
      <c r="J8" s="72" t="inlineStr">
        <is>
          <t>R2</t>
        </is>
      </c>
      <c r="K8" s="72" t="inlineStr">
        <is>
          <t>Owner 裁定（2026-09-24）：維持中性色：入金實心、出金外框（方向不是損益，不用紅綠），不改 CSS。 處置：改手冊：A-01／A-04／A-09 期望改為「方向 chip 為中性色：入金實心、出金外框」。依 §5 驗證者不改 .md 與 F 欄，請 owner／開發者下一輪同步</t>
        </is>
      </c>
    </row>
    <row r="9" ht="15" customHeight="1" s="43">
      <c r="A9" s="72" t="inlineStr">
        <is>
          <t>DEF-007</t>
        </is>
      </c>
      <c r="B9" s="72" t="inlineStr">
        <is>
          <t>A-02</t>
        </is>
      </c>
      <c r="C9" s="73" t="inlineStr">
        <is>
          <t>外幣入金「取得成本」：參考匯率回應晚到時，會蓋掉使用者已輸入的匯率／家幣金額（並把模式切回「匯率」），寫入錯誤的取得成本；提示句日期也標成輸入日而非匯率實際日期</t>
        </is>
      </c>
      <c r="D9" s="73" t="inlineStr">
        <is>
          <t>中</t>
        </is>
      </c>
      <c r="E9" s="73" t="inlineStr">
        <is>
          <t>程式缺陷</t>
        </is>
      </c>
      <c r="F9" s="72" t="inlineStr">
        <is>
          <t>R1</t>
        </is>
      </c>
      <c r="G9" s="73" t="inlineStr">
        <is>
          <t>資金管理 › 出金入金 → 入金 → 帳戶 嘉信 Schwab → 幣別 USD → 日期 2026-09-23 → 金額 1,000 → 取得成本「匯率」填 31.5（在 GET /api/cash/acq-rate 回應前完成）→ 確認寫入：POST 本文 acq_rate="31.698999"、資金收支該列 acq_home_amount=31699（應為 31500）</t>
        </is>
      </c>
      <c r="H9" s="72" t="inlineStr">
        <is>
          <t>web/cash.js:936-939（修前）`if (seq !== acqPrefillSeq) return; … $('#cm-acq-mode').value = 'rate'; $('#cm-acq').value = r.rate;`——序號只擋「更晚的預填」，不擋「使用者已輸入」；:941 `acqPrefillMsg = '參考值：' + on + ' 收盤…'` 用輸入日而非 r.as_of</t>
        </is>
      </c>
      <c r="I9" s="73" t="inlineStr">
        <is>
          <t>結案</t>
        </is>
      </c>
      <c r="J9" s="72" t="inlineStr">
        <is>
          <t>R2</t>
        </is>
      </c>
      <c r="K9" s="72" t="n"/>
    </row>
    <row r="10" ht="15" customHeight="1" s="43">
      <c r="A10" s="72" t="inlineStr">
        <is>
          <t>DEF-008</t>
        </is>
      </c>
      <c r="B10" s="72" t="inlineStr">
        <is>
          <t>A-05（附帶 A-06）</t>
        </is>
      </c>
      <c r="C10" s="73" t="inlineStr">
        <is>
          <t>出金透支的後端訊息：當日透支不指出日期；帳戶名用 API 英文原名「TW Broker」；toast 帶原始錯誤碼與 4 位小數原值</t>
        </is>
      </c>
      <c r="D10" s="73" t="inlineStr">
        <is>
          <t>低</t>
        </is>
      </c>
      <c r="E10" s="73" t="inlineStr">
        <is>
          <t>程式缺陷</t>
        </is>
      </c>
      <c r="F10" s="72" t="inlineStr">
        <is>
          <t>R1</t>
        </is>
      </c>
      <c r="G10" s="73" t="inlineStr">
        <is>
          <t>① 以 API 送出（或前端未擋的情境）出金 tw_broker TWD 3,033,799（餘額 3,033,798）→ 422「出金金額 3033799 TWD 超過 TW Broker 的 TWD 帳戶現金 3033798.0000 — 出金不可透支…」，無日期；② 資金管理 › 出金入金 → 台灣券商 2026-07-14 出金 4,000,000 → toast「✕ 此筆出金會使 TW Broker 的 TWD 現金於 2026-07-17 降至 -253820.0000（出金日早於資金到位）— … withdraw_insufficient_balance」</t>
        </is>
      </c>
      <c r="H10" s="72" t="inlineStr">
        <is>
          <t>portfolio_dash/data_ingestion/validate.py:1793（修前）`f"{account.name} 的 {inp.ccy.value} 帳戶現金 " f"{decimal_str(before.balance)} — 出金不可透支"`（英文帳戶名、wire 精度 4 位小數、沒有日期）；web/shell.js:720（修前）`if (sub) txt.appendChild(el('div', 'sub', sub));`（吃 window.toast(…, 'fail', err &amp;&amp; err.code)）</t>
        </is>
      </c>
      <c r="I10" s="73" t="inlineStr">
        <is>
          <t>結案</t>
        </is>
      </c>
      <c r="J10" s="72" t="inlineStr">
        <is>
          <t>R2</t>
        </is>
      </c>
      <c r="K10" s="72" t="n"/>
    </row>
    <row r="11" ht="15" customHeight="1" s="43">
      <c r="A11" s="72" t="inlineStr">
        <is>
          <t>DEF-009</t>
        </is>
      </c>
      <c r="B11" s="72" t="inlineStr">
        <is>
          <t>A-11</t>
        </is>
      </c>
      <c r="C11" s="73" t="inlineStr">
        <is>
          <t>折讓款列可以編輯金額（日期／類型／備註鎖定），手冊期望整列鎖定不可編輯</t>
        </is>
      </c>
      <c r="D11" s="73" t="inlineStr">
        <is>
          <t>低</t>
        </is>
      </c>
      <c r="E11" s="73" t="inlineStr">
        <is>
          <t>規格未定</t>
        </is>
      </c>
      <c r="F11" s="72" t="inlineStr">
        <is>
          <t>R1</t>
        </is>
      </c>
      <c r="G11" s="73" t="inlineStr">
        <is>
          <t>資金管理 › 出金入金 → 資金收支找「2026-02-01 台灣券商 折讓款 191 TWD」→ 按「編輯」→ 對話框「編輯資金紀錄 #34」：日期、類型、備註 disabled，金額 191 可修改，有「儲存」鈕</t>
        </is>
      </c>
      <c r="H11" s="72" t="inlineStr">
        <is>
          <t>portfolio_dash/api/routers/cash.py:662 `if existing.kind.upper() == "REBATE" and (`（回 400「折讓款的類型與日期已鎖定…」）；web/cash.js:615/616/628 `fKind.disabled = true;`／`fDate.disabled = true;`／`if (isRebate) fNote.disabled = true;`。鎖存在的原因：portfolio_dash/api/rebates.py:228 `py, pm = _prev_month(m.date.year, m.date.month)`——收件匣靠列本身的日期／類型／備註判斷該月已入帳</t>
        </is>
      </c>
      <c r="I11" s="73" t="inlineStr">
        <is>
          <t>結案</t>
        </is>
      </c>
      <c r="J11" s="72" t="inlineStr">
        <is>
          <t>R3</t>
        </is>
      </c>
      <c r="K11" s="72" t="inlineStr">
        <is>
          <t>Owner 裁定（2026-09-24）：自動入帳類（折讓款等）改為整列可編輯（日期／類型／金額／備註），與手動輸入一致，讓使用者有補救空間；編輯寫入稽核軌跡。 處置：改程式＋改手冊：A-11② 期望改為「折讓款列整列可編輯（與手動輸入的資金列相同），編輯寫入稽核軌跡」
R3 複驗通過（黑箱＋驗證者變異）。附註：owner 決策項 ⑥（改類型後該月維持已入帳）見本輪裁定；ledger_audit 目前沒有任何畫面或 API 可讀，使用者看不到「稽核軌跡」——列入觀察</t>
        </is>
      </c>
    </row>
    <row r="12" ht="15" customHeight="1" s="43">
      <c r="A12" s="72" t="inlineStr">
        <is>
          <t>DEF-010</t>
        </is>
      </c>
      <c r="B12" s="72" t="inlineStr">
        <is>
          <t>B-16（附帶發現）</t>
        </is>
      </c>
      <c r="C12" s="73" t="inlineStr">
        <is>
          <t>折讓款預估對「費率快照 discount=0.23（下單已打折）」的交易仍預估 77% 退款，同一優惠被算兩次</t>
        </is>
      </c>
      <c r="D12" s="73" t="inlineStr">
        <is>
          <t>低</t>
        </is>
      </c>
      <c r="E12" s="73" t="inlineStr">
        <is>
          <t>資料殘留</t>
        </is>
      </c>
      <c r="F12" s="72" t="inlineStr">
        <is>
          <t>R1</t>
        </is>
      </c>
      <c r="G12" s="72" t="inlineStr">
        <is>
          <t>GET /api/rebates → 2026-02 月 trades 中 2026-02-10 3008 fee 199（交易 #45／#34 快照 discount 0.23、rebate_rate 0.77）expected 153；2026-07 月 #32 2330 fee 419（discount 0.23）expected 322、#29／#26／#28 亦同。共 8 筆 discount=0.23 交易被計入預估</t>
        </is>
      </c>
      <c r="H12" s="72" t="inlineStr">
        <is>
          <t>portfolio_dash/api/rebates.py:261 `trade_expected = forecast_tw_rebate(t.fees, rate)`——退款預估完全不看該筆交易快照的 discount；同類 portfolio_dash/api/routers/input_center.py:901（草稿預估）、portfolio_dash/strategy/rebalance.py:403（再平衡摘要與列印報告）</t>
        </is>
      </c>
      <c r="I12" s="73" t="inlineStr">
        <is>
          <t>結案</t>
        </is>
      </c>
      <c r="J12" s="72" t="inlineStr">
        <is>
          <t>R3</t>
        </is>
      </c>
      <c r="K12" s="72" t="inlineStr">
        <is>
          <t>Owner 裁定（2026-09-24）：兩者都做：退款預估器對費率快照 discount&lt;1（下單已打折）的交易不預估退款；並清理這 8 筆歷史快照（清理前備份、寫稽核紀錄）。 處置：改程式＋資料清理；B-16 補「快照已打折（discount&lt;1）的交易不列入退款預估」
R3 複驗通過（黑箱＋驗證者變異）。附註：2026-01 的 #33、#44（discount 0.23、rebate_rate 0.77）尚未清理——owner 本輪裁定一併清（見 DEF-055）；觀察：編輯框的預覽回應仍帶 rebate_estimate 219（以 fee_override 285×0.77 計），畫面未顯示、不影響數字，列入 DEF-055 一併處理</t>
        </is>
      </c>
    </row>
    <row r="13" ht="15" customHeight="1" s="43">
      <c r="A13" s="72" t="inlineStr">
        <is>
          <t>DEF-011</t>
        </is>
      </c>
      <c r="B13" s="72" t="inlineStr">
        <is>
          <t>A-16（附帶發現）</t>
        </is>
      </c>
      <c r="C13" s="73" t="inlineStr">
        <is>
          <t>收件匣折讓款文案寫「不計入成本／損益／XIRR」，但確認入帳後 XIRR 與「含匯兌總損益」都會變動</t>
        </is>
      </c>
      <c r="D13" s="73" t="inlineStr">
        <is>
          <t>中</t>
        </is>
      </c>
      <c r="E13" s="73" t="inlineStr">
        <is>
          <t>程式缺陷</t>
        </is>
      </c>
      <c r="F13" s="72" t="inlineStr">
        <is>
          <t>R1</t>
        </is>
      </c>
      <c r="G13" s="73" t="inlineStr">
        <is>
          <t>收件匣 › 待確認退款（折讓款）區塊標題下方文案「確認實際入帳後記入該帳戶現金池，不計入成本／損益／XIRR」→ 確認 2026-06 折讓款 620 TWD → GET /api/dashboard：kpis.xirr 10.22406575305222→10.224722584268248、total_return_fx_complete 23620439.11…→23621059.11…（+620）、trading_financing_cost 191→811；total_return 不變</t>
        </is>
      </c>
      <c r="H13" s="72" t="inlineStr">
        <is>
          <t>web/dividend-inbox.html:69 `…確認實際入帳後記入該帳戶現金池，&lt;b&gt;不計入成本／損益／XIRR&lt;/b&gt;`——文案未隨 AI-D42（REBATE 是報酬，進 XIRR 與含匯兌總損益）更新；行為本身正確</t>
        </is>
      </c>
      <c r="I13" s="73" t="inlineStr">
        <is>
          <t>結案</t>
        </is>
      </c>
      <c r="J13" s="72" t="inlineStr">
        <is>
          <t>R2</t>
        </is>
      </c>
      <c r="K13" s="72" t="n"/>
    </row>
    <row r="14" ht="15" customHeight="1" s="43">
      <c r="A14" s="72" t="inlineStr">
        <is>
          <t>DEF-012</t>
        </is>
      </c>
      <c r="B14" s="72" t="inlineStr">
        <is>
          <t>B-18</t>
        </is>
      </c>
      <c r="C14" s="73" t="inlineStr">
        <is>
          <t>同日多筆買賣不依輸入（時間）順序重播：當日所有買進先於賣出套用，賣出的已實現損益與成本移除用到之後才輸入的買進</t>
        </is>
      </c>
      <c r="D14" s="73" t="inlineStr">
        <is>
          <t>高</t>
        </is>
      </c>
      <c r="E14" s="73" t="inlineStr">
        <is>
          <t>程式缺陷</t>
        </is>
      </c>
      <c r="F14" s="72" t="inlineStr">
        <is>
          <t>R1</t>
        </is>
      </c>
      <c r="G14" s="73" t="inlineStr">
        <is>
          <t>交易帳本 › 手動交易，台灣券商 2884（原 100 股／成本 9,320），同一天依序：① 買 200@44 ② 賣 100@45（此時草稿顯示已實現 −1,580、成本移除 6,047）③ 買 100@46 → 已實現損益列變為 −1,223.00、cost_removed 5,690.00；持倉成本 17,070.00（應 16,713.33）</t>
        </is>
      </c>
      <c r="H14" s="72" t="inlineStr">
        <is>
          <t>portfolio_dash/portfolio/cost_basis.py:473 `EventPriority.BUY if tx.side is Side.BUY else EventPriority.SELL,`＋:481 `events.sort(key=lambda e: (e[0], e[1]))`；portfolio_dash/shared/ledger_events.py:30-31 `BUY = 20` / `SELL = 30`——同日排序鍵只有 (date, priority)，後登錄的買永遠排到先登錄的賣前面</t>
        </is>
      </c>
      <c r="I14" s="73" t="inlineStr">
        <is>
          <t>結案</t>
        </is>
      </c>
      <c r="J14" s="72" t="inlineStr">
        <is>
          <t>R2</t>
        </is>
      </c>
      <c r="K14" s="72" t="n"/>
    </row>
    <row r="15" ht="15" customHeight="1" s="43">
      <c r="A15" s="72" t="inlineStr">
        <is>
          <t>DEF-013</t>
        </is>
      </c>
      <c r="B15" s="72" t="inlineStr">
        <is>
          <t>B-10</t>
        </is>
      </c>
      <c r="C15" s="73" t="inlineStr">
        <is>
          <t>「當沖」與「放空」可同時勾選，沒有互斥或組合說明；交易帳本列也不標示放空</t>
        </is>
      </c>
      <c r="D15" s="73" t="inlineStr">
        <is>
          <t>低</t>
        </is>
      </c>
      <c r="E15" s="73" t="inlineStr">
        <is>
          <t>規格未定</t>
        </is>
      </c>
      <c r="F15" s="72" t="inlineStr">
        <is>
          <t>R1</t>
        </is>
      </c>
      <c r="G15" s="73" t="inlineStr">
        <is>
          <t>交易帳本 › 手動交易 → 台灣券商 → 賣出 2454 100@4,530 → 勾「放空」再勾「當沖」→ 兩者皆為勾選、皆可操作；預覽請求本文 daytrade:true, short_sale:true，交易稅 679（0.15%），無警告</t>
        </is>
      </c>
      <c r="H15" s="72" t="inlineStr">
        <is>
          <t>web/ledger.js:638 `tdSide.appendChild(dirChip(t.side));`——交易帳本列只畫買賣方向；portfolio_dash/api/routers/ledgers.py:205 附近 wire 只有 short_sale 沒有 daytrade；TxEditBody 沒有 short_sale；手動表單兩者同時勾選時沒有說明</t>
        </is>
      </c>
      <c r="I15" s="73" t="inlineStr">
        <is>
          <t>結案</t>
        </is>
      </c>
      <c r="J15" s="72" t="inlineStr">
        <is>
          <t>R3</t>
        </is>
      </c>
      <c r="K15" s="72" t="inlineStr">
        <is>
          <t>Owner 裁定（2026-09-24）：允許「當沖＋放空」組合（台股現股當沖可先賣後買）；表單加組合說明，交易帳本列標示「當沖」「放空」。 處置：改程式；B-10③ 期望改為「允許組合，表單有組合說明，帳本列可見兩個標示」
R3 複驗通過（黑箱＋驗證者變異）</t>
        </is>
      </c>
    </row>
    <row r="16" ht="15" customHeight="1" s="43">
      <c r="A16" s="72" t="inlineStr">
        <is>
          <t>DEF-014</t>
        </is>
      </c>
      <c r="B16" s="72" t="inlineStr">
        <is>
          <t>B-17</t>
        </is>
      </c>
      <c r="C16" s="73" t="inlineStr">
        <is>
          <t>交易日期早於期初庫存建檔日（或早於帳本所有紀錄）時，草稿與寫入皆無任何提示，靜默接受</t>
        </is>
      </c>
      <c r="D16" s="73" t="inlineStr">
        <is>
          <t>中</t>
        </is>
      </c>
      <c r="E16" s="73" t="inlineStr">
        <is>
          <t>程式缺陷</t>
        </is>
      </c>
      <c r="F16" s="72" t="inlineStr">
        <is>
          <t>R1</t>
        </is>
      </c>
      <c r="G16" s="73" t="inlineStr">
        <is>
          <t>交易帳本 › 手動交易 → 台灣券商 → 8299（期初庫存 500 股、建檔日 2026-07-21）→ 買進 100@45.20、日期 2026-07-01 → 草稿「✓ 草稿檢核通過，可寫入」→ 確認寫入 → 201、toast「寫入成功」；另：2884、日期 2025-01-02（帳本最早紀錄 2026-01-05）同樣無提示</t>
        </is>
      </c>
      <c r="H16" s="72" t="inlineStr">
        <is>
          <t>portfolio_dash/data_ingestion/validate.py:516 `if today is not None and inp.trade_date &gt; today:`——validate_transaction 唯一的日期檢查只看未來側；同函式已 import get_opening 卻從未拿 build_date 比對</t>
        </is>
      </c>
      <c r="I16" s="73" t="inlineStr">
        <is>
          <t>結案</t>
        </is>
      </c>
      <c r="J16" s="72" t="inlineStr">
        <is>
          <t>R2</t>
        </is>
      </c>
      <c r="K16" s="72" t="inlineStr">
        <is>
          <t>R2 複驗通過。附註：觀察（不另開）：草稿的「持股 1,911 → 2,011」是今天的持股，不是交易日當時的持股（2025-01-02 當時 2884 為 0 股，草稿仍寫 100 → 200）；帳帳本以日期重播，寫入後數字正確，僅草稿文案可能誤導，列入交接備註</t>
        </is>
      </c>
    </row>
    <row r="17" ht="15" customHeight="1" s="43">
      <c r="A17" s="72" t="inlineStr">
        <is>
          <t>DEF-015</t>
        </is>
      </c>
      <c r="B17" s="72" t="inlineStr">
        <is>
          <t>C-01</t>
        </is>
      </c>
      <c r="C17" s="73" t="inlineStr">
        <is>
          <t>配息「重新偵測」只回報「1 檔失敗」，不說明是哪一檔、失敗原因</t>
        </is>
      </c>
      <c r="D17" s="73" t="inlineStr">
        <is>
          <t>低</t>
        </is>
      </c>
      <c r="E17" s="73" t="inlineStr">
        <is>
          <t>程式缺陷</t>
        </is>
      </c>
      <c r="F17" s="72" t="inlineStr">
        <is>
          <t>R1</t>
        </is>
      </c>
      <c r="G17" s="73" t="inlineStr">
        <is>
          <t>收件匣 → 待確認匯入 → 重新偵測 → toast／狀態列「14 檔事件已更新，1 檔失敗・待確認 7 筆」；GET /api/dividend-inbox?refresh=1 回應 refreshed:"14 檔事件已更新，1 檔失敗"，rows 內無失敗資訊</t>
        </is>
      </c>
      <c r="H17" s="72" t="inlineStr">
        <is>
          <t>portfolio_dash/api/dividend_inbox.py:208（修前）`return f"{len(summary.ok)} 檔事件已更新，{len(summary.failed)} 檔失敗"`；失敗理由在更底層就被丟掉：portfolio_dash/pricing/registry.py:101 `except Exception:  # noqa: BLE001 … continue`</t>
        </is>
      </c>
      <c r="I17" s="73" t="inlineStr">
        <is>
          <t>結案</t>
        </is>
      </c>
      <c r="J17" s="72" t="inlineStr">
        <is>
          <t>R2</t>
        </is>
      </c>
      <c r="K17" s="72" t="inlineStr">
        <is>
          <t>R2 複驗通過。附註：觀察（不另開、交 owner 參考）：TSLA 本來就不配息，「無配息資料」被歸為「失敗」並把整次偵測標成「部分標的失敗」的警告色；可考慮把「來源回應成功但無配息」與「抓取失敗」分開</t>
        </is>
      </c>
    </row>
    <row r="18" ht="15" customHeight="1" s="43">
      <c r="A18" s="72" t="inlineStr">
        <is>
          <t>DEF-016</t>
        </is>
      </c>
      <c r="B18" s="72" t="inlineStr">
        <is>
          <t>C-02（附帶發現）</t>
        </is>
      </c>
      <c r="C18" s="73" t="inlineStr">
        <is>
          <t>已確認但入帳日（pay_date）在未來的股利，被放進 XIRR 現金流且日期晚於期末估值日</t>
        </is>
      </c>
      <c r="D18" s="73" t="inlineStr">
        <is>
          <t>低</t>
        </is>
      </c>
      <c r="E18" s="73" t="inlineStr">
        <is>
          <t>規格未定</t>
        </is>
      </c>
      <c r="F18" s="72" t="inlineStr">
        <is>
          <t>R1</t>
        </is>
      </c>
      <c r="G18" s="73" t="inlineStr">
        <is>
          <t>收件匣確認 2330 除息 2026-09-16、pay_date 2026-10-08 的現金股利 18,200 → 股利帳本列 date=2026-10-08 → GET /api/dashboard kpis.xirr 10.22406575305222→10.23407372439353；trend 最後一點（2026-09-23）net_invested 不變；/api/cash 今日餘額不變</t>
        </is>
      </c>
      <c r="H18" s="72" t="inlineStr">
        <is>
          <t>portfolio_dash/portfolio/dashboard.py:491 `book = build_book(bundle, allow_oversell=True)`（:484 取得帳本後沒有依估值日切掉未入帳的股利）；同一批股利進 portfolio_dash/portfolio/returns.py:215 `add(dv.date, ccy_of(dv.symbol), dv.net)` 成為晚於期末估值日的 XIRR 現金流</t>
        </is>
      </c>
      <c r="I18" s="73" t="inlineStr">
        <is>
          <t>結案</t>
        </is>
      </c>
      <c r="J18" s="72" t="inlineStr">
        <is>
          <t>R3</t>
        </is>
      </c>
      <c r="K18" s="72" t="inlineStr">
        <is>
          <t>Owner 裁定（2026-09-24）：入帳日（pay_date）晚於估值日的股利不進 XIRR；總報酬、現金池、XIRR 三個口徑都以實際入帳為準。 處置：改程式；C-02 補「pay_date 在未來的股利：入帳日前不計入 XIRR 與總報酬」
R3 複驗通過（黑箱＋驗證者變異）。附註：觀察（不另開）：股利帳本列沒有任何「入帳日前不計入」的標示，使用者看到已寫入卻不見現金增加，可能困惑——與 owner 本輪對「未來日期交易」的裁定一起處理（見 DEF-056）</t>
        </is>
      </c>
    </row>
    <row r="19" ht="15" customHeight="1" s="43">
      <c r="A19" s="72" t="inlineStr">
        <is>
          <t>DEF-017</t>
        </is>
      </c>
      <c r="B19" s="72" t="inlineStr">
        <is>
          <t>C-04（附帶發現）</t>
        </is>
      </c>
      <c r="C19" s="73" t="inlineStr">
        <is>
          <t>手動「股利」表單以 CSV 匯入路徑寫入，會在「最近匯入」產生一筆批次；從帳本刪除該股利後批次仍殘留（row_count 1、committed）</t>
        </is>
      </c>
      <c r="D19" s="73" t="inlineStr">
        <is>
          <t>低</t>
        </is>
      </c>
      <c r="E19" s="73" t="inlineStr">
        <is>
          <t>程式缺陷</t>
        </is>
      </c>
      <c r="F19" s="72" t="inlineStr">
        <is>
          <t>R1</t>
        </is>
      </c>
      <c r="G19" s="73" t="inlineStr">
        <is>
          <t>交易帳本 › 交易輸入 › 股利 → 台灣券商 2884 配股 10 股 → 確認寫入：網路請求為 POST /api/import/preview 與 POST /api/import/commit（非股利專用端點），GET /api/import/batches 出現 {id:1, kind:dividends, source_name:null, row_count:1}；CSV 匯入分頁「最近匯入」顯示「2026-09-23 04:21:13 股利 — 1 復原」→ 於股利分頁刪除該筆後，批次仍在；按批次「復原」對話框寫「…手動輸入的紀錄與其他批次不受影響」，實際刪除 0 筆</t>
        </is>
      </c>
      <c r="H19" s="72" t="inlineStr">
        <is>
          <t>portfolio_dash/api/routers/input_center.py:1510（修前）`"SELECT id, kind, broker, source_name, source_sha256, imported_at, row_count, status FROM import_batches …"`——row_count 在 commit 時寫入後從未重算；六個帳本 DELETE 入口（如 ledgers.py:763 remove_dividend）都不知道有批次存在
R3（同頁刷新）：web/input.js:2752 `if (!o.external &amp;&amp; window.pdReloadImportBatches) {`——唯一的帳本刷新縫對外部呼叫者跳過批次清單，而帳本分頁的編輯／刪除正是以外部身分經 pdLedgerRefresh 進來；web/broker-import.js:237 `body: '將刪除這批匯入寫進帳本的 ' + b.row_count + ' 筆'`——破壞性確認框引用清單快取的筆數</t>
        </is>
      </c>
      <c r="I19" s="73" t="inlineStr">
        <is>
          <t>結案</t>
        </is>
      </c>
      <c r="J19" s="72" t="inlineStr">
        <is>
          <t>R3</t>
        </is>
      </c>
      <c r="K19" s="72" t="inlineStr">
        <is>
          <t>R2 部分通過：帳本任一刪除（交易／股利／換匯／資金／公司行動）成功後，同頁「最近匯入」清單需重抓 /api/import/batches；或復原對話框開啟前先重抓該批次最新 row_count
R3 複驗通過（黑箱＋驗證者變異）</t>
        </is>
      </c>
    </row>
    <row r="20" ht="15" customHeight="1" s="43">
      <c r="A20" s="72" t="inlineStr">
        <is>
          <t>DEF-018</t>
        </is>
      </c>
      <c r="B20" s="72" t="inlineStr">
        <is>
          <t>C-04b</t>
        </is>
      </c>
      <c r="C20" s="72" t="inlineStr">
        <is>
          <t>DRIP 再投資股數以 $0 成本入帳（原始成本不變），手冊期望「股數與成本同時增加」</t>
        </is>
      </c>
      <c r="D20" s="73" t="inlineStr">
        <is>
          <t>中</t>
        </is>
      </c>
      <c r="E20" s="73" t="inlineStr">
        <is>
          <t>規格未定</t>
        </is>
      </c>
      <c r="F20" s="72" t="inlineStr">
        <is>
          <t>R1</t>
        </is>
      </c>
      <c r="G20" s="73" t="inlineStr">
        <is>
          <t>交易帳本 › 交易輸入 › 股利 → 嘉信 Schwab AAPL → 再投資（DRIP）Gross 10、再投資 0.028 股 @250 → 寫入後持倉 shares +0.028、original_cost_total 13,515→13,515、均價 158.9266→158.8743</t>
        </is>
      </c>
      <c r="H20" s="72" t="n"/>
      <c r="I20" s="73" t="inlineStr">
        <is>
          <t>非缺陷</t>
        </is>
      </c>
      <c r="J20" s="72" t="inlineStr">
        <is>
          <t>R2</t>
        </is>
      </c>
      <c r="K20" s="72" t="inlineStr">
        <is>
          <t>Owner 裁定（2026-09-24）：維持 DRIP 以 $0 成本入帳（股利折入成本模型）。 處置：改手冊：C-04b① 期望改為「股數增加、原始成本不變（$0 成本股），均價依股數重算；表單有說明」。請 owner／開發者下一輪同步 .md 與 F 欄</t>
        </is>
      </c>
    </row>
    <row r="21" ht="15" customHeight="1" s="43">
      <c r="A21" s="72" t="inlineStr">
        <is>
          <t>DEF-019</t>
        </is>
      </c>
      <c r="B21" s="72" t="inlineStr">
        <is>
          <t>C-04b／C-05（附帶發現，影響 I-08）</t>
        </is>
      </c>
      <c r="C21" s="73" t="inlineStr">
        <is>
          <t>「最近匯入 › 復原」後，交易輸入表單的代號挑選清單沒有重新載入，仍顯示復原前的股數／均價</t>
        </is>
      </c>
      <c r="D21" s="73" t="inlineStr">
        <is>
          <t>低</t>
        </is>
      </c>
      <c r="E21" s="73" t="inlineStr">
        <is>
          <t>程式缺陷</t>
        </is>
      </c>
      <c r="F21" s="72" t="inlineStr">
        <is>
          <t>R1</t>
        </is>
      </c>
      <c r="G21" s="73" t="inlineStr">
        <is>
          <t>交易帳本 › 股利寫入 Schwab AAPL DRIP 0.028 股 → CSV 匯入 › 最近匯入 › 復原 → 回到交易輸入輸入代號 AA：挑選清單顯示「AAPL Apple 85.067255 股 均價 158.87」（API /api/input/holdings 為 85.039255 股、158.9266）；C-05 復原後同樣顯示「均價 158.84」</t>
        </is>
      </c>
      <c r="H21" s="72" t="inlineStr">
        <is>
          <t>web/broker-import.js:229 `try { await window.pdLedgerRefresh(); } catch (e) {…}`——pdLedgerRefresh 只重新載入 ledger.js 的表格；web/input.js:2112（修前）`Object.keys(acctHoldingsCache).forEach((k) =&gt; { delete acctHoldingsCache[k]; });` 只有 input.js 自己的 afterCommitRefresh 會呼叫</t>
        </is>
      </c>
      <c r="I21" s="73" t="inlineStr">
        <is>
          <t>結案</t>
        </is>
      </c>
      <c r="J21" s="72" t="inlineStr">
        <is>
          <t>R2</t>
        </is>
      </c>
      <c r="K21" s="72" t="n"/>
    </row>
    <row r="22" ht="15" customHeight="1" s="43">
      <c r="A22" s="72" t="inlineStr">
        <is>
          <t>DEF-020</t>
        </is>
      </c>
      <c r="B22" s="72" t="inlineStr">
        <is>
          <t>D-10（D-02c／D-07 路徑）</t>
        </is>
      </c>
      <c r="C22" s="73" t="inlineStr">
        <is>
          <t>刪除含重組費用的公司行動時，連帶寫出的「重組費用」出金不會一起刪除，現金停在行動前不存在的扣款；兩者寫入也非原子</t>
        </is>
      </c>
      <c r="D22" s="73" t="inlineStr">
        <is>
          <t>中</t>
        </is>
      </c>
      <c r="E22" s="73" t="inlineStr">
        <is>
          <t>程式缺陷</t>
        </is>
      </c>
      <c r="F22" s="72" t="inlineStr">
        <is>
          <t>R1</t>
        </is>
      </c>
      <c r="G22" s="73" t="inlineStr">
        <is>
          <t>交易帳本 › 公司行動 › ＋補登 → 2884 每 1 股→2 股、重組費用 50 → 登錄（前端送兩支請求：POST /api/ledgers/corporate-actions 201 與 POST /api/cash/movements WITHDRAW 50 201）→ 於公司行動分頁刪除該列（確認框只寫「確定刪除 2884 在 2026-09-23 的分割？股數、成本與價格基準都會由帳本重建。」）→ DELETE 200 → 資金收支仍有「2026-09-23 出金 50 TWD 重組費用 2884 2026-09-23」，TWD 池停在 6,067,545（行動前 6,067,595）</t>
        </is>
      </c>
      <c r="H22" s="72" t="inlineStr">
        <is>
          <t>web/corp-action-form.js:713 `await bookReorgFee(body, fFee.value.trim(), …)`（:705 POST 行動成功後再 POST /api/cash/movements，兩個寫入者、無關聯鍵）；portfolio_dash/data_ingestion/store.py:1111 `conn.execute("DELETE FROM corporate_actions WHERE id=?", (action_id,))` 只刪行動，cash_movements 沒有任何欄位能指回行動</t>
        </is>
      </c>
      <c r="I22" s="73" t="inlineStr">
        <is>
          <t>結案</t>
        </is>
      </c>
      <c r="J22" s="72" t="inlineStr">
        <is>
          <t>R2</t>
        </is>
      </c>
      <c r="K22" s="72" t="inlineStr">
        <is>
          <t>R2 複驗通過。附註：觀察（不另開）：公司行動帳本列未顯示該筆的重組費用（只有編輯框有），使用者要到刪除框才知道有連帶出金</t>
        </is>
      </c>
    </row>
    <row r="23" ht="15" customHeight="1" s="43">
      <c r="A23" s="72" t="inlineStr">
        <is>
          <t>DEF-021</t>
        </is>
      </c>
      <c r="B23" s="72" t="inlineStr">
        <is>
          <t>D-10（D-06 路徑）</t>
        </is>
      </c>
      <c r="C23" s="73" t="inlineStr">
        <is>
          <t>刪除換股（EXCHANGE）後，隨行動移到新代號的目標價不會移回原代號；試算與刪除確認框都沒有告知這一點</t>
        </is>
      </c>
      <c r="D23" s="73" t="inlineStr">
        <is>
          <t>中</t>
        </is>
      </c>
      <c r="E23" s="73" t="inlineStr">
        <is>
          <t>程式缺陷</t>
        </is>
      </c>
      <c r="F23" s="72" t="inlineStr">
        <is>
          <t>R1</t>
        </is>
      </c>
      <c r="G23" s="73" t="inlineStr">
        <is>
          <t>觀察清單把 2884 目標價設為 40／55 → 交易帳本 › 公司行動 › ＋補登 → 整個部位換成另一檔股票，2884 → 2882 每 1 股換 1 股（試算顯示「✓ 2884 的目標價（下限 40、上限 55）會一併移到 2882，數值不變」）→ 登錄（id 8，band_moved 40／55）→ 在公司行動分頁刪除該列（確認框「確定刪除 2884 在 2026-09-23 的換股？股數、成本與價格基準都會由帳本重建。」）→ GET /api/instruments：2882 仍 40／55、2884 仍為空</t>
        </is>
      </c>
      <c r="H23" s="72" t="inlineStr">
        <is>
          <t>portfolio_dash/data_ingestion/store.py:220 docstring `⚠ **Not reversible.** Deleting the EXCHANGE does not move the band back.`（設計即不可逆）＋ portfolio_dash/api/routers/ledgers.py:1899 `delete_corporate_action(conn, action_id)`（刪除路徑對 band 無任何處理）＋ web/corp-action-form.js:263-265 提示只寫「會一併移到 …，數值不變」</t>
        </is>
      </c>
      <c r="I23" s="73" t="inlineStr">
        <is>
          <t>結案</t>
        </is>
      </c>
      <c r="J23" s="72" t="inlineStr">
        <is>
          <t>R2</t>
        </is>
      </c>
      <c r="K23" s="72" t="inlineStr">
        <is>
          <t>R2 複驗通過。附註：觀察（不另開）：公司行動帳本的刪除框文案取自頁面載入時的列資料；若在同一頁停留期間於別處改了目標價，框內仍寫「會自動移回」，實際 API 依當下狀態判斷不移回並以 toast 告知——結果正確、只有預告過時，重新載入即正確</t>
        </is>
      </c>
    </row>
    <row r="24" ht="15" customHeight="1" s="43">
      <c r="A24" s="72" t="inlineStr">
        <is>
          <t>DEF-022</t>
        </is>
      </c>
      <c r="B24" s="72" t="inlineStr">
        <is>
          <t>D-11（前置 D-06）</t>
        </is>
      </c>
      <c r="C24" s="73" t="inlineStr">
        <is>
          <t>目標價設定日（target_set_at）以 UTC 日期記錄：台北 00:00–07:59 設定的目標價會記成前一天，同日分割因此誤報「目標價設定於前一天、早於這筆分割」</t>
        </is>
      </c>
      <c r="D24" s="73" t="inlineStr">
        <is>
          <t>低</t>
        </is>
      </c>
      <c r="E24" s="73" t="inlineStr">
        <is>
          <t>程式缺陷</t>
        </is>
      </c>
      <c r="F24" s="72" t="inlineStr">
        <is>
          <t>R1</t>
        </is>
      </c>
      <c r="G24" s="73" t="inlineStr">
        <is>
          <t>台北時間 2026-09-23 04:3x 在觀察清單設定 2884 目標價 40／55 → 換股試算／登錄回應的 band_move.set_at 為「2026-09-22」→ 之後對同一目標價所在標的登錄 2026-09-23 的分割，試算出現「⚠ 2882 的目標價設定於 2026-09-22，早於這筆分割…」並要求勾選「我已確認上述警告」才能登錄</t>
        </is>
      </c>
      <c r="H24" s="72" t="inlineStr">
        <is>
          <t>portfolio_dash/data_ingestion/store.py:122 `stamp = (today or datetime.now(UTC).date()).isoformat()`——業務日期用 UTC 時鐘，違反 shared/clock.py 的 Q6（Asia/Taipei 是商業日期唯一錨點）</t>
        </is>
      </c>
      <c r="I24" s="73" t="inlineStr">
        <is>
          <t>結案</t>
        </is>
      </c>
      <c r="J24" s="72" t="inlineStr">
        <is>
          <t>R2</t>
        </is>
      </c>
      <c r="K24" s="72" t="n"/>
    </row>
    <row r="25" ht="15" customHeight="1" s="43">
      <c r="A25" s="72" t="inlineStr">
        <is>
          <t>DEF-023</t>
        </is>
      </c>
      <c r="B25" s="72" t="inlineStr">
        <is>
          <t>D-11</t>
        </is>
      </c>
      <c r="C25" s="73" t="inlineStr">
        <is>
          <t>公司行動無法套用時，儀表板只有 XIRR「資料不足」與總損益口徑一句話，沒有可點的入口；明細只在滑鼠提示與個股抽屜，且原因句顯示帳戶 API 原名「tw_broker」</t>
        </is>
      </c>
      <c r="D25" s="73" t="inlineStr">
        <is>
          <t>中</t>
        </is>
      </c>
      <c r="E25" s="73" t="inlineStr">
        <is>
          <t>程式缺陷</t>
        </is>
      </c>
      <c r="F25" s="72" t="inlineStr">
        <is>
          <t>R1</t>
        </is>
      </c>
      <c r="G25" s="73" t="inlineStr">
        <is>
          <t>台灣券商買 2882 100 股（2026-09-22）→ 登錄 2882 分割 1→2（2026-09-23）→ 刪除該筆買進（刪除框沒有警告會讓公司行動無法套用）→ 儀表板：年化報酬（XIRR）「— 資料不足」，滑鼠移上去才看到「帳本中有 1 筆公司行動無法套用（待釐清）：2882（tw_broker・2026-09-23）…」；總損益口徑「帳本中有公司行動無法套用（待釐清）…」；行動清單／資料與系統待辦沒有這一筆；公司行動帳本該列沒有未套用標記；只有打開 2882 個股抽屜才看到「⚠ 公司行動未套用（台灣券商・2026-09-23・拆併股 2882→2882）：2882（tw_broker）於 2026-09-23 沒有持倉…」</t>
        </is>
      </c>
      <c r="H25" s="72" t="inlineStr">
        <is>
          <t>portfolio_dash/portfolio/cost_basis.py:257 `_reject(f"{action.from_symbol}（{action.account_id}）於 "…`（同函式 6 句嵌裸 id）；portfolio_dash/portfolio/dashboard.py:307 `f"{a.from_symbol}（{a.account_id}・{a.date.isoformat()}）"`；web/app.js:637-640 `tr.title = '公司行動未套用：…'`（只在 tooltip）；api/routers/ledgers.py:1521-1538 公司行動列 wire 無「未套用」欄位；web/ledger.js:609 `delWithConfirm('/api/ledgers/transactions/' + t.id, '交易')` 不查後續行動
R3（R2 修法本身的缺陷）：web/app.js:112 `renderUnappliedBanner();` 位於 web/app.js:100 `if (!syms.length || !page) return;` 之後——只有同時存在未註冊標的時才畫得出公司行動區塊</t>
        </is>
      </c>
      <c r="I25" s="73" t="inlineStr">
        <is>
          <t>結案</t>
        </is>
      </c>
      <c r="J25" s="72" t="inlineStr">
        <is>
          <t>R3</t>
        </is>
      </c>
      <c r="K25" s="72" t="inlineStr">
        <is>
          <t>R2 複驗未過：修法建議：renderUnappliedBanner() 移到 renderHeader 直接呼叫（或放在 renderUnregisteredBanner 的提前 return 之前）；測試改為行為層（無未註冊標的＋1 筆未套用 → DOM 有 #unapplied-banner 與連結），或至少斷言呼叫位置在 return 之前
R3 複驗通過（黑箱＋驗證者變異）</t>
        </is>
      </c>
    </row>
    <row r="26" ht="15" customHeight="1" s="43">
      <c r="A26" s="72" t="inlineStr">
        <is>
          <t>DEF-024</t>
        </is>
      </c>
      <c r="B26" s="72" t="inlineStr">
        <is>
          <t>I-06</t>
        </is>
      </c>
      <c r="C26" s="72" t="inlineStr">
        <is>
          <t>CSV 匯入預覽的賣超檢查把「錯誤列」的股數也算成持股，被勾選的賣出列預覽顯示 ✓ 可寫入，寫入時卻被丟進「跳過」且不說原因（toast 還顯示 ✓ 寫入成功）</t>
        </is>
      </c>
      <c r="D26" s="73" t="inlineStr">
        <is>
          <t>中</t>
        </is>
      </c>
      <c r="E26" s="73" t="inlineStr">
        <is>
          <t>程式缺陷</t>
        </is>
      </c>
      <c r="F26" s="72" t="inlineStr">
        <is>
          <t>R1</t>
        </is>
      </c>
      <c r="G26" s="73" t="inlineStr">
        <is>
          <t>台灣券商 2884 持有 100 股 → 交易帳本 › CSV 匯入 › 標準範本／交易，貼上「tw_broker,2884,buy,2026-09-23,1.5,45.20」與「tw_broker,2884,sell,2026-09-23,101,45.20」→ 預覽：第 1 列 ✕ 錯誤（台股股數必須是整數）、第 2 列「✓ 可寫入」且已勾選 → 按「確認寫入勾選列」→ POST /api/import/commit 200 {written 0, skipped 1, rejected 1}，banner「⚠ 寫入完成（有列被擋下）：成功 0 筆・跳過 1 筆・擋下 1 筆」只列出第 1 列；另例：「買 100＋買 0.5（錯誤）＋賣 500」顯示「超過持有的 200.5 股」；「買 100＋賣 150」取消勾選買進後賣出列仍 ✓ 可寫入，寫入結果 toast「✓ 寫入成功 成功 0 筆・跳過 2 筆」</t>
        </is>
      </c>
      <c r="H26" s="72" t="inlineStr">
        <is>
          <t>portfolio_dash/data_ingestion/validate.py:322-327 pending_share_flows `for other in batch: if other is exclude: continue`（不判斷兄弟列寫不寫得進去；成員資格 csv_import.py:491-496 只排除 transaction_structural_issues，shares_not_integer 不在內）；portfolio_dash/api/routers/input_center.py:1325-1328 `accept -= {...}` 只丟掉不記原因、:1340 skipped 把「未勾選」與「重算出新問題」塞進一個數字；web/input.js:1392 `window.toast(rejected &gt; 0 ? '部分列被擋下' : '寫入成功', …)`</t>
        </is>
      </c>
      <c r="I26" s="73" t="inlineStr">
        <is>
          <t>結案</t>
        </is>
      </c>
      <c r="J26" s="72" t="inlineStr">
        <is>
          <t>R2</t>
        </is>
      </c>
      <c r="K26" s="72" t="inlineStr">
        <is>
          <t>R2 複驗通過。附註：小瑕疵（不另開）：toast 顯示「! ⚠」雙符號</t>
        </is>
      </c>
    </row>
    <row r="27" ht="15" customHeight="1" s="43">
      <c r="A27" s="72" t="inlineStr">
        <is>
          <t>DEF-025</t>
        </is>
      </c>
      <c r="B27" s="72" t="inlineStr">
        <is>
          <t>I-06</t>
        </is>
      </c>
      <c r="C27" s="72" t="inlineStr">
        <is>
          <t>CSV 匯入的賣超列只算「警告」且預設勾選，通用確認框按一下即可寫入；手冊期望賣超列不可寫入，手動輸入的賣超則有明確的「成本基礎歸零」確認</t>
        </is>
      </c>
      <c r="D27" s="73" t="inlineStr">
        <is>
          <t>中</t>
        </is>
      </c>
      <c r="E27" s="73" t="inlineStr">
        <is>
          <t>規格未定</t>
        </is>
      </c>
      <c r="F27" s="72" t="inlineStr">
        <is>
          <t>R1</t>
        </is>
      </c>
      <c r="G27" s="73" t="inlineStr">
        <is>
          <t>台灣券商 2884 持有 100 股 → CSV 匯入貼「tw_broker,2884,sell,2026-09-23,150,45.20」→ 預覽「⚠ 警告 賣出 150 股，超過持有的 100 股」且 checkbox 已勾選 → 按「確認寫入勾選列」→ 422 warnings_unacknowledged → 對話框「匯入警告確認 — 部分列有警告（如賣超）— 確認後一併寫入？ 取消／確認寫入」（本輪按取消，未寫入）</t>
        </is>
      </c>
      <c r="H27" s="72" t="inlineStr">
        <is>
          <t>portfolio_dash/api/routers/input_center.py:1364 `if has_warn and not body.ack_warnings:`——匯入寫入端點唯一的閘，整檔一個 ack_warnings 旗標就放行賣超列；web/input.js:1383 `cb.checked = r.status !== 'error';`（CSV 賣超列預勾）、:1470 `body: '部分列有警告（如賣超）— 確認後一併寫入？',`（通用確認框）；AI 門同寫法 web/input.js:1992、:2530</t>
        </is>
      </c>
      <c r="I27" s="73" t="inlineStr">
        <is>
          <t>結案</t>
        </is>
      </c>
      <c r="J27" s="72" t="inlineStr">
        <is>
          <t>R3</t>
        </is>
      </c>
      <c r="K27" s="72" t="inlineStr">
        <is>
          <t>Owner 裁定（2026-09-24）：CSV 賣超列比照手動輸入：預設不勾選，確認框逐列點名並寫明「成本基礎會被永久捨棄」，勾選後才寫入。 處置：改程式＋改手冊：I-06 賣超期望改為「該列預設不勾、需逐列明確確認後才可寫入」（R2 複驗 DEF-026 時 CSV 確認框仍是通用句「部分列有警告（如賣超）」）
R3 複驗通過（黑箱＋驗證者變異）。附註：owner 決策項 ⑦b（CSV 門其他警告類型也逐列確認，開發者建議維持）見本輪裁定</t>
        </is>
      </c>
    </row>
    <row r="28" ht="15" customHeight="1" s="43">
      <c r="A28" s="72" t="inlineStr">
        <is>
          <t>DEF-026</t>
        </is>
      </c>
      <c r="B28" s="72" t="inlineStr">
        <is>
          <t>I-13</t>
        </is>
      </c>
      <c r="C28" s="73" t="inlineStr">
        <is>
          <t>交易帳本匯出的 CSV 不能原樣匯回：匯出用資料庫欄名（account_id／quantity／fees／trade_date），匯入只認範本欄名（account／shares／fee／date）；改表頭後可匯入，但費率快照（fee_rule_snapshot）無法重建</t>
        </is>
      </c>
      <c r="D28" s="73" t="inlineStr">
        <is>
          <t>中</t>
        </is>
      </c>
      <c r="E28" s="73" t="inlineStr">
        <is>
          <t>程式缺陷</t>
        </is>
      </c>
      <c r="F28" s="72" t="inlineStr">
        <is>
          <t>R1</t>
        </is>
      </c>
      <c r="G28" s="73" t="inlineStr">
        <is>
          <t>交易帳本 › 交易 › ⬇匯出 CSV（56 列）→ CSV 匯入 › 標準範本 › 交易 → 把匯出內容原樣貼上 → 預覽 56 列全部「✕ 錯誤 缺少必要欄位（欄位 account）」；把 4 個表頭改名後再貼 #7、#8 → 可寫入，寫入後 fee_rule_snapshot 變成 {"engine":"supplied","fee":"529","tax":"0"}（原列為 {"brokerage":"0.001425","discount":"1","min_fee":"20"}）</t>
        </is>
      </c>
      <c r="H28" s="72" t="inlineStr">
        <is>
          <t>portfolio_dash/export/ledgers.py:56 `sql = f"SELECT * FROM {table}"`（資料表欄名）；portfolio_dash/data_ingestion/csv_import.py:107 `canon = [canonical_header(f) for f in fieldnames]` 沒有「匯出欄名→範本欄名」對應，:432 `_cell(raw, "account")` 找不到；portfolio_dash/data_ingestion/fees.py:111 `return {"engine": "supplied", "fee": str(fee), "tax": str(tax)}` 無條件覆蓋原快照；多餘欄位由 csv.DictReader 靜默丟棄</t>
        </is>
      </c>
      <c r="I28" s="73" t="inlineStr">
        <is>
          <t>結案</t>
        </is>
      </c>
      <c r="J28" s="72" t="inlineStr">
        <is>
          <t>R2</t>
        </is>
      </c>
      <c r="K28" s="72" t="inlineStr">
        <is>
          <t>R2 複驗通過。附註：CSV 警告確認對話框仍是通用句「部分列有警告（如賣超）」，依 DEF-025 裁定於下一輪改為逐列確認；8299 在建倉日前的交易也在 CSV 路徑出現 trade_before_opening 警示（屬 DEF-014 同類，行為正確）</t>
        </is>
      </c>
    </row>
    <row r="29" ht="15" customHeight="1" s="43">
      <c r="A29" s="72" t="inlineStr">
        <is>
          <t>DEF-027</t>
        </is>
      </c>
      <c r="B29" s="72" t="inlineStr">
        <is>
          <t>I-10</t>
        </is>
      </c>
      <c r="C29" s="73" t="inlineStr">
        <is>
          <t>券商對帳單「全部寫入」一律帶 ack_warnings:true：賣超等需要確認的警告不經使用者確認就寫入，成本基礎被歸零且畫面顯示「✓ 全部寫入完成」</t>
        </is>
      </c>
      <c r="D29" s="73" t="inlineStr">
        <is>
          <t>高</t>
        </is>
      </c>
      <c r="E29" s="73" t="inlineStr">
        <is>
          <t>程式缺陷</t>
        </is>
      </c>
      <c r="F29" s="72" t="inlineStr">
        <is>
          <t>R1</t>
        </is>
      </c>
      <c r="G29" s="73" t="inlineStr">
        <is>
          <t>嘉信帳戶 AAPL 持有 85.04 股 → 交易帳本 › CSV 匯入 › 券商對帳單，券商嘉信、帳戶嘉信，上傳一列「09/22/2026, Sell, AAPL, 1000, $250.00, $250,000.00」的嘉信格式檔 → 轉換顯示「✓ 對帳通過」並只要求補期初庫存（留白）→ 按「全部寫入」→ POST /api/import/commit {…"ack_warnings":true…} 200 {written 1} → 畫面「✓ 全部寫入完成 交易 寫入 1 筆」，沒有任何確認框</t>
        </is>
      </c>
      <c r="H29" s="72" t="inlineStr">
        <is>
          <t>web/broker-import.js:423（舊）`kind, csv_text: text, ack_warnings: true,`（每個 kind 的 commit 都帶字面值 true；:427-429 註解自述「the one acknowledgement that discards a cost basis」）；portfolio_dash/api/routers/broker_import.py:136-139（舊）`"openings_needing_cost": [{"symbol": s, "shares": …} …]` 只回檔案內 prehistory_shares、不讀帳本；portfolio_dash/data_ingestion/broker/convert.py:122（舊）`for e in sorted(grouped.trades, key=lambda x: (x.trade_date, x.line_no)):`（Schwab 最新在前 → 同日順序反轉）</t>
        </is>
      </c>
      <c r="I29" s="73" t="inlineStr">
        <is>
          <t>結案</t>
        </is>
      </c>
      <c r="J29" s="72" t="inlineStr">
        <is>
          <t>R2</t>
        </is>
      </c>
      <c r="K29" s="72" t="inlineStr">
        <is>
          <t>R2 複驗通過。附註：單元守門只認字面值 ack_warnings: true，等價寫法要靠 e2e 才攔得到——建議把 e2e 納入每輪 J-06；新開 DEF-039：對帳單轉換的股數顯示 28 位原始小數</t>
        </is>
      </c>
    </row>
    <row r="30" ht="15" customHeight="1" s="43">
      <c r="A30" s="72" t="inlineStr">
        <is>
          <t>DEF-028</t>
        </is>
      </c>
      <c r="B30" s="72" t="inlineStr">
        <is>
          <t>I-10</t>
        </is>
      </c>
      <c r="C30" s="73" t="inlineStr">
        <is>
          <t>券商對帳單轉換結果只顯示筆數，轉出的每一列與被合併／抵銷的原始列都看不到，寫入前無法逐列檢視，也不能挑選</t>
        </is>
      </c>
      <c r="D30" s="73" t="inlineStr">
        <is>
          <t>中</t>
        </is>
      </c>
      <c r="E30" s="73" t="inlineStr">
        <is>
          <t>程式缺陷</t>
        </is>
      </c>
      <c r="F30" s="72" t="inlineStr">
        <is>
          <t>R1</t>
        </is>
      </c>
      <c r="G30" s="73" t="inlineStr">
        <is>
          <t>交易帳本 › CSV 匯入 › 券商對帳單，上傳 Schwab 格式 schwab_2024.csv（15 列）→ 畫面只有「✓ 對帳通過 —— 現金與各代號股數都守恆／讀入 15 列，產生：交易 3 · 股利 1 · 資金 5」與「全部寫入」；API 回應 files.transactions／dividends／cash 有 9 列明細（含來源行號 schwab_2024.csv:4 等），畫面沒有任何表格或展開區</t>
        </is>
      </c>
      <c r="H30" s="72" t="inlineStr">
        <is>
          <t>web/broker-import.js:264-266（舊）`const counts = (c.commit_order||[]).map((k) =&gt; KIND_ZH[k] + ' ' + c.counts[k]).join(' · ')`——報告只組筆數字串；API _conversion_wire 沒有逐列結構，被抵銷／合併的列只散在 advisory 文字</t>
        </is>
      </c>
      <c r="I30" s="73" t="inlineStr">
        <is>
          <t>結案</t>
        </is>
      </c>
      <c r="J30" s="72" t="inlineStr">
        <is>
          <t>R2</t>
        </is>
      </c>
      <c r="K30" s="72" t="n"/>
    </row>
    <row r="31" ht="15" customHeight="1" s="43">
      <c r="A31" s="72" t="inlineStr">
        <is>
          <t>DEF-029</t>
        </is>
      </c>
      <c r="B31" s="72" t="inlineStr">
        <is>
          <t>I-11</t>
        </is>
      </c>
      <c r="C31" s="73" t="inlineStr">
        <is>
          <t>券商對帳單匯入不檢查「所選券商」與「匯入到帳戶」是否相符：嘉信對帳單可直接寫進 Moomoo MY 帳戶；寫進台灣券商時要到寫入階段才被市場規則擋下，轉換步驟一律顯示「✓ 對帳通過」</t>
        </is>
      </c>
      <c r="D31" s="73" t="inlineStr">
        <is>
          <t>中</t>
        </is>
      </c>
      <c r="E31" s="73" t="inlineStr">
        <is>
          <t>程式缺陷</t>
        </is>
      </c>
      <c r="F31" s="72" t="inlineStr">
        <is>
          <t>R1</t>
        </is>
      </c>
      <c r="G31" s="73" t="inlineStr">
        <is>
          <t>交易帳本 › CSV 匯入 › 券商對帳單，券商選「嘉信 Schwab」、匯入到帳戶選「Moomoo MY（USD／MYR）」→ 上傳嘉信格式檔（Wire Received $100＋Buy AAPL 1@$250）→ 轉換「✓ 對帳通過」→ 全部寫入 → 交易批次 9、資金批次 10 寫入成功（moomoo_my AAPL buy，備註 schwab_qa.csv:3）；帳戶改選「台灣券商（TWD）」→ 轉換同樣「✓ 對帳通過」，寫入才被擋「AAPL 屬 US 市場，不可登錄於 台股帳戶」</t>
        </is>
      </c>
      <c r="H31" s="72" t="inlineStr">
        <is>
          <t>portfolio_dash/api/routers/broker_import.py:174（舊）`if body.account not in {a.account_id for a in list_accounts(conn)}:`——只驗帳戶存在，沒有「此帳戶是否屬於該券商」的對應；web/broker-import.js:221（舊）`currency: 'USD',` 寫死；:503-507 列出全部帳戶</t>
        </is>
      </c>
      <c r="I31" s="73" t="inlineStr">
        <is>
          <t>結案</t>
        </is>
      </c>
      <c r="J31" s="72" t="inlineStr">
        <is>
          <t>R2</t>
        </is>
      </c>
      <c r="K31" s="72" t="n"/>
    </row>
    <row r="32" ht="15" customHeight="1" s="43">
      <c r="A32" s="72" t="inlineStr">
        <is>
          <t>DEF-030</t>
        </is>
      </c>
      <c r="B32" s="72" t="inlineStr">
        <is>
          <t>H-04</t>
        </is>
      </c>
      <c r="C32" s="73" t="inlineStr">
        <is>
          <t>排程中心的洞察任務（insight:*）按「立即執行」一律失敗，狀態只顯示原始例外字串「'insight:10'」；該列也只顯示 insight:N、不顯示任務名稱，任務暫停後排程開關仍顯示開啟</t>
        </is>
      </c>
      <c r="D32" s="73" t="inlineStr">
        <is>
          <t>中</t>
        </is>
      </c>
      <c r="E32" s="73" t="inlineStr">
        <is>
          <t>程式缺陷</t>
        </is>
      </c>
      <c r="F32" s="72" t="inlineStr">
        <is>
          <t>R1</t>
        </is>
      </c>
      <c r="G32" s="73" t="inlineStr">
        <is>
          <t>洞察管線建立任務並啟動排程（insight:10）→ 系統設定 › 排程中心 › insight:10 › 立即執行 → 202 {run_id 153} → 數秒後該列「失敗 'insight:10'」、執行歷史 #153 status error、detail "'insight:10'"、耗時 0.0s；任務啟用時再按一次（#154）結果相同；既有任務 insight:7 按立即執行（#155）同樣「失敗 'insight:7'」</t>
        </is>
      </c>
      <c r="H32" s="72" t="inlineStr">
        <is>
          <t>portfolio_dash/scheduler/jobs.py:1573 `outcome = _outcome_of(_jobs_by_id()[job_id].func(conn, now=now))`——手動執行的 worker 只查靜態工作表，insight:N 不在其中必定 KeyError（cron 路徑 dispatch_job 一直有依種類分派，手動路徑從來沒有）；:1575 `outcome = JobOutcome("error", str(exc))` 例外原文直接進使用者可見欄位；api/routers/scheduler.py:240 `raise HTTPException(status_code=404, detail=f"{job_id} 不存在")` 只檢查有沒有設定列；列名 scheduler.py:140 `"desc": _desc(job_id),`＋web/settings-scheduler.js:124 `const jobLabel = (id, desc) =&gt; JOB_ZH[id] || desc || id;`；暫停 scheduler.py:143 `"enabled": bool(row["enabled"]),` 只看排程列</t>
        </is>
      </c>
      <c r="I32" s="73" t="inlineStr">
        <is>
          <t>結案</t>
        </is>
      </c>
      <c r="J32" s="72" t="inlineStr">
        <is>
          <t>R2</t>
        </is>
      </c>
      <c r="K32" s="72" t="inlineStr">
        <is>
          <t>R2 複驗通過。附註：小瑕疵（不另開）：立即執行的 toast 仍寫「✓ 已排入執行 insight:7 #180」（job id 而非任務名）。本案花費 $0.0023063</t>
        </is>
      </c>
    </row>
    <row r="33" ht="15" customHeight="1" s="43">
      <c r="A33" s="72" t="inlineStr">
        <is>
          <t>DEF-031</t>
        </is>
      </c>
      <c r="B33" s="72" t="inlineStr">
        <is>
          <t>H-04／H-05</t>
        </is>
      </c>
      <c r="C33" s="73" t="inlineStr">
        <is>
          <t>洞察任務抽屜的「編輯標的」按鈕沒有功能，只跳出 toast「沿用既有標的選擇器（持倉＋觀察清單）」；任務建立後無法修改標的宇宙，R2 的修正指引也導向這顆按鈕</t>
        </is>
      </c>
      <c r="D33" s="73" t="inlineStr">
        <is>
          <t>中</t>
        </is>
      </c>
      <c r="E33" s="73" t="inlineStr">
        <is>
          <t>程式缺陷</t>
        </is>
      </c>
      <c r="F33" s="72" t="inlineStr">
        <is>
          <t>R1</t>
        </is>
      </c>
      <c r="G33" s="73" t="inlineStr">
        <is>
          <t>洞察管線 › 任一單一標的任務 › 點「② 輸入」節點開抽屜 → 「編輯標的」→ 只出現 toast「✓ 編輯標的 沿用既有標的選擇器（持倉＋觀察清單）」，沒有任何對話框或網路請求</t>
        </is>
      </c>
      <c r="H33" s="72" t="inlineStr">
        <is>
          <t>web/pipeline.js:463 `be.addEventListener('click', function () { window.toast('編輯標的', 'ok', '沿用既有標的選擇器（持倉＋觀察清單）'); });`（只有 toast）；:51 `edit_universe: { label: '編輯標的', run: function (t) { openDrawer(t, 'input'); } }`（修正動作導向同一顆按鈕）。後端 PUT /api/insight-tasks/{id} 本來就接受 universe，不缺端點</t>
        </is>
      </c>
      <c r="I33" s="73" t="inlineStr">
        <is>
          <t>結案</t>
        </is>
      </c>
      <c r="J33" s="72" t="inlineStr">
        <is>
          <t>R2</t>
        </is>
      </c>
      <c r="K33" s="72" t="n"/>
    </row>
    <row r="34" ht="15" customHeight="1" s="43">
      <c r="A34" s="72" t="inlineStr">
        <is>
          <t>DEF-032</t>
        </is>
      </c>
      <c r="B34" s="72" t="inlineStr">
        <is>
          <t>H-04</t>
        </is>
      </c>
      <c r="C34" s="73" t="inlineStr">
        <is>
          <t>新增洞察任務精靈的標的清單以「持倉列」而非「代號」計數：AAPL（嘉信＋Moomoo 兩帳戶）出現兩個勾選框，「全部持倉」顯示 14 檔・14 張卡・~$0.14，而既有單一標的任務與實際批次都是 13 檔 13 張</t>
        </is>
      </c>
      <c r="D34" s="73" t="inlineStr">
        <is>
          <t>低</t>
        </is>
      </c>
      <c r="E34" s="73" t="inlineStr">
        <is>
          <t>程式缺陷</t>
        </is>
      </c>
      <c r="F34" s="72" t="inlineStr">
        <is>
          <t>R1</t>
        </is>
      </c>
      <c r="G34" s="73" t="inlineStr">
        <is>
          <t>洞察管線 › ＋新增洞察任務 → 先不排程 → 單一標的 → 範圍選項顯示「全部持倉 14 檔」、管線預覽「產出 14 張洞察卡/次 估算成本 ~$0.14」→ 選「自選標的」清單出現兩個「AAPL 持倉」；既有任務卡「② 輸入 13 檔標的」，最近批次 13 卡</t>
        </is>
      </c>
      <c r="H34" s="72" t="inlineStr">
        <is>
          <t>web/pipeline-wizard.js:82 `REF.held = ((res[2] &amp;&amp; res[2].holdings) || []).map(function (h) { return h.symbol; });`（以持倉列而非代號）；portfolio_dash/api/insight_service.py:142（與 _resolve_universe_raw :1231）`return list(syms) if isinstance(syms, list) else []`（自選模式不去重）</t>
        </is>
      </c>
      <c r="I34" s="73" t="inlineStr">
        <is>
          <t>結案</t>
        </is>
      </c>
      <c r="J34" s="72" t="inlineStr">
        <is>
          <t>R2</t>
        </is>
      </c>
      <c r="K34" s="72" t="inlineStr">
        <is>
          <t>R2 複驗通過。附註：防護提醒：後端去重的變異測試 5 passed（沒有測試抓到後端回傳重複列），目前靠前端彙整；建議補後端契約測試</t>
        </is>
      </c>
    </row>
    <row r="35" ht="15" customHeight="1" s="43">
      <c r="A35" s="72" t="inlineStr">
        <is>
          <t>DEF-033</t>
        </is>
      </c>
      <c r="B35" s="72" t="inlineStr">
        <is>
          <t>H-03</t>
        </is>
      </c>
      <c r="C35" s="73" t="inlineStr">
        <is>
          <t>策略提示詞（分析模板）沒有版本記錄，也不能回復上一版；儲存直接覆寫，唯一的回復是「同步官方」</t>
        </is>
      </c>
      <c r="D35" s="73" t="inlineStr">
        <is>
          <t>中</t>
        </is>
      </c>
      <c r="E35" s="73" t="inlineStr">
        <is>
          <t>規格未定</t>
        </is>
      </c>
      <c r="F35" s="72" t="inlineStr">
        <is>
          <t>R1</t>
        </is>
      </c>
      <c r="G35" s="73" t="inlineStr">
        <is>
          <t>設定 › AI 提示詞 › 任一策略卡 → 修改內文 → 儲存（PUT /api/strategy-prompts/{id} 200）→ 卡片上只有 儲存／預覽提示詞／測試送出／同步官方 v2.5／封存，找不到版本清單或回復</t>
        </is>
      </c>
      <c r="H35" s="72" t="inlineStr">
        <is>
          <t>portfolio_dash/llm_insight/composer_store.py:319 `"UPDATE strategy_prompts SET name = ?, body = ?, enabled = ?, updated_at = ? "`——儲存與同步官方共用的唯一寫法直接覆寫內文，沒有任何版本資料；llm_insight/insights_store.py:292 的 INSERT 不記錄提示詞版本</t>
        </is>
      </c>
      <c r="I35" s="73" t="inlineStr">
        <is>
          <t>結案</t>
        </is>
      </c>
      <c r="J35" s="72" t="inlineStr">
        <is>
          <t>R3</t>
        </is>
      </c>
      <c r="K35" s="72" t="inlineStr">
        <is>
          <t>Owner 裁定（2026-09-24）：策略提示詞做完整版本記錄：每次儲存留一版，可檢視差異並回復任一版，洞察卡記錄生成時使用的版本。 處置：改程式；H-03 期望不變
R3 複驗通過（黑箱＋驗證者變異）。附註：本測試在 demo 留下策略 5 的 v2、v3 兩筆版本紀錄（只增不改的設計，內文已回到原文），屬預期寫入</t>
        </is>
      </c>
    </row>
    <row r="36" ht="15" customHeight="1" s="43">
      <c r="A36" s="72" t="inlineStr">
        <is>
          <t>DEF-034</t>
        </is>
      </c>
      <c r="B36" s="72" t="inlineStr">
        <is>
          <t>F-03</t>
        </is>
      </c>
      <c r="C36" s="73" t="inlineStr">
        <is>
          <t>系統設定 › AI 與額度：每儲存一次低額度警示閾值，「代號查無時自動 AI 辨識」開關就多綁一個點擊監聽，之後點一下會送出多次 PUT、跳出多個相同 toast</t>
        </is>
      </c>
      <c r="D36" s="73" t="inlineStr">
        <is>
          <t>低</t>
        </is>
      </c>
      <c r="E36" s="73" t="inlineStr">
        <is>
          <t>程式缺陷</t>
        </is>
      </c>
      <c r="F36" s="72" t="inlineStr">
        <is>
          <t>R1</t>
        </is>
      </c>
      <c r="G36" s="73" t="inlineStr">
        <is>
          <t>開啟 系統設定 › AI 與額度 → 把低額度警示改成 1.50 並離開欄位 → 再改回 1.00 → 點一下「代號查無時自動 AI 辨識」開關 → 送出 3 次 PUT /api/ui-prefs {auto_ai_resolve:false}、出現 3 個「已儲存 不再自動 AI 辨識…」toast；重新整理頁面後只點開關則為 1 次</t>
        </is>
      </c>
      <c r="H36" s="72" t="inlineStr">
        <is>
          <t>web/settings-llm.js:611 `initAutoAiToggle();`（位在 boot() 內，存閾值／模型／角色／加值都會 await boot()）＋:627 `t.addEventListener('click', async () =&gt; {` 沒有防重複</t>
        </is>
      </c>
      <c r="I36" s="73" t="inlineStr">
        <is>
          <t>結案</t>
        </is>
      </c>
      <c r="J36" s="72" t="inlineStr">
        <is>
          <t>R2</t>
        </is>
      </c>
      <c r="K36" s="72" t="n"/>
    </row>
    <row r="37" ht="15" customHeight="1" s="43">
      <c r="A37" s="72" t="inlineStr">
        <is>
          <t>DEF-035</t>
        </is>
      </c>
      <c r="B37" s="72" t="inlineStr">
        <is>
          <t>F-04</t>
        </is>
      </c>
      <c r="C37" s="72" t="inlineStr">
        <is>
          <t>AI 輸入的解析草稿不能逐列編輯（每格都是純文字，只能勾選），帳戶欄顯示 API 原名「tw_broker」「schwab」</t>
        </is>
      </c>
      <c r="D37" s="73" t="inlineStr">
        <is>
          <t>中</t>
        </is>
      </c>
      <c r="E37" s="73" t="inlineStr">
        <is>
          <t>程式缺陷</t>
        </is>
      </c>
      <c r="F37" s="72" t="inlineStr">
        <is>
          <t>R1</t>
        </is>
      </c>
      <c r="G37" s="73" t="inlineStr">
        <is>
          <t>交易帳本 › AI 輸入 → 貼上「2026/09/22 台灣券商 買進 玉山金 2884 100股 成交價 46.45」等文字 → 解析 → 草稿表格列出「tw_broker 2026-09-22 買 2884 玉山金控 100 46.45 20 0 ✓ 解析完整」；點擊或雙擊任何儲存格都沒有輸入框，列內只有 checkbox</t>
        </is>
      </c>
      <c r="H37" s="72" t="inlineStr">
        <is>
          <t>web/input.js:1773/1808/1825（修前）`tr.appendChild(el('td', 'col-text', d.account_id || ''));`（三張 AI 草稿表以原始 id 輸出）；無法編輯：portfolio_dash/api/routers/input_center.py:1554（HEAD）AI 門 `if not body.text.strip() and not images:` 只接受文字或截圖，前端只拿得到 CSV 字串，沒有可編輯的結構化草稿</t>
        </is>
      </c>
      <c r="I37" s="73" t="inlineStr">
        <is>
          <t>結案</t>
        </is>
      </c>
      <c r="J37" s="72" t="inlineStr">
        <is>
          <t>R2</t>
        </is>
      </c>
      <c r="K37" s="72" t="n"/>
    </row>
    <row r="38" ht="15" customHeight="1" s="43">
      <c r="A38" s="72" t="inlineStr">
        <is>
          <t>DEF-036</t>
        </is>
      </c>
      <c r="B38" s="72" t="inlineStr">
        <is>
          <t>F-05</t>
        </is>
      </c>
      <c r="C38" s="72" t="inlineStr">
        <is>
          <t>AI 輸入不檢查文字中的金額矛盾：「100股 成交價 46 成交金額 50,000 元」被判「✓ 解析完整」（實際 4,600 元），50,000 只放進備註、沒有標示</t>
        </is>
      </c>
      <c r="D38" s="73" t="inlineStr">
        <is>
          <t>中</t>
        </is>
      </c>
      <c r="E38" s="73" t="inlineStr">
        <is>
          <t>程式缺陷</t>
        </is>
      </c>
      <c r="F38" s="72" t="inlineStr">
        <is>
          <t>R1</t>
        </is>
      </c>
      <c r="G38" s="73" t="inlineStr">
        <is>
          <t>交易帳本 › AI 輸入 → 貼上「2026/09/22 台灣券商 買進 玉山金 2884 100股 成交價 46 成交金額 50,000 元」→ 解析 → 草稿「tw_broker 2026-09-22 買 2884 100 46.00 20 0 ✓ 解析完整」，API data.note＝「成交金額 50,000 元」，status ok</t>
        </is>
      </c>
      <c r="H38" s="72" t="inlineStr">
        <is>
          <t>portfolio_dash/data_ingestion/agents.py:92（HEAD）`note: str | None = None`——TxnDraft 唯一能放「成交金額 50,000 元」的地方，寫入門不讀 note；schema extra="forbid"，模型無處可放這個數字</t>
        </is>
      </c>
      <c r="I38" s="73" t="inlineStr">
        <is>
          <t>結案</t>
        </is>
      </c>
      <c r="J38" s="72" t="inlineStr">
        <is>
          <t>R2</t>
        </is>
      </c>
      <c r="K38" s="72" t="n"/>
    </row>
    <row r="39" ht="15" customHeight="1" s="43">
      <c r="A39" s="72" t="inlineStr">
        <is>
          <t>DEF-037</t>
        </is>
      </c>
      <c r="B39" s="72" t="inlineStr">
        <is>
          <t>G-09</t>
        </is>
      </c>
      <c r="C39" s="73" t="inlineStr">
        <is>
          <t>預警觸發產卡：帳戶層級的 fx_drift 預警被當成個股派發，產生代號為「moomoo_my」的洞察卡（內容為模型臆測）；各張卡也沒有記錄是哪條預警觸發，卡片與預警無法互查</t>
        </is>
      </c>
      <c r="D39" s="73" t="inlineStr">
        <is>
          <t>中</t>
        </is>
      </c>
      <c r="E39" s="73" t="inlineStr">
        <is>
          <t>程式缺陷</t>
        </is>
      </c>
      <c r="F39" s="72" t="inlineStr">
        <is>
          <t>R1</t>
        </is>
      </c>
      <c r="G39" s="73" t="inlineStr">
        <is>
          <t>觀察清單把 2884 目標下限設 50 → 系統設定 › 排程中心 › alert_scan › 立即執行 → run #158「35 alert(s)…, 18 dispatched」→ AI 洞察 › 持倉健診 出現「moomoo_my ｜ Moomoo 交易商警示 ｜ 收到 moomoo 交易商的『服務不可用』警示…」卡；2884 的新卡 #207 標題「玉山金(2884) - RSI過熱警示」，卡片 API 欄位（id, insight_type_id, symbol, title, summary, body_md, tags, confidence, prediction, figure_flags, horizon_days, due_at, model, cost_usd, tokens…）沒有觸發規則或預警 id</t>
        </is>
      </c>
      <c r="H39" s="72" t="inlineStr">
        <is>
          <t>portfolio_dash/scheduler/jobs.py:918 `conn, rule_id=alert.rule, symbol=_alert_symbol(alert), now=now,`（:888 _alert_symbol 取 id 冒號後綴當代號，docstring 自舉 fx_drift:schwab）；portfolio_dash/llm_insight/alerts_bridge.py:285 `fired_symbol=event.symbol,`（任何後綴都當代號派發）；portfolio_dash/llm_insight/generate.py:368 `alert_note = _ON_ALERT_NOTE if is_alert else ""`（沒把觸發的預警餵給模型）；api/insight_service.py:918 `rule_id="calibration_regression", symbol=str(it.id)`（任務 id 存進代號欄，同類）</t>
        </is>
      </c>
      <c r="I39" s="73" t="inlineStr">
        <is>
          <t>結案</t>
        </is>
      </c>
      <c r="J39" s="72" t="inlineStr">
        <is>
          <t>R2</t>
        </is>
      </c>
      <c r="K39" s="72" t="inlineStr">
        <is>
          <t>R2 複驗通過。附註：①R1 產生的錯誤卡（symbol＝moomoo_my、「Moomoo 交易商警示」）仍留在持倉健診清單，建議清除或隱藏；②排程中心詳情的帳戶記號顯示為原始 id「fx_drift 帳戶 moomoo_my」——settings.html 沒載入 names.js，另開 DEF-044；③只在觀察清單的標的仍因 drawdown_from_peak 列入預警（依 OBS-2 裁定下一輪改為只派發持有中的標的）</t>
        </is>
      </c>
    </row>
    <row r="40" ht="15" customHeight="1" s="43">
      <c r="A40" s="72" t="inlineStr">
        <is>
          <t>DEF-038</t>
        </is>
      </c>
      <c r="B40" s="72" t="inlineStr">
        <is>
          <t>E-01（附帶）</t>
        </is>
      </c>
      <c r="C40" s="73" t="inlineStr">
        <is>
          <t>介面殘留文案與錯誤連結：儀表板「⟳重新整理」tooltip 寫「更新報價或重建統計（後端接線後生效）」，功能其實已可用；洞察管線「進化設定」卡片連到 settings.html，落在「帳戶與費率」分頁而不是「自我進化設定」面板</t>
        </is>
      </c>
      <c r="D40" s="73" t="inlineStr">
        <is>
          <t>低</t>
        </is>
      </c>
      <c r="E40" s="73" t="inlineStr">
        <is>
          <t>程式缺陷</t>
        </is>
      </c>
      <c r="F40" s="72" t="inlineStr">
        <is>
          <t>R1</t>
        </is>
      </c>
      <c r="G40" s="73" t="inlineStr">
        <is>
          <t>① 儀表板 → 滑鼠移到右上「⟳重新整理▾」→ tooltip「更新報價或重建統計（後端接線後生效）」，但選單內「更新報價」實際可執行（E-01）；② 洞察管線中心 → 點「進化設定 5 項安全邊界」→ 進到系統設定首頁（帳戶與費率），需自行切到「AI 提示詞」捲到最下方才看到「自我進化設定」</t>
        </is>
      </c>
      <c r="H40" s="72" t="inlineStr">
        <is>
          <t>① web/shell.js:425 `btn.title = '更新報價或重建統計（後端接線後生效）';`；② web/pipeline-hub.html:47 `&lt;a class="pp-asset" href="settings.html"&gt;`，且 settings.html 的 hash 路由只認分頁名，帶 #prompts 也只落在分頁頂端，到不了自我進化設定面板</t>
        </is>
      </c>
      <c r="I40" s="73" t="inlineStr">
        <is>
          <t>結案</t>
        </is>
      </c>
      <c r="J40" s="72" t="inlineStr">
        <is>
          <t>R2</t>
        </is>
      </c>
      <c r="K40" s="72" t="n"/>
    </row>
    <row r="41" ht="15" customHeight="1" s="43">
      <c r="A41" s="72" t="inlineStr">
        <is>
          <t>DEF-039</t>
        </is>
      </c>
      <c r="B41" s="72" t="inlineStr">
        <is>
          <t>I-10（附帶）</t>
        </is>
      </c>
      <c r="C41" s="73" t="inlineStr">
        <is>
          <t>券商對帳單（Schwab）轉換頁的期初缺口／帳本持股提示直接印出後端 Decimal 原文（小數 28 位），未依股數格式化</t>
        </is>
      </c>
      <c r="D41" s="73" t="inlineStr">
        <is>
          <t>低</t>
        </is>
      </c>
      <c r="E41" s="73" t="inlineStr">
        <is>
          <t>程式缺陷</t>
        </is>
      </c>
      <c r="F41" s="72" t="inlineStr">
        <is>
          <t>R2</t>
        </is>
      </c>
      <c r="G41" s="73" t="inlineStr">
        <is>
          <t>交易帳本 › CSV 匯入 › 券商對帳單 → 上傳 Schwab 對帳單轉換 → 賣超列的期初缺口提示（DEF-027 修法新增、改讀帳本持股）顯示持股為 28 位小數的原始字串；缺口數字本身正確（914.96 股）</t>
        </is>
      </c>
      <c r="H41" s="72" t="inlineStr">
        <is>
          <t>web/broker-import.js:600 `'帳本' + asOf + '已持有 ' + o.ledger_shares + ' 股'`（同段 :601、:607、:608 與 placeholder 共 7 處把後端 Decimal 原字串直接拼進句子；ledger_shares 是帳本重播出的持股，DRIP 商數帶 28 位小數）</t>
        </is>
      </c>
      <c r="I41" s="73" t="inlineStr">
        <is>
          <t>結案</t>
        </is>
      </c>
      <c r="J41" s="72" t="inlineStr">
        <is>
          <t>R3</t>
        </is>
      </c>
      <c r="K41" s="72" t="inlineStr">
        <is>
          <t>R2 複驗 DEF-027 時發現。同類：/api/input/holdings 的 shares 本來就是 Decimal 原文（例 AAPL 10.00645756457564575645756458），前端凡直接拼字串處都會出現，建議一併掃描
R3 複驗通過（黑箱＋驗證者變異）</t>
        </is>
      </c>
    </row>
    <row r="42" ht="15" customHeight="1" s="43">
      <c r="A42" s="72" t="inlineStr">
        <is>
          <t>DEF-040</t>
        </is>
      </c>
      <c r="B42" s="72" t="inlineStr">
        <is>
          <t>D-10（OBS-1 裁定）</t>
        </is>
      </c>
      <c r="C42" s="73" t="inlineStr">
        <is>
          <t>分拆（SPINOFF）登錄時寫入的子公司起始價（_seed_child_price）在刪除該公司行動時不會移除</t>
        </is>
      </c>
      <c r="D42" s="73" t="inlineStr">
        <is>
          <t>低</t>
        </is>
      </c>
      <c r="E42" s="73" t="inlineStr">
        <is>
          <t>規格未定</t>
        </is>
      </c>
      <c r="F42" s="72" t="inlineStr">
        <is>
          <t>R2</t>
        </is>
      </c>
      <c r="G42" s="73" t="inlineStr">
        <is>
          <t>開發者 R2 交接提出的觀察 OBS-1：公司行動 › 原持股不變另拿到新股 → 登錄時於 commit 後寫入子公司起始價 → 刪除該行動，子公司價格仍留在價格表</t>
        </is>
      </c>
      <c r="H42" s="72" t="inlineStr">
        <is>
          <t>portfolio_dash/api/routers/ledgers.py:2172 `delete_corporate_action(conn, a.id, commit=False)`——_delete_actions 沒有對應移除分拆登錄時寫入的子公司起始價（:1954 `close=close, source="manual")],`）
R4（複驗未過）：portfolio_dash/pricing/seed.py:74 `upsert_prices(`——write_seed_price 經 upsert_prices 的 ON CONFLICT DO UPDATE 整列取代同日正式報價、不留原列；seed.py:116 `if not _is_seed(source, fetched_at, on):`——刪除只看該列「現在是否帶種子簽章」，分不出是不是這筆行動寫的（綁定點 api/routers/ledgers.py:2021 `write_seed_price(conn, symbol=inst.symbol, market=inst.market, on=inp.date,`；:2278 still_used 只以 to_symbol＋date 判定）</t>
        </is>
      </c>
      <c r="I42" s="73" t="inlineStr">
        <is>
          <t>結案</t>
        </is>
      </c>
      <c r="J42" s="72" t="inlineStr">
        <is>
          <t>R4</t>
        </is>
      </c>
      <c r="K42" s="72" t="inlineStr">
        <is>
          <t>Owner 裁定（2026-09-24）：刪除該公司行動時一併移除它寫入、且之後未被正式報價覆蓋的子公司起始價（與目標價「條件可逆」同一規則，不可逆時在刪除框與 toast 說明原因）。手冊 D-10 期望補「子公司起始價」
R3 部分通過：修法方向（二擇一，建議 A）：A. 寫入前若該日已有非種子的正式報價就不寫入起始價，回應 child_priced null 並在表單／toast 說明「2882 在 2026-09-20 已有正式報價 112.0，起始價未寫入」；B. 寫入時把被覆蓋的原列存進 corporate_actions（如 seed_replaced_json），刪除時放回。補一則測試：當日先有 provider 報價 → 存檔＋刪除後該列逐字相同。探測檔見驗證者本機 test_qa_r3_seed_over_quote.py（內容已寫在本欄）（規格見 docs/audit/2026-09-24-r3-dev-specs.md §1）
R4 複驗通過（黑箱＋驗證者變異）。附註：owner 2026-09-25 裁定 ④：R2／R3 留下的孤兒起始價寫清理腳本 → 開 DEF-063</t>
        </is>
      </c>
    </row>
    <row r="43" ht="15" customHeight="1" s="43">
      <c r="A43" s="72" t="inlineStr">
        <is>
          <t>DEF-041</t>
        </is>
      </c>
      <c r="B43" s="72" t="inlineStr">
        <is>
          <t>G-09（OBS-2 裁定）</t>
        </is>
      </c>
      <c r="C43" s="73" t="inlineStr">
        <is>
          <t>預警觸發的「持倉提點」會替只在觀察清單、未持有的標的產卡（drawdown_from_peak）</t>
        </is>
      </c>
      <c r="D43" s="73" t="inlineStr">
        <is>
          <t>低</t>
        </is>
      </c>
      <c r="E43" s="73" t="inlineStr">
        <is>
          <t>規格未定</t>
        </is>
      </c>
      <c r="F43" s="72" t="inlineStr">
        <is>
          <t>R2</t>
        </is>
      </c>
      <c r="G43" s="73" t="inlineStr">
        <is>
          <t>系統設定 › 排程中心 › alert_scan 立即執行 → 預警清單含 drawdown_from_peak:1234／1235／2308／2323／2331／2608／SPCX（皆為觀察標的）→ R1 時這些都產了「持倉提點」卡</t>
        </is>
      </c>
      <c r="H43" s="72" t="inlineStr">
        <is>
          <t>portfolio_dash/llm_insight/alerts_bridge.py:375 `for it in subscribers:`（緊接 :368 `scope, fired_symbol = card_target(event)`，中間沒有「是否持有」的判斷）</t>
        </is>
      </c>
      <c r="I43" s="73" t="inlineStr">
        <is>
          <t>結案</t>
        </is>
      </c>
      <c r="J43" s="72" t="inlineStr">
        <is>
          <t>R3</t>
        </is>
      </c>
      <c r="K43" s="72" t="inlineStr">
        <is>
          <t>Owner 裁定（2026-09-24）：預警觸發的「持倉提點」只派發持有中的標的；觀察標的的預警仍列在預警清單，但不產卡。手冊 G-09 補「僅持有中的標的會產卡」
R3 複驗通過（黑箱＋驗證者變異）。附註：owner 決策項 ⑤（mode:all_registered 任務是否排除已封存標的）見本輪裁定</t>
        </is>
      </c>
    </row>
    <row r="44" ht="15" customHeight="1" s="43">
      <c r="A44" s="72" t="inlineStr">
        <is>
          <t>DEF-042</t>
        </is>
      </c>
      <c r="B44" s="72" t="inlineStr">
        <is>
          <t>B-17（OBS-3 裁定）</t>
        </is>
      </c>
      <c r="C44" s="73" t="inlineStr">
        <is>
          <t>帳本「編輯」更正交易不走 validate_transaction：新增時的日期類提示（早於期初建檔日、早於帳本起點、未來日期）與賣超確認在更正時都不會出現</t>
        </is>
      </c>
      <c r="D44" s="73" t="inlineStr">
        <is>
          <t>中</t>
        </is>
      </c>
      <c r="E44" s="73" t="inlineStr">
        <is>
          <t>規格未定</t>
        </is>
      </c>
      <c r="F44" s="72" t="inlineStr">
        <is>
          <t>R2</t>
        </is>
      </c>
      <c r="G44" s="73" t="inlineStr">
        <is>
          <t>交易帳本 › 交易 › 任一列「編輯」→ 把日期改到該標的期初建檔日之前 → 儲存（PUT /api/ledgers/transactions/{id}）直接成功，沒有 DEF-014 新增的提示</t>
        </is>
      </c>
      <c r="H44" s="72" t="inlineStr">
        <is>
          <t>portfolio_dash/api/routers/ledgers.py:675-676 `would_be = [edited if t.id == txn_id else t for t in list_transactions(conn)]`／`blocked = _replay_guard(conn, ack_oversell=body.ack_oversell, txs=would_be)`——更正門改完直接進重播防護，從未呼叫 validate_transaction；web/ledger.js:490 編輯框呼叫的是「新增一筆」的預覽（把本列算兩次），:430 `const EDIT_ISSUE_DROP = ['sell_exceeds_holdings', 'cash_overdraft'];` 只好丟掉結果</t>
        </is>
      </c>
      <c r="I44" s="73" t="inlineStr">
        <is>
          <t>結案</t>
        </is>
      </c>
      <c r="J44" s="72" t="inlineStr">
        <is>
          <t>R3</t>
        </is>
      </c>
      <c r="K44" s="72" t="inlineStr">
        <is>
          <t>Owner 裁定（2026-09-24）：帳本「編輯」更正也走同一個 validate_transaction，警告與確認流程與新增一致。手冊 B-17 補「編輯更正同樣提示」。R2 J-03 實測：編輯 #104 價格 46→50 走 PUT，ack_oversell 參數存在但無日期類檢核
R3 複驗通過（黑箱＋驗證者變異）。附註：依開發者自述，軟性警告只由畫面把關、伺服器只擋硬錯與賣超（owner 決策項 ⑪，見本輪裁定）</t>
        </is>
      </c>
    </row>
    <row r="45" ht="15" customHeight="1" s="43">
      <c r="A45" s="72" t="inlineStr">
        <is>
          <t>DEF-043</t>
        </is>
      </c>
      <c r="B45" s="72" t="inlineStr">
        <is>
          <t>H-05（附帶）</t>
        </is>
      </c>
      <c r="C45" s="73" t="inlineStr">
        <is>
          <t>預警觸發（on_alert）任務的觸發節點與乾跑預檢 G1 顯示「未排程（手動）不會自動執行」並列為需注意，實際上它會在預警命中時自動執行</t>
        </is>
      </c>
      <c r="D45" s="73" t="inlineStr">
        <is>
          <t>低</t>
        </is>
      </c>
      <c r="E45" s="73" t="inlineStr">
        <is>
          <t>程式缺陷</t>
        </is>
      </c>
      <c r="F45" s="72" t="inlineStr">
        <is>
          <t>R2</t>
        </is>
      </c>
      <c r="G45" s="73" t="inlineStr">
        <is>
          <t>洞察管線 → 「持倉提點」卡（標籤「預警觸發」）的 ① 觸發節點寫「未排程（手動） 不會自動執行」，頁首「任務狀態 3 個需注意」把它算進去；同一任務 R2 alert_scan #183 確實自動派發了 run #184</t>
        </is>
      </c>
      <c r="H45" s="72" t="inlineStr">
        <is>
          <t>portfolio_dash/llm_insight/pipeline_status.py:86-87 `if not f.scheduled: return NodeState(lv="warn", text="未排程（手動）", sub="不會自動執行")`——_trigger 只看 scheduled，未考慮 scope=on_alert</t>
        </is>
      </c>
      <c r="I45" s="73" t="inlineStr">
        <is>
          <t>結案</t>
        </is>
      </c>
      <c r="J45" s="72" t="inlineStr">
        <is>
          <t>R3</t>
        </is>
      </c>
      <c r="K45" s="73" t="inlineStr">
        <is>
          <t>定位：portfolio_dash/llm_insight/pipeline_status.py:86-87 `_trigger` 只看 f.scheduled，未考慮 scope=on_alert（R1 版本 755c88a 同樣寫法，R1 漏報）
R3 複驗通過（黑箱＋驗證者變異）。附註：新發現（另開 DEF-058）：同頁「最近批次 2026-09-24 21:40・7 卡 本批成本 $0.001」——7 張卡來自 7 個 run，合計 $0.0050487，但成本只取最後一個 run（0.0005979）。owner 決策項 ⑧（alert_scan 停用時預警觸發任務改顯示警告）見本輪裁定</t>
        </is>
      </c>
    </row>
    <row r="46" ht="15" customHeight="1" s="43">
      <c r="A46" s="72" t="inlineStr">
        <is>
          <t>DEF-044</t>
        </is>
      </c>
      <c r="B46" s="72" t="inlineStr">
        <is>
          <t>G-09（附帶）／J-06</t>
        </is>
      </c>
      <c r="C46" s="73" t="inlineStr">
        <is>
          <t>帳戶記號縫在 5 個頁面失效：settings／insights／instruments／news／data-center 未載入 names.js，{account:id} 退化成原始 id（例：排程中心「fx_drift 帳戶 moomoo_my」）</t>
        </is>
      </c>
      <c r="D46" s="73" t="inlineStr">
        <is>
          <t>低</t>
        </is>
      </c>
      <c r="E46" s="73" t="inlineStr">
        <is>
          <t>程式缺陷</t>
        </is>
      </c>
      <c r="F46" s="72" t="inlineStr">
        <is>
          <t>R2</t>
        </is>
      </c>
      <c r="G46" s="73" t="inlineStr">
        <is>
          <t>系統設定 › 排程中心 → alert_scan 詳情「略過 1 條非個股預警（不產個股卡）：fx_drift 帳戶 moomoo_my」（API 原文 {account:moomoo_my}）；web/*.html 掃描：settings.html、insights.html、instruments.html、news.html、data-center.html 有 api.js 無 names.js</t>
        </is>
      </c>
      <c r="H46" s="72" t="inlineStr">
        <is>
          <t>web/api.js:49 `return s.replace(ACCOUNT_REF, (m, id) =&gt; id);`（names.js 缺席時無聲退化成原始 id）＋ 5 頁只載 api.js 未載 names.js：web/settings.html:643、web/insights.html:243、web/instruments.html:119、web/news.html:116、web/data-center.html:98</t>
        </is>
      </c>
      <c r="I46" s="73" t="inlineStr">
        <is>
          <t>結案</t>
        </is>
      </c>
      <c r="J46" s="72" t="inlineStr">
        <is>
          <t>R3</t>
        </is>
      </c>
      <c r="K46" s="73" t="inlineStr">
        <is>
          <t>定位：web/api.js:49 `return s.replace(ACCOUNT_REF, (m, id) =&gt; id);`（names.js 缺席時的退化路徑）＋ 上列 5 個 html 未載入 names.js。DEF-023 的類別修法（帳戶記號縫）只在有 names.js 的頁面生效；守門測試沒有檢查「用到 api.js 的頁面都載入 names.js」
R3 複驗通過（黑箱＋驗證者變異）</t>
        </is>
      </c>
    </row>
    <row r="47" ht="15" customHeight="1" s="43">
      <c r="A47" s="72" t="inlineStr">
        <is>
          <t>DEF-045</t>
        </is>
      </c>
      <c r="B47" s="72" t="inlineStr">
        <is>
          <t>J-04（附帶）／J-06</t>
        </is>
      </c>
      <c r="C47" s="73" t="inlineStr">
        <is>
          <t>帳本報告（可列印 HTML）的帳戶欄用 API 英文名「TW Broker」「Charles Schwab」，與畫面的中文顯示名（台灣券商、嘉信 Schwab）不一致</t>
        </is>
      </c>
      <c r="D47" s="73" t="inlineStr">
        <is>
          <t>低</t>
        </is>
      </c>
      <c r="E47" s="73" t="inlineStr">
        <is>
          <t>程式缺陷</t>
        </is>
      </c>
      <c r="F47" s="72" t="inlineStr">
        <is>
          <t>R2</t>
        </is>
      </c>
      <c r="G47" s="73" t="inlineStr">
        <is>
          <t>交易帳本 › ⎙匯出報告 → ledger-report-20260924-0259.html 各帳本表的帳戶欄為「TW Broker」「Charles Schwab」</t>
        </is>
      </c>
      <c r="H47" s="72" t="inlineStr">
        <is>
          <t>portfolio_dash/export/ledgers_report.py:439 `accts = {a.account_id: a.name for a in list_accounts(conn)}`；同類 portfolio_dash/export/cash_statement.py:266 `f"帳戶 {_esc(acct_name)}（{_esc(account_id)}）",`（名稱來自 :97／:282 同樣的 dict）</t>
        </is>
      </c>
      <c r="I47" s="73" t="inlineStr">
        <is>
          <t>結案</t>
        </is>
      </c>
      <c r="J47" s="72" t="inlineStr">
        <is>
          <t>R3</t>
        </is>
      </c>
      <c r="K47" s="73" t="inlineStr">
        <is>
          <t>定位：portfolio_dash/export/ledgers_report.py:439 `accts = {a.account_id: a.name for a in list_accounts(conn)}`（161／207／258／295／352／406 行使用）。與 DEF-008／023 同類（帳戶顯示名單一來源），後端守門未涵蓋 export 模組
R3 複驗通過（黑箱＋驗證者變異）</t>
        </is>
      </c>
    </row>
    <row r="48" ht="15" customHeight="1" s="43">
      <c r="A48" s="72" t="inlineStr">
        <is>
          <t>DEF-046</t>
        </is>
      </c>
      <c r="B48" s="72" t="inlineStr">
        <is>
          <t>G-09（資料殘留）</t>
        </is>
      </c>
      <c r="C48" s="72" t="inlineStr">
        <is>
          <t>R1 的 DEF-037 缺陷產生的錯誤洞察卡 #207（symbol＝moomoo_my，內容為模型臆測的「Moomoo 交易商警示」）仍列在 AI 洞察 › 持倉健診</t>
        </is>
      </c>
      <c r="D48" s="73" t="inlineStr">
        <is>
          <t>低</t>
        </is>
      </c>
      <c r="E48" s="73" t="inlineStr">
        <is>
          <t>資料殘留</t>
        </is>
      </c>
      <c r="F48" s="72" t="inlineStr">
        <is>
          <t>R2</t>
        </is>
      </c>
      <c r="G48" s="72" t="inlineStr">
        <is>
          <t>AI 洞察 › 持倉健診 → 仍可看到 moomoo_my 卡；開發者交接備註：卡片表只增不改所以保留，舊卡 trigger=null</t>
        </is>
      </c>
      <c r="H48" s="73" t="inlineStr">
        <is>
          <t>資料殘留：R2 修復前 portfolio_dash/scheduler/jobs.py:918（e6fd9f4^）`conn, rule_id=alert.rule, symbol=_alert_symbol(alert), now=now,` 把帳戶代號當 symbol 產卡（R2 已刪）；卡片只增不改、沒有刪卡的資料門，所以留著。⚠ 更正：錯卡是 #192（symbol moomoo_my「Moomoo 交易商警示」），不是 #207——#207 是正常的 2884 預警卡，R2 交接備註的卡號寫錯</t>
        </is>
      </c>
      <c r="I48" s="73" t="inlineStr">
        <is>
          <t>結案</t>
        </is>
      </c>
      <c r="J48" s="72" t="inlineStr">
        <is>
          <t>R3</t>
        </is>
      </c>
      <c r="K48" s="72" t="inlineStr">
        <is>
          <t>Owner 裁定（2026-09-24）：刪除該卡（先備份，連同其評分紀錄一併處理並寫稽核紀錄）。程式已修（DEF-037 結案），本項只清資料
R3 複驗通過（黑箱＋驗證者變異）。附註：驗證者 R2 交接把錯卡記成 #207，是驗證者的錯誤，已於本輪交接紀錄更正</t>
        </is>
      </c>
    </row>
    <row r="49" ht="15" customHeight="1" s="43">
      <c r="A49" s="72" t="inlineStr">
        <is>
          <t>DEF-047</t>
        </is>
      </c>
      <c r="B49" s="72" t="inlineStr">
        <is>
          <t>C-01（附帶）</t>
        </is>
      </c>
      <c r="C49" s="73" t="inlineStr">
        <is>
          <t>收件匣「重新偵測」把本來就不配息的標的（TSLA：yfinance 無配息資料）算成「失敗」，整次偵測以警告色顯示「部分標的失敗」</t>
        </is>
      </c>
      <c r="D49" s="73" t="inlineStr">
        <is>
          <t>低</t>
        </is>
      </c>
      <c r="E49" s="73" t="inlineStr">
        <is>
          <t>規格未定</t>
        </is>
      </c>
      <c r="F49" s="72" t="inlineStr">
        <is>
          <t>R2</t>
        </is>
      </c>
      <c r="G49" s="73" t="inlineStr">
        <is>
          <t>收件匣 › 待確認匯入 › 重新偵測 → toast「! 偵測完成（部分標的失敗）14 檔事件已更新，1 檔失敗（TSLA：yfinance 無配息資料）・待確認 7 筆」</t>
        </is>
      </c>
      <c r="H49" s="72" t="inlineStr">
        <is>
          <t>portfolio_dash/pricing/registry.py:144 `failed.append(ref.symbol)`（位於 `if not filled:` 之下——provider 丟例外（:136-138）與回傳空序列（:142 `tried.append(_failure_phrase(provider.name, None))`）一律記成失敗）</t>
        </is>
      </c>
      <c r="I49" s="73" t="inlineStr">
        <is>
          <t>結案</t>
        </is>
      </c>
      <c r="J49" s="72" t="inlineStr">
        <is>
          <t>R3</t>
        </is>
      </c>
      <c r="K49" s="72" t="inlineStr">
        <is>
          <t>Owner 裁定（2026-09-24）：無配息不算失敗——「來源回應成功但沒有配息紀錄」列為正常（例如顯示「1 檔無配息紀錄」），只有真正抓取失敗才算失敗並用警告色
R3 複驗通過（黑箱＋驗證者變異）。附註：owner 決策項 ⑨（一來源無資料、另一來源失敗的混合情形歸「無配息紀錄」）見本輪裁定；DEF-039 同類抽驗：收件匣每股配息已格式化（0.310、7.00、0.25）</t>
        </is>
      </c>
    </row>
    <row r="50" ht="15" customHeight="1" s="43">
      <c r="A50" s="72" t="inlineStr">
        <is>
          <t>DEF-048</t>
        </is>
      </c>
      <c r="B50" s="72" t="inlineStr">
        <is>
          <t>B-17（附帶）</t>
        </is>
      </c>
      <c r="C50" s="73" t="inlineStr">
        <is>
          <t>手動交易草稿的「持股 A → B／均價」用今天的持股計算，補登過去日期時與交易日當時不符（2884 補登 2025-01-02 買 100：當時 0 股，草稿寫 100 → 200）</t>
        </is>
      </c>
      <c r="D50" s="73" t="inlineStr">
        <is>
          <t>低</t>
        </is>
      </c>
      <c r="E50" s="73" t="inlineStr">
        <is>
          <t>規格未定</t>
        </is>
      </c>
      <c r="F50" s="72" t="inlineStr">
        <is>
          <t>R2</t>
        </is>
      </c>
      <c r="G50" s="73" t="inlineStr">
        <is>
          <t>交易帳本 › 手動交易 → 台灣券商 2884 買 100@30、日期 2025-01-02 → 草稿「持股 100 → 200、原始均價 93.20 → 61.70」；帳本最早紀錄 2026-01-05，當時應為 0 → 100</t>
        </is>
      </c>
      <c r="H50" s="72" t="inlineStr">
        <is>
          <t>portfolio_dash/api/routers/input_center.py:829（及 :805、:822）`**_old_position_fields(held),`——草稿的「原」持股取今天的部位；:729 `final = next((h for h in after.holdings if (h.account_id, h.symbol) == key), None)`——「新」取整本帳終點</t>
        </is>
      </c>
      <c r="I50" s="73" t="inlineStr">
        <is>
          <t>結案</t>
        </is>
      </c>
      <c r="J50" s="72" t="inlineStr">
        <is>
          <t>R3</t>
        </is>
      </c>
      <c r="K50" s="72" t="inlineStr">
        <is>
          <t>Owner 裁定（2026-09-24）：改用交易日持股——草稿依帳本重播到交易日，顯示當時的持股與均價，與寫入後的結果一致。寫入後帳本以日期重播，數字本來就正確，只有預覽會誤導
R3 複驗通過（黑箱＋驗證者變異）</t>
        </is>
      </c>
    </row>
    <row r="51" ht="15" customHeight="1" s="43">
      <c r="A51" s="72" t="inlineStr">
        <is>
          <t>DEF-049</t>
        </is>
      </c>
      <c r="B51" s="72" t="inlineStr">
        <is>
          <t>I-08（附帶）</t>
        </is>
      </c>
      <c r="C51" s="73" t="inlineStr">
        <is>
          <t>匯入批次「復原」繞過重播防護與稽核：批次列被刪後，之後的賣出變成賣超（成本基礎被捨棄），過程不確認、不寫 ledger_audit；帳本逐筆刪除同一列則會 422 並要求確認</t>
        </is>
      </c>
      <c r="D51" s="73" t="inlineStr">
        <is>
          <t>中</t>
        </is>
      </c>
      <c r="E51" s="73" t="inlineStr">
        <is>
          <t>程式缺陷</t>
        </is>
      </c>
      <c r="F51" s="72" t="inlineStr">
        <is>
          <t>R3</t>
        </is>
      </c>
      <c r="G51" s="72" t="inlineStr">
        <is>
          <t>CSV 匯入 2884 買 100（2026-09-23，批次 15）→ 手動賣出 2884 150 股（2026-09-24，持股 200→50）→ 按批次 15「復原」：框內無任何賣超警示，DELETE /api/import/batches/15 200 {deleted:1} → 儀表板 2884 shares −50、adjusted_cost_total 0、XIRR null、「帳本中有賣超部位待釐清」。對照：從交易帳本刪同一筆買進 → DELETE /api/ledgers/transactions/109 422 oversell＋「賣超確認」框</t>
        </is>
      </c>
      <c r="H51" s="72" t="inlineStr">
        <is>
          <t>portfolio_dash/data_ingestion/provenance.py:296 `f"DELETE FROM {table} WHERE import_batch_id=?",  # noqa: S608 - fixed map`（:294 迴圈）——批次復原對交易／股利／換匯／資金四表直接按批次 id 整批刪除，不重播（看不出孤兒或賣超）、不寫 ledger_audit；api/routers/input_center.py:1718 `removed = delete_batch(conn, batch_id, delete_actions=_delete_event)`（刪前無防護）；web/broker-import.js:286 `const r = await api.del('/api/import/batches/' + b.id);`（422 一律顯示失敗、無確認重送）。同類：api/routers/ledgers.py:2345 `outcome = _delete_actions(conn, [existing], now=now)`、:2203 `outcome = _delete_actions(conn, rows, now=now)`、:2132 `update_corporate_action(`（公司行動單筆刪、整組刪、更正三道門同樣未跑重播防護）</t>
        </is>
      </c>
      <c r="I51" s="73" t="inlineStr">
        <is>
          <t>結案</t>
        </is>
      </c>
      <c r="J51" s="72" t="inlineStr">
        <is>
          <t>R4</t>
        </is>
      </c>
      <c r="K51" s="72" t="inlineStr">
        <is>
          <t>Owner 裁定（2026-09-24）：本輪規劃規格與實作計畫，交開發者。根因：input_center.py:1675 import_batch_delete → provenance.delete_batch（provenance.py:294-297）直接 DELETE，未經 ledgers._replay_guard 與 store._write_audit。規格與實作計畫見 docs/audit/2026-09-24-r3-dev-specs.md §2
R4 複驗通過（黑箱＋驗證者變異）。附註：驗證開發者決策項 ①：補登「新增」公司行動仍不問——2412 反向分割 10→1（2026-07-10，早於既有 07-19 賣出 1000 股）→ POST 201、無任何確認框，儀表板 XIRR null、「帳本中有賣超部位待釐清」，試算區還顯示「✓ 成本不變 0 → 0」、行動後 −900 股卻無警告；已刪除還原（prices_restated 1168 往返，cmp same:true）。owner 2026-09-25 裁定 ①：維持現狀，不開單；② 現金檢查兩種口徑：維持</t>
        </is>
      </c>
    </row>
    <row r="52" ht="15" customHeight="1" s="43">
      <c r="A52" s="72" t="inlineStr">
        <is>
          <t>DEF-050</t>
        </is>
      </c>
      <c r="B52" s="72" t="inlineStr">
        <is>
          <t>J-05（附帶）／A-16</t>
        </is>
      </c>
      <c r="C52" s="73" t="inlineStr">
        <is>
          <t>收件匣「待確認退款」標題下的副標題在 390px 以 nowrap＋ellipsis 截斷，截掉 DEF-011 新增的關鍵句「不改變持倉成本與資產損益，但會計入 XIRR 與含匯兌總損益」</t>
        </is>
      </c>
      <c r="D52" s="73" t="inlineStr">
        <is>
          <t>低</t>
        </is>
      </c>
      <c r="E52" s="73" t="inlineStr">
        <is>
          <t>程式缺陷</t>
        </is>
      </c>
      <c r="F52" s="72" t="inlineStr">
        <is>
          <t>R3</t>
        </is>
      </c>
      <c r="G52" s="73" t="inlineStr">
        <is>
          <t>視窗 390×844 → 收件匣 → 待確認退款（折讓款）副標題：scrollWidth 849、clientWidth 349，句尾被省略號截掉（卡片內文與頁尾仍完整）</t>
        </is>
      </c>
      <c r="H52" s="72" t="inlineStr">
        <is>
          <t>web/styles.css:1942-1945 `.panel-head .panel-sub, .input-toggle .panel-sub, .set-head .panel-sub { white-space: nowrap; }`（配 `.panel-sub { overflow: hidden; text-overflow: ellipsis }`）</t>
        </is>
      </c>
      <c r="I52" s="73" t="inlineStr">
        <is>
          <t>結案</t>
        </is>
      </c>
      <c r="J52" s="72" t="inlineStr">
        <is>
          <t>R4</t>
        </is>
      </c>
      <c r="K52" s="73" t="inlineStr">
        <is>
          <t>驗證者 R2 觀察，owner 指示本輪開單附規格。定位：web/styles.css:1942 `.panel-head .panel-sub { white-space: nowrap; }`。規格見 docs/audit/2026-09-24-r3-dev-specs.md §3
R4 複驗通過（黑箱＋驗證者變異）</t>
        </is>
      </c>
    </row>
    <row r="53" ht="15" customHeight="1" s="43">
      <c r="A53" s="72" t="inlineStr">
        <is>
          <t>DEF-051</t>
        </is>
      </c>
      <c r="B53" s="72" t="inlineStr">
        <is>
          <t>H-04（附帶）</t>
        </is>
      </c>
      <c r="C53" s="73" t="inlineStr">
        <is>
          <t>排程中心「立即執行」的 toast 顯示機器 id（「已排入執行 insight:7 #180」「alert_scan #185」），不是列上已顯示的名稱</t>
        </is>
      </c>
      <c r="D53" s="73" t="inlineStr">
        <is>
          <t>低</t>
        </is>
      </c>
      <c r="E53" s="73" t="inlineStr">
        <is>
          <t>程式缺陷</t>
        </is>
      </c>
      <c r="F53" s="72" t="inlineStr">
        <is>
          <t>R3</t>
        </is>
      </c>
      <c r="G53" s="73" t="inlineStr">
        <is>
          <t>系統設定 › 排程中心 → 市場週報列「立即執行」→ toast「✓ 已排入執行 insight:7 #180」；alert_scan 列 → 「✓ 已排入執行 alert_scan #185」</t>
        </is>
      </c>
      <c r="H53" s="72" t="inlineStr">
        <is>
          <t>web/settings-scheduler.js:548 `_toast('已排入執行', 'ok', j.id + ' #' + ((resp &amp;&amp; resp.run_id) || '?'));`</t>
        </is>
      </c>
      <c r="I53" s="73" t="inlineStr">
        <is>
          <t>結案</t>
        </is>
      </c>
      <c r="J53" s="72" t="inlineStr">
        <is>
          <t>R4</t>
        </is>
      </c>
      <c r="K53" s="73" t="inlineStr">
        <is>
          <t>驗證者 R2 觀察（R3 再現），owner 指示本輪開單附規格。定位：web/settings-scheduler.js:548 `_toast('已排入執行', 'ok', j.id + ' #' + …)`；shell.js DIAG_CODE 攔不到含冒號的 id。規格見 docs/audit/2026-09-24-r3-dev-specs.md §4
R4 複驗通過（黑箱＋驗證者變異）。附註：未測：摘要「立即產生」與發送時間編輯（前者會寫入摘要紀錄，後者改排程時間；開發者 e2e 已涵蓋）</t>
        </is>
      </c>
    </row>
    <row r="54" ht="15" customHeight="1" s="43">
      <c r="A54" s="72" t="inlineStr">
        <is>
          <t>DEF-052</t>
        </is>
      </c>
      <c r="B54" s="72" t="inlineStr">
        <is>
          <t>D-10（附帶）</t>
        </is>
      </c>
      <c r="C54" s="73" t="inlineStr">
        <is>
          <t>公司行動帳本列不顯示該筆連帶的重組費用，只有刪除確認框與編輯框看得到</t>
        </is>
      </c>
      <c r="D54" s="73" t="inlineStr">
        <is>
          <t>低</t>
        </is>
      </c>
      <c r="E54" s="73" t="inlineStr">
        <is>
          <t>程式缺陷</t>
        </is>
      </c>
      <c r="F54" s="72" t="inlineStr">
        <is>
          <t>R3</t>
        </is>
      </c>
      <c r="G54" s="73" t="inlineStr">
        <is>
          <t>公司行動 › 補登 2884 分割 1→2＋重組費用 50 → 帳本列「2026-09-24 台灣券商 分割 2884 玉山金控 — 每 1 股 → 2 股 —」，無費用；API 列有 reorg_fee</t>
        </is>
      </c>
      <c r="H54" s="72" t="inlineStr">
        <is>
          <t>web/ledger.js:1119 `tr.appendChild(el('td', 'col-text', a.note || ''));`——renderActions 從未讀 a.reorg_fee（只有 :1005 刪除框讀）；portfolio_dash/export/ledgers_report.py:372 `f'&lt;td class="l"&gt;{_esc(a.note or "")}&lt;/td&gt;'`（公司行動表無費用欄），:384 註腳「公司行動不移動現金，故本節無金額合計。」</t>
        </is>
      </c>
      <c r="I54" s="73" t="inlineStr">
        <is>
          <t>結案</t>
        </is>
      </c>
      <c r="J54" s="72" t="inlineStr">
        <is>
          <t>R4</t>
        </is>
      </c>
      <c r="K54" s="73" t="inlineStr">
        <is>
          <t>驗證者 R2 觀察，owner 指示本輪開單附規格。定位：web/ledger.js:1079 renderActions 未讀 a.reorg_fee（:1005 只在刪除框用）。規格見 docs/audit/2026-09-24-r3-dev-specs.md §5
R4 複驗通過（黑箱＋驗證者變異）</t>
        </is>
      </c>
    </row>
    <row r="55" ht="15" customHeight="1" s="43">
      <c r="A55" s="72" t="inlineStr">
        <is>
          <t>DEF-053</t>
        </is>
      </c>
      <c r="B55" s="72" t="inlineStr">
        <is>
          <t>H-04（附帶）</t>
        </is>
      </c>
      <c r="C55" s="73" t="inlineStr">
        <is>
          <t>新增洞察任務精靈建立預警觸發任務時，toast 直接顯示識別字「on_alert」（「：on_alert 任務預設停用，確認監聽規則後再啟用」）</t>
        </is>
      </c>
      <c r="D55" s="73" t="inlineStr">
        <is>
          <t>低</t>
        </is>
      </c>
      <c r="E55" s="73" t="inlineStr">
        <is>
          <t>程式缺陷</t>
        </is>
      </c>
      <c r="F55" s="72" t="inlineStr">
        <is>
          <t>R3</t>
        </is>
      </c>
      <c r="G55" s="73" t="inlineStr">
        <is>
          <t>洞察管線 › 新增洞察任務 → 觸發選「預警觸發」→ 建立 → toast 副行含「on_alert」</t>
        </is>
      </c>
      <c r="H55" s="72" t="inlineStr">
        <is>
          <t>web/pipeline-wizard.js:374 `payload.name + (payload.enabled ? '' : '：on_alert 任務預設停用，確認監聽規則後再啟用'));`</t>
        </is>
      </c>
      <c r="I55" s="73" t="inlineStr">
        <is>
          <t>結案</t>
        </is>
      </c>
      <c r="J55" s="72" t="inlineStr">
        <is>
          <t>R4</t>
        </is>
      </c>
      <c r="K55" s="73" t="inlineStr">
        <is>
          <t>開發者 R3 回報（手冊 §4 禁止順手修改），驗證者讀碼確認 web/pipeline-wizard.js:374。owner 指示本輪開單附規格。規格見 docs/audit/2026-09-24-r3-dev-specs.md §6
R4 複驗通過（黑箱＋驗證者變異）。附註：新增：同一精靈「觸發」步驟的監聽規則 15 個勾選框中有 8 個直接顯示規則 id（missing_price、drawdown_from_peak、vol_spike、rebalance_drift、consensus_change、portfolio_drawdown、currency_weight、target_cross）——web/pipeline-wizard.js:23-29 的 RULE_LABELS 只列 7 條，ruleLabel() 查不到就回傳 id；設定 › 預警規則（settings-alerts.js）15 條都有中文名。開 DEF-062（低）。本輪 DEF-053 的同類掃描只涵蓋「範圍」識別字。不可回復的痕跡：任務 #12 以封存列保留（與 R1 H-04 相同）</t>
        </is>
      </c>
    </row>
    <row r="56" ht="15" customHeight="1" s="43">
      <c r="A56" s="72" t="inlineStr">
        <is>
          <t>DEF-054</t>
        </is>
      </c>
      <c r="B56" s="72" t="inlineStr">
        <is>
          <t>G-09（資料殘留）</t>
        </is>
      </c>
      <c r="C56" s="73" t="inlineStr">
        <is>
          <t>與 DEF-046 同根因的錯卡 #97（symbol＝moomoo_my、2026-08-23「moomoo.com 交易暫停」）仍在持倉健診</t>
        </is>
      </c>
      <c r="D56" s="73" t="inlineStr">
        <is>
          <t>低</t>
        </is>
      </c>
      <c r="E56" s="73" t="inlineStr">
        <is>
          <t>資料殘留</t>
        </is>
      </c>
      <c r="F56" s="72" t="inlineStr">
        <is>
          <t>R3</t>
        </is>
      </c>
      <c r="G56" s="73" t="inlineStr">
        <is>
          <t>讀 /api/insights 全部卡片：symbol 含 moomoo 的只剩 #97</t>
        </is>
      </c>
      <c r="H56" s="73" t="inlineStr">
        <is>
          <t>資料殘留（無程式行）：demo 洞察卡 #97（任務 9「持倉提點」、symbol moomoo_my、2026-08-23「moomoo.com 交易暫停」）與 DEF-046 的 #192 同根因——修正前帳戶代號被當成標的產卡；產生它的程式已於 R3 DEF-041／DEF-046 修正（只對持倉標的產卡），殘留的卡需依裁定刪除</t>
        </is>
      </c>
      <c r="I56" s="73" t="inlineStr">
        <is>
          <t>結案</t>
        </is>
      </c>
      <c r="J56" s="72" t="inlineStr">
        <is>
          <t>R4</t>
        </is>
      </c>
      <c r="K56" s="72" t="inlineStr">
        <is>
          <t>Owner 裁定（2026-09-24）：刪除。用 scripts/delete_insight_cards.py --id 97（先備份、稽核）。規格見 docs/audit/2026-09-24-r3-dev-specs.md §7
R4 複驗通過（黑箱＋驗證者變異）</t>
        </is>
      </c>
    </row>
    <row r="57" ht="15" customHeight="1" s="43">
      <c r="A57" s="72" t="inlineStr">
        <is>
          <t>DEF-055</t>
        </is>
      </c>
      <c r="B57" s="72" t="inlineStr">
        <is>
          <t>B-16（附帶）</t>
        </is>
      </c>
      <c r="C57" s="72" t="inlineStr">
        <is>
          <t>2026-01 的費率快照 #33、#44（discount 0.23、rebate_rate 0.77）未清理；另編輯已清理交易時，預覽回應仍以 fee×0.77 給出 rebate_estimate（#29 → 219）</t>
        </is>
      </c>
      <c r="D57" s="73" t="inlineStr">
        <is>
          <t>低</t>
        </is>
      </c>
      <c r="E57" s="73" t="inlineStr">
        <is>
          <t>資料殘留</t>
        </is>
      </c>
      <c r="F57" s="72" t="inlineStr">
        <is>
          <t>R3</t>
        </is>
      </c>
      <c r="G57" s="73" t="inlineStr">
        <is>
          <t>交易帳本 API：#33、#44 snapshot discount 0.23／rebate_rate 0.77；編輯 #29 開框 → POST /api/input/manual/preview（replaces_txn_id 29、fee_override 285）回 rebate_estimate "219"（畫面未顯示）</t>
        </is>
      </c>
      <c r="H57" s="72" t="inlineStr">
        <is>
          <t>portfolio_dash/api/routers/input_center.py:957-958 `decimal_str(forecast_tw_rebate(draft.fee, rule.rebate_rate, discount=rule.discount))` / `if rule is not None and rule.rebate_rate &gt; _ZERO and rebate_applies(rule.discount)`——預覽帶 replaces_txn_id＋原費用時，這筆費用依被取代列快照的折扣收取，預覽卻讀今天的 rule.discount；資料面：#33、#44（2026-01-10 3008 買，discount 0.23／rebate_rate 0.77）R3 以 --scope uncredited 清理時因該月已入帳而未選到</t>
        </is>
      </c>
      <c r="I57" s="73" t="inlineStr">
        <is>
          <t>結案</t>
        </is>
      </c>
      <c r="J57" s="72" t="inlineStr">
        <is>
          <t>R4</t>
        </is>
      </c>
      <c r="K57" s="72" t="inlineStr">
        <is>
          <t>Owner 裁定（2026-09-24）：#33、#44 一併清理（--scope all，先備份、稽核）；預覽帶 replaces_txn_id 時改以原列快照判斷。規格見 docs/audit/2026-09-24-r3-dev-specs.md §8
R4 複驗通過（黑箱＋驗證者變異）</t>
        </is>
      </c>
    </row>
    <row r="58" ht="15" customHeight="1" s="43">
      <c r="A58" s="72" t="inlineStr">
        <is>
          <t>DEF-056</t>
        </is>
      </c>
      <c r="B58" s="72" t="inlineStr">
        <is>
          <t>B-17（附帶）</t>
        </is>
      </c>
      <c r="C58" s="73" t="inlineStr">
        <is>
          <t>未來日期的交易／期初庫存／換匯會立即計入持股與 XIRR（只有股利依 DEF-016 到入帳日才計入）；各帳本列也沒有「未來日期」標示</t>
        </is>
      </c>
      <c r="D58" s="73" t="inlineStr">
        <is>
          <t>低</t>
        </is>
      </c>
      <c r="E58" s="73" t="inlineStr">
        <is>
          <t>規格未定</t>
        </is>
      </c>
      <c r="F58" s="72" t="inlineStr">
        <is>
          <t>R3</t>
        </is>
      </c>
      <c r="G58" s="73" t="inlineStr">
        <is>
          <t>開發者 R3 決策項 ③：LedgerBundle.received_by 只切股利（shared/models/ledger.py:178 docstring 註明交易未切）。驗證者 DEF-016 複驗時另見：未來股利寫入後帳本列無任何「入帳日前不計入」標示</t>
        </is>
      </c>
      <c r="H58" s="72" t="inlineStr">
        <is>
          <t>portfolio_dash/shared/models/ledger.py:200 `self, dividends=[d for d in self.dividends if d.effective_date &lt;= day])`——估值切點只切股利；portfolio/dashboard.py:473 `cash_movements = list_cash_movements(conn)`、:467 `for s in list_fx_conversions(conn)`（XIRR 現金流、交易與融資成本、換匯未切）；export/tax.py:78-79（稅務包換匯與收支未切）；api/routers/input_center.py:334 `shares = current_shares(conn, account, sym)`（賣出提示取所有日期淨股數）；api/routers/symbol.py:283 `return current_shares(conn, account_id, symbol, index=index) - shares_naive(…, None)`（抽屜整本帳）
R5 複驗未過根因：web/cash.js:405 `tr.appendChild(el('td', 'num', f.date(r.date)));`（1ee7771）——現金收支明細逐列只讀日期，從未讀 API 已送的 r.future；表頭（:395）用 resp.current_balance（今天的餘額），而明細 newest-first，未來列正好排在表頭正下方，第一列的餘額（:416）其實是投影。同類漏網第二處：portfolio_dash/api/routers/symbol.py:593 dividend_events（個股抽屜「配息史」）列出每一筆股利，未來入帳的股利沒有任何旗標，web/detail.js:983 也只印日期。R4 的標示守門是手挑的表格清單（5 個帳本分頁＋資金頁兩個列表），清單外的表格不會被檢查</t>
        </is>
      </c>
      <c r="I58" s="73" t="inlineStr">
        <is>
          <t>結案</t>
        </is>
      </c>
      <c r="J58" s="72" t="inlineStr">
        <is>
          <t>R5</t>
        </is>
      </c>
      <c r="K58" s="72" t="inlineStr">
        <is>
          <t>Owner 裁定（2026-09-24）：一律依估值日切（選項 A）——交易、期初、換匯與股利相同，到該日才計入持股、總報酬與 XIRR；帳本列加「未來日期：YYYY-MM-DD 起計入」標示。手冊 B-17 需補此期望（owner 同步）。規格見 docs/audit/2026-09-24-r3-dev-specs.md §9
R4 部分通過：修法：cash.js 的現金收支明細讀 r.future，比照列印報告在第一筆未來列前加分隔說明「以下 N 筆為未來日期（YYYY-MM-DD 之後），不計入目前餘額；其餘額欄為投影」，未來列加「未來日期：YYYY-MM-DD 起計入」標示；同類掃描所有以 /api/cash/statement 或 counts_from 渲染的畫面（owner 2026-09-25 裁定 ③：六類都依日期切、個股抽屜不列未來列，掃描結果註明即可）。補 e2e：寫一筆未來費用後，明細中該列有標示且分隔說明存在；變異（不讀 future）→ 失敗（規格見 docs/audit/2026-09-25-r4-dev-specs.md §1）
R5 複驗通過（黑箱＋驗證者變異）。附註：觀察：寫入未來股利期間收件匣由 7 變 6（該筆被視為已記入），刪除後回到 7，行為一致</t>
        </is>
      </c>
    </row>
    <row r="59" ht="15" customHeight="1" s="43">
      <c r="A59" s="72" t="inlineStr">
        <is>
          <t>DEF-057</t>
        </is>
      </c>
      <c r="B59" s="72" t="inlineStr">
        <is>
          <t>H-03（附帶）</t>
        </is>
      </c>
      <c r="C59" s="73" t="inlineStr">
        <is>
          <t>系統提示詞與新聞整理提示詞沒有版本記錄（策略提示詞已依 DEF-033 做完整版本）</t>
        </is>
      </c>
      <c r="D59" s="73" t="inlineStr">
        <is>
          <t>中</t>
        </is>
      </c>
      <c r="E59" s="73" t="inlineStr">
        <is>
          <t>規格未定</t>
        </is>
      </c>
      <c r="F59" s="72" t="inlineStr">
        <is>
          <t>R3</t>
        </is>
      </c>
      <c r="G59" s="73" t="inlineStr">
        <is>
          <t>開發者 R3 決策項 ④；PUT /api/system-prompt、POST /api/system-prompt/reset、PUT /api/news-prompt 皆直接覆寫</t>
        </is>
      </c>
      <c r="H59" s="72" t="inlineStr">
        <is>
          <t>portfolio_dash/llm_insight/system_prompt.py:68 `"ON CONFLICT(id) DO UPDATE SET body = excluded.body, updated_at = excluded.updated_at",`（set_system_prompt :62）；portfolio_dash/news/organizer_prompt.py:83 同句（set_news_prompt :77）——兩個提示詞都直接覆寫單列設定、不留歷史；呼叫端 api/routers/prompts.py:182、:204、:231、:240</t>
        </is>
      </c>
      <c r="I59" s="73" t="inlineStr">
        <is>
          <t>結案</t>
        </is>
      </c>
      <c r="J59" s="72" t="inlineStr">
        <is>
          <t>R4</t>
        </is>
      </c>
      <c r="K59" s="72" t="inlineStr">
        <is>
          <t>Owner 裁定（2026-09-24）：系統提示詞與新聞整理提示詞比照 DEF-033 做版本記錄（任務自評提示詞不做）。規格見 docs/audit/2026-09-24-r3-dev-specs.md §10
R4 複驗通過（黑箱＋驗證者變異）。附註：不可回復的痕跡：兩則提示詞的版本記錄各多出測試版本（系統 v2、v3；新聞 v2～v4）、updated_at 變為 2026-09-25 07:18，屬設計上保留的歷史。新聞彈窗「整理提示詞 vN」未黑箱：部署後新聞管線尚未執行（前 50 則 prompt_version 皆為 null），需等下一次新聞整理。owner 2026-09-25 裁定 ⑧：重置不另存版本、策略歷史獨立表，兩項維持</t>
        </is>
      </c>
    </row>
    <row r="60" ht="15" customHeight="1" s="43">
      <c r="A60" s="72" t="inlineStr">
        <is>
          <t>DEF-058</t>
        </is>
      </c>
      <c r="B60" s="72" t="inlineStr">
        <is>
          <t>H-04（附帶）</t>
        </is>
      </c>
      <c r="C60" s="73" t="inlineStr">
        <is>
          <t>洞察管線頁首「最近批次」卡數與成本口徑不一致：預警一次派發 7 個 run，顯示「7 卡 本批成本 $0.001」（實際合計 $0.0050487，只取了最後一個 run）</t>
        </is>
      </c>
      <c r="D60" s="73" t="inlineStr">
        <is>
          <t>低</t>
        </is>
      </c>
      <c r="E60" s="73" t="inlineStr">
        <is>
          <t>程式缺陷</t>
        </is>
      </c>
      <c r="F60" s="72" t="inlineStr">
        <is>
          <t>R3</t>
        </is>
      </c>
      <c r="G60" s="73" t="inlineStr">
        <is>
          <t>排程中心 alert_scan 立即執行（#185）→ 派發 insight:9 run #186～#192（合計 $0.0050487）→ 洞察管線頁首「最近批次 2026-09-24 21:40・7 卡 本批成本 $0.001」；/api/insight-tasks/status last_batch {cards 7, cost_usd "0.0005979"}</t>
        </is>
      </c>
      <c r="H60" s="72" t="inlineStr">
        <is>
          <t>portfolio_dash/api/insight_service.py:1174 `"ORDER BY id DESC LIMIT 1",` 配 :1185 `"cost_usd": row["cost_usd"] if row["cost_usd"] is not None else "0",`——卡數（:1179）對 created_at＝started_at 的整個集合計數，成本只取最後一個 run</t>
        </is>
      </c>
      <c r="I60" s="73" t="inlineStr">
        <is>
          <t>結案</t>
        </is>
      </c>
      <c r="J60" s="72" t="inlineStr">
        <is>
          <t>R4</t>
        </is>
      </c>
      <c r="K60" s="73" t="inlineStr">
        <is>
          <t>驗證者 R3 新發現。定位：portfolio_dash/api/insight_service.py:1165 _last_batch——卡數以 created_at＝started_at 計（7 個 run 共用同一 now），成本只取 ORDER BY id DESC LIMIT 1。規格見 docs/audit/2026-09-24-r3-dev-specs.md §11
R4 複驗通過（黑箱＋驗證者變異）。附註：觀察：/api/insight-tasks/status 單次約 5.6 秒，頁首要 18 秒才出現（多個請求排隊時更久）；不影響正確性，列為觀察</t>
        </is>
      </c>
    </row>
    <row r="61" ht="15" customHeight="1" s="43">
      <c r="A61" s="72" t="inlineStr">
        <is>
          <t>DEF-059</t>
        </is>
      </c>
      <c r="B61" s="72" t="inlineStr">
        <is>
          <t>H-04（附帶）</t>
        </is>
      </c>
      <c r="C61" s="73" t="inlineStr">
        <is>
          <t>「全部已註冊標的」（mode:all_registered）任務會把已封存標的也納入產卡</t>
        </is>
      </c>
      <c r="D61" s="73" t="inlineStr">
        <is>
          <t>低</t>
        </is>
      </c>
      <c r="E61" s="73" t="inlineStr">
        <is>
          <t>規格未定</t>
        </is>
      </c>
      <c r="F61" s="72" t="inlineStr">
        <is>
          <t>R3</t>
        </is>
      </c>
      <c r="G61" s="73" t="inlineStr">
        <is>
          <t>開發者 R3 決策項 ⑤；api/insight_service.py:148 _all_registered_symbols 回傳 list_instruments 全部</t>
        </is>
      </c>
      <c r="H61" s="72" t="inlineStr">
        <is>
          <t>portfolio_dash/api/insight_service.py:152 `return sorted({i.symbol for i in list_instruments(conn)})`——全部已註冊標的含已封存；:170 _resolve_universe 與 :1267 _resolve_universe_raw 為兩份相同分支；前端鏡像 web/pipeline.js:176 `registered: rows.filter(function (r) { return r.registered; })` 同樣含封存（精靈的標的數與預估成本多算）</t>
        </is>
      </c>
      <c r="I61" s="73" t="inlineStr">
        <is>
          <t>結案</t>
        </is>
      </c>
      <c r="J61" s="72" t="inlineStr">
        <is>
          <t>R4</t>
        </is>
      </c>
      <c r="K61" s="72" t="inlineStr">
        <is>
          <t>Owner 裁定（2026-09-24）：排除已封存標的（標的數、預估成本、乾跑預檢與實際產卡一致）。規格見 docs/audit/2026-09-24-r3-dev-specs.md §12
R4 複驗通過（黑箱＋驗證者變異）。附註：還原觸發設計上的缺口補抓：2449 價格由 117 點變 122 點（新增 09-17、09-18、09-21、09-23、09-24 五筆供應商真實收盤價），既有 117 點數值不變、0 筆刪除；不影響持倉六段。owner 2026-09-25 裁定 ⑦：報價類抓取宇宙也全部排除封存 → 開 DEF-064</t>
        </is>
      </c>
    </row>
    <row r="62" ht="15" customHeight="1" s="43">
      <c r="A62" s="72" t="inlineStr">
        <is>
          <t>DEF-060</t>
        </is>
      </c>
      <c r="B62" s="72" t="inlineStr">
        <is>
          <t>D-10（附帶）</t>
        </is>
      </c>
      <c r="C62" s="73" t="inlineStr">
        <is>
          <t>分拆存檔後再改日期，子公司起始價仍留在舊日期</t>
        </is>
      </c>
      <c r="D62" s="73" t="inlineStr">
        <is>
          <t>低</t>
        </is>
      </c>
      <c r="E62" s="73" t="inlineStr">
        <is>
          <t>規格未定</t>
        </is>
      </c>
      <c r="F62" s="72" t="inlineStr">
        <is>
          <t>R3</t>
        </is>
      </c>
      <c r="G62" s="73" t="inlineStr">
        <is>
          <t>開發者 R3 決策項 ⑩；PUT /api/ledgers/corporate-actions/{id} 改日期時未處理種子價</t>
        </is>
      </c>
      <c r="H62" s="72" t="inlineStr">
        <is>
          <t>portfolio_dash/api/routers/ledgers.py:2169 `return {"ok": True, "id": action_id, "prices_restated": restated,`——edit_corporate_action（:2055）在 commit 與 reconcile 後直接回傳，全函式沒有任何起始價處理，也從不讀 body.to_symbol_price</t>
        </is>
      </c>
      <c r="I62" s="73" t="inlineStr">
        <is>
          <t>結案</t>
        </is>
      </c>
      <c r="J62" s="72" t="inlineStr">
        <is>
          <t>R4</t>
        </is>
      </c>
      <c r="K62" s="72" t="inlineStr">
        <is>
          <t>Owner 裁定（2026-09-24）：一併搬到新日期（舊日期種子仍完整時搬移；新日期已有正式報價時依 DEF-040 規則不寫並說明）。與 DEF-040 一起修。規格見 docs/audit/2026-09-24-r3-dev-specs.md §13
R4 複驗通過（黑箱＋驗證者變異）。附註：owner 決策項 ⑤（新日期已有正式報價時，舊日期起始價移除而不保留）：2026-09-25 裁定維持本輪實作，不開單</t>
        </is>
      </c>
    </row>
    <row r="63" ht="15" customHeight="1" s="43">
      <c r="A63" s="72" t="inlineStr">
        <is>
          <t>DEF-061</t>
        </is>
      </c>
      <c r="B63" s="72" t="inlineStr">
        <is>
          <t>C-02（附帶）</t>
        </is>
      </c>
      <c r="C63" s="73" t="inlineStr">
        <is>
          <t>股利帳本「編輯更正」未走新增路徑的驗證器，缺 4 種股利型別的檢查</t>
        </is>
      </c>
      <c r="D63" s="73" t="inlineStr">
        <is>
          <t>低</t>
        </is>
      </c>
      <c r="E63" s="73" t="inlineStr">
        <is>
          <t>程式缺陷</t>
        </is>
      </c>
      <c r="F63" s="72" t="inlineStr">
        <is>
          <t>R3</t>
        </is>
      </c>
      <c r="G63" s="73" t="inlineStr">
        <is>
          <t>開發者 R3 決策項 ⑪；ledgers.py:778 edit_dividend 只檢查型別字串與金額守恆（check_amounts）</t>
        </is>
      </c>
      <c r="H63" s="72" t="inlineStr">
        <is>
          <t>portfolio_dash/api/routers/ledgers.py:800 `amount_issue = check_amounts(body.gross, body.withhold, body.net)`——edit_dividend（:778）只做 :793 型別字串與 :800 金額守恆，缺 dividend_type_mismatch、us_cash_dividend_no_withholding、net_dividend_withholding、reinvest_shares_required；:770 `withhold: Decimal`（必填）＋web/ledger.js:679 `withhold: fWh.value || '0'`，使「美股現金股利未填預扣稅」在更正門永遠不可能出現</t>
        </is>
      </c>
      <c r="I63" s="73" t="inlineStr">
        <is>
          <t>結案</t>
        </is>
      </c>
      <c r="J63" s="72" t="inlineStr">
        <is>
          <t>R4</t>
        </is>
      </c>
      <c r="K63" s="72" t="inlineStr">
        <is>
          <t>Owner 裁定（2026-09-24）：下一輪就抽出共用驗證器 validate_dividend(replacing=)，新增與更正共用。規格見 docs/audit/2026-09-24-r3-dev-specs.md §14
R4 複驗通過（黑箱＋驗證者變異）。附註：owner 2026-09-25 裁定 ⑥：股利新增門的市場一致性檢查維持現狀，不開單</t>
        </is>
      </c>
    </row>
    <row r="64" ht="15" customHeight="1" s="43">
      <c r="A64" s="72" t="inlineStr">
        <is>
          <t>DEF-062</t>
        </is>
      </c>
      <c r="B64" s="72" t="inlineStr">
        <is>
          <t>H-04（附帶）</t>
        </is>
      </c>
      <c r="C64" s="73" t="inlineStr">
        <is>
          <t>新增洞察任務精靈「預警觸發」的監聽規則 15 個勾選框中，8 個直接顯示規則 id（missing_price、drawdown_from_peak、vol_spike、rebalance_drift、consensus_change、portfolio_drawdown、currency_weight、target_cross）</t>
        </is>
      </c>
      <c r="D64" s="73" t="inlineStr">
        <is>
          <t>低</t>
        </is>
      </c>
      <c r="E64" s="73" t="inlineStr">
        <is>
          <t>程式缺陷</t>
        </is>
      </c>
      <c r="F64" s="72" t="inlineStr">
        <is>
          <t>R4</t>
        </is>
      </c>
      <c r="G64" s="73" t="inlineStr">
        <is>
          <t>洞察管線 › ＋新增洞察任務 → 觸發選「預警觸發」→ 監聽規則清單：7 個中文、8 個 id；同一組規則在 系統設定 › 預警規則 15 條都有中文名（高點回撤、波動突升、配置漂移…）</t>
        </is>
      </c>
      <c r="H64" s="72" t="inlineStr">
        <is>
          <t>web/pipeline-wizard.js:29 `function ruleLabel(id) { return RULE_LABELS[id] || id; }`（1ee7771；:24-28 的 RULE_LABELS 只列 7 條，:223 以 ruleLabel(r.id) 印出勾選框）。源頭是 API 不帶名稱：portfolio_dash/api/routers/strategy.py:42 `"id": rid, "enabled": rule.enabled,`，所以前端各自維護對照表——另兩份是 web/settings-alerts.js:97 `const m = META[w.id] || { name: w.id, … }` 與 portfolio_dash/ops/notify.py:72 起的 RULE_CATALOG（用詞不同，:367 推播查不到也退回 id）</t>
        </is>
      </c>
      <c r="I64" s="73" t="inlineStr">
        <is>
          <t>結案</t>
        </is>
      </c>
      <c r="J64" s="72" t="inlineStr">
        <is>
          <t>R5</t>
        </is>
      </c>
      <c r="K64" s="73" t="inlineStr">
        <is>
          <t>驗證者 R4 新發現（DEF-053 複驗時）。定位：web/pipeline-wizard.js:23-29 RULE_LABELS 只列 7 條，ruleLabel() 查不到回傳 id；名稱另有 web/settings-alerts.js:25-70 與 ops/notify.py:86 兩份且用語不一。755c88a 起即如此，非回歸。規格見 docs/audit/2026-09-25-r4-dev-specs.md §2
R5 複驗通過（黑箱＋驗證者變異）。附註：附帶：依開發者指示立即執行 alert_scan，這次派發未被去重（距上次派發已逾一日），產生 insight:9 run #196～#202：4 張卡 #222～#225（$0.0028558＝額度 3.2606018→3.2577460），另 3 個 run partial——主模型 gemini-2.5-flash-lite 兩次回傳截斷的 JSON（invalid_json：EOF while parsing），備援 haiku-4.5 失敗原因為「tenacity import failed please run `pip install tenacity`. ErrorNo module named 'tenacity'」。開 DEF-066（中）
Owner 裁定（2026-09-26）附帶決策項：③ a 採用「AI 成績轉差」；④ a 修正前的排程明細與週報保留原樣；⑤ 統一為「AI 額度偏低」→開 DEF-076</t>
        </is>
      </c>
    </row>
    <row r="65" ht="15" customHeight="1" s="43">
      <c r="A65" s="72" t="inlineStr">
        <is>
          <t>DEF-063</t>
        </is>
      </c>
      <c r="B65" s="72" t="inlineStr">
        <is>
          <t>D-10（附帶）</t>
        </is>
      </c>
      <c r="C65" s="72" t="inlineStr">
        <is>
          <t>demo 上 R2／R3 期間留下的孤兒起始價（source manual、簽章完整、沒有任何分拆擁有），R4 起不會再被覆蓋或刪除，畫面上也沒有地方能移除</t>
        </is>
      </c>
      <c r="D65" s="73" t="inlineStr">
        <is>
          <t>低</t>
        </is>
      </c>
      <c r="E65" s="73" t="inlineStr">
        <is>
          <t>資料殘留</t>
        </is>
      </c>
      <c r="F65" s="72" t="inlineStr">
        <is>
          <t>R4</t>
        </is>
      </c>
      <c r="G65" s="73" t="inlineStr">
        <is>
          <t>開發者 R4 決策項 ④；R4 的 write_seed_price 只寫空白日期、刪除只收回 child_seed_json 記錄的列，舊孤兒因此永久留下</t>
        </is>
      </c>
      <c r="H65" s="73" t="inlineStr">
        <is>
          <t>資料殘留：portfolio_dash/pricing/seed.py:140 `if (skip := occupied_slot(conn, symbol=symbol, on=on)) is not None:`（R4 起永不覆寫既有列，孤兒也不覆寫）與 portfolio_dash/api/routers/ledgers.py:2476 `if spin is None or (slot := _owned_slot(spin)) is None: return None`（刪除只收回有擁有者的起始價）（1ee7771）——前向行為正確，R2／R3 程式留下的孤兒起始價因此沒有任何路徑會移除，需要一次性清理</t>
        </is>
      </c>
      <c r="I65" s="73" t="inlineStr">
        <is>
          <t>結案</t>
        </is>
      </c>
      <c r="J65" s="72" t="inlineStr">
        <is>
          <t>R5</t>
        </is>
      </c>
      <c r="K65" s="72" t="inlineStr">
        <is>
          <t>Owner 裁定（2026-09-25）：寫清理腳本（試跑列出、--apply 先備份再刪並寫稽核，可選 --backfill 取回被 R3 蓋掉的正式報價）。規格見 docs/audit/2026-09-25-r4-dev-specs.md §3
R5 複驗通過（黑箱＋驗證者變異）</t>
        </is>
      </c>
    </row>
    <row r="66" ht="15" customHeight="1" s="43">
      <c r="A66" s="72" t="inlineStr">
        <is>
          <t>DEF-064</t>
        </is>
      </c>
      <c r="B66" s="72" t="inlineStr">
        <is>
          <t>H-04（附帶）</t>
        </is>
      </c>
      <c r="C66" s="73" t="inlineStr">
        <is>
          <t>報價類抓取宇宙（pricing/ingest.py 的 tw_universe／all_universe，影響 FinMind 籌碼、估值、基本面、月營收與共識共 5 個排程）仍含已封存標的，消耗外部額度</t>
        </is>
      </c>
      <c r="D66" s="73" t="inlineStr">
        <is>
          <t>低</t>
        </is>
      </c>
      <c r="E66" s="73" t="inlineStr">
        <is>
          <t>規格未定</t>
        </is>
      </c>
      <c r="F66" s="72" t="inlineStr">
        <is>
          <t>R4</t>
        </is>
      </c>
      <c r="G66" s="73" t="inlineStr">
        <is>
          <t>開發者 R4 決策項 ⑦；ingest.py:52-57、:60-73 讀 instruments 全表，無 archived 條件（對照 scheduler/jobs.py:1292 報價宇宙已排除封存、DEF-059 洞察宇宙已排除）</t>
        </is>
      </c>
      <c r="H66" s="72" t="inlineStr">
        <is>
          <t>portfolio_dash/pricing/ingest.py:55 `"SELECT symbol FROM instruments WHERE market = 'TW' ORDER BY symbol"`（tw_universe：籌碼、估值、基本面）與 :68 `"SELECT symbol, market, board FROM instruments ORDER BY symbol"`（all_universe：共識、基本面聯集）（1ee7771）——讀 instruments 全表，沒有 archived 條件。依裁定「持倉永不排除」驗證前提時另發現「持有 ⇒ 未封存」在程式裡不成立：portfolio_dash/api/routers/instruments.py:58 `return any(current_shares(conn, aid, symbol) &gt; 0 for aid in account_ids)` 看不到放空、也把只靠未來日期賣出清倉的部位讀成 0；portfolio_dash/data_ingestion/store.py:1636 等刪除／修改入口不會重新啟用標的（原本只有 insert_transaction、upsert_opening 兩處）</t>
        </is>
      </c>
      <c r="I66" s="73" t="inlineStr">
        <is>
          <t>結案</t>
        </is>
      </c>
      <c r="J66" s="72" t="inlineStr">
        <is>
          <t>R5</t>
        </is>
      </c>
      <c r="K66" s="72" t="inlineStr">
        <is>
          <t>Owner 裁定（2026-09-25）：全部排除已封存標的（持倉永不排除），與 DEF-059、jobs.py:1292 共用同一判定。規格見 docs/audit/2026-09-25-r4-dev-specs.md §4
R5 複驗通過（黑箱＋驗證者變異）。附註：FinMind 等 5 個排程實際送出的清單需要外網，本機以開發者 26 例契約測試（驗證者重跑 26 passed）＋變異 tw_universe 佐證。Owner 決策項 ①（收件匣掃描宇宙）②（觀察清單「持有」徽章仍用舊判定：放空／未來清倉不顯示持有卻移除回 422）見交接紀錄
Owner 裁定（2026-09-26）附帶決策項：① B→開 DEF-074（收件匣掃描排除封存）；② B→開 DEF-075（「持有」徽章改用 holds_position）</t>
        </is>
      </c>
    </row>
    <row r="67" ht="15" customHeight="1" s="43">
      <c r="A67" s="72" t="inlineStr">
        <is>
          <t>DEF-065</t>
        </is>
      </c>
      <c r="B67" s="72" t="inlineStr">
        <is>
          <t>J-06（附帶）</t>
        </is>
      </c>
      <c r="C67" s="72" t="inlineStr">
        <is>
          <t>GET /api/ui-prefs 間歇性回 500 internal_error，使 e2e 全套不穩定（驗證者 3 次全套中 2 次各有 1～2 則失敗，都只因 console 出現 500）</t>
        </is>
      </c>
      <c r="D67" s="73" t="inlineStr">
        <is>
          <t>低</t>
        </is>
      </c>
      <c r="E67" s="73" t="inlineStr">
        <is>
          <t>程式缺陷</t>
        </is>
      </c>
      <c r="F67" s="72" t="inlineStr">
        <is>
          <t>R4</t>
        </is>
      </c>
      <c r="G67" s="72" t="inlineStr">
        <is>
          <t>repo 1ee7771：pytest tests/e2e 全套連跑 3 次 → 287 passed／1 failed（test_def057_global_prompt_versions_flow）、287／2（test_def033_prompt_versions_flow＋驗證者加了回應記錄的副本）、289／0；副本記到「500 GET http://127.0.0.1:39179/api/ui-prefs {"error":{"code":"internal_error","message":"系統發生未預期的錯誤，請稍後再試"}}」；所有失敗都在最後的 errors == [] 斷言，功能斷言皆通過；單獨重跑 18 次、壓力下 4 輪、全新伺服器 12×54 個並發 GET 皆未重現</t>
        </is>
      </c>
      <c r="H67" s="72" t="inlineStr">
        <is>
          <t>portfolio_dash/shared/config_store.py:28-37（1ee7771）——ensure_seeded 以一般讀取判斷「是否已 seed」（:28 `seeded = conn.execute("SELECT 1 FROM settings_meta …")`），再 seed 並 INSERT settings_meta（:34），兩個連線同時第一次使用某類別時都讀到「未 seed」，第二個的 INSERT 拋 `sqlite3.IntegrityError: UNIQUE constraint failed: settings_meta.category` → 500。觸發點：portfolio_dash/shared/ui_prefs.py:57 get_ui_prefs 每次 GET 都呼叫 ensure_ui_prefs_seeded，而 ui_prefs 從未在開機時 seed；settings.html 載入時同時送出 3 個 GET /api/ui-prefs（web/shell.js:867、web/settings-prefs.js:28、web/settings-llm.js:631），全新資料庫的第一次載入就會競態——驗證者兩次失敗的 test_def057／test_def033 都從 settings.html 開始</t>
        </is>
      </c>
      <c r="I67" s="73" t="inlineStr">
        <is>
          <t>結案</t>
        </is>
      </c>
      <c r="J67" s="72" t="inlineStr">
        <is>
          <t>R5</t>
        </is>
      </c>
      <c r="K67" s="73" t="inlineStr">
        <is>
          <t>驗證者 R4 新發現（開發者回報 e2e 288 全過）。未取得伺服器 traceback（第 3 次以 PD_E2E_NETLOG 保留 183 份伺服器記錄，當次未發生）。讀碼疑點：shared/ui_prefs.py:55 get_ui_prefs → config_store.ensure_seeded 每次 GET 都執行 CREATE TABLE IF NOT EXISTS／PRAGMA（首次還會 INSERT＋commit），讀取路徑帶寫入，在並發寫入時可能拿到 SQLite 鎖錯誤。規格見 docs/audit/2026-09-25-r4-dev-specs.md §5
R5 複驗通過（黑箱＋驗證者變異）。附註：同類：開發者稱 81 個 GET 中 22 個原本會寫入；驗證者抽驗 /api/insight-tasks/status 並發 10 個全 200（R4 量到約 5.6 秒，本輪 812 ms）</t>
        </is>
      </c>
    </row>
    <row r="68" ht="15" customHeight="1" s="43">
      <c r="A68" s="72" t="inlineStr">
        <is>
          <t>DEF-066</t>
        </is>
      </c>
      <c r="B68" s="72" t="inlineStr">
        <is>
          <t>G-09（附帶）</t>
        </is>
      </c>
      <c r="C68" s="72" t="inlineStr">
        <is>
          <t>LLM 重試與備援模型實際不可用：專案未安裝 tenacity，litellm 重試路徑一出錯就丟「tenacity import failed」蓋掉原錯誤，備援 haiku-4.5 因此失敗；運行紀錄明細直接寫入英文例外原文</t>
        </is>
      </c>
      <c r="D68" s="73" t="inlineStr">
        <is>
          <t>中</t>
        </is>
      </c>
      <c r="E68" s="73" t="inlineStr">
        <is>
          <t>程式缺陷</t>
        </is>
      </c>
      <c r="F68" s="72" t="inlineStr">
        <is>
          <t>R5</t>
        </is>
      </c>
      <c r="G68" s="72" t="inlineStr">
        <is>
          <t>demo：依開發者指示於 排程中心 › alert_scan「立即執行」（run #195）→ 派發 insight:9 run #196～#202 → #196、#200、#201 為「部分」，明細「llm_unavailable_mid_run: provider error (haiku-4.5): tenacity import failed please run `pip install tenacity`. ErrorNo module named 'tenacity'」；同批主模型 gemini-2.5-flash-lite 兩次回傳截斷 JSON（EOF while parsing）才轉備援。專案 venv `import tenacity` → ModuleNotFoundError，pyproject／uv.lock 無此相依</t>
        </is>
      </c>
      <c r="H68" s="72" t="inlineStr">
        <is>
          <t>portfolio_dash/shared/llm.py:329 `num_retries=model.max_retries or 0,`（另 :530 同一行；3be67db）——num_retries&gt;0 時 litellm 包裝層（litellm/utils.py 約 :1681-1720）把任何 openai.APIError（含 400／401／403）轉給 litellm.completion_with_retries，它在執行期 `import tenacity`（未安裝、不在 pyproject），丟出「tenacity import failed…」蓋掉供應商原本的錯誤，重試沒有發生，備援模型同樣失敗；portfolio_dash/llm_insight/generate.py:434 `stop_detail = f"{stop_reason}: {str(exc)[:300]}"` 把 litellm 英文原樣寫進運行紀錄</t>
        </is>
      </c>
      <c r="I68" s="73" t="inlineStr">
        <is>
          <t>結案</t>
        </is>
      </c>
      <c r="J68" s="72" t="inlineStr">
        <is>
          <t>R6</t>
        </is>
      </c>
      <c r="K68" s="73" t="inlineStr">
        <is>
          <t>驗證者 R5 新發現（DEF-062 複驗附帶）。讀碼：shared/llm.py:323-329、:524-530 以 num_retries=model.max_retries（預設 2）呼叫 litellm.completion，litellm 於重試路徑動態 import tenacity。本輪 demo 額度因此次派發 −$0.0028558（卡 #222～#225）。規格見 docs/audit/2026-09-25-r5-dev-specs.md §1
R6 複驗通過（黑箱重放＋驗證者變異）；依 owner 2026-09-26 對話裁定（明細只寫中文失敗分類與 HTTP 碼，供應商原文只進 AI 失敗記錄）驗收。附註：備援模型名稱不在 litellm 的 schema 支援清單時以提示詞要求 JSON（不帶 response_format），驗證者假服務需回 JSON 才能模擬成功，屬測試夾具差異，非產品問題</t>
        </is>
      </c>
    </row>
    <row r="69" ht="15" customHeight="1" s="43">
      <c r="A69" s="72" t="inlineStr">
        <is>
          <t>DEF-067</t>
        </is>
      </c>
      <c r="B69" s="72" t="inlineStr">
        <is>
          <t>E-05</t>
        </is>
      </c>
      <c r="C69" s="72" t="inlineStr">
        <is>
          <t>dividends_daily 全部標的失敗仍記為「成功」：排程中心顯示「成功　0 檔事件已更新，10 檔失敗（…）」，狀態與明細互相矛盾（E-05 ③）</t>
        </is>
      </c>
      <c r="D69" s="73" t="inlineStr">
        <is>
          <t>中</t>
        </is>
      </c>
      <c r="E69" s="73" t="inlineStr">
        <is>
          <t>程式缺陷</t>
        </is>
      </c>
      <c r="F69" s="72" t="inlineStr">
        <is>
          <t>R5</t>
        </is>
      </c>
      <c r="G69" s="73" t="inlineStr">
        <is>
          <t>本機專用測試環境（同一 commit 3be67db；見 docs/audit/2026-09-25-r5-dev-specs.md §9）：排程中心把 quotes_tw／quotes_us／quotes_my／dividends_daily／digest_daily 的 cron 改為 22:38（畫面改、畫面還原）等待自然觸發；外網封鎖使 provider 全失敗 → quotes_tw、quotes_my 為「部分」並點名失敗標的；dividends_daily run #1 status ok、明細「0 檔事件已更新，10 檔失敗（0056：yfinance 回應錯誤；…VRTB：yfinance 回應錯誤）」</t>
        </is>
      </c>
      <c r="H69" s="72" t="inlineStr">
        <is>
          <t>portfolio_dash/scheduler/jobs.py:626 `return describe_refresh(summary)`（3be67db）——dividends_daily 回傳裸字串，經 jobs.py:210 `return result if isinstance(result, JobOutcome) else JobOutcome("ok", result)` 一律記為 ok，全部標的失敗仍顯示「成功」</t>
        </is>
      </c>
      <c r="I69" s="73" t="inlineStr">
        <is>
          <t>結案</t>
        </is>
      </c>
      <c r="J69" s="72" t="inlineStr">
        <is>
          <t>R6</t>
        </is>
      </c>
      <c r="K69" s="73" t="inlineStr">
        <is>
          <t>驗證者 R5 新發現（E-05 首次可執行）。讀碼：scheduler/jobs.py:620-626 dividends_daily 回傳字串，:208-210 _outcome_of 把字串一律包成 JobOutcome("ok")；報價工作自行回傳 partial。規格見 docs/audit/2026-09-25-r5-dev-specs.md §2
R6 複驗通過（黑箱重放＋驗證者變異）；依 owner 2026-09-26 對話裁定（報價工作全部失敗記「失敗」、歷史 K 棒只把供應商錯誤算失敗）驗收</t>
        </is>
      </c>
    </row>
    <row r="70" ht="15" customHeight="1" s="43">
      <c r="A70" s="72" t="inlineStr">
        <is>
          <t>DEF-068</t>
        </is>
      </c>
      <c r="B70" s="72" t="inlineStr">
        <is>
          <t>E-11</t>
        </is>
      </c>
      <c r="C70" s="73" t="inlineStr">
        <is>
          <t>更新報價全部失敗時，提示仍說「其餘已更新，重新整理頁面即可看到新價」，且不提匯率失敗（E-11）</t>
        </is>
      </c>
      <c r="D70" s="73" t="inlineStr">
        <is>
          <t>低</t>
        </is>
      </c>
      <c r="E70" s="73" t="inlineStr">
        <is>
          <t>程式缺陷</t>
        </is>
      </c>
      <c r="F70" s="72" t="inlineStr">
        <is>
          <t>R5</t>
        </is>
      </c>
      <c r="G70" s="73" t="inlineStr">
        <is>
          <t>本機專用測試環境（同一 commit 3be67db；見 docs/audit/2026-09-25-r5-dev-specs.md §9）（外網封鎖＝所有資料來源無效）：儀表板 ⟳ 重新整理 › 更新報價 → 三個工作皆 partial、明細「0 項已更新，4／7／5 項失敗」→ 提示「! 報價更新部分完成　9 檔持倉未更新：0056、2330、AAPL、NVDA、ORBT、VRTA、1155、KEMB、KEMG。其餘已更新，重新整理頁面即可看到新價。」；USDMYR、USDTWD 失敗未提；價格表前後雜湊相同</t>
        </is>
      </c>
      <c r="H70" s="72" t="inlineStr">
        <is>
          <t>web/shell.js:469 `lost.length + ' 檔持倉未更新：' + lost.join('、') + '。其餘已更新，重新整理頁面即可看到新價。'`（3be67db；:467 只讀 held_failed）——部分完成分支固定接「其餘已更新」，不讀已更新數與 fx_failed；API 也沒有提供已更新數</t>
        </is>
      </c>
      <c r="I70" s="73" t="inlineStr">
        <is>
          <t>結案</t>
        </is>
      </c>
      <c r="J70" s="72" t="inlineStr">
        <is>
          <t>R6</t>
        </is>
      </c>
      <c r="K70" s="73" t="inlineStr">
        <is>
          <t>驗證者 R5 新發現（E-11 首次可執行）。定位：web/shell.js:463-470 partial 分支固定接「其餘已更新」、只讀 held_failed。規格見 docs/audit/2026-09-25-r5-dev-specs.md §6
R6 複驗通過（黑箱重放＋驗證者變異）</t>
        </is>
      </c>
    </row>
    <row r="71" ht="15" customHeight="1" s="43">
      <c r="A71" s="72" t="inlineStr">
        <is>
          <t>DEF-069</t>
        </is>
      </c>
      <c r="B71" s="72" t="inlineStr">
        <is>
          <t>G-08</t>
        </is>
      </c>
      <c r="C71" s="73" t="inlineStr">
        <is>
          <t>影子卡出現在正式清單：/api/insights（平面、group=symbol、symbol=）都含 is_shadow 卡；AI 洞察 › 持倉健診 9 檔全部以影子卡當標題卡，同批生效卡被收進歷史；個股抽屜 AI 建議同樣會拿到影子卡（G-08 ①）</t>
        </is>
      </c>
      <c r="D71" s="73" t="inlineStr">
        <is>
          <t>中</t>
        </is>
      </c>
      <c r="E71" s="73" t="inlineStr">
        <is>
          <t>程式缺陷</t>
        </is>
      </c>
      <c r="F71" s="72" t="inlineStr">
        <is>
          <t>R5</t>
        </is>
      </c>
      <c r="G71" s="73" t="inlineStr">
        <is>
          <t>本機專用測試環境（同一 commit 3be67db；見 docs/audit/2026-09-25-r5-dev-specs.md §9）：個股健檢（self_correct、per_symbol）於 2026-09-10 產生生效卡 9＋影子卡 9（校正 v2）→ GET /api/insights?insight_type=2 total_count 27、is_shadow 9；?symbol=2330 第一張為影子卡 #21；持倉健診分頁 9 檔標題卡皆為「QA 卡（已套校正）…校正 v2」、「未套校正」0 張</t>
        </is>
      </c>
      <c r="H71" s="72" t="inlineStr">
        <is>
          <t>portfolio_dash/llm_insight/insights_store.py:553 `clauses: list[str] = []`（3be67db）——list_cards／count_cards／list_symbol_groups 共用的 _filters 沒有 is_shadow = 0，/api/insights 平面、group=symbol、symbol= 三種形狀都把影子卡當一般卡回傳，而且較新的影子卡排在最前面（儀表板用的 latest_cards 有過濾，所以儀表板正常）</t>
        </is>
      </c>
      <c r="I71" s="73" t="inlineStr">
        <is>
          <t>結案</t>
        </is>
      </c>
      <c r="J71" s="72" t="inlineStr">
        <is>
          <t>R6</t>
        </is>
      </c>
      <c r="K71" s="73" t="inlineStr">
        <is>
          <t>驗證者 R5 新發現（G-08 首次可執行）。定位：llm_insight/insights_store.py list_cards／count_cards／list_symbol_groups 無 is_shadow = 0（儀表板用的 latest_cards 有），api/routers/insights.py:1230 直接使用。規格見 docs/audit/2026-09-25-r5-dev-specs.md §3
R6 複驗通過（黑箱重放＋驗證者變異）</t>
        </is>
      </c>
    </row>
    <row r="72" ht="15" customHeight="1" s="43">
      <c r="A72" s="72" t="inlineStr">
        <is>
          <t>DEF-070</t>
        </is>
      </c>
      <c r="B72" s="72" t="inlineStr">
        <is>
          <t>G-08</t>
        </is>
      </c>
      <c r="C72" s="73" t="inlineStr">
        <is>
          <t>「同時影子評估上限」以任務的累計影子卡張數計算：第一批 9 張不受上限 2 約束，之後永遠不再產影子——晉升後的新版本（v3）永遠無法被評估或晉升；portfolio 任務累計 2 張即停、達不到最小批次數 3</t>
        </is>
      </c>
      <c r="D72" s="73" t="inlineStr">
        <is>
          <t>中</t>
        </is>
      </c>
      <c r="E72" s="73" t="inlineStr">
        <is>
          <t>程式缺陷</t>
        </is>
      </c>
      <c r="F72" s="72" t="inlineStr">
        <is>
          <t>R5</t>
        </is>
      </c>
      <c r="G72" s="73" t="inlineStr">
        <is>
          <t>本機專用測試環境（同一 commit 3be67db；見 docs/audit/2026-09-25-r5-dev-specs.md §9）：max_shadows 2。2026-09-10 第一批影子 9 張 → 09-11 再跑：影子 0（假模型收到帶校正層呼叫 0 次）→ 09-21 v2 晉升後產生 v3 → 再跑：生效卡 9 張套 v2、v3 影子 0；診斷 G7 仍「有未套用的校正版本」</t>
        </is>
      </c>
      <c r="H72" s="72" t="inlineStr">
        <is>
          <t>portfolio_dash/api/insight_service.py:436 `if _shadow_card_count(conn, it.id) &gt;= int(str(cfg["max_shadows"])):`（3be67db）——上限拿「該任務歷來全部影子卡張數」（:402-407，不限版本、不限期間）比較，第一批 9 張不受上限 2 約束，之後永遠不再產影子；另 :1005 `shadow_score = es.combo_score(conn, it.id, is_shadow=True)` 把各版本的影子評分混在一起算</t>
        </is>
      </c>
      <c r="I72" s="73" t="inlineStr">
        <is>
          <t>結案</t>
        </is>
      </c>
      <c r="J72" s="72" t="inlineStr">
        <is>
          <t>R6</t>
        </is>
      </c>
      <c r="K72" s="73" t="inlineStr">
        <is>
          <t>驗證者 R5 新發現。定位：api/insight_service.py:402-407 _shadow_card_count 計全部歷史 is_shadow 卡，:436 以 &gt;= max_shadows 跳過。計算單位待 owner 裁定（交接紀錄第 12 列 ⑧，建議 A：同時處於影子期的任務數）。規格見 docs/audit/2026-09-25-r5-dev-specs.md §4
Owner 裁定（2026-09-26）⑧：A——上限計「同時處於影子期的任務數」，超過排隊（規格見 docs/audit/2026-09-25-r5-dev-specs.md §4）
R6 複驗通過（黑箱重放＋驗證者變異）；依 owner 2026-09-26 對話裁定（批次數計評分筆數、晉升比較各版本自己的紀錄、只有 v1 時由使用者按「設為生效」）驗收</t>
        </is>
      </c>
    </row>
    <row r="73" ht="15" customHeight="1" s="43">
      <c r="A73" s="72" t="inlineStr">
        <is>
          <t>DEF-071</t>
        </is>
      </c>
      <c r="B73" s="72" t="inlineStr">
        <is>
          <t>G-08</t>
        </is>
      </c>
      <c r="C73" s="73" t="inlineStr">
        <is>
          <t>畫面沒有「設為生效」／手動版本選擇器：自我進化設定寫「關閉時需人工按「設為生效」」，但校正版本鏈只有「封存」；auto_promote 關閉（預設）時勝出的影子版本與 v1 都無法經畫面採用，診斷 G7 的修復動作落地後無可操作項</t>
        </is>
      </c>
      <c r="D73" s="73" t="inlineStr">
        <is>
          <t>中</t>
        </is>
      </c>
      <c r="E73" s="73" t="inlineStr">
        <is>
          <t>程式缺陷</t>
        </is>
      </c>
      <c r="F73" s="72" t="inlineStr">
        <is>
          <t>R5</t>
        </is>
      </c>
      <c r="G73" s="73" t="inlineStr">
        <is>
          <t>本機專用測試環境（同一 commit 3be67db；見 docs/audit/2026-09-25-r5-dev-specs.md §9）：產生 v1、v2 後開 洞察管線 › 個股健檢 抽屜 ④ 校正版本鏈：「v2 最新版 封存」「v1 封存」；全頁搜尋「設為生效／套用／生效」按鈕 0 個；診斷 G7「有未套用的校正版本」→ 修復動作「前往校正版本鏈」；API PUT /api/insight-tasks/{id}/active-calibration 存在但前端無呼叫點</t>
        </is>
      </c>
      <c r="H73" s="72" t="inlineStr">
        <is>
          <t>web/pipeline.js:802 `var ba = el('button', 'btn btn-sm', '封存');`（3be67db）——任務抽屜 ④ 校正版本鏈每個版本只有這個按鈕，PUT /api/insight-tasks/{id}/active-calibration 沒有任何前端呼叫點；:56 診斷 G7 的修復鈕「前往校正版本鏈」落地後沒有可按的東西</t>
        </is>
      </c>
      <c r="I73" s="73" t="inlineStr">
        <is>
          <t>結案</t>
        </is>
      </c>
      <c r="J73" s="72" t="inlineStr">
        <is>
          <t>R6</t>
        </is>
      </c>
      <c r="K73" s="73" t="inlineStr">
        <is>
          <t>驗證者 R5 新發現。spec 04 §4.6「生效版＝使用者手動選定」、§4.7「手動版本選擇器」。web/ 全部檔案「設為生效」只出現在 settings-prompts.js:1100 的說明句。規格見 docs/audit/2026-09-25-r5-dev-specs.md §5
R6 複驗通過（黑箱重放＋驗證者變異）</t>
        </is>
      </c>
    </row>
    <row r="74" ht="15" customHeight="1" s="43">
      <c r="A74" s="72" t="inlineStr">
        <is>
          <t>DEF-072</t>
        </is>
      </c>
      <c r="B74" s="72" t="inlineStr">
        <is>
          <t>D-00</t>
        </is>
      </c>
      <c r="C74" s="73" t="inlineStr">
        <is>
          <t>門 2（個股抽屜「補登公司行動」）預填的帳戶是清單第一個（Moomoo MY），不是對帳不一致的持有帳戶（台灣券商）；單一帳戶持有時抽屜沒有帳戶篩選鈕，無法先切換</t>
        </is>
      </c>
      <c r="D74" s="73" t="inlineStr">
        <is>
          <t>低</t>
        </is>
      </c>
      <c r="E74" s="73" t="inlineStr">
        <is>
          <t>程式缺陷</t>
        </is>
      </c>
      <c r="F74" s="72" t="inlineStr">
        <is>
          <t>R5</t>
        </is>
      </c>
      <c r="G74" s="73" t="inlineStr">
        <is>
          <t>本機專用測試環境（同一 commit 3be67db；見 docs/audit/2026-09-25-r5-dev-specs.md §9），前置狀態與開發者 e2e _seed_red_footer 同形（2330 台灣券商 2026-01-05 賣 100〔首筆買進前〕＋ 2026-04-01 分割 2:1）：儀表板開 2330 抽屜 → 頁尾「…＝ 部位摘要 1,900 股 ⚠ 對帳不一致（差額 1,900 股）」＋「補登公司行動」→ 表單代號 2330、原因列正確，帳戶下拉＝Moomoo MY</t>
        </is>
      </c>
      <c r="H74" s="72" t="inlineStr">
        <is>
          <t>web/detail.js:1272 `account_id: filterAcct || '',`（3be67db）——抽屜未篩選帳戶時傳空字串；共用表單 web/corp-action-form.js:798 `if (a.account_id === prefill.account_id) o.selected = true;` 對空字串無一相符，瀏覽器預設選第一個選項（/api/accounts 依 account_id 排序，第一個是 moomoo_my），所以落在 Moomoo MY 而不是對帳不一致的台灣券商</t>
        </is>
      </c>
      <c r="I74" s="73" t="inlineStr">
        <is>
          <t>結案</t>
        </is>
      </c>
      <c r="J74" s="72" t="inlineStr">
        <is>
          <t>R6</t>
        </is>
      </c>
      <c r="K74" s="73" t="inlineStr">
        <is>
          <t>驗證者 R5 新發現（D-00 首次可執行）。定位：web/detail.js:1272 account_id: filterAcct || ''；開發者 e2e tests/e2e/test_corporate_actions_flow.py:1058-1062 註解已記下此行為。規格見 docs/audit/2026-09-25-r5-dev-specs.md §8
R6 複驗通過（黑箱重放＋驗證者變異）</t>
        </is>
      </c>
    </row>
    <row r="75" ht="15" customHeight="1" s="43">
      <c r="A75" s="72" t="inlineStr">
        <is>
          <t>DEF-073</t>
        </is>
      </c>
      <c r="B75" s="72" t="inlineStr">
        <is>
          <t>E-05</t>
        </is>
      </c>
      <c r="C75" s="73" t="inlineStr">
        <is>
          <t>排程中心執行明細仍有英文句且校正產生工作不說明結果：alert_scan「N alert(s)…dispatched」、digest_daily「daily digest …」、evaluate_insights「evaluate pass complete」、generate_calibrations「calibration pass complete」（產生 0 版、被驗證器拒絕、產生 1 版時明細完全相同）</t>
        </is>
      </c>
      <c r="D75" s="73" t="inlineStr">
        <is>
          <t>低</t>
        </is>
      </c>
      <c r="E75" s="73" t="inlineStr">
        <is>
          <t>程式缺陷</t>
        </is>
      </c>
      <c r="F75" s="72" t="inlineStr">
        <is>
          <t>R5</t>
        </is>
      </c>
      <c r="G75" s="72" t="inlineStr">
        <is>
          <t>demo alert_scan #195「18 alert(s) [單一標的集中度、…], 7 dispatched；…」；本機專用測試環境（同一 commit 3be67db；見 docs/audit/2026-09-25-r5-dev-specs.md §9）：digest_daily「daily digest 2026-09-25：組合 —，警示 0，…」；G-08 流程中 generate_calibrations 在最低樣本數 20（0 版）、越權內文被拒（0 版）、正常產生（1 版）三種情況明細皆「calibration pass complete」</t>
        </is>
      </c>
      <c r="H75" s="72" t="inlineStr">
        <is>
          <t>portfolio_dash/scheduler/jobs.py:1051 `f"{len(alerts)} alert(s) [...], {dispatched} dispatched; "`、:1077 `return "evaluate pass complete"`、:1092 `return "calibration pass complete"`（3be67db）——運行紀錄明細由英文句組成；評分與校正工作丟掉 runner 的結果，不論產生 0 版、被驗證器拒絕或產生 1 版，明細都一樣。同類：api/digest_service.py:512 `f"daily digest {…}"`（:684 weekly）、jobs.py:1132／:1136 news、:1168 `backup ok -&gt; …`、:771 `{written} snapshot(s) written`、6 處「no … runner registered」、api/signals_service.py:484、generate.py:250／:286／:434（洞察 run 以 ok、列舉碼或 litellm 英文當明細）、ops/notify_dispatch.py:68／70／117-121「notify：…」、api/routers/news.py:130-137「manual: organized …」</t>
        </is>
      </c>
      <c r="I75" s="73" t="inlineStr">
        <is>
          <t>結案</t>
        </is>
      </c>
      <c r="J75" s="72" t="inlineStr">
        <is>
          <t>R6</t>
        </is>
      </c>
      <c r="K75" s="73" t="inlineStr">
        <is>
          <t>驗證者 R5 新發現（E-05 ①「detail 正確且為全形標點」、G-08 附帶）。定位：scheduler/jobs.py:1077、:1092、:1136 等（請附同類掃描數字）。規格見 docs/audit/2026-09-25-r5-dev-specs.md §7
R6 複驗通過（黑箱重放＋驗證者變異）。附註：失敗時的例外原文（failure_detail）依 DEF-030 保留英文類別名與原文，未列入本張</t>
        </is>
      </c>
    </row>
    <row r="76" ht="15" customHeight="1" s="43">
      <c r="A76" s="72" t="inlineStr">
        <is>
          <t>DEF-074</t>
        </is>
      </c>
      <c r="B76" s="72" t="inlineStr">
        <is>
          <t>H-04（附帶）</t>
        </is>
      </c>
      <c r="C76" s="73" t="inlineStr">
        <is>
          <t>股利收件匣的掃描宇宙（api/dividend_inbox.py:216-222）仍含已封存但有買入歷史的標的，同一排程的後備路徑卻已排除封存——同一工作兩套口徑</t>
        </is>
      </c>
      <c r="D76" s="73" t="inlineStr">
        <is>
          <t>低</t>
        </is>
      </c>
      <c r="E76" s="73" t="inlineStr">
        <is>
          <t>規格未定</t>
        </is>
      </c>
      <c r="F76" s="72" t="inlineStr">
        <is>
          <t>R5</t>
        </is>
      </c>
      <c r="G76" s="73" t="inlineStr">
        <is>
          <t>開發者 R5 決策項 ①（DEF-064 附帶）：dividend_inbox 以 list_instruments 中「有最早取得日」的標的組成掃描清單，不看封存；後備路徑走 build_worklist（DEF-064 共用判定）</t>
        </is>
      </c>
      <c r="H76" s="72" t="inlineStr">
        <is>
          <t>portfolio_dash/api/dividend_inbox.py:220 `for i in list_instruments(conn)`（3be67db，:216-222）——股利收件匣排程的掃描宇宙只依「有最早取得日」過濾、不看封存；同一個 dividend_inbox_scan 排程的後備路徑（jobs.build_worklist）已走 DEF-064 的共用判定排除封存，同一工作兩套口徑</t>
        </is>
      </c>
      <c r="I76" s="73" t="inlineStr">
        <is>
          <t>結案</t>
        </is>
      </c>
      <c r="J76" s="72" t="inlineStr">
        <is>
          <t>R6</t>
        </is>
      </c>
      <c r="K76" s="72" t="inlineStr">
        <is>
          <t>Owner 裁定（2026-09-26）①：B——改走共用判定，排除已封存（持有中的標的不會被封存，不影響持倉配息）。規格見 docs/audit/2026-09-25-r5-dev-specs.md §11
R6 複驗通過（黑箱重放＋驗證者變異）</t>
        </is>
      </c>
    </row>
    <row r="77" ht="15" customHeight="1" s="43">
      <c r="A77" s="72" t="inlineStr">
        <is>
          <t>DEF-075</t>
        </is>
      </c>
      <c r="B77" s="72" t="inlineStr">
        <is>
          <t>H-04（附帶）</t>
        </is>
      </c>
      <c r="C77" s="73" t="inlineStr">
        <is>
          <t>觀察清單「持有」徽章與永久移除守門仍用舊判定（current_shares &gt; 0，全日期淨額）：只靠未來日期賣出清倉、或放空中的標的顯示「觀察」，按移除卻回 422「持倉中的標的不可移除或封存」</t>
        </is>
      </c>
      <c r="D77" s="73" t="inlineStr">
        <is>
          <t>低</t>
        </is>
      </c>
      <c r="E77" s="73" t="inlineStr">
        <is>
          <t>程式缺陷</t>
        </is>
      </c>
      <c r="F77" s="72" t="inlineStr">
        <is>
          <t>R5</t>
        </is>
      </c>
      <c r="G77" s="73" t="inlineStr">
        <is>
          <t>本機專用測試環境（3be67db）：0056 台灣券商 5,000 股 → 加一筆 2026-10-15 賣出 5,000 股 → 觀察清單徽章由「持有」變「觀察」；同一狀態下「移除（隱藏）」跳「無法移除」（DEF-064 守門已改用 holds_position）；前置以 SQLite 備份還原</t>
        </is>
      </c>
      <c r="H77" s="72" t="inlineStr">
        <is>
          <t>portfolio_dash/api/routers/instruments.py:62 `return any(current_shares(conn, aid, symbol) &gt; 0 for aid in account_ids)`（3be67db）——_held 用在 :118（觀察清單徽章 held）與 :745（永久移除守門），是全日期淨額且只看多單；封存／移除（:673／:702）已用 holds_position，兩邊判定不同，所以只靠未來日期賣出清倉或放空中的標的顯示「觀察」、按移除卻回 422</t>
        </is>
      </c>
      <c r="I77" s="73" t="inlineStr">
        <is>
          <t>結案</t>
        </is>
      </c>
      <c r="J77" s="72" t="inlineStr">
        <is>
          <t>R6</t>
        </is>
      </c>
      <c r="K77" s="73" t="inlineStr">
        <is>
          <t>開發者 R5 決策項 ②；驗證者本機重現。Owner 裁定（2026-09-26）②：B——徽章改用 holds_position；理由「未來賣出還未到期，所以還算持有」。定位：api/routers/instruments.py:61-62 _held，用於 :118（徽章）、:745（永久移除守門）。規格見 docs/audit/2026-09-25-r5-dev-specs.md §12
R6 複驗通過（黑箱重放＋驗證者變異）</t>
        </is>
      </c>
    </row>
    <row r="78" ht="15" customHeight="1" s="43">
      <c r="A78" s="72" t="inlineStr">
        <is>
          <t>DEF-076</t>
        </is>
      </c>
      <c r="B78" s="72" t="inlineStr">
        <is>
          <t>H-04（附帶）</t>
        </is>
      </c>
      <c r="C78" s="72" t="inlineStr">
        <is>
          <t>quota_low 的事件標題是「LLM 額度偏低」（strategy/alerts.py:357），規則名是「AI 額度偏低」——同一條預警兩種名稱</t>
        </is>
      </c>
      <c r="D78" s="73" t="inlineStr">
        <is>
          <t>低</t>
        </is>
      </c>
      <c r="E78" s="73" t="inlineStr">
        <is>
          <t>規格未定</t>
        </is>
      </c>
      <c r="F78" s="72" t="inlineStr">
        <is>
          <t>R5</t>
        </is>
      </c>
      <c r="G78" s="73" t="inlineStr">
        <is>
          <t>開發者 R5 決策項 ⑤（DEF-062 附帶）：預警規則頁與 /api/alert-rules 為「AI 額度偏低」，預警事件標題與 LLM 提示詞中的預警標題為「LLM 額度偏低」</t>
        </is>
      </c>
      <c r="H78" s="72" t="inlineStr">
        <is>
          <t>portfolio_dash/strategy/alerts.py:357 `id="quota_low", sev=sev, rule="quota_low", title="LLM 額度偏低",`（3be67db）——事件標題與規則名「AI 額度偏低」（shared/alert_rule_names.py）用詞不同</t>
        </is>
      </c>
      <c r="I78" s="73" t="inlineStr">
        <is>
          <t>結案</t>
        </is>
      </c>
      <c r="J78" s="72" t="inlineStr">
        <is>
          <t>R6</t>
        </is>
      </c>
      <c r="K78" s="72" t="inlineStr">
        <is>
          <t>Owner 裁定（2026-09-26）⑤：統一為「AI 額度偏低」（接受提示詞中預警標題改變造成當日快取一次性未命中）。calibration_regression 在通知中心的訂閱開關本次未裁定，維持現狀。規格見 docs/audit/2026-09-25-r5-dev-specs.md §13
R6 複驗通過（黑箱重放＋驗證者變異）；依 owner 2026-09-26 對話裁定（畫面其他「LLM」字樣一併改稱「AI」）驗收。附註：門檻 1.00 → 4.00 → 1.00 為設定頁操作（系統紀錄留 2 列「AI 設定變更」），已還原。觀察：排程中心 › 系統操作紀錄 中修正前寫入的舊列仍顯示「LLM 設定變更／LLM 操作」（本機環境 2026-09-25 的列），開發者比照裁定 ④ a 保留；如 owner 希望舊列也改稱，可由讀取時對照動作標籤處理，不影響本張結案</t>
        </is>
      </c>
    </row>
    <row r="79" ht="15" customHeight="1" s="43">
      <c r="A79" s="72" t="inlineStr">
        <is>
          <t>DEF-077</t>
        </is>
      </c>
      <c r="B79" s="72" t="inlineStr">
        <is>
          <t>J-01（附帶）</t>
        </is>
      </c>
      <c r="C79" s="73" t="inlineStr">
        <is>
          <t>匯率三角一致性拿各匯率的「最新一筆」比較：三條腿日期不同時顯示 ok:false，實際沒有資料錯誤（R5 J-01：USD/TWD 推導 31.799144 vs 直接 31.829000、gap −0.0938%、ok:false）</t>
        </is>
      </c>
      <c r="D79" s="73" t="inlineStr">
        <is>
          <t>低</t>
        </is>
      </c>
      <c r="E79" s="73" t="inlineStr">
        <is>
          <t>程式缺陷</t>
        </is>
      </c>
      <c r="F79" s="72" t="inlineStr">
        <is>
          <t>R5</t>
        </is>
      </c>
      <c r="G79" s="72" t="inlineStr">
        <is>
          <t>demo：GET /api/dashboard 的 fx_triangulation；USD/TWD 已更新到新日期、USD/MYR 尚未更新時，推導值只到兩腿都有的舊日期，與直接值不同日相比而判紅</t>
        </is>
      </c>
      <c r="H79" s="72" t="inlineStr">
        <is>
          <t>portfolio_dash/portfolio/dashboard.py:196-197 `implied = leg1.rate * leg2.rate` / `direct = direct_read.rate`（3be67db）——三條腿都是 get_fx 取到的「最新一筆」，日期不同也照樣相比，:210 判 ok:false；呼叫點 :982 只傳最新值，沒有歷史可讀
R7 根因（696934e）：web/styles.css:1240 `.fresh-note` 預設 color: var(--amber)／background: var(--amber-soft)；web/app.js:1393 三種狀態都建成 `el('div', 'fresh-note')`，:1399 `if (t.ok === false) n.style.color = 'var(--amber)'` 只能在琥珀預設上再加琥珀——inline 顏色無法移除 class 的預設色，ok === true／null 沒有任何樣式蓋掉預設。同類：web/settings-llm.js:71-74 額度偏低以 inline 設琥珀，只有 :81-83（啟用中）清除，已關閉（:63-65）與額度歸零（:66-69）分支沿用上一次的 inline 琥珀；web/app.js:1360「推導」標籤用 .badge-stale-mini（過期的琥珀徽章）。</t>
        </is>
      </c>
      <c r="I79" s="73" t="inlineStr">
        <is>
          <t>結案</t>
        </is>
      </c>
      <c r="J79" s="72" t="inlineStr">
        <is>
          <t>R7</t>
        </is>
      </c>
      <c r="K79" s="73" t="inlineStr">
        <is>
          <t>驗證者 R4 觀察、開發者 R5 決策項 ⑥。Owner 裁定（2026-09-26）⑥：A——在三條腿的最新共同日期上比較，日期不同另外標示「日期不同」。定位：portfolio/dashboard.py:163 _fx_triangulation。規格見 docs/audit/2026-09-25-r5-dev-specs.md §14
R6 複驗未過（部分通過）：共同日期比較與判定正確（demo ok:true、compared_on 2026-09-22、dates_differ true，J-01 三角 ok:true），但「（一致）」提示的計算樣式為琥珀色警示框 color rgb(217,161,63)／背景 rgba(217,161,63,0.14)——web/styles.css:1240-1247 .fresh-note 預設琥珀，web/app.js:1393-1420 只在 ok === false 設 inline 琥珀；開發者 e2e test_def077_fx_triangle_note_flow.py:65／:93 讀 n.style.color（inline）而未驗計算樣式。還差：①匯率三角提示在 ok === true 與 ok === null 時改為中性樣式（例如另設 class 覆寫 .fresh-note 的琥珀色與琥珀底，或把三角提示移出 .fresh-note），只有 ok === false 維持琥珀；②e2e 改以 getComputedStyle 驗 color／background（現行 n.style.color 只看 inline，CSS 預設琥珀時仍通過）；③同類掃描：其他以 inline style 判斷顏色、但容器 class 已有預設警示色的提示。規格見 docs/audit/2026-09-26-r6-dev-specs.md §1
R7 複驗通過（黑箱重放＋驗證者變異）；依 owner 2026-09-26 對話裁定一併驗收「推導」改中性灰與 AI 狀態徽章不殘留琥珀</t>
        </is>
      </c>
    </row>
    <row r="80" ht="15" customHeight="1" s="43">
      <c r="A80" s="72" t="inlineStr">
        <is>
          <t>DEF-078</t>
        </is>
      </c>
      <c r="B80" s="72" t="inlineStr">
        <is>
          <t>H-01（附帶）</t>
        </is>
      </c>
      <c r="C80" s="72" t="inlineStr">
        <is>
          <t>AI 與額度 › 模型抽屜的 API Key 輸入欄是 type="text"（重設後輸入的新金鑰以明文顯示、autocomplete 空）；同類祕密輸入欄共 4 個（模型金鑰、資料來源 API Key、ntfy 權杖、Telegram bot token）都不是密碼欄位</t>
        </is>
      </c>
      <c r="D80" s="73" t="inlineStr">
        <is>
          <t>低</t>
        </is>
      </c>
      <c r="E80" s="73" t="inlineStr">
        <is>
          <t>規格未定</t>
        </is>
      </c>
      <c r="F80" s="72" t="inlineStr">
        <is>
          <t>R5</t>
        </is>
      </c>
      <c r="G80" s="73" t="inlineStr">
        <is>
          <t>本機專用測試環境（H-01）：模型抽屜 #dr-key 按「重設」後 type=text、placeholder「輸入新的 API Key…」；讀碼：web/settings.html:631、:533、:550，web/settings-datasources.js 重設對話框 inp.type = 'text'</t>
        </is>
      </c>
      <c r="H80" s="72" t="inlineStr">
        <is>
          <t>web/settings.html:631 `&lt;input class="input" id="dr-key" readonly="readonly" spellcheck="false"&gt;`（3be67db，未指定 type 即 text）；同類 :533 #nt-ntfy-token、:550 #nt-tg-token、web/settings-datasources.js:218 `inp.type = 'text';`——祕密輸入欄是明文欄位，輸入或貼上的金鑰直接顯示</t>
        </is>
      </c>
      <c r="I80" s="73" t="inlineStr">
        <is>
          <t>結案</t>
        </is>
      </c>
      <c r="J80" s="72" t="inlineStr">
        <is>
          <t>R6</t>
        </is>
      </c>
      <c r="K80" s="73" t="inlineStr">
        <is>
          <t>驗證者 R5 觀察（H-01 本身通過：API 與 DOM 只見遮罩 sk-•••000）。Owner 裁定（2026-09-26）⑦：A 並加條件——改密碼欄位，且「前後 6 個 char 顯示明文」。驗證者解讀：輸入時為密碼欄；已存金鑰的遮罩改為前 6＋•••＋後 6（伺服器產生，短金鑰不露出一半以上）；6＋6 只適用 API Key（模型金鑰、資料來源），密碼與權杖維持現行 3＋3。規格見 docs/audit/2026-09-25-r5-dev-specs.md §15
R6 複驗通過（黑箱重放＋驗證者變異）；依 owner 2026-09-26 對話裁定（所有金鑰一律前後 3 字元，取代規格 §15 的 6＋6）驗收</t>
        </is>
      </c>
    </row>
    <row r="81" ht="15" customHeight="1" s="43">
      <c r="A81" s="72" t="inlineStr">
        <is>
          <t>DEF-079</t>
        </is>
      </c>
      <c r="B81" s="72" t="inlineStr">
        <is>
          <t>G-08（附帶）</t>
        </is>
      </c>
      <c r="C81" s="73" t="inlineStr">
        <is>
          <t>校正版本以錯誤依據產生：沒有生效版時第一版的失誤樣本為 0 筆，之後的版本以最新版而非生效版的內文為底</t>
        </is>
      </c>
      <c r="D81" s="73" t="inlineStr">
        <is>
          <t>中</t>
        </is>
      </c>
      <c r="E81" s="73" t="inlineStr">
        <is>
          <t>程式缺陷</t>
        </is>
      </c>
      <c r="F81" s="72" t="inlineStr">
        <is>
          <t>R6</t>
        </is>
      </c>
      <c r="G81" s="73" t="inlineStr">
        <is>
          <t>開發者 R6 修 DEF-070 時讀碼＋測試重現：個股健檢沒有生效版時，卡片與評分的 calibration_version 皆為 NULL；Loop 3 以 v1 取失誤樣本 → 8 筆失誤、交給大師模型 0 筆；之後的版本以最新版（可能是未採用或已輸掉的影子）內文為底</t>
        </is>
      </c>
      <c r="H81" s="72" t="inlineStr">
        <is>
          <t>portfolio_dash/api/insight_service.py:902 `active_version = active[-1].version if active else 1`（3be67db）——沒有生效版的任務，卡片與評分的 calibration_version 都是 NULL，卻用 v1 取樣本，第一版在 0 筆失誤樣本下產生（實測 8 筆失誤 → 0 筆樣本）；同段 :901 `active_body = active[-1].body if active else ""` 以最新版（可能是未採用或已輸掉的影子）為底，而不是生效版</t>
        </is>
      </c>
      <c r="I81" s="73" t="inlineStr">
        <is>
          <t>結案</t>
        </is>
      </c>
      <c r="J81" s="72" t="inlineStr">
        <is>
          <t>R6</t>
        </is>
      </c>
      <c r="K81" s="73" t="inlineStr">
        <is>
          <t>開發者 R6 修 DEF-070 時發現；owner 2026-09-26 在對話中裁定本輪一起修。
R6 複驗通過（黑箱重放＋驗證者變異）</t>
        </is>
      </c>
    </row>
    <row r="82" ht="15" customHeight="1" s="43">
      <c r="A82" s="72" t="inlineStr">
        <is>
          <t>DEF-080</t>
        </is>
      </c>
      <c r="B82" s="72" t="inlineStr">
        <is>
          <t>G-08（附帶）</t>
        </is>
      </c>
      <c r="C82" s="73" t="inlineStr">
        <is>
          <t>校正產生的觸發條件讀取任務全部歷史，同一批舊失誤每週重複觸發產生新版本</t>
        </is>
      </c>
      <c r="D82" s="73" t="inlineStr">
        <is>
          <t>低</t>
        </is>
      </c>
      <c r="E82" s="73" t="inlineStr">
        <is>
          <t>程式缺陷</t>
        </is>
      </c>
      <c r="F82" s="72" t="inlineStr">
        <is>
          <t>R6</t>
        </is>
      </c>
      <c r="G82" s="73" t="inlineStr">
        <is>
          <t>開發者 R6 修 DEF-070 時讀碼＋測試重現：產生新版本不會「消耗」用過的失誤，下一個週日同一批失誤再觸發一次（驗證者 §9 的 v1、v2 連續產生可能即此）；既有 test_second_run_appends_version 把重複觸發當預期行為釘住</t>
        </is>
      </c>
      <c r="H82" s="72" t="inlineStr">
        <is>
          <t>portfolio_dash/api/insight_service.py:891 `resolved = es.resolved_sample_count(conn, it.id)`（3be67db），以及 :892 combo_score、:893 consecutive_misses——三者都讀任務的全部生效卡歷史；產生新版本不會「消耗」掉用過的失誤，下個週日同一批失誤又觸發一次</t>
        </is>
      </c>
      <c r="I82" s="73" t="inlineStr">
        <is>
          <t>結案</t>
        </is>
      </c>
      <c r="J82" s="72" t="inlineStr">
        <is>
          <t>R6</t>
        </is>
      </c>
      <c r="K82" s="73" t="inlineStr">
        <is>
          <t>開發者 R6 修 DEF-070 時發現；owner 2026-09-26 在對話中裁定本輪一起修。
R6 複驗通過（黑箱重放＋驗證者變異）</t>
        </is>
      </c>
    </row>
    <row r="83" ht="15" customHeight="1" s="43">
      <c r="A83" s="72" t="inlineStr">
        <is>
          <t>DEF-081</t>
        </is>
      </c>
      <c r="B83" s="72" t="inlineStr">
        <is>
          <t>H-07（附帶）</t>
        </is>
      </c>
      <c r="C83" s="72" t="inlineStr">
        <is>
          <t>AI 戰績「各洞察任務命中率」與「預測明細」以「任務 #2」稱呼洞察任務，不是任務名稱</t>
        </is>
      </c>
      <c r="D83" s="73" t="inlineStr">
        <is>
          <t>低</t>
        </is>
      </c>
      <c r="E83" s="73" t="inlineStr">
        <is>
          <t>程式缺陷</t>
        </is>
      </c>
      <c r="F83" s="72" t="inlineStr">
        <is>
          <t>R7</t>
        </is>
      </c>
      <c r="G83" s="73" t="inlineStr">
        <is>
          <t>洞察中心 › AI 戰績：各洞察任務命中率的列名與預測明細第一欄為「任務 #2」「任務 #8」「任務 #9」；排程中心、管線中心都以任務名稱稱呼同一批任務，使用者無從對應（驗證者 R5 觀察 5、R6 規格 §2 觀察 3）</t>
        </is>
      </c>
      <c r="H83" s="72" t="inlineStr">
        <is>
          <t>web/insights.html:688 `el('span', 'name', '任務 #' + c.insight_type_id)`、:725 `el('td', 'col-text', '任務 #' + r.insight_type_id)`（696934e）——GET /api/ai-score（portfolio_dash/api/routers/insights.py:914 `return payload`）的 by_combo 與 rows 只帶 insight_type_id，畫面沒有名稱可印</t>
        </is>
      </c>
      <c r="I83" s="73" t="inlineStr">
        <is>
          <t>結案</t>
        </is>
      </c>
      <c r="J83" s="72" t="inlineStr">
        <is>
          <t>R7</t>
        </is>
      </c>
      <c r="K83" s="73" t="inlineStr">
        <is>
          <t>驗證者 R5 觀察 5、R6 規格 §2 觀察 3（未裁定）。Owner 2026-09-26 在對話中裁定：本輪改顯示任務名稱，滑鼠提示保留 #編號；已刪除的任務比照排程中心寫法。
R7 複驗通過（黑箱重放＋驗證者變異）；依 owner 2026-09-26 對話裁定（顯示任務名稱、滑鼠提示保留 #編號、已刪除比照排程中心）驗收</t>
        </is>
      </c>
    </row>
    <row r="84" ht="15" customHeight="1" s="43">
      <c r="A84" s="72" t="inlineStr">
        <is>
          <t>DEF-082</t>
        </is>
      </c>
      <c r="B84" s="72" t="inlineStr">
        <is>
          <t>G-04</t>
        </is>
      </c>
      <c r="C84" s="72" t="inlineStr">
        <is>
          <t>AI 洞察卡的代號檢核把括號內「已註冊標的的英文名稱」當成未知代號：#209 寫「3008 (LARGAN)」即標「未知代碼：LARGAN…可能是模型幻覺」</t>
        </is>
      </c>
      <c r="D84" s="73" t="inlineStr">
        <is>
          <t>低</t>
        </is>
      </c>
      <c r="E84" s="73" t="inlineStr">
        <is>
          <t>程式缺陷</t>
        </is>
      </c>
      <c r="F84" s="72" t="inlineStr">
        <is>
          <t>R8</t>
        </is>
      </c>
      <c r="G84" s="72" t="inlineStr">
        <is>
          <t>demo（a16210a）：AI 洞察 › 洞察卡 #209「台股部位週報 - 科技股佔比近九成」（2026-09-24 產生，snapshot checked）顯示「未知代碼」，tooltip「未知代碼：LARGAN 卡片提到的代號不在持倉、觀察清單或已註冊標的中，可能是模型幻覺」；GET /api/insights #209 figure_flags.unknown_symbols ["LARGAN"]；GET /api/instruments 3008 name "LARGAN"（持有中）；同句前文「3008」即為該標的</t>
        </is>
      </c>
      <c r="H84" s="72" t="inlineStr">
        <is>
          <t>portfolio_dash/llm_insight/figure_check.py:151 `_CODE_RE` 把括號內以大寫字母開頭、≤6 字元的 token 讀成代號；:460-474 `_unknown_symbols` 只比對 `_known_forms(known_symbols)`（已登錄代號及其去後綴形）；portfolio_dash/api/routers/insights.py:1150 `_known_symbols` 也只讀 `i.symbol`——已登錄標的的 `name` 從未進入檢核（a16210a；規則自 755c88a 未變）</t>
        </is>
      </c>
      <c r="I84" s="73" t="inlineStr">
        <is>
          <t>結案</t>
        </is>
      </c>
      <c r="J84" s="72" t="inlineStr">
        <is>
          <t>R9</t>
        </is>
      </c>
      <c r="K84" s="73" t="inlineStr">
        <is>
          <t>驗證者 R8 全面重跑（G-04）新發現。讀碼：portfolio_dash/llm_insight/figure_check.py:151 _CODE_RE 把全大寫英文 token 視同代號，:466 _unknown_symbols 只比對已註冊「代號」（_known_forms），不比對已註冊標的「名稱」；該檔自 755c88a 未變更，R1 時沒有這種寫法的卡片，屬既有規則漏網、本輪資料才暴露，非回歸。全部 209 張卡中括號內寫已註冊標的英文名者 1 張、1/1 被誤標（其餘 44 種括號 token 中指標、縮寫、幣別皆未誤報；#82「6883」真陽性仍正確）。建議：known forms 納入已註冊標的名稱（不分大小寫）；補「代號 (英文名)」的契約測試與變異；同類掃描其他會出現在括號內的名稱形態（中文名不受 _CODE_RE 影響）
Owner 2026-09-27 在對話中裁定：A 修（不改判非缺陷）；名稱比對不分大小寫，整名＋多字名稱的單字（「5225 (IHH)」視同 IHH Healthcare）；全數字與單一字母不算名稱，#82「6883」維持被標。
R9 複驗通過（demo 黑箱＋本機直接呼叫 check_figures 與真實路由；驗證者自做變異 10 組，6 組被攔、4 組為測試未釘住的邊界〔現行行為正確〕列觀察）；依 owner 2026-09-27 對話裁定（不分大小寫、整名＋多字名稱的單字、全數字與單一字母不算名稱）驗收</t>
        </is>
      </c>
    </row>
    <row r="85" ht="15" customHeight="1" s="43">
      <c r="A85" s="72" t="inlineStr">
        <is>
          <t>DEF-083</t>
        </is>
      </c>
      <c r="B85" s="72" t="inlineStr">
        <is>
          <t>G-09</t>
        </is>
      </c>
      <c r="C85" s="73" t="inlineStr">
        <is>
          <t>主模型失敗時的備援模型（haiku-4.5，經 OpenRouter）一律被供應商以 HTTP 400 拒絕：送出的 JSON Schema 含 Decimal 欄位的負向前瞻正規式「(?!…)」，Anthropic 結構化輸出不支援 → 備援在真實供應商上完全失效</t>
        </is>
      </c>
      <c r="D85" s="73" t="inlineStr">
        <is>
          <t>中</t>
        </is>
      </c>
      <c r="E85" s="73" t="inlineStr">
        <is>
          <t>程式缺陷</t>
        </is>
      </c>
      <c r="F85" s="72" t="inlineStr">
        <is>
          <t>R10</t>
        </is>
      </c>
      <c r="G85" s="72" t="inlineStr">
        <is>
          <t>demo（3a35454）G-09：2884 目標下限設 999 → 排程中心 alert_scan 立即執行（run #213，派發 AI 預警卡 8 張）→ 2884 目標價穿越那一張（run #221，insight:9）partial：「AI 呼叫失敗，本次停止（尚未產出卡片）：主模型 gemini-2.5-flash-lite：回應不是完整 JSON（2 次）；備援 haiku-4.5：請求內容被拒（HTTP 400）」。資料中心 › AI 抽取失敗記錄 #517（2026-09-28 17:27:27，anthropic/claude-haiku-4.5，provider_error）原文：OpenRouter 轉送 Azure／Amazon Bedrock／Anthropic／Google 四個供應商皆回 「output_config.format.schema: Invalid regex in pattern field: Quantifier '?' without preceding element」。GET /api/llm/config：default／vision／master 三個角色的備援都是 haiku-4.5（openrouter）。本機（同 commit、假端點擷取實際送出的請求、非憑證假金鑰）：openrouter/anthropic/claude-haiku-4.5 與 openrouter/google/gemini-2.5-flash-lite 的 litellm supports_response_schema 皆為 True，送出 response_format json_schema「InsightCard」，其中 prediction.target_pct 的 pattern 為 ^(?!^[-+.]*$)[+-]?0*\d*\.?\d*$（pydantic 對 Decimal 產生）
另一條不依賴主模型失敗、可固定重現的路徑（驗證者 2026-09-29）：交易帳本 › AI 輸入 › 模型選「haiku-4.5」→ 貼「台灣券商 2026-09-29 買進 2884 100股 成交價 46」→ 解析：失敗記錄 #520（ai_agents_input、anthropic/claude-haiku-4.5、provider_error 400；Azure「Invalid regex in pattern field: Quantifier '?' without preceding element」、Amazon Bedrock「Schema type 'oneOf' is not supported」），隨即改由 gemini-2.5-flash-lite 產出，toast 只寫「✓ 解析完成 共 1 筆草稿」，畫面「模型：google/gemini-2.5-flash-lite」（花費 0.0005165；交易帳本仍 56 列）</t>
        </is>
      </c>
      <c r="H85" s="72" t="inlineStr">
        <is>
          <t>portfolio_dash/shared/llm.py:175-187 `_response_format_for` 把 `schema.model_json_schema()`（:185）原樣當 response_format 送出；:453-454 只要 `litellm.supports_response_schema` 為 True 就附上（已安裝 litellm 1.88.1 對 openrouter/anthropic/* 與 openrouter/google/* 皆為 True）。pydantic 為 Decimal 產生 pattern「^(?!^[-+.]*$)[+-]?0*\d*\.?\d*$」（負向前瞻；llm_insight/cards.py:33 target_pct，data_ingestion/agents.py:85-86、102、119-123、149、152 共 10 個欄位），agents.py:171 的 AnyDraft 判別聯集產生 oneOf＋discriminator——Anthropic 拒前瞻、Bedrock 拒 oneOf。:203-209 註解稱 openrouter/* 一律不支援 response_format，與已安裝版本不符。畫面沒說明的根因：llm.py:594-601 complete_structured_meta 回傳第一個成功的候選、丟掉之前的失敗；agents.py:221-229 `_latest_meta` 由最新一筆 llm_usage 反推模型，無從得知發生過備援（3a35454）</t>
        </is>
      </c>
      <c r="I85" s="73" t="inlineStr">
        <is>
          <t>結案</t>
        </is>
      </c>
      <c r="J85" s="72" t="inlineStr">
        <is>
          <t>R11</t>
        </is>
      </c>
      <c r="K85" s="73" t="inlineStr">
        <is>
          <t>讀碼定位（根因欄留給修復方）：portfolio_dash/shared/llm.py:453-454 `if _supports_response_format(model): extra["response_format"] = _response_format_for(schema)`；:175-187 `_response_format_for` 原樣送出 `schema.model_json_schema()`，未剔除供應商不支援的 pattern；portfolio_dash/llm_insight/cards.py:33 `target_pct: Decimal | None` 由 pydantic 產生含負向前瞻的 pattern；:203-209 `_json_instruction` 的註解假設「openrouter/* 一律不支援 response_format」，與已安裝的 litellm 不符（3a35454）。驗證者 R10 全面重跑（G-09）新發現。R5 的 DEF-066（備援缺 tenacity）修復後，R6 以本機假服務複驗（假端點不驗 schema），直到本輪 demo 才第一次有真實的備援呼叫送達供應商，非回歸。影響：主模型任何一次失敗（本輪 gemini 兩次截斷 JSON）都救不回，洞察卡直接失敗；同類：同一段程式送出的其他結構化 schema 也含相同 pattern（本機以 model_json_schema 掃描：AiDraftList／TxnDraft 等 AI 輸入、OrganizedNews、Instrument 等皆有），三個角色的備援都指向 haiku-4.5，AI 輸入、新聞整理、大師評分走到備援時同樣會被拒。建議：送出前清洗 schema（移除或改寫 pattern／lookaround），或 Decimal 欄位以不帶 pattern 的字串型別輸出；補「實際送出的 response_format 不得含供應商不支援關鍵字」的契約測試與變異；修正 :203-209 的過時註解
R10 補充（驗證者 2026-09-29）：AI 輸入指定 haiku-4.5 可直接重現（#520），證實同類（AiDraftList）在真實供應商同樣被拒；Bedrock 另拒 schema 中的 oneOf，修法須讓送出的 schema 同時避開 pattern／lookaround 與 oneOf 等供應商不支援的關鍵字。另：使用者明確指定的模型失敗時，畫面只以「模型」欄顯示實際產出的模型，未說明指定模型失敗，可一併檢討。Owner 2026-09-29 在對話中裁定：交由開發者修復（本輪修）
R11 複驗通過（驗證者 2026-09-30）：①demo 真實供應商——AI 輸入指定 haiku-4.5 貼 #520 原文 → 由 anthropic/claude-haiku-4.5 本身產出（$0.008115）、無琥珀提示條、失敗記錄無新增；暫時把主模型設為 haiku-4.5 產一張洞察卡 → run #228 ok、卡 #250 由 haiku-4.5 產出（$0.029194），角色測後改回；one shot 的 G-09：5225 那張 gemini 連續 2 次截斷 JSON（#528、#529）後由備援 haiku-4.5 產出卡 #256——修復前這條路徑一律 400，本輪首次在真實供應商上救回；one shot 全程 0 筆 provider_error。②本機驗證者自寫的嚴格假端點（依 Anthropic 限制自行檢查 response_format）：7 個 schema 在 3a35454 全部被拒 400、改由 gemini 產出；在 91ec1b0 全部由 haiku 產出、0 個問題；送出的 response_format 無「(?!」與 oneOf（提示詞仍附完整 schema，屬設計）。③本機失敗路徑重放：主模型截斷 JSON ×2 → 3a35454 run partial「備援 haiku-4.5：請求內容被拒（HTTP 400）」、0 張卡；91ec1b0 run ok、卡由 haiku-4.5 產出。④AI 輸入指定模型回 400 → 琥珀提示條「指定模型 haiku-4.5 失敗：請求內容被拒（HTTP 400）。本次改由 gemini-2.5-flash-lite 產出。」（色 #d9a13f）＋警示 toast；指定模型成功時不出現。⑤驗證者自做變異 5 組全攔（原始 schema 10 failed、保留 oneOf 3、不補 additionalProperties 9、複製 pattern 5、不回報備援 1），且每組同時在嚴格假端點重現對應的 400</t>
        </is>
      </c>
    </row>
    <row r="86" ht="15" customHeight="1" s="43">
      <c r="A86" s="72" t="inlineStr">
        <is>
          <t>DEF-084</t>
        </is>
      </c>
      <c r="B86" s="72" t="inlineStr">
        <is>
          <t>F-08</t>
        </is>
      </c>
      <c r="C86" s="72" t="inlineStr">
        <is>
          <t>AI 抽取失敗記錄中「模型坦承無法歸類」（unparsed_rows）的紀錄不記模型：model 空白、usage_id null，下載的 .jsonl 無從得知是哪個模型的回覆</t>
        </is>
      </c>
      <c r="D86" s="73" t="inlineStr">
        <is>
          <t>低</t>
        </is>
      </c>
      <c r="E86" s="73" t="inlineStr">
        <is>
          <t>程式缺陷</t>
        </is>
      </c>
      <c r="F86" s="72" t="inlineStr">
        <is>
          <t>R10</t>
        </is>
      </c>
      <c r="G86" s="72" t="inlineStr">
        <is>
          <t>demo（3a35454）：資料中心 › AI 抽取失敗記錄「21 / 300 筆」→ 下載 .jsonl（POST /api/llm-fail-log/export 200）21 筆：ai_agents_input／unparsed_rows 6 筆（#499、#500、#501、#511、#512、#518）model ""、usage_id null；其餘 15 筆 insight_generate 皆有 model。#518 為本輪 F-05 貼上 4 列時模型回覆「invalid date」「invalid symbol」，同一次呼叫的 llm-usage 列（17:59:27 google/gemini-2.5-flash-lite ai_agents_input 0.0005814）有模型</t>
        </is>
      </c>
      <c r="H86" s="72" t="inlineStr">
        <is>
          <t>portfolio_dash/data_ingestion/agents.py:558-570 `fail_log.record(conn, agent="ai_agents_input", outcome="unparsed_rows", source_text=…, prompt=…, raw_output=…, error_reason=…)` 未傳 model 與 usage_id；呼叫端手上也沒有：:533 注入的 completer 預設為 complete_structured，只回傳解析後的值，模型與計費的 llm_usage 列都留在 shared/llm.py 裡（3a35454）</t>
        </is>
      </c>
      <c r="I86" s="73" t="inlineStr">
        <is>
          <t>結案</t>
        </is>
      </c>
      <c r="J86" s="72" t="inlineStr">
        <is>
          <t>R11</t>
        </is>
      </c>
      <c r="K86" s="73" t="inlineStr">
        <is>
          <t>讀碼定位（根因欄留給修復方）：portfolio_dash/data_ingestion/agents.py:558-570 `fail_log.record(conn, agent="ai_agents_input", outcome="unparsed_rows", source_text=…, prompt=…, raw_output=…, error_reason=…)` 未傳 model 與 usage_id；同一函式稍後才以 :221-229 `_latest_meta(conn)` 取得本次模型（3a35454）。驗證者 R10 全面重跑（F-08）新發現；自 R1 起即存在（#499～#501 為 09-23／09-24 的紀錄），非回歸。手冊 F-08 期望「失敗留下可下載的紀錄（時間、模型、錯誤）」。更正：R8 本案備註寫「每筆有 created_at、model、outcome」不精確，當時 13 筆中已有 3 筆 model 為空。建議：record 時帶入本次呼叫的 model 與 usage_id，並補「每筆失敗記錄都有 model」的契約測試與變異
Owner 2026-09-29 在對話中裁定：修（交由開發者，本輪修）
R11 複驗通過（驗證者 2026-09-30）：demo #521（開發者驗證，gemini usage 1083）與 one shot F-04／F-05 產生的 #522、#523（anthropic/claude-haiku-4.5，usage 1088／1089）皆帶 model 與 usage_id，與同秒 llm-usage 列對上；F-08 下載 26 筆＝畫面 26 / 300。驗證者變異：把 3a35454 的 record 呼叫放回 → 3 failed。修復前寫入的 6 筆（#499、#500、#501、#511、#512、#518）model 仍為空，屬資料殘留（程式已正確；筆數上限 300 會自然淘汰），未另開單，是否清除由 Owner 決定</t>
        </is>
      </c>
    </row>
    <row r="87" ht="15" customHeight="1" s="43">
      <c r="A87" s="72" t="inlineStr">
        <is>
          <t>DEF-085</t>
        </is>
      </c>
      <c r="B87" s="72" t="inlineStr">
        <is>
          <t>H-05</t>
        </is>
      </c>
      <c r="C87" s="73" t="inlineStr">
        <is>
          <t>乾跑預檢「✕ AI 額度 額度耗盡（剩餘 $-0.01000）」R6 列沒有修正指引（無按鈕、無「補充額度／前往額度設定」字樣），結論只說「修復上方紅色項目後重跑預檢」</t>
        </is>
      </c>
      <c r="D87" s="73" t="inlineStr">
        <is>
          <t>低</t>
        </is>
      </c>
      <c r="E87" s="73" t="inlineStr">
        <is>
          <t>程式缺陷</t>
        </is>
      </c>
      <c r="F87" s="72" t="inlineStr">
        <is>
          <t>R10</t>
        </is>
      </c>
      <c r="G87" s="73" t="inlineStr">
        <is>
          <t>本機專用測試環境（3a35454、demo 資料庫副本、假 LLM、非憑證假金鑰）：建立 per_symbol 任務（2330）→ 以 llm_usage 補一筆使剩餘額度 −$0.01 → 洞察管線 › 任務抽屜 › 乾跑預檢：R6 列「✕ AI 額度 額度耗盡（剩餘 $-0.01000） R6」無按鈕（同畫面 G1「啟動排程」、R2／R4「編輯標的」、R3「啟用模板」皆有）；結論「本任務現在不會成功執行 — 1 道閘門擋下。修復上方紅色項目後重跑預檢。」；POST /preflight gates R6 {lv:"fail", fix:null}、verdict blocked；GET /diagnose first_blocker R6、fix null。對照 F-07：額度用盡的 toast 與橫幅有「補充額度後即可繼續使用・前往額度設定」。截圖 R10_H05_R6_preflight.png</t>
        </is>
      </c>
      <c r="H87" s="72" t="inlineStr">
        <is>
          <t>portfolio_dash/api/insight_service.py:1725-1731 `_RULE_FIX` 不含 R6（註解：額度加值不在 §7.2 列舉），也不含 R1；:1865-1876 `_g7` 未設大師模型的警告 "fix": None——而 web/pipeline.js:60-61 早已定義 fund_quota「前往額度設定」與 activate_role「前往 AI 大師設定」，後端從未送出；web/pipeline-preflight.js:33 只在 fix.kind 存在時畫按鈕。金額：portfolio_dash/llm_insight/gating.py:168 `f"額度耗盡（剩餘 ${ctx.budget_remaining}）"` 與 shared/llm_config.py:312 直接印原始 Decimal（$-0.01000），管線節點 llm_insight/pipeline_status.py:169 則量化成 2 位（$-0.01）（3a35454）</t>
        </is>
      </c>
      <c r="I87" s="73" t="inlineStr">
        <is>
          <t>結案</t>
        </is>
      </c>
      <c r="J87" s="72" t="inlineStr">
        <is>
          <t>R11</t>
        </is>
      </c>
      <c r="K87" s="73" t="inlineStr">
        <is>
          <t>讀碼定位（根因欄留給修復方）：portfolio_dash/api/insight_service.py:1725-1731 `_RULE_FIX` 刻意不含 R6（註解：額度加值不在 §7.2 fix.kind 列舉）；web/pipeline-preflight.js:33 只在 fix.kind 存在時加按鈕，msg 為 gating.py:168「額度耗盡（剩餘 $…）」（3a35454）。驗證者 R10 全面重跑（H-05）發現；R1 時 R6 情境受 demo 限制未測，本輪首次實測。手冊 H-05 期望「對應的 R1–R8 顯示 ✗ 或 ⓘ 並給出可執行的修正指引」，程式註解則表示 R6 無一鍵修正是刻意設計，兩者衝突 → OBSERVE，請 Owner 裁定：A 修（R6 補一句可執行的指引，例如「補充額度：設定 › AI 與額度」或連結；不必是 §7.2 的一鍵修正）；B 維持現狀（R6 以狀態訊息＋結論為足，H-05 改判 PASS、本張改判非缺陷）。附：訊息金額 5 位小數「$-0.01000」與管線節點「餘 $-0.01」寫法不一，可一併處理
Owner 2026-09-29 在對話中裁定：A 修——R6 額度不足時要給出可執行的修正指引（形式由開發者設計，例如指引文字或前往「設定 › AI 與額度」的入口，不必是 §7.2 的一鍵修正；金額小數位與管線節點不一的寫法可一併處理）。處置：改程式；H-05 期望不變；狀態由「待裁定」改「新開」交開發者
R11 複驗通過（驗證者 2026-09-30）：本機剩餘額度 −$0.01 → 乾跑預檢與「為什麼沒跑？」的 R6 列皆為「✕ AI 額度 額度耗盡（剩餘 $-0.01）［前往額度設定］R6」，按下到 settings.html#llm（設定 › AI 與額度，角色欄可見）；/preflight 與 /diagnose 皆 fix fund_quota；管線節點「餘 $-0.01」6 處，金額寫法一致。同類抽樣（開發者未點名者）：停用任務的 G0 附 enable_task 修正、開啟自我校正但未設大師模型 G7 有 activate_role。F-07 的 402 訊息改為「剩餘 $0.00」（−0.00036 四捨五入）。驗證者變異 3 組全攔（拿掉 R6 fix 5 failed、R6 改回原始 Decimal 2、G7 fix 改回 None 2）。分類：R10 開單時為「規格未定」，Owner 2026-09-29 裁定 A 修並已改程式 → R11 改列「程式缺陷」。觀察（不開單）：strategy/alerts.py:154-156 `_usd`（「AI 額度偏低」預警明細，:363）仍自行 quantize（銀行家捨入、無千分位），未改用 usd_display；demo 目前額度高於門檻未觸發，屬同類顯示一致性，供開發者日後順手統一</t>
        </is>
      </c>
    </row>
  </sheetData>
  <dataValidations count="4">
    <dataValidation sqref="D3:D90" showDropDown="0" showInputMessage="0" showErrorMessage="0" allowBlank="1" type="list" errorStyle="stop" operator="between">
      <formula1>"高,中,低"</formula1>
      <formula2>0</formula2>
    </dataValidation>
    <dataValidation sqref="E3:E90" showDropDown="0" showInputMessage="0" showErrorMessage="0" allowBlank="1" type="list" errorStyle="stop" operator="between">
      <formula1>"程式缺陷,資料殘留,來源資料,規格未定,非缺陷"</formula1>
      <formula2>0</formula2>
    </dataValidation>
    <dataValidation sqref="I3:I90" showDropDown="0" showInputMessage="0" showErrorMessage="0" allowBlank="1" type="list" errorStyle="stop" operator="between">
      <formula1>"新開,修復中,待複驗,複驗未過,待裁定,結案,非缺陷"</formula1>
      <formula2>0</formula2>
    </dataValidation>
    <dataValidation sqref="F3:F90 J3:J90" showDropDown="0" showInputMessage="0" showErrorMessage="0" allowBlank="1" type="list" errorStyle="stop" operator="between">
      <formula1>"R1,R2,R3,R4,R5,R6,R7,R8,R9,R10,R11"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12" customWidth="1" style="42" min="2" max="2"/>
    <col width="11" customWidth="1" style="42" min="3" max="4"/>
    <col width="16" customWidth="1" style="42" min="5" max="5"/>
    <col width="32" customWidth="1" style="42" min="6" max="6"/>
    <col width="34" customWidth="1" style="42" min="7" max="7"/>
    <col width="40" customWidth="1" style="42" min="8" max="8"/>
    <col width="22" customWidth="1" style="42" min="9" max="9"/>
    <col width="32" customWidth="1" style="42" min="10" max="10"/>
    <col width="18" customWidth="1" style="42" min="11" max="11"/>
    <col width="26" customWidth="1" style="42" min="12" max="12"/>
    <col width="32" customWidth="1" style="42" min="13" max="13"/>
    <col width="46" customWidth="1" style="42" min="14" max="14"/>
    <col width="38" customWidth="1" style="42" min="15" max="15"/>
    <col width="12" customWidth="1" style="42" min="16" max="16"/>
    <col width="26" customWidth="1" style="42" min="17" max="17"/>
    <col width="16" customWidth="1" style="42" min="18" max="18"/>
  </cols>
  <sheetData>
    <row r="1" ht="15" customHeight="1" s="43">
      <c r="A1" s="63" t="inlineStr">
        <is>
          <t>左半（橘）由修復方填，右半（藍）由檢驗方填。一列 = 一輪；複驗未過就再加一列，輪次 +1</t>
        </is>
      </c>
    </row>
    <row r="2" ht="31.5" customHeight="1" s="43">
      <c r="A2" s="51" t="inlineStr">
        <is>
          <t>輪次</t>
        </is>
      </c>
      <c r="B2" s="51" t="inlineStr">
        <is>
          <t>缺陷 ID</t>
        </is>
      </c>
      <c r="C2" s="51" t="inlineStr">
        <is>
          <t>關聯案例</t>
        </is>
      </c>
      <c r="D2" s="51" t="inlineStr">
        <is>
          <t>日期</t>
        </is>
      </c>
      <c r="E2" s="64" t="inlineStr">
        <is>
          <t>【修】問題判定</t>
        </is>
      </c>
      <c r="F2" s="64" t="inlineStr">
        <is>
          <t>【修】根因（檔案:行）</t>
        </is>
      </c>
      <c r="G2" s="64" t="inlineStr">
        <is>
          <t>【修】為何沒被攔到（防線盲點）</t>
        </is>
      </c>
      <c r="H2" s="64" t="inlineStr">
        <is>
          <t>【修】修法（含同類掃描結果）</t>
        </is>
      </c>
      <c r="I2" s="64" t="inlineStr">
        <is>
          <t>【修】同類掃描數字（共N／修M／白名單K）</t>
        </is>
      </c>
      <c r="J2" s="64" t="inlineStr">
        <is>
          <t>【修】測試與變異測試</t>
        </is>
      </c>
      <c r="K2" s="64" t="inlineStr">
        <is>
          <t>【修】commit・部署版本</t>
        </is>
      </c>
      <c r="L2" s="64" t="inlineStr">
        <is>
          <t>【修】自檢證據</t>
        </is>
      </c>
      <c r="M2" s="65" t="inlineStr">
        <is>
          <t>【驗】複驗方式（真實瀏覽器黑箱）</t>
        </is>
      </c>
      <c r="N2" s="65" t="inlineStr">
        <is>
          <t>【驗】判讀邏輯（觀察→假設→排除→定位→判定）</t>
        </is>
      </c>
      <c r="O2" s="65" t="inlineStr">
        <is>
          <t>【驗】實測結果（含數字）</t>
        </is>
      </c>
      <c r="P2" s="65" t="inlineStr">
        <is>
          <t>【驗】判定</t>
        </is>
      </c>
      <c r="Q2" s="65" t="inlineStr">
        <is>
          <t>【驗】未解／新增問題</t>
        </is>
      </c>
      <c r="R2" s="65" t="inlineStr">
        <is>
          <t>【驗】執行人・日期</t>
        </is>
      </c>
    </row>
    <row r="3" ht="86.25" customHeight="1" s="43">
      <c r="A3" s="53" t="inlineStr">
        <is>
          <t>R1</t>
        </is>
      </c>
      <c r="B3" s="53" t="inlineStr">
        <is>
          <t>DEF-範例</t>
        </is>
      </c>
      <c r="C3" s="53" t="inlineStr">
        <is>
          <t>B-15</t>
        </is>
      </c>
      <c r="D3" s="53" t="inlineStr">
        <is>
          <t>2026-09-22</t>
        </is>
      </c>
      <c r="E3" s="52" t="inlineStr">
        <is>
          <t>—（本輪由檢驗方發現）</t>
        </is>
      </c>
      <c r="F3" s="53" t="inlineStr">
        <is>
          <t>—</t>
        </is>
      </c>
      <c r="G3" s="53" t="inlineStr">
        <is>
          <t>—</t>
        </is>
      </c>
      <c r="H3" s="53" t="inlineStr">
        <is>
          <t>—</t>
        </is>
      </c>
      <c r="I3" s="53" t="inlineStr">
        <is>
          <t>—</t>
        </is>
      </c>
      <c r="J3" s="53" t="inlineStr">
        <is>
          <t>—</t>
        </is>
      </c>
      <c r="K3" s="53" t="inlineStr">
        <is>
          <t>—</t>
        </is>
      </c>
      <c r="L3" s="53" t="inlineStr">
        <is>
          <t>—</t>
        </is>
      </c>
      <c r="M3" s="52" t="inlineStr">
        <is>
          <t>真實瀏覽器走到該下拉，讀 option 文字；同頁六個帳戶下拉一起比對</t>
        </is>
      </c>
      <c r="N3" s="52" t="inlineStr">
        <is>
          <t>觀察：bk-account 顯示「TW Broker（tw_broker）」，同頁 m-account 顯示「台灣券商（TWD）」。假設：①這個下拉沒接名稱解析器 ②解析器本身壞了。排除：在同一頁 console 呼叫 pdNames.account('tw_broker') 得到「台灣券商」→ 解析器是好的，排除②。定位：該下拉自己組字串。判定：FAIL</t>
        </is>
      </c>
      <c r="O3" s="53" t="inlineStr">
        <is>
          <t>bk-account = 「Moomoo MY（moomoo_my）」「Charles Schwab（schwab）」「TW Broker（tw_broker）」；m-account = 「台灣券商（TWD）」。pdNames.account('tw_broker') 在同頁可用且回「台灣券商」</t>
        </is>
      </c>
      <c r="P3" s="53" t="inlineStr">
        <is>
          <t>FAIL</t>
        </is>
      </c>
      <c r="Q3" s="52" t="inlineStr">
        <is>
          <t>開 DEF-範例；同時要問：守門測試為何是綠的</t>
        </is>
      </c>
      <c r="R3" s="52" t="inlineStr">
        <is>
          <t>檢驗方 2026-09-22</t>
        </is>
      </c>
    </row>
    <row r="4" ht="86.25" customHeight="1" s="43">
      <c r="A4" s="53" t="inlineStr">
        <is>
          <t>R2</t>
        </is>
      </c>
      <c r="B4" s="53" t="inlineStr">
        <is>
          <t>DEF-範例</t>
        </is>
      </c>
      <c r="C4" s="53" t="inlineStr">
        <is>
          <t>B-15</t>
        </is>
      </c>
      <c r="D4" s="53" t="inlineStr">
        <is>
          <t>2026-09-22</t>
        </is>
      </c>
      <c r="E4" s="52" t="inlineStr">
        <is>
          <t>同意根因</t>
        </is>
      </c>
      <c r="F4" s="53" t="inlineStr">
        <is>
          <t>web/broker-import.js:498（帳戶下拉）、:492（券商下拉硬編碼＋raw id fallback）</t>
        </is>
      </c>
      <c r="G4" s="52" t="inlineStr">
        <is>
          <t>應該由帳戶名稱守門測試攔下，但它的檔案清單是**手寫**的（只列 cash.js／input.js），這支檔案從來不在掃描範圍；已改為自動找出所有抓帳戶清單端點的 web/*.js</t>
        </is>
      </c>
      <c r="H4" s="53" t="inlineStr">
        <is>
          <t>**類別修法**：兩個下拉都改走 names.js（pdNames.accountOption / 新增 pdNames.broker）；守門測試的檔案清單原本是手寫的 cash.js／input.js，改為**自動找出**所有抓帳戶清單端點的 web/*.js</t>
        </is>
      </c>
      <c r="I4" s="52" t="inlineStr">
        <is>
          <t>全 web/*.js 共 6 個帳戶下拉；1 處違規已修，其餘 5 處本來就合規；白名單 0</t>
        </is>
      </c>
      <c r="J4" s="52" t="inlineStr">
        <is>
          <t>變異測試：把 :498 改回舊寫法 → 3 則測試失敗並點名 broker-import.js；改回來 → 全過</t>
        </is>
      </c>
      <c r="K4" s="53" t="inlineStr">
        <is>
          <t>755c88a（已部署 demo）</t>
        </is>
      </c>
      <c r="L4" s="53" t="inlineStr">
        <is>
          <t>ruff clean・mypy --strict 798 檔 0 問題・pytest 非 e2e 5,217 passed／2 skipped</t>
        </is>
      </c>
      <c r="M4" s="52" t="inlineStr">
        <is>
          <t>重放 R1 的原始步驟（同一條使用者路徑），再把六個帳戶下拉逐字比對；另把兩支守門測試取回獨立執行並自行做一次變異測試</t>
        </is>
      </c>
      <c r="N4" s="52" t="inlineStr">
        <is>
          <t>觀察：六個下拉逐字一致，券商下拉為「嘉信 Schwab」。假設：①真的修好了 ②只是這一頁看起來對。排除：不採信對方自檢——自己把舊寫法放回本機副本重跑測試，確認確實 3 則失敗、訊息點名該檔；再抽驗一處對方沒點名的同類下拉。定位：修的是類別。判定：複驗通過 → 結案</t>
        </is>
      </c>
      <c r="O4" s="52" t="inlineStr">
        <is>
          <t>六個下拉逐字一致（含 bk-account）；券商下拉為「嘉信 Schwab」；變異測試重現：改回舊寫法 → 3 則失敗、訊息點名該檔</t>
        </is>
      </c>
      <c r="P4" s="52" t="inlineStr">
        <is>
          <t>複驗通過 → 結案</t>
        </is>
      </c>
      <c r="Q4" s="52" t="inlineStr">
        <is>
          <t>無</t>
        </is>
      </c>
      <c r="R4" s="52" t="inlineStr">
        <is>
          <t>檢驗方 2026-09-22</t>
        </is>
      </c>
    </row>
    <row r="5" ht="15" customHeight="1" s="43">
      <c r="A5" s="72" t="inlineStr">
        <is>
          <t>R1</t>
        </is>
      </c>
      <c r="B5" s="72" t="inlineStr">
        <is>
          <t>DEF-001</t>
        </is>
      </c>
      <c r="C5" s="72" t="inlineStr">
        <is>
          <t>I-03</t>
        </is>
      </c>
      <c r="D5" s="72" t="inlineStr">
        <is>
          <t>2026-09-23</t>
        </is>
      </c>
      <c r="E5" s="66" t="inlineStr">
        <is>
          <t>—（本輪由檢驗方發現）</t>
        </is>
      </c>
      <c r="F5" s="67" t="inlineStr">
        <is>
          <t>—</t>
        </is>
      </c>
      <c r="G5" s="67" t="inlineStr">
        <is>
          <t>—</t>
        </is>
      </c>
      <c r="H5" s="67" t="inlineStr">
        <is>
          <t>—</t>
        </is>
      </c>
      <c r="I5" s="67" t="inlineStr">
        <is>
          <t>—</t>
        </is>
      </c>
      <c r="J5" s="67" t="inlineStr">
        <is>
          <t>—</t>
        </is>
      </c>
      <c r="K5" s="67" t="inlineStr">
        <is>
          <t>—</t>
        </is>
      </c>
      <c r="L5" s="67" t="inlineStr">
        <is>
          <t>—</t>
        </is>
      </c>
      <c r="M5" s="68" t="inlineStr">
        <is>
          <t>真實瀏覽器點「下載該年度稅務包 ZIP」（攔截 blob 不落地）→ 解壓讀 summary.md／realized_gains_2026.csv；同頁再從匯出中心下載一次比對；以 /api/dashboard 的 realized.rows 與 returns.by_currency 做數值比對</t>
        </is>
      </c>
      <c r="N5" s="68" t="inlineStr">
        <is>
          <t>觀察：summary.md 對帳欄 TWD 36,804.56，儀表板 TWD 已實現 42,004.56，差 5,200.00；realized_gains_2026.csv 10 列，dashboard realized.rows 11 列
假設：①稅務包只收 sale／short_cover，漏了 kind=dividend 的結清後配息；②儀表板把結清後配息重複算進已實現；③我讀錯欄（把申報欄當對帳欄）
排除：申報欄 16,004.56 ＝ 10 列 realized_original 加總、對帳欄 36,804.56 ＝ 10 列 realized_adjusted 加總（自行 Decimal 加總相符），排除③；儀表板 11 列逐列列出，第 11 列 kind=dividend 2412 5200.0，其 cost_removed=0，且 T1 恆等式（已實現＋未實現＝資產損益）成立，儀表板口徑自洽，排除②；兩次下載（交易帳本、匯出中心）內容相同
定位：portfolio_dash/export/tax.py:89 `if r.kind not in ("sale", "short_cover"): continue` 位於 :105 `adjusted_subtotal[...] += r.realized` 之前，同一過濾同時作用在申報欄與對帳欄
判定：FAIL — 案例 I-03 ③「已實現損益可交叉對帳」不成立；該欄自稱「僅供與儀表板核對」卻差 5,200 且無說明</t>
        </is>
      </c>
      <c r="O5" s="68" t="inlineStr">
        <is>
          <t>對帳欄 TWD 36804.55597014925373134328360 vs 儀表板 42004.55597014925373134328360（差 5200.0000）；USD 兩邊皆 97.300573928633231474982722（相符）</t>
        </is>
      </c>
      <c r="P5" s="69" t="inlineStr">
        <is>
          <t>FAIL</t>
        </is>
      </c>
      <c r="Q5" s="68" t="inlineStr">
        <is>
          <t>開 DEF-001；需由修復方決定：把 kind=dividend 併入對帳欄，或在 summary.md 加一行差額說明（金額＋來源）；申報欄 16,004.56 目前正確，修法不得動到它</t>
        </is>
      </c>
      <c r="R5" s="68" t="inlineStr">
        <is>
          <t>檢驗方 2026-09-23</t>
        </is>
      </c>
    </row>
    <row r="6" ht="15" customHeight="1" s="43">
      <c r="A6" s="72" t="inlineStr">
        <is>
          <t>R1</t>
        </is>
      </c>
      <c r="B6" s="72" t="inlineStr">
        <is>
          <t>DEF-002</t>
        </is>
      </c>
      <c r="C6" s="72" t="inlineStr">
        <is>
          <t>J-05</t>
        </is>
      </c>
      <c r="D6" s="72" t="inlineStr">
        <is>
          <t>2026-09-23</t>
        </is>
      </c>
      <c r="E6" s="66" t="inlineStr">
        <is>
          <t>—（本輪由檢驗方發現）</t>
        </is>
      </c>
      <c r="F6" s="67" t="inlineStr">
        <is>
          <t>—</t>
        </is>
      </c>
      <c r="G6" s="67" t="inlineStr">
        <is>
          <t>—</t>
        </is>
      </c>
      <c r="H6" s="67" t="inlineStr">
        <is>
          <t>—</t>
        </is>
      </c>
      <c r="I6" s="67" t="inlineStr">
        <is>
          <t>—</t>
        </is>
      </c>
      <c r="J6" s="67" t="inlineStr">
        <is>
          <t>—</t>
        </is>
      </c>
      <c r="K6" s="67" t="inlineStr">
        <is>
          <t>—</t>
        </is>
      </c>
      <c r="L6" s="67" t="inlineStr">
        <is>
          <t>—</t>
        </is>
      </c>
      <c r="M6" s="68" t="inlineStr">
        <is>
          <t>真實瀏覽器 390×844 模擬（resize_window），走訪後逐一量 scrollWidth 與越界元素；對可疑處展開 details 後再量、window.scrollTo(600) 驗證可橫捲、截圖目視</t>
        </is>
      </c>
      <c r="N6" s="68" t="inlineStr">
        <is>
          <t>觀察：展開前 scrollWidth 390、量測器卻回報 table.data 右緣 1,800px；展開後 scrollWidth 3,673、scrollX 可到 600，截圖可見表格欄位超出卡片右緣
假設：①量測器誤判（收合的 details 內容有 layout 無渲染）；②變數表沒有包在 overflow-x:auto 容器；③全域 CSS 在窄版失效
排除：展開前的回報確為誤判（details.open=false、th innerText 為空），故改以展開後 scrollWidth 與實際可橫捲為準；同頁其他子分頁與 10 個頁面的表格 scrollWidth 皆 390（它們包在 .table-wrap，styles.css:836/2058 overflow-x:auto），排除③
定位：web/settings-prompts.js:725 `el('table', 'data vars-table')` 直接 append 到 .vars-cat（settings.css:347 display:flex、無 overflow），祖先鏈 .vars-cat→.vars-wrap→#vars-panel→#view-prompts→.page 全為 overflow-x:visible
判定：FAIL — J-05「0 處橫向溢位」不成立</t>
        </is>
      </c>
      <c r="O6" s="68" t="inlineStr">
        <is>
          <t>展開前 scrollWidth 390；展開後 3,673（viewport 390）；11 張表寬 1780／3073／660／707／617／986／1510／747／768／3652／775 px</t>
        </is>
      </c>
      <c r="P6" s="69" t="inlineStr">
        <is>
          <t>FAIL</t>
        </is>
      </c>
      <c r="Q6" s="68" t="inlineStr">
        <is>
          <t>開 DEF-002；請一併掃描其他未包 .table-wrap 的 table（同類），不要只修這一處</t>
        </is>
      </c>
      <c r="R6" s="68" t="inlineStr">
        <is>
          <t>檢驗方 2026-09-23</t>
        </is>
      </c>
    </row>
    <row r="7" ht="15" customHeight="1" s="43">
      <c r="A7" s="72" t="inlineStr">
        <is>
          <t>R1</t>
        </is>
      </c>
      <c r="B7" s="72" t="inlineStr">
        <is>
          <t>DEF-003</t>
        </is>
      </c>
      <c r="C7" s="72" t="inlineStr">
        <is>
          <t>G-06</t>
        </is>
      </c>
      <c r="D7" s="72" t="inlineStr">
        <is>
          <t>2026-09-23</t>
        </is>
      </c>
      <c r="E7" s="66" t="inlineStr">
        <is>
          <t>—（本輪由檢驗方發現）</t>
        </is>
      </c>
      <c r="F7" s="67" t="inlineStr">
        <is>
          <t>—</t>
        </is>
      </c>
      <c r="G7" s="67" t="inlineStr">
        <is>
          <t>—</t>
        </is>
      </c>
      <c r="H7" s="67" t="inlineStr">
        <is>
          <t>—</t>
        </is>
      </c>
      <c r="I7" s="67" t="inlineStr">
        <is>
          <t>—</t>
        </is>
      </c>
      <c r="J7" s="67" t="inlineStr">
        <is>
          <t>—</t>
        </is>
      </c>
      <c r="K7" s="67" t="inlineStr">
        <is>
          <t>—</t>
        </is>
      </c>
      <c r="L7" s="67" t="inlineStr">
        <is>
          <t>—</t>
        </is>
      </c>
      <c r="M7" s="68" t="inlineStr">
        <is>
          <t>真實瀏覽器讀 AI 洞察各分頁卡片的信心 chip 文字與 title；以 GET /api/insights?limit=500 逐卡比對 prediction／confidence 欄位</t>
        </is>
      </c>
      <c r="N7" s="68" t="inlineStr">
        <is>
          <t>觀察：#182 prediction=null、confidence=0，畫面顯示「信心 0%」；手冊 G-06 期望「無預測顯示『純描述・無預測』」
假設：①前端以 confidence 而非 prediction 判斷；②API 該卡 prediction 其實有值但被省略；③我看錯卡
排除：以 id 對照 API 原文 prediction 確為 null、unreadable=false；同頁 TSLA #189（confidence=null）正確顯示「純描述・無預測」，確認 chip 邏輯存在且可觸發
定位：web/insights.html:317 `if (card.confidence == null) return 純描述・無預測`，程式註解明言以 confidence 為準
判定：OBSERVE — 行為與手冊描述不同，但程式是刻意設計，屬規格未定，交 owner 裁定「無預測」的判準</t>
        </is>
      </c>
      <c r="O7" s="69" t="inlineStr">
        <is>
          <t>prediction=null 40 張：confidence=null 15 張（顯示純描述）、confidence 有值 25 張（顯示信心 N%）；prediction 有值但 confidence=null 0 張</t>
        </is>
      </c>
      <c r="P7" s="68" t="inlineStr">
        <is>
          <t>待裁定</t>
        </is>
      </c>
      <c r="Q7" s="68" t="inlineStr">
        <is>
          <t>開 DEF-003；請 owner 裁定：無 prediction 的卡是否仍顯示信心值</t>
        </is>
      </c>
      <c r="R7" s="68" t="inlineStr">
        <is>
          <t>檢驗方 2026-09-23</t>
        </is>
      </c>
    </row>
    <row r="8" ht="15" customHeight="1" s="43">
      <c r="A8" s="72" t="inlineStr">
        <is>
          <t>R1</t>
        </is>
      </c>
      <c r="B8" s="72" t="inlineStr">
        <is>
          <t>DEF-004</t>
        </is>
      </c>
      <c r="C8" s="72" t="inlineStr">
        <is>
          <t>I-04</t>
        </is>
      </c>
      <c r="D8" s="72" t="inlineStr">
        <is>
          <t>2026-09-23</t>
        </is>
      </c>
      <c r="E8" s="66" t="inlineStr">
        <is>
          <t>—（本輪由檢驗方發現）</t>
        </is>
      </c>
      <c r="F8" s="67" t="inlineStr">
        <is>
          <t>—</t>
        </is>
      </c>
      <c r="G8" s="67" t="inlineStr">
        <is>
          <t>—</t>
        </is>
      </c>
      <c r="H8" s="67" t="inlineStr">
        <is>
          <t>—</t>
        </is>
      </c>
      <c r="I8" s="67" t="inlineStr">
        <is>
          <t>—</t>
        </is>
      </c>
      <c r="J8" s="67" t="inlineStr">
        <is>
          <t>—</t>
        </is>
      </c>
      <c r="K8" s="67" t="inlineStr">
        <is>
          <t>—</t>
        </is>
      </c>
      <c r="L8" s="67" t="inlineStr">
        <is>
          <t>—</t>
        </is>
      </c>
      <c r="M8" s="68" t="inlineStr">
        <is>
          <t>真實瀏覽器 CSV 匯入頁，六類範本逐一下載後原文貼回，讀預覽表 &lt;tr&gt; 文字，並對照 POST /api/import/preview 回應 rows[].data</t>
        </is>
      </c>
      <c r="N8" s="68" t="inlineStr">
        <is>
          <t>觀察：6 類共用表頭「# 日期 帳戶 買賣 代號 股數 價格 狀態 原因」，非交易類的金額欄全為「—」；API rows[].data 其實都有 amount／gross／from_amount／original_cost_total／ratio_to 等值
假設：①前端預覽表只為交易型設計；②後端沒回金額；③我切換類型後表格沒刷新
排除：API 回應 data 內有金額（例 cash n=0 amount 600000），排除②；每次切換類型後表格列數與該範本列數一致、狀態訊息屬該類（如換匯的透支訊息），排除③
定位：畫面／前端預覽表渲染（web/input.js 的解析預覽）
判定：可用性缺陷——使用者在「確認寫入勾選列」前無法核對金額；非 120 題直接判準，列為附帶發現</t>
        </is>
      </c>
      <c r="O8" s="68" t="inlineStr">
        <is>
          <t>資金 7 列、股利 2 列、換匯 2 列、期初 2 列、公司行動 3 列：金額／比例欄 0 列有顯示；期初列日期 2/2 顯示「—」</t>
        </is>
      </c>
      <c r="P8" s="69" t="inlineStr">
        <is>
          <t>FAIL</t>
        </is>
      </c>
      <c r="Q8" s="68" t="inlineStr">
        <is>
          <t>開 DEF-004；請一併檢查券商對帳單轉換報告的預覽欄位是否同樣只為交易設計</t>
        </is>
      </c>
      <c r="R8" s="68" t="inlineStr">
        <is>
          <t>檢驗方 2026-09-23</t>
        </is>
      </c>
    </row>
    <row r="9" ht="15" customHeight="1" s="43">
      <c r="A9" s="72" t="inlineStr">
        <is>
          <t>R1</t>
        </is>
      </c>
      <c r="B9" s="72" t="inlineStr">
        <is>
          <t>DEF-005</t>
        </is>
      </c>
      <c r="C9" s="72" t="inlineStr">
        <is>
          <t>D-02</t>
        </is>
      </c>
      <c r="D9" s="72" t="inlineStr">
        <is>
          <t>2026-09-23</t>
        </is>
      </c>
      <c r="E9" s="66" t="inlineStr">
        <is>
          <t>—（本輪由檢驗方發現）</t>
        </is>
      </c>
      <c r="F9" s="67" t="inlineStr">
        <is>
          <t>—</t>
        </is>
      </c>
      <c r="G9" s="67" t="inlineStr">
        <is>
          <t>—</t>
        </is>
      </c>
      <c r="H9" s="67" t="inlineStr">
        <is>
          <t>—</t>
        </is>
      </c>
      <c r="I9" s="67" t="inlineStr">
        <is>
          <t>—</t>
        </is>
      </c>
      <c r="J9" s="67" t="inlineStr">
        <is>
          <t>—</t>
        </is>
      </c>
      <c r="K9" s="67" t="inlineStr">
        <is>
          <t>—</t>
        </is>
      </c>
      <c r="L9" s="67" t="inlineStr">
        <is>
          <t>—</t>
        </is>
      </c>
      <c r="M9" s="68" t="inlineStr">
        <is>
          <t>真實瀏覽器，先以 JS 設值、再以實體鍵盤（triple-click → ctrl+a → Backspace → type "1.5"）各輸入一次，讀欄位值、試算區文字與 POST /api/ledgers/corporate-actions/preview 請求本文</t>
        </is>
      </c>
      <c r="N9" s="68" t="inlineStr">
        <is>
          <t>觀察：鍵入「1.5」後 input.value＝"15"，preview 請求本文 ratio_from:"15"、ratio_to:"3"，試算 100→20 股，登錄鈕 enabled，畫面除常駐說明外無錯誤
假設：①前端即時清洗把非數字字元刪掉；②我的 JS 設值方式造成（非真實輸入）；③後端把 1.5 解讀成 15
排除：改用實體鍵盤輸入結果相同，排除②；請求本文已是 "15"，後端收到的就是 15，排除③
定位：web/corp-action-form.js:158 `const cleaned = n.value.replace(/[^0-9]/g, '')`（程式註解稱真正的拒絕在後端 E6/E6a，但前端先把小數改成合法整數，後端永遠看不到小數）
判定：FAIL — D-02 ③「填小數應被擋」不成立，且被靜默改成另一個比例（1.5:3 ≒ 1:2 分割 → 變成 15:3 ＝ 5:1 合股）</t>
        </is>
      </c>
      <c r="O9" s="68" t="inlineStr">
        <is>
          <t>輸入 1.5 → 欄位 15；試算 100 股→20 股、均價 93.20→466.00；登錄鈕 enabled；0 筆寫入（測畢取消）</t>
        </is>
      </c>
      <c r="P9" s="69" t="inlineStr">
        <is>
          <t>FAIL</t>
        </is>
      </c>
      <c r="Q9" s="68" t="inlineStr">
        <is>
          <t>開 DEF-005；請掃描所有會「清洗」數字輸入的欄位（同類：replace(/[^0-9]/g) 等），確認沒有其他把小數悄悄改成整數的地方</t>
        </is>
      </c>
      <c r="R9" s="68" t="inlineStr">
        <is>
          <t>檢驗方 2026-09-23</t>
        </is>
      </c>
    </row>
    <row r="10" ht="15" customHeight="1" s="43">
      <c r="A10" s="72" t="inlineStr">
        <is>
          <t>R1</t>
        </is>
      </c>
      <c r="B10" s="72" t="inlineStr">
        <is>
          <t>DEF-006</t>
        </is>
      </c>
      <c r="C10" s="72" t="inlineStr">
        <is>
          <t>A-01</t>
        </is>
      </c>
      <c r="D10" s="72" t="inlineStr">
        <is>
          <t>2026-09-23</t>
        </is>
      </c>
      <c r="E10" s="66" t="inlineStr">
        <is>
          <t>—（本輪由檢驗方發現）</t>
        </is>
      </c>
      <c r="F10" s="67" t="inlineStr">
        <is>
          <t>—</t>
        </is>
      </c>
      <c r="G10" s="67" t="inlineStr">
        <is>
          <t>—</t>
        </is>
      </c>
      <c r="H10" s="67" t="inlineStr">
        <is>
          <t>—</t>
        </is>
      </c>
      <c r="I10" s="67" t="inlineStr">
        <is>
          <t>—</t>
        </is>
      </c>
      <c r="J10" s="67" t="inlineStr">
        <is>
          <t>—</t>
        </is>
      </c>
      <c r="K10" s="67" t="inlineStr">
        <is>
          <t>—</t>
        </is>
      </c>
      <c r="L10" s="67" t="inlineStr">
        <is>
          <t>—</t>
        </is>
      </c>
      <c r="M10" s="68" t="inlineStr">
        <is>
          <t>真實瀏覽器讀每種方向 chip 的 className 與 getComputedStyle 背景／文字色</t>
        </is>
      </c>
      <c r="N10" s="68" t="inlineStr">
        <is>
          <t>觀察：入金 dir-chip dir-buy bg=rgb(154,166,181) fg=rgb(12,16,21)；出金 dir-chip dir-sell bg=transparent fg=rgb(154,166,181)
假設：①刻意的中性色設計；②主題色 token 沒載入（深色主題）；③我抓錯元素
排除：同一 td 內只有這一個 dir-chip；CSS 原始碼 web/styles.css:390-391 即定義 .dir-buy 背景 var(--text-2)、.dir-sell 外框，並有註解「neutral direction chips（買賣是方向不是損益 — 不用紅綠）」，非載入問題
定位：web/styles.css:382-391
判定：OBSERVE — 手冊期望與既有設計決策衝突，交 owner 裁定以哪個為準</t>
        </is>
      </c>
      <c r="O10" s="68" t="inlineStr">
        <is>
          <t>入金／折讓款：實心灰；出金：外框灰；無綠／紅色</t>
        </is>
      </c>
      <c r="P10" s="68" t="inlineStr">
        <is>
          <t>待裁定</t>
        </is>
      </c>
      <c r="Q10" s="68" t="inlineStr">
        <is>
          <t>開 DEF-006；請 owner 裁定：改手冊期望（中性色）或改 CSS（綠／扣款色）</t>
        </is>
      </c>
      <c r="R10" s="68" t="inlineStr">
        <is>
          <t>檢驗方 2026-09-23</t>
        </is>
      </c>
    </row>
    <row r="11" ht="15" customHeight="1" s="43">
      <c r="A11" s="72" t="inlineStr">
        <is>
          <t>R1</t>
        </is>
      </c>
      <c r="B11" s="72" t="inlineStr">
        <is>
          <t>DEF-007</t>
        </is>
      </c>
      <c r="C11" s="72" t="inlineStr">
        <is>
          <t>A-02</t>
        </is>
      </c>
      <c r="D11" s="72" t="inlineStr">
        <is>
          <t>2026-09-23</t>
        </is>
      </c>
      <c r="E11" s="66" t="inlineStr">
        <is>
          <t>—（本輪由檢驗方發現）</t>
        </is>
      </c>
      <c r="F11" s="67" t="inlineStr">
        <is>
          <t>—</t>
        </is>
      </c>
      <c r="G11" s="67" t="inlineStr">
        <is>
          <t>—</t>
        </is>
      </c>
      <c r="H11" s="67" t="inlineStr">
        <is>
          <t>—</t>
        </is>
      </c>
      <c r="I11" s="67" t="inlineStr">
        <is>
          <t>—</t>
        </is>
      </c>
      <c r="J11" s="67" t="inlineStr">
        <is>
          <t>—</t>
        </is>
      </c>
      <c r="K11" s="67" t="inlineStr">
        <is>
          <t>—</t>
        </is>
      </c>
      <c r="L11" s="67" t="inlineStr">
        <is>
          <t>—</t>
        </is>
      </c>
      <c r="M11" s="68" t="inlineStr">
        <is>
          <t>真實瀏覽器；同一操作以「快速連續填入」與「每步等待＋實體鍵盤」各做一次，讀 POST /api/cash/movements 本文與 /api/ledgers/cash 回寫值；再讀原始碼定位</t>
        </is>
      </c>
      <c r="N11" s="68" t="inlineStr">
        <is>
          <t>觀察：快速填入時送出 acq_rate 31.698999（使用者值 31.5 消失）；放慢時送出 31.5
假設：①prefillAcq() 的非同步回應無條件覆寫欄位；②我的 JS 設值沒觸發 input 事件，前端沒收到；③後端忽略 acq_rate 改用市價
排除：放慢後同樣的 JS 設值＋實體鍵盤能正確送出 31.5，且後端照單寫入 31500，排除③；第一次的 POST 本文已是 31.698999，代表前端送出前欄位就被改掉，不是後端，排除②
定位：web/cash.js:926-949 prefillAcq()：`const r = await api.get('/api/cash/acq-rate'…)` 之後只檢查 seq（其他 prefill 呼叫），未檢查使用者是否已編輯，直接 `$('#cm-acq-mode').value = 'rate'; $('#cm-acq').value = r.rate;`；:941 提示句用 `on`（輸入日）而非 r.as_of。本站 API 延遲實測可達 5～30 秒，視窗真實存在
判定：FAIL — 依步驟操作可能寫入錯誤的取得成本（影響 FX 成本池與匯損益）</t>
        </is>
      </c>
      <c r="O11" s="68" t="inlineStr">
        <is>
          <t>快速：acq_home_amount 31699（錯）；放慢：31500（對）；提示「參考值：2026-09-23 收盤」vs API as_of 2026-09-22</t>
        </is>
      </c>
      <c r="P11" s="69" t="inlineStr">
        <is>
          <t>FAIL</t>
        </is>
      </c>
      <c r="Q11" s="68" t="inlineStr">
        <is>
          <t>開 DEF-007；同類：換匯中心 fx-estimate 自動回填（web/cash.js:1172 起）是否也會蓋掉使用者手動輸入，請一併掃描</t>
        </is>
      </c>
      <c r="R11" s="68" t="inlineStr">
        <is>
          <t>檢驗方 2026-09-23</t>
        </is>
      </c>
    </row>
    <row r="12" ht="15" customHeight="1" s="43">
      <c r="A12" s="72" t="inlineStr">
        <is>
          <t>R1</t>
        </is>
      </c>
      <c r="B12" s="72" t="inlineStr">
        <is>
          <t>DEF-008</t>
        </is>
      </c>
      <c r="C12" s="72" t="inlineStr">
        <is>
          <t>A-05</t>
        </is>
      </c>
      <c r="D12" s="72" t="inlineStr">
        <is>
          <t>2026-09-23</t>
        </is>
      </c>
      <c r="E12" s="66" t="inlineStr">
        <is>
          <t>—（本輪由檢驗方發現）</t>
        </is>
      </c>
      <c r="F12" s="67" t="inlineStr">
        <is>
          <t>—</t>
        </is>
      </c>
      <c r="G12" s="67" t="inlineStr">
        <is>
          <t>—</t>
        </is>
      </c>
      <c r="H12" s="67" t="inlineStr">
        <is>
          <t>—</t>
        </is>
      </c>
      <c r="I12" s="67" t="inlineStr">
        <is>
          <t>—</t>
        </is>
      </c>
      <c r="J12" s="67" t="inlineStr">
        <is>
          <t>—</t>
        </is>
      </c>
      <c r="K12" s="67" t="inlineStr">
        <is>
          <t>—</t>
        </is>
      </c>
      <c r="L12" s="67" t="inlineStr">
        <is>
          <t>—</t>
        </is>
      </c>
      <c r="M12" s="68" t="inlineStr">
        <is>
          <t>真實瀏覽器操作出金表單（A-06 路徑）＋對當日透支以相同本文直送 API（前端已擋，只用來看後端訊息），讀 422 回應與 toast 文字</t>
        </is>
      </c>
      <c r="N12" s="68" t="inlineStr">
        <is>
          <t>觀察：兩條透支分支訊息不一致——過去日期分支會點名「於 2026-07-17 降至」，當日分支只說「超過…帳戶現金」；兩者都寫「TW Broker」（畫面其他地方統一為「台灣券商」），金額為 3033798.0000／-253820.0000 原值，toast 尾端附英文錯誤碼
假設：①後端組字串直接用 accounts.name；②前端 toast 把 code 附加在 message 後；③我看的是開發者模式訊息
排除：同頁手動交易帳戶下拉顯示「台灣券商（TWD）」，名稱解析器可用，排除解析器故障；toast 為一般使用者畫面
定位：後端出金透支檢核（錯誤碼 withdraw_insufficient_balance）的訊息組字；前端 toast 附 code 的邏輯（validation_error 同樣出現）
判定：A-05 ②「訊息需指出是哪一天開始透支」不成立；帳戶名稱雙軌屬前一輪稽核已處理過的類別，後端訊息未納入</t>
        </is>
      </c>
      <c r="O12" s="68" t="inlineStr">
        <is>
          <t>當日分支：無日期；兩分支皆「TW Broker」；toast 附 withdraw_insufficient_balance／validation_error</t>
        </is>
      </c>
      <c r="P12" s="69" t="inlineStr">
        <is>
          <t>FAIL</t>
        </is>
      </c>
      <c r="Q12" s="68" t="inlineStr">
        <is>
          <t>開 DEF-008；同類掃描：後端所有使用者可見訊息中直接引用 accounts.name 的地方；toast 是否應顯示錯誤碼</t>
        </is>
      </c>
      <c r="R12" s="68" t="inlineStr">
        <is>
          <t>檢驗方 2026-09-23</t>
        </is>
      </c>
    </row>
    <row r="13" ht="15" customHeight="1" s="43">
      <c r="A13" s="72" t="inlineStr">
        <is>
          <t>R1</t>
        </is>
      </c>
      <c r="B13" s="72" t="inlineStr">
        <is>
          <t>DEF-009</t>
        </is>
      </c>
      <c r="C13" s="72" t="inlineStr">
        <is>
          <t>A-11</t>
        </is>
      </c>
      <c r="D13" s="72" t="inlineStr">
        <is>
          <t>2026-09-23</t>
        </is>
      </c>
      <c r="E13" s="66" t="inlineStr">
        <is>
          <t>—（本輪由檢驗方發現）</t>
        </is>
      </c>
      <c r="F13" s="67" t="inlineStr">
        <is>
          <t>—</t>
        </is>
      </c>
      <c r="G13" s="67" t="inlineStr">
        <is>
          <t>—</t>
        </is>
      </c>
      <c r="H13" s="67" t="inlineStr">
        <is>
          <t>—</t>
        </is>
      </c>
      <c r="I13" s="67" t="inlineStr">
        <is>
          <t>—</t>
        </is>
      </c>
      <c r="J13" s="67" t="inlineStr">
        <is>
          <t>—</t>
        </is>
      </c>
      <c r="K13" s="67" t="inlineStr">
        <is>
          <t>—</t>
        </is>
      </c>
      <c r="L13" s="67" t="inlineStr">
        <is>
          <t>—</t>
        </is>
      </c>
      <c r="M13" s="68" t="inlineStr">
        <is>
          <t>真實瀏覽器點折讓款列的編輯，讀對話框欄位 disabled 狀態與說明文字（未儲存）</t>
        </is>
      </c>
      <c r="N13" s="68" t="inlineStr">
        <is>
          <t>觀察：折讓款列的「編輯」「刪除」皆可按；編輯框只鎖日期／類型／備註，金額可改
假設：①刻意設計（允許修正退款金額）；②鎖定邏輯漏了金額欄；③我點到別列
排除：對話框標題 #34、欄位值 2026-02-01／折讓款／191／2026-01 折讓款，確為該列；框內說明明言「僅可修正金額」，屬刻意設計，排除②
定位：資金收支編輯對話框（折讓款分支）
判定：OBSERVE — 與手冊 A-11②「折讓款列不可編輯」不同，交 owner 裁定</t>
        </is>
      </c>
      <c r="O13" s="68" t="inlineStr">
        <is>
          <t>日期／類型／備註 disabled；金額 enabled；儲存鈕可按</t>
        </is>
      </c>
      <c r="P13" s="68" t="inlineStr">
        <is>
          <t>待裁定</t>
        </is>
      </c>
      <c r="Q13" s="68" t="inlineStr">
        <is>
          <t>開 DEF-009；請 owner 裁定：折讓款金額能否在資金收支直接修改，或只能從收件匣復原後重新確認</t>
        </is>
      </c>
      <c r="R13" s="68" t="inlineStr">
        <is>
          <t>檢驗方 2026-09-23</t>
        </is>
      </c>
    </row>
    <row r="14" ht="15" customHeight="1" s="43">
      <c r="A14" s="72" t="inlineStr">
        <is>
          <t>R1</t>
        </is>
      </c>
      <c r="B14" s="72" t="inlineStr">
        <is>
          <t>DEF-010</t>
        </is>
      </c>
      <c r="C14" s="72" t="inlineStr">
        <is>
          <t>B-16</t>
        </is>
      </c>
      <c r="D14" s="72" t="inlineStr">
        <is>
          <t>2026-09-23</t>
        </is>
      </c>
      <c r="E14" s="66" t="inlineStr">
        <is>
          <t>—（本輪由檢驗方發現）</t>
        </is>
      </c>
      <c r="F14" s="67" t="inlineStr">
        <is>
          <t>—</t>
        </is>
      </c>
      <c r="G14" s="67" t="inlineStr">
        <is>
          <t>—</t>
        </is>
      </c>
      <c r="H14" s="67" t="inlineStr">
        <is>
          <t>—</t>
        </is>
      </c>
      <c r="I14" s="67" t="inlineStr">
        <is>
          <t>—</t>
        </is>
      </c>
      <c r="J14" s="67" t="inlineStr">
        <is>
          <t>—</t>
        </is>
      </c>
      <c r="K14" s="67" t="inlineStr">
        <is>
          <t>—</t>
        </is>
      </c>
      <c r="L14" s="67" t="inlineStr">
        <is>
          <t>—</t>
        </is>
      </c>
      <c r="M14" s="68" t="inlineStr">
        <is>
          <t>以 GET /api/ledgers/transactions 讀每筆 fee_snapshot，對照 GET /api/rebates 各月 trades 的 expected</t>
        </is>
      </c>
      <c r="N14" s="68" t="inlineStr">
        <is>
          <t>觀察：fee_snapshot 同時記 discount 0.23 與 rebate_rate 0.77 的交易，預估退款照算
假設：①預估器只看目前規則的 rebate_rate、不看交易快照 discount；②這些交易是舊設定（雙重優惠）時期寫入的資料；③快照解讀錯誤
排除：.claude/rules/markets-and-fees.md 明載「discount&lt;1 且 rebate_rate&gt;0 會重複套用…measured on the test site 2026-07-30: 869 charged as 199 and still forecast a 153 refund」，與本例完全一致，確認解讀正確
定位：portfolio_dash/api/rebates.py:189 取規則集 rebate_rate，未檢查交易快照 discount；目前 tw 規則 discount=1 為一致設定，新交易不受影響
判定：歷史資料在不一致設定下寫入，預估器沒有交易層級防護 → 列為資料殘留，交 owner 裁定清理或加防護</t>
        </is>
      </c>
      <c r="O14" s="69" t="inlineStr">
        <is>
          <t>8 筆 discount=0.23 交易計入預估：2026-02 月 2×153、2026-06 月 2×30、2026-07 月 322＋219＋32＋341</t>
        </is>
      </c>
      <c r="P14" s="68" t="inlineStr">
        <is>
          <t>待裁定</t>
        </is>
      </c>
      <c r="Q14" s="68" t="inlineStr">
        <is>
          <t>開 DEF-010；請 owner 裁定：清理這批快照，或讓預估器略過 discount&lt;1 的交易</t>
        </is>
      </c>
      <c r="R14" s="68" t="inlineStr">
        <is>
          <t>檢驗方 2026-09-23</t>
        </is>
      </c>
    </row>
    <row r="15" ht="15" customHeight="1" s="43">
      <c r="A15" s="72" t="inlineStr">
        <is>
          <t>R1</t>
        </is>
      </c>
      <c r="B15" s="72" t="inlineStr">
        <is>
          <t>DEF-011</t>
        </is>
      </c>
      <c r="C15" s="72" t="inlineStr">
        <is>
          <t>A-16</t>
        </is>
      </c>
      <c r="D15" s="72" t="inlineStr">
        <is>
          <t>2026-09-23</t>
        </is>
      </c>
      <c r="E15" s="66" t="inlineStr">
        <is>
          <t>—（本輪由檢驗方發現）</t>
        </is>
      </c>
      <c r="F15" s="67" t="inlineStr">
        <is>
          <t>—</t>
        </is>
      </c>
      <c r="G15" s="67" t="inlineStr">
        <is>
          <t>—</t>
        </is>
      </c>
      <c r="H15" s="67" t="inlineStr">
        <is>
          <t>—</t>
        </is>
      </c>
      <c r="I15" s="67" t="inlineStr">
        <is>
          <t>—</t>
        </is>
      </c>
      <c r="J15" s="67" t="inlineStr">
        <is>
          <t>—</t>
        </is>
      </c>
      <c r="K15" s="67" t="inlineStr">
        <is>
          <t>—</t>
        </is>
      </c>
      <c r="L15" s="67" t="inlineStr">
        <is>
          <t>—</t>
        </is>
      </c>
      <c r="M15" s="68" t="inlineStr">
        <is>
          <t>真實瀏覽器確認折讓款入帳前後各取一次 /api/dashboard kpis 逐欄比對；讀收件匣文案；測畢刪除該筆還原</t>
        </is>
      </c>
      <c r="N15" s="68" t="inlineStr">
        <is>
          <t>觀察：文案說不計入 XIRR 與損益，實際 XIRR 變了、含匯兌總損益 +620
假設：①文案過時（XIRR 規則已改）；②計算錯把折讓款算進 XIRR；③我比對到別的變動
排除：兩次讀取之間只有這一筆寫入，刪除後 xirr 回到 10.22406575305222，排除③；原始碼 portfolio_dash/portfolio/returns.py XIRR_CASH_KINDS 明列 REBATE，註解為 owner 2026-08-24 裁定（AI-D42），行為是刻意的，排除②
定位：收件匣折讓款區塊文案（web/dividend-inbox.html／rebate-inbox.js 的說明字串）未隨 AI-D42 更新
判定：畫面資訊與系統行為互相矛盾（中）</t>
        </is>
      </c>
      <c r="O15" s="69" t="inlineStr">
        <is>
          <t>xirr +0.000657、total_return_fx_complete +620、trading_financing_cost +620；total_return 不變；文案仍寫不計入 XIRR／損益</t>
        </is>
      </c>
      <c r="P15" s="69" t="inlineStr">
        <is>
          <t>FAIL</t>
        </is>
      </c>
      <c r="Q15" s="68" t="inlineStr">
        <is>
          <t>開 DEF-011；同類：其他提到「不計入 XIRR」的文案（如 AI-D42 前寫的說明、tooltip）請一併掃描</t>
        </is>
      </c>
      <c r="R15" s="68" t="inlineStr">
        <is>
          <t>檢驗方 2026-09-23</t>
        </is>
      </c>
    </row>
    <row r="16" ht="15" customHeight="1" s="43">
      <c r="A16" s="72" t="inlineStr">
        <is>
          <t>R1</t>
        </is>
      </c>
      <c r="B16" s="72" t="inlineStr">
        <is>
          <t>DEF-012</t>
        </is>
      </c>
      <c r="C16" s="72" t="inlineStr">
        <is>
          <t>B-18</t>
        </is>
      </c>
      <c r="D16" s="72" t="inlineStr">
        <is>
          <t>2026-09-23</t>
        </is>
      </c>
      <c r="E16" s="66" t="inlineStr">
        <is>
          <t>—（本輪由檢驗方發現）</t>
        </is>
      </c>
      <c r="F16" s="67" t="inlineStr">
        <is>
          <t>—</t>
        </is>
      </c>
      <c r="G16" s="67" t="inlineStr">
        <is>
          <t>—</t>
        </is>
      </c>
      <c r="H16" s="67" t="inlineStr">
        <is>
          <t>—</t>
        </is>
      </c>
      <c r="I16" s="67" t="inlineStr">
        <is>
          <t>—</t>
        </is>
      </c>
      <c r="J16" s="67" t="inlineStr">
        <is>
          <t>—</t>
        </is>
      </c>
      <c r="K16" s="67" t="inlineStr">
        <is>
          <t>—</t>
        </is>
      </c>
      <c r="L16" s="67" t="inlineStr">
        <is>
          <t>—</t>
        </is>
      </c>
      <c r="M16" s="68" t="inlineStr">
        <is>
          <t>真實瀏覽器逐筆寫入，每步讀 position_preview／GET /api/dashboard realized.rows 與 holdings；另補做一次「只寫 ① 後預覽 ②」取得賣出當下的草稿數字作對照；全部刪除後逐位元比對</t>
        </is>
      </c>
      <c r="N16" s="68" t="inlineStr">
        <is>
          <t>觀察：賣出當下草稿 realized −1,579.67（均價 60.4667），寫完第三筆後帳本同一筆賣出變 −1,223.00（均價 56.90＝(9,320+8,820+4,620)/400）
假設：①同日事件依固定優先序排序（買先於賣）而非輸入順序；②交易 id 或日期寫錯導致排序錯；③均價計算本身有誤
排除：API 三筆 id 75(買)/76(賣)/77(買) 皆 2026-09-23，id 順序正確，排除②；以「買、買、賣」手算 22,760/400=56.90、5,690、−1,223 與系統完全相符，計算本身正確，排除③
定位：portfolio_dash/portfolio/cost_basis.py:470-481 `events.append((tx.trade_date, EventPriority.BUY if … else EventPriority.SELL, …))` 後 `events.sort(key=lambda e: (e[0], e[1]))`，同日僅以 portfolio_dash/shared/ledger_events.py:28-32 的 BUY=20 &lt; SELL=30 排序，未用輸入順序（id）當次序
判定：FAIL — B-18「依時間順序逐筆套用；已實現損益使用賣出當下的加權均價」不成立，損益／成本數字不同（高）</t>
        </is>
      </c>
      <c r="O16" s="68" t="inlineStr">
        <is>
          <t>系統：cost_removed 5,690.00／realized −1,223.00／期末成本 17,070.00／均價 56.90；時間順序：6,046.67／−1,579.67／16,713.33／55.7111；差額 356.67 TWD</t>
        </is>
      </c>
      <c r="P16" s="69" t="inlineStr">
        <is>
          <t>FAIL</t>
        </is>
      </c>
      <c r="Q16" s="68" t="inlineStr">
        <is>
          <t>開 DEF-012；交易沒有時間欄位，請修復方與 owner 確認同日順序的依據（輸入順序 id？加時間欄？）；同類：dividends、corporate actions 同日排序也請一併檢視；手動預覽（依輸入當下）與帳本重播的口徑必須一致</t>
        </is>
      </c>
      <c r="R16" s="68" t="inlineStr">
        <is>
          <t>檢驗方 2026-09-23</t>
        </is>
      </c>
    </row>
    <row r="17" ht="15" customHeight="1" s="43">
      <c r="A17" s="72" t="inlineStr">
        <is>
          <t>R1</t>
        </is>
      </c>
      <c r="B17" s="72" t="inlineStr">
        <is>
          <t>DEF-013</t>
        </is>
      </c>
      <c r="C17" s="72" t="inlineStr">
        <is>
          <t>B-10</t>
        </is>
      </c>
      <c r="D17" s="72" t="inlineStr">
        <is>
          <t>2026-09-23</t>
        </is>
      </c>
      <c r="E17" s="66" t="inlineStr">
        <is>
          <t>—（本輪由檢驗方發現）</t>
        </is>
      </c>
      <c r="F17" s="67" t="inlineStr">
        <is>
          <t>—</t>
        </is>
      </c>
      <c r="G17" s="67" t="inlineStr">
        <is>
          <t>—</t>
        </is>
      </c>
      <c r="H17" s="67" t="inlineStr">
        <is>
          <t>—</t>
        </is>
      </c>
      <c r="I17" s="67" t="inlineStr">
        <is>
          <t>—</t>
        </is>
      </c>
      <c r="J17" s="67" t="inlineStr">
        <is>
          <t>—</t>
        </is>
      </c>
      <c r="K17" s="67" t="inlineStr">
        <is>
          <t>—</t>
        </is>
      </c>
      <c r="L17" s="67" t="inlineStr">
        <is>
          <t>—</t>
        </is>
      </c>
      <c r="M17" s="68" t="inlineStr">
        <is>
          <t>真實瀏覽器切換兩個 checkbox，讀 checked／disabled 狀態與 POST /api/input/manual/preview 本文與回應；檢視 web/input.js 相關邏輯</t>
        </is>
      </c>
      <c r="N17" s="68" t="inlineStr">
        <is>
          <t>觀察：兩個 checkbox 可同時為 true，預覽照 0.15% 計稅、issues=[]
假設：①前端沒有互斥規則；②後端會在寫入時擋下組合；③設計上允許（現股當沖先賣後買）
排除：預覽已送出 daytrade＋short_sale 且回 200 無 issues，後端未擋；web/input.js 只在買進時隱藏兩者（:171-178 註解），賣出時無互斥
定位：web/input.js 賣出側 checkbox 處理
判定：OBSERVE — 手冊 B-10③ 要求互斥顯示規則，但台股確有「當沖先賣」合法情境，需 owner 裁定是互斥、允許組合（並加說明），或拆成兩種情境</t>
        </is>
      </c>
      <c r="O17" s="69" t="inlineStr">
        <is>
          <t>daytrade＋short 同時送出；tax 679；0 issues；帳本列只有「賣」chip</t>
        </is>
      </c>
      <c r="P17" s="68" t="inlineStr">
        <is>
          <t>待裁定</t>
        </is>
      </c>
      <c r="Q17" s="68" t="inlineStr">
        <is>
          <t>開 DEF-013；請 owner 裁定當沖＋放空的組合規則</t>
        </is>
      </c>
      <c r="R17" s="68" t="inlineStr">
        <is>
          <t>檢驗方 2026-09-23</t>
        </is>
      </c>
    </row>
    <row r="18" ht="15" customHeight="1" s="43">
      <c r="A18" s="72" t="inlineStr">
        <is>
          <t>R1</t>
        </is>
      </c>
      <c r="B18" s="72" t="inlineStr">
        <is>
          <t>DEF-014</t>
        </is>
      </c>
      <c r="C18" s="72" t="inlineStr">
        <is>
          <t>B-17</t>
        </is>
      </c>
      <c r="D18" s="72" t="inlineStr">
        <is>
          <t>2026-09-23</t>
        </is>
      </c>
      <c r="E18" s="66" t="inlineStr">
        <is>
          <t>—（本輪由檢驗方發現）</t>
        </is>
      </c>
      <c r="F18" s="67" t="inlineStr">
        <is>
          <t>—</t>
        </is>
      </c>
      <c r="G18" s="67" t="inlineStr">
        <is>
          <t>—</t>
        </is>
      </c>
      <c r="H18" s="67" t="inlineStr">
        <is>
          <t>—</t>
        </is>
      </c>
      <c r="I18" s="67" t="inlineStr">
        <is>
          <t>—</t>
        </is>
      </c>
      <c r="J18" s="67" t="inlineStr">
        <is>
          <t>—</t>
        </is>
      </c>
      <c r="K18" s="67" t="inlineStr">
        <is>
          <t>—</t>
        </is>
      </c>
      <c r="L18" s="67" t="inlineStr">
        <is>
          <t>—</t>
        </is>
      </c>
      <c r="M18" s="68" t="inlineStr">
        <is>
          <t>真實瀏覽器手動交易表單，讀 POST /api/input/manual/preview issues 與草稿文字，實際寫入一次確認後端也接受，再刪除還原</t>
        </is>
      </c>
      <c r="N18" s="68" t="inlineStr">
        <is>
          <t>觀察：未來日期有 warn（future_trade_date），但早於期初庫存日與早於所有紀錄的日期 issues 皆為空、可直接寫入
假設：①檢核只做未來日期；②期初庫存被當成另一個 lot，系統刻意允許更早的交易；③前端擋、後端不擋
排除：實際 commit 回 201 並寫入 #85，後端也未擋，排除③
定位：手動交易預覽／寫入的日期檢核（future_trade_date 所在的檢核函式）沒有「早於期初庫存建檔日」這一條
判定：FAIL — B-17 期望「給出明確訊息（而非靜默接受）」；是否屬刻意設計（②）需修復方與 owner 確認，demo 既有 8299 資料已含兩筆早於建檔日的買進</t>
        </is>
      </c>
      <c r="O18" s="68" t="inlineStr">
        <is>
          <t>早於期初庫存日：issues=[]、201 寫入；未來日期：warn 並擋確認鍵</t>
        </is>
      </c>
      <c r="P18" s="69" t="inlineStr">
        <is>
          <t>FAIL</t>
        </is>
      </c>
      <c r="Q18" s="68" t="inlineStr">
        <is>
          <t>開 DEF-014；期初庫存與其建檔日之前的交易如何共存需先定規格；同類：CSV 匯入與券商對帳單匯入的日期檢核是否一致</t>
        </is>
      </c>
      <c r="R18" s="68" t="inlineStr">
        <is>
          <t>檢驗方 2026-09-23</t>
        </is>
      </c>
    </row>
    <row r="19" ht="15" customHeight="1" s="43">
      <c r="A19" s="72" t="inlineStr">
        <is>
          <t>R1</t>
        </is>
      </c>
      <c r="B19" s="72" t="inlineStr">
        <is>
          <t>DEF-015</t>
        </is>
      </c>
      <c r="C19" s="72" t="inlineStr">
        <is>
          <t>C-01</t>
        </is>
      </c>
      <c r="D19" s="72" t="inlineStr">
        <is>
          <t>2026-09-23</t>
        </is>
      </c>
      <c r="E19" s="66" t="inlineStr">
        <is>
          <t>—（本輪由檢驗方發現）</t>
        </is>
      </c>
      <c r="F19" s="67" t="inlineStr">
        <is>
          <t>—</t>
        </is>
      </c>
      <c r="G19" s="67" t="inlineStr">
        <is>
          <t>—</t>
        </is>
      </c>
      <c r="H19" s="67" t="inlineStr">
        <is>
          <t>—</t>
        </is>
      </c>
      <c r="I19" s="67" t="inlineStr">
        <is>
          <t>—</t>
        </is>
      </c>
      <c r="J19" s="67" t="inlineStr">
        <is>
          <t>—</t>
        </is>
      </c>
      <c r="K19" s="67" t="inlineStr">
        <is>
          <t>—</t>
        </is>
      </c>
      <c r="L19" s="67" t="inlineStr">
        <is>
          <t>—</t>
        </is>
      </c>
      <c r="M19" s="68" t="inlineStr">
        <is>
          <t>真實瀏覽器按「重新偵測」，讀 toast（MutationObserver 紀錄）、狀態列文字與 API 回應全文；搜尋頁面上是否有 tooltip 或展開明細</t>
        </is>
      </c>
      <c r="N19" s="68" t="inlineStr">
        <is>
          <t>觀察：失敗計數有、失敗對象與原因無
假設：①後端只回彙總字串；②前端有明細但收合；③失敗細節寫在排程執行紀錄
排除：回應 JSON 只有 rows／total_count／refreshed 三個鍵，無失敗清單，排除②；排程中心 dividend_inbox_scan 上次紀錄同樣只寫「1 檔失敗」
定位：配息偵測彙總字串產生處（dividend-inbox refresh 路徑）
判定：FAIL — C-01③「失敗檔數有說明」不成立</t>
        </is>
      </c>
      <c r="O19" s="69" t="inlineStr">
        <is>
          <t>refreshed="14 檔事件已更新，1 檔失敗"；無代號、無原因</t>
        </is>
      </c>
      <c r="P19" s="69" t="inlineStr">
        <is>
          <t>FAIL</t>
        </is>
      </c>
      <c r="Q19" s="68" t="inlineStr">
        <is>
          <t>開 DEF-015；對照 dividends_daily 的訊息會列出失敗代號（「failed: SPCX, TSLA」），兩條路徑口徑不一致</t>
        </is>
      </c>
      <c r="R19" s="68" t="inlineStr">
        <is>
          <t>檢驗方 2026-09-23</t>
        </is>
      </c>
    </row>
    <row r="20" ht="15" customHeight="1" s="43">
      <c r="A20" s="72" t="inlineStr">
        <is>
          <t>R1</t>
        </is>
      </c>
      <c r="B20" s="72" t="inlineStr">
        <is>
          <t>DEF-016</t>
        </is>
      </c>
      <c r="C20" s="72" t="inlineStr">
        <is>
          <t>C-02</t>
        </is>
      </c>
      <c r="D20" s="72" t="inlineStr">
        <is>
          <t>2026-09-23</t>
        </is>
      </c>
      <c r="E20" s="66" t="inlineStr">
        <is>
          <t>—（本輪由檢驗方發現）</t>
        </is>
      </c>
      <c r="F20" s="67" t="inlineStr">
        <is>
          <t>—</t>
        </is>
      </c>
      <c r="G20" s="67" t="inlineStr">
        <is>
          <t>—</t>
        </is>
      </c>
      <c r="H20" s="67" t="inlineStr">
        <is>
          <t>—</t>
        </is>
      </c>
      <c r="I20" s="67" t="inlineStr">
        <is>
          <t>—</t>
        </is>
      </c>
      <c r="J20" s="67" t="inlineStr">
        <is>
          <t>—</t>
        </is>
      </c>
      <c r="K20" s="67" t="inlineStr">
        <is>
          <t>—</t>
        </is>
      </c>
      <c r="L20" s="67" t="inlineStr">
        <is>
          <t>—</t>
        </is>
      </c>
      <c r="M20" s="68" t="inlineStr">
        <is>
          <t>確認前後各讀一次 /api/dashboard kpis 與 trend、/api/cash 與對帳單；再對照 portfolio_dash/portfolio/returns.py xirr_reporting 的現金流組法</t>
        </is>
      </c>
      <c r="N20" s="68" t="inlineStr">
        <is>
          <t>觀察：XIRR 變動、現金池與趨勢圖不變
假設：①XIRR 以 dv.date（pay_date）加入現金流，不檢查是否晚於 as_of；②XIRR 以除息日應計；③變動來自其他資料
排除：刪除該筆股利後 xirr 回到 10.22406575305222，排除③；returns.py `add(dv.date, …, dv.net)` 使用帳本 date（＝2026-10-08），期末值則在 as_of（2026-09-23）加入，排除②
定位：portfolio_dash/portfolio/returns.py xirr_reporting 股利迴圈
判定：OBSERVE — 未來日期現金流的口徑（排除、以除息日應計、或照入帳日）未有規格，交 owner 裁定</t>
        </is>
      </c>
      <c r="O20" s="69" t="inlineStr">
        <is>
          <t>xirr 差 +0.0100；該現金流日期晚於估值日 15 天</t>
        </is>
      </c>
      <c r="P20" s="68" t="inlineStr">
        <is>
          <t>待裁定</t>
        </is>
      </c>
      <c r="Q20" s="68" t="inlineStr">
        <is>
          <t>開 DEF-016；同類：總報酬已即時認列這筆股利（調整成本已沖減），現金池要到 10-08 才入帳，三個口徑（損益／現金／XIRR）請一併定義</t>
        </is>
      </c>
      <c r="R20" s="68" t="inlineStr">
        <is>
          <t>檢驗方 2026-09-23</t>
        </is>
      </c>
    </row>
    <row r="21" ht="15" customHeight="1" s="43">
      <c r="A21" s="72" t="inlineStr">
        <is>
          <t>R1</t>
        </is>
      </c>
      <c r="B21" s="72" t="inlineStr">
        <is>
          <t>DEF-017</t>
        </is>
      </c>
      <c r="C21" s="72" t="inlineStr">
        <is>
          <t>C-04</t>
        </is>
      </c>
      <c r="D21" s="72" t="inlineStr">
        <is>
          <t>2026-09-23</t>
        </is>
      </c>
      <c r="E21" s="66" t="inlineStr">
        <is>
          <t>—（本輪由檢驗方發現）</t>
        </is>
      </c>
      <c r="F21" s="67" t="inlineStr">
        <is>
          <t>—</t>
        </is>
      </c>
      <c r="G21" s="67" t="inlineStr">
        <is>
          <t>—</t>
        </is>
      </c>
      <c r="H21" s="67" t="inlineStr">
        <is>
          <t>—</t>
        </is>
      </c>
      <c r="I21" s="67" t="inlineStr">
        <is>
          <t>—</t>
        </is>
      </c>
      <c r="J21" s="67" t="inlineStr">
        <is>
          <t>—</t>
        </is>
      </c>
      <c r="K21" s="67" t="inlineStr">
        <is>
          <t>—</t>
        </is>
      </c>
      <c r="L21" s="67" t="inlineStr">
        <is>
          <t>—</t>
        </is>
      </c>
      <c r="M21" s="68" t="inlineStr">
        <is>
          <t>真實瀏覽器股利表單寫入，記錄網路請求；刪除後讀 /api/import/batches 與畫面「最近匯入」；再以批次復原清除</t>
        </is>
      </c>
      <c r="N21" s="68" t="inlineStr">
        <is>
          <t>觀察：手動輸入產生匯入批次；帳本刪除後批次殘留；批次復原說明與事實矛盾
假設：①股利表單刻意重用 CSV 匯入管線；②批次是在我先前的 CSV 預覽時產生；③刪除帳本列會連動批次但延遲
排除：寫入前 batches=[]（基準 cnt.batches 0），寫入當下請求即為 /api/import/commit 並回 import_batch_id 1，排除②；刪除後再等 1 秒仍在，且批次復原回 deleted 0，排除③
定位：股利表單送出路徑（web/input.js 股利分支）呼叫 /api/import/commit；帳本刪除（DELETE /api/ledgers/dividends/{id}）未處理所屬批次
判定：手動輸入被當成匯入、留下無資料的批次，影響 R-8「匯入批次無殘留」與 I-08 批次清單的可信度</t>
        </is>
      </c>
      <c r="O21" s="68" t="inlineStr">
        <is>
          <t>寫入後 batches 0→1；刪帳本列後仍 1；批次復原 deleted:0 後 0</t>
        </is>
      </c>
      <c r="P21" s="69" t="inlineStr">
        <is>
          <t>FAIL</t>
        </is>
      </c>
      <c r="Q21" s="68" t="inlineStr">
        <is>
          <t>開 DEF-017；同類：期初庫存表單等其他「手動」表單是否也走匯入管線</t>
        </is>
      </c>
      <c r="R21" s="68" t="inlineStr">
        <is>
          <t>檢驗方 2026-09-23</t>
        </is>
      </c>
    </row>
    <row r="22" ht="15" customHeight="1" s="43">
      <c r="A22" s="72" t="inlineStr">
        <is>
          <t>R1</t>
        </is>
      </c>
      <c r="B22" s="72" t="inlineStr">
        <is>
          <t>DEF-018</t>
        </is>
      </c>
      <c r="C22" s="72" t="inlineStr">
        <is>
          <t>C-04b</t>
        </is>
      </c>
      <c r="D22" s="72" t="inlineStr">
        <is>
          <t>2026-09-23</t>
        </is>
      </c>
      <c r="E22" s="66" t="inlineStr">
        <is>
          <t>—（本輪由檢驗方發現）</t>
        </is>
      </c>
      <c r="F22" s="67" t="inlineStr">
        <is>
          <t>—</t>
        </is>
      </c>
      <c r="G22" s="67" t="inlineStr">
        <is>
          <t>—</t>
        </is>
      </c>
      <c r="H22" s="67" t="inlineStr">
        <is>
          <t>—</t>
        </is>
      </c>
      <c r="I22" s="67" t="inlineStr">
        <is>
          <t>—</t>
        </is>
      </c>
      <c r="J22" s="67" t="inlineStr">
        <is>
          <t>—</t>
        </is>
      </c>
      <c r="K22" s="67" t="inlineStr">
        <is>
          <t>—</t>
        </is>
      </c>
      <c r="L22" s="67" t="inlineStr">
        <is>
          <t>—</t>
        </is>
      </c>
      <c r="M22" s="68" t="inlineStr">
        <is>
          <t>真實瀏覽器股利表單寫入，前後讀 /api/dashboard holdings 與 /api/cash；讀表單「套用模式」說明</t>
        </is>
      </c>
      <c r="N22" s="68" t="inlineStr">
        <is>
          <t>觀察：DRIP 後成本不變、均價下降
假設：①系統刻意把 DRIP 當 $0 成本股（股利折入成本的鎖定模型）；②寫入時 reinvest_price 沒被用到（bug）；③我讀錯欄位
排除：表單明文「net 將以 $0 成本股數入帳（再投資股數 × 再投資價格僅供對帳）」，且 original_cost_total／adjusted_cost_total 兩欄皆為 13,515，排除③；行為與說明一致，排除②為 bug
定位：股利 DRIP 模型（CLAUDE.md 不變量 6／dividend_model）
判定：OBSERVE — 與手冊 C-04b① 衝突，屬會計模型選擇，交 owner 裁定是改手冊或改模型</t>
        </is>
      </c>
      <c r="O22" s="69" t="inlineStr">
        <is>
          <t>shares +0.028；original_cost 13,515→13,515；USD 池 0；total_return +296.74 TWD</t>
        </is>
      </c>
      <c r="P22" s="68" t="inlineStr">
        <is>
          <t>待裁定</t>
        </is>
      </c>
      <c r="Q22" s="68" t="inlineStr">
        <is>
          <t>開 DEF-018；若維持 $0 成本模型，請同步修訂手冊 C-04b 期望；若改為計入成本，影響既有 DRIP 列與稅務包</t>
        </is>
      </c>
      <c r="R22" s="68" t="inlineStr">
        <is>
          <t>檢驗方 2026-09-23</t>
        </is>
      </c>
    </row>
    <row r="23" ht="15" customHeight="1" s="43">
      <c r="A23" s="72" t="inlineStr">
        <is>
          <t>R1</t>
        </is>
      </c>
      <c r="B23" s="72" t="inlineStr">
        <is>
          <t>DEF-019</t>
        </is>
      </c>
      <c r="C23" s="72" t="inlineStr">
        <is>
          <t>C-04b／C-05</t>
        </is>
      </c>
      <c r="D23" s="72" t="inlineStr">
        <is>
          <t>2026-09-23</t>
        </is>
      </c>
      <c r="E23" s="66" t="inlineStr">
        <is>
          <t>—（本輪由檢驗方發現）</t>
        </is>
      </c>
      <c r="F23" s="67" t="inlineStr">
        <is>
          <t>—</t>
        </is>
      </c>
      <c r="G23" s="67" t="inlineStr">
        <is>
          <t>—</t>
        </is>
      </c>
      <c r="H23" s="67" t="inlineStr">
        <is>
          <t>—</t>
        </is>
      </c>
      <c r="I23" s="67" t="inlineStr">
        <is>
          <t>—</t>
        </is>
      </c>
      <c r="J23" s="67" t="inlineStr">
        <is>
          <t>—</t>
        </is>
      </c>
      <c r="K23" s="67" t="inlineStr">
        <is>
          <t>—</t>
        </is>
      </c>
      <c r="L23" s="67" t="inlineStr">
        <is>
          <t>—</t>
        </is>
      </c>
      <c r="M23" s="68" t="inlineStr">
        <is>
          <t>真實瀏覽器，復原後讀 .sym-picker 按鈕文字，並同時讀 /api/input/holdings、/api/dashboard 對照；記錄復原後前端重新抓取的端點</t>
        </is>
      </c>
      <c r="N23" s="68" t="inlineStr">
        <is>
          <t>觀察：復原後挑選清單的股數／均價是復原前的值
假設：①批次復原後前端只重抓 batches 與 dividends，沒重抓 input/holdings；②後端 input/holdings 沒還原；③瀏覽器快取
排除：同時直接呼叫 /api/input/holdings 已是 85.039255／158.9266，排除②；復原後網路紀錄只有 GET /api/import/batches、/api/ledgers/dividends，排除③的必要性
定位：web/input.js 批次復原成功後的重新整理（交易寫入／刪除時有重抓 /api/input/holdings，復原路徑沒有）
判定：畫面資訊與帳本矛盾（重新整理頁面後才正確）</t>
        </is>
      </c>
      <c r="O23" s="68" t="inlineStr">
        <is>
          <t>復原後挑選清單 85.067255／158.87（應 85.039255／158.93）；重新整理頁面後正確</t>
        </is>
      </c>
      <c r="P23" s="69" t="inlineStr">
        <is>
          <t>FAIL</t>
        </is>
      </c>
      <c r="Q23" s="68" t="inlineStr">
        <is>
          <t>開 DEF-019</t>
        </is>
      </c>
      <c r="R23" s="68" t="inlineStr">
        <is>
          <t>檢驗方 2026-09-23</t>
        </is>
      </c>
    </row>
    <row r="24" ht="15" customHeight="1" s="43">
      <c r="A24" s="72" t="inlineStr">
        <is>
          <t>R1</t>
        </is>
      </c>
      <c r="B24" s="72" t="inlineStr">
        <is>
          <t>DEF-020</t>
        </is>
      </c>
      <c r="C24" s="72" t="inlineStr">
        <is>
          <t>D-10</t>
        </is>
      </c>
      <c r="D24" s="72" t="inlineStr">
        <is>
          <t>2026-09-23</t>
        </is>
      </c>
      <c r="E24" s="66" t="inlineStr">
        <is>
          <t>—（本輪由檢驗方發現）</t>
        </is>
      </c>
      <c r="F24" s="67" t="inlineStr">
        <is>
          <t>—</t>
        </is>
      </c>
      <c r="G24" s="67" t="inlineStr">
        <is>
          <t>—</t>
        </is>
      </c>
      <c r="H24" s="67" t="inlineStr">
        <is>
          <t>—</t>
        </is>
      </c>
      <c r="I24" s="67" t="inlineStr">
        <is>
          <t>—</t>
        </is>
      </c>
      <c r="J24" s="67" t="inlineStr">
        <is>
          <t>—</t>
        </is>
      </c>
      <c r="K24" s="67" t="inlineStr">
        <is>
          <t>—</t>
        </is>
      </c>
      <c r="L24" s="67" t="inlineStr">
        <is>
          <t>—</t>
        </is>
      </c>
      <c r="M24" s="68" t="inlineStr">
        <is>
          <t>真實瀏覽器登錄→刪除，前後以 /api/cash、/api/ledgers/cash 與四段 JSON 比對（持倉還原、現金未還原）</t>
        </is>
      </c>
      <c r="N24" s="68" t="inlineStr">
        <is>
          <t>觀察：刪行動後持倉與 kpis 還原，但 cash_balances／reporting_total 仍少 50
假設：①重組費是獨立出金列，與行動沒有關聯鍵；②刪除 API 有連動但失敗；③我比對的基準錯
排除：刪除回應 {ok,id,prices_restated} 無任何現金欄位，資金收支 #46 仍在，排除②；手動刪 #46 後六段 JSON 與行動前基準逐位元相同，基準正確，排除③
定位：前端 web/corp-action-form.js 在行動寫入成功後另呼叫 /api/cash/movements（兩次請求，非原子）；後端 DELETE /api/ledgers/corporate-actions/{id} 不處理關聯出金，刪除確認框也未提示
判定：FAIL — D-10「刪除後…現金全部回到行動前的狀態」不成立；且第二支請求失敗時（本站實測出現過 502）會留下有行動、無費用的狀態</t>
        </is>
      </c>
      <c r="O24" s="68" t="inlineStr">
        <is>
          <t>刪行動後 TWD 池 6,067,545（應 6,067,595），出金 #46 殘留</t>
        </is>
      </c>
      <c r="P24" s="69" t="inlineStr">
        <is>
          <t>FAIL</t>
        </is>
      </c>
      <c r="Q24" s="68" t="inlineStr">
        <is>
          <t>開 DEF-020；D-07（EXCHANGE 2 換 1、重組費 30）已再現：刪除行動 id 9 後出金 #47 殘留。編輯行動改費用時是否同步未測</t>
        </is>
      </c>
      <c r="R24" s="68" t="inlineStr">
        <is>
          <t>檢驗方 2026-09-23</t>
        </is>
      </c>
    </row>
    <row r="25" ht="15" customHeight="1" s="43">
      <c r="A25" s="72" t="inlineStr">
        <is>
          <t>R1</t>
        </is>
      </c>
      <c r="B25" s="72" t="inlineStr">
        <is>
          <t>DEF-021</t>
        </is>
      </c>
      <c r="C25" s="72" t="inlineStr">
        <is>
          <t>D-10</t>
        </is>
      </c>
      <c r="D25" s="72" t="inlineStr">
        <is>
          <t>2026-09-23</t>
        </is>
      </c>
      <c r="E25" s="66" t="inlineStr">
        <is>
          <t>—（本輪由檢驗方發現）</t>
        </is>
      </c>
      <c r="F25" s="67" t="inlineStr">
        <is>
          <t>—</t>
        </is>
      </c>
      <c r="G25" s="67" t="inlineStr">
        <is>
          <t>—</t>
        </is>
      </c>
      <c r="H25" s="67" t="inlineStr">
        <is>
          <t>—</t>
        </is>
      </c>
      <c r="I25" s="67" t="inlineStr">
        <is>
          <t>—</t>
        </is>
      </c>
      <c r="J25" s="67" t="inlineStr">
        <is>
          <t>—</t>
        </is>
      </c>
      <c r="K25" s="67" t="inlineStr">
        <is>
          <t>—</t>
        </is>
      </c>
      <c r="L25" s="67" t="inlineStr">
        <is>
          <t>—</t>
        </is>
      </c>
      <c r="M25" s="68" t="inlineStr">
        <is>
          <t>真實瀏覽器登錄→刪除；前後以 /api/instruments 列表與四段 JSON 比對（持倉／成本／現金還原，目標價未還原）</t>
        </is>
      </c>
      <c r="N25" s="68" t="inlineStr">
        <is>
          <t>觀察：刪除換股後六段 JSON 與行動前逐位元相同，但 /api/instruments 的 2882 target_low/high=40/55、2884=null，與行動前（2884=40/55、2882=null）相反
假設：①刪除 API 本來就不處理目標價；②有處理但只在特定條件；③前端沒刷新
排除：重新 GET /api/instruments 與重新整理觀察清單結果相同，排除③；DELETE 回應只有 {ok,id,prices_restated}，無 band 欄位
定位：portfolio_dash/data_ingestion/store.py move_target_band 的 docstring 明寫「⚠ Not reversible. Deleting the EXCHANGE does not move the band back … recorded as a limitation the entry surface states」，但 web/corp-action-form.js:258-264 的提示只寫「會一併移到」，刪除確認框也沒有任何說明——設計上宣稱的「入口告知」並未實作
判定：FAIL — D-10「目標價…回到行動前的狀態」不成立，且使用者沒有被告知需要手動改回；留在新代號上的目標價會持續觸發 target_cross 預警</t>
        </is>
      </c>
      <c r="O25" s="68" t="inlineStr">
        <is>
          <t>刪除換股後 2882 目標價 40／55 殘留、2884 目標價消失（應為 2884＝40／55、2882＝空）</t>
        </is>
      </c>
      <c r="P25" s="69" t="inlineStr">
        <is>
          <t>FAIL</t>
        </is>
      </c>
      <c r="Q25" s="68" t="inlineStr">
        <is>
          <t>開 DEF-021；若 owner 維持「不可逆」設計，至少要在試算提示與刪除確認框說明；是否改為可逆請 owner 裁定</t>
        </is>
      </c>
      <c r="R25" s="68" t="inlineStr">
        <is>
          <t>檢驗方 2026-09-23</t>
        </is>
      </c>
    </row>
    <row r="26" ht="15" customHeight="1" s="43">
      <c r="A26" s="72" t="inlineStr">
        <is>
          <t>R1</t>
        </is>
      </c>
      <c r="B26" s="72" t="inlineStr">
        <is>
          <t>DEF-022</t>
        </is>
      </c>
      <c r="C26" s="72" t="inlineStr">
        <is>
          <t>D-11</t>
        </is>
      </c>
      <c r="D26" s="72" t="inlineStr">
        <is>
          <t>2026-09-23</t>
        </is>
      </c>
      <c r="E26" s="66" t="inlineStr">
        <is>
          <t>—（本輪由檢驗方發現）</t>
        </is>
      </c>
      <c r="F26" s="67" t="inlineStr">
        <is>
          <t>—</t>
        </is>
      </c>
      <c r="G26" s="67" t="inlineStr">
        <is>
          <t>—</t>
        </is>
      </c>
      <c r="H26" s="67" t="inlineStr">
        <is>
          <t>—</t>
        </is>
      </c>
      <c r="I26" s="67" t="inlineStr">
        <is>
          <t>—</t>
        </is>
      </c>
      <c r="J26" s="67" t="inlineStr">
        <is>
          <t>—</t>
        </is>
      </c>
      <c r="K26" s="67" t="inlineStr">
        <is>
          <t>—</t>
        </is>
      </c>
      <c r="L26" s="67" t="inlineStr">
        <is>
          <t>—</t>
        </is>
      </c>
      <c r="M26" s="68" t="inlineStr">
        <is>
          <t>真實瀏覽器操作，比對瀏覽器本地時間（Wed Sep 23 2026 04:40 GMT+0800）與 API 回應的 set_at；以原始碼確認時區</t>
        </is>
      </c>
      <c r="N26" s="68" t="inlineStr">
        <is>
          <t>觀察：設定當下是台北 9/23 清晨，API 回 set_at 2026-09-22
假設：①伺服器以 UTC 取日期；②換股搬移時改寫了日期；③瀏覽器時間不準
排除：move_target_band 只複製原值（docstring 明寫 date rides across），排除②；瀏覽器顯示台北時間 04:40 且站上頁首日期也是 2026-09-23，排除③
定位：portfolio_dash/data_ingestion/store.py:124 `stamp = (today or datetime.now(UTC).date())`，而 portfolio_dash/shared/clock.py 註明「Asia/Taipei 是商業邏輯唯一的日期錨點（decision Q6）… datetime.now(UTC) 是 bug」；validate.py:1145 以 target_set_at &lt; inp.date 判斷是否警告
判定：FAIL — 日期錨點違反 Q6，導致同日分割出現錯誤日期的警告與多一步確認</t>
        </is>
      </c>
      <c r="O26" s="68" t="inlineStr">
        <is>
          <t>台北 9/23 設定的目標價被記為 2026-09-22；同日分割誤報「早於這筆分割」</t>
        </is>
      </c>
      <c r="P26" s="69" t="inlineStr">
        <is>
          <t>FAIL</t>
        </is>
      </c>
      <c r="Q26" s="68" t="inlineStr">
        <is>
          <t>開 DEF-022；其他以 datetime.now(UTC).date() 產生「業務日期」的地方未逐一清查</t>
        </is>
      </c>
      <c r="R26" s="68" t="inlineStr">
        <is>
          <t>檢驗方 2026-09-23</t>
        </is>
      </c>
    </row>
    <row r="27" ht="15" customHeight="1" s="43">
      <c r="A27" s="72" t="inlineStr">
        <is>
          <t>R1</t>
        </is>
      </c>
      <c r="B27" s="72" t="inlineStr">
        <is>
          <t>DEF-023</t>
        </is>
      </c>
      <c r="C27" s="72" t="inlineStr">
        <is>
          <t>D-11</t>
        </is>
      </c>
      <c r="D27" s="72" t="inlineStr">
        <is>
          <t>2026-09-23</t>
        </is>
      </c>
      <c r="E27" s="66" t="inlineStr">
        <is>
          <t>—（本輪由檢驗方發現）</t>
        </is>
      </c>
      <c r="F27" s="67" t="inlineStr">
        <is>
          <t>—</t>
        </is>
      </c>
      <c r="G27" s="67" t="inlineStr">
        <is>
          <t>—</t>
        </is>
      </c>
      <c r="H27" s="67" t="inlineStr">
        <is>
          <t>—</t>
        </is>
      </c>
      <c r="I27" s="67" t="inlineStr">
        <is>
          <t>—</t>
        </is>
      </c>
      <c r="J27" s="67" t="inlineStr">
        <is>
          <t>—</t>
        </is>
      </c>
      <c r="K27" s="67" t="inlineStr">
        <is>
          <t>—</t>
        </is>
      </c>
      <c r="L27" s="67" t="inlineStr">
        <is>
          <t>—</t>
        </is>
      </c>
      <c r="M27" s="68" t="inlineStr">
        <is>
          <t>真實瀏覽器製造情境，讀 /api/dashboard.unapplied_actions、儀表板 DOM（含 title 屬性）、公司行動帳本列與個股抽屜</t>
        </is>
      </c>
      <c r="N27" s="68" t="inlineStr">
        <is>
          <t>觀察：unapplied_actions 有 1 列、XIRR 變 null，但儀表板沒有任何連結或按鈕指向該行動
假設：①提示在別的頁（資料中心／行動清單）；②只在該標的持倉列標示；③設計上只放 tooltip
排除：資料中心、行動清單、公司行動帳本逐一檢查皆無；2882 已無持倉，持倉表沒有列可標示，排除②
定位：portfolio_dash/portfolio/cost_basis.py:257 的 reason 以 action.account_id 組字串（非顯示名），dashboard.py:618 的 xirr_reason 直接沿用；前端只把它放進 title，detail.js:1283 在抽屜渲染
判定：FAIL — D-11「提示可見且有入口」只滿足一半（提示可見、無入口）；原因句的帳戶原名違反帳戶顯示名單一來源的規則</t>
        </is>
      </c>
      <c r="O27" s="68" t="inlineStr">
        <is>
          <t>有未套用行動時儀表板無入口；原因句顯示 tw_broker</t>
        </is>
      </c>
      <c r="P27" s="69" t="inlineStr">
        <is>
          <t>FAIL</t>
        </is>
      </c>
      <c r="Q27" s="68" t="inlineStr">
        <is>
          <t>開 DEF-023；刪除交易會讓既有公司行動失去依據時，刪除確認框是否該先警告（目前直接刪除）</t>
        </is>
      </c>
      <c r="R27" s="68" t="inlineStr">
        <is>
          <t>檢驗方 2026-09-23</t>
        </is>
      </c>
    </row>
    <row r="28" ht="15" customHeight="1" s="43">
      <c r="A28" s="72" t="inlineStr">
        <is>
          <t>R1</t>
        </is>
      </c>
      <c r="B28" s="72" t="inlineStr">
        <is>
          <t>DEF-024</t>
        </is>
      </c>
      <c r="C28" s="72" t="inlineStr">
        <is>
          <t>I-06</t>
        </is>
      </c>
      <c r="D28" s="72" t="inlineStr">
        <is>
          <t>2026-09-23</t>
        </is>
      </c>
      <c r="E28" s="66" t="inlineStr">
        <is>
          <t>—（本輪由檢驗方發現）</t>
        </is>
      </c>
      <c r="F28" s="67" t="inlineStr">
        <is>
          <t>—</t>
        </is>
      </c>
      <c r="G28" s="67" t="inlineStr">
        <is>
          <t>—</t>
        </is>
      </c>
      <c r="H28" s="67" t="inlineStr">
        <is>
          <t>—</t>
        </is>
      </c>
      <c r="I28" s="67" t="inlineStr">
        <is>
          <t>—</t>
        </is>
      </c>
      <c r="J28" s="67" t="inlineStr">
        <is>
          <t>—</t>
        </is>
      </c>
      <c r="K28" s="67" t="inlineStr">
        <is>
          <t>—</t>
        </is>
      </c>
      <c r="L28" s="67" t="inlineStr">
        <is>
          <t>—</t>
        </is>
      </c>
      <c r="M28" s="68" t="inlineStr">
        <is>
          <t>真實瀏覽器貼上 CSV → 讀 /api/import/preview 與 /api/import/commit 原始回應；每次寫入後以六段 JSON＋計數比對確認帳本未變</t>
        </is>
      </c>
      <c r="N28" s="68" t="inlineStr">
        <is>
          <t>觀察：持有 100 股時，錯誤列 1.5 股讓賣 101 預覽為 ok；「超過持有的 200.5 股」＝100＋100＋0.5（錯誤列）
假設：①預覽的批次持股推算沒有排除錯誤列；②錯誤列被當成已寫入；③我的基準持股數不對
排除：只貼「賣 150」時訊息為「超過持有的 100 股」，基準確為 100，排除③；把 0.5 列拿掉後訊息變「超過持有的 200 股」，差額正好是錯誤列，排除「顯示格式」類原因
定位：portfolio_dash/data_ingestion/validate.py:478 pending_share_flows(batch…) 的批次成員只排除 transaction_structural_issues（非正數／過大）這類錯誤，台股整數股檢查（shares_not_integer）不在其中，與該函式 docstring「A row that can never be written can never cover」矛盾；寫入時 portfolio_dash/api/routers/input_center.py:1325 把重算後出現新問題的列從 accept 移除、計入 skipped，而 web/input.js:1392 對 skipped 顯示「寫入成功」、註解自己說「跳過 says you didn't tick it」
判定：FAIL — 預覽給出錯的可寫入結論，寫入後又把使用者勾選的列說成「跳過」，兩個畫面互相矛盾；帳本本身未被寫壞（第二道防線有擋）</t>
        </is>
      </c>
      <c r="O28" s="68" t="inlineStr">
        <is>
          <t>預覽「✓ 可寫入」→ 寫入 0 筆，被勾選的列只顯示「跳過」；賣超訊息的持股數含錯誤列（200.5）</t>
        </is>
      </c>
      <c r="P28" s="69" t="inlineStr">
        <is>
          <t>FAIL</t>
        </is>
      </c>
      <c r="Q28" s="68" t="inlineStr">
        <is>
          <t>開 DEF-024；其他「一定寫不進去」但不在 structural 名單的錯誤（例如日期早於期初、帳戶市場不符）是否也被算進批次持股，未逐一測</t>
        </is>
      </c>
      <c r="R28" s="68" t="inlineStr">
        <is>
          <t>檢驗方 2026-09-23</t>
        </is>
      </c>
    </row>
    <row r="29" ht="15" customHeight="1" s="43">
      <c r="A29" s="72" t="inlineStr">
        <is>
          <t>R1</t>
        </is>
      </c>
      <c r="B29" s="72" t="inlineStr">
        <is>
          <t>DEF-025</t>
        </is>
      </c>
      <c r="C29" s="72" t="inlineStr">
        <is>
          <t>I-06</t>
        </is>
      </c>
      <c r="D29" s="72" t="inlineStr">
        <is>
          <t>2026-09-23</t>
        </is>
      </c>
      <c r="E29" s="66" t="inlineStr">
        <is>
          <t>—（本輪由檢驗方發現）</t>
        </is>
      </c>
      <c r="F29" s="67" t="inlineStr">
        <is>
          <t>—</t>
        </is>
      </c>
      <c r="G29" s="67" t="inlineStr">
        <is>
          <t>—</t>
        </is>
      </c>
      <c r="H29" s="67" t="inlineStr">
        <is>
          <t>—</t>
        </is>
      </c>
      <c r="I29" s="67" t="inlineStr">
        <is>
          <t>—</t>
        </is>
      </c>
      <c r="J29" s="67" t="inlineStr">
        <is>
          <t>—</t>
        </is>
      </c>
      <c r="K29" s="67" t="inlineStr">
        <is>
          <t>—</t>
        </is>
      </c>
      <c r="L29" s="67" t="inlineStr">
        <is>
          <t>—</t>
        </is>
      </c>
      <c r="M29" s="68" t="inlineStr">
        <is>
          <t>真實瀏覽器；讀 preview／commit 回應與對話框文字；與 B-11 手動賣超的確認流程對照</t>
        </is>
      </c>
      <c r="N29" s="68" t="inlineStr">
        <is>
          <t>觀察：CSV 賣超列是 warn、預設勾選，確認框只寫「部分列有警告（如賣超）」，不說哪一列、也不說成本基礎會被捨棄
假設：①設計上允許以 ack 寫入賣超（待釐清部位）；②前端漏了逐列確認
排除：後端 validate.py 的 sell_exceeds_holdings 為 needs_confirm=True（可確認後寫入），與手動輸入同一條規則，排除「後端未擋」；差異在確認框的資訊量
定位：web/input.js:1321-1324 的通用確認框；手動輸入（B-11）走 422 三選一並明寫「成本基礎會被永久捨棄…之後再買回也不會還原」（web/input.js:928）
判定：OBSERVE — 行為與手冊 I-06「該列不可寫入」不符，但後端設計允許 ack 後寫入；需 owner 裁定 CSV 賣超要「不可寫入」還是「比照手動輸入的明確確認」</t>
        </is>
      </c>
      <c r="O29" s="68" t="inlineStr">
        <is>
          <t>賣超列可經一次通用確認寫入</t>
        </is>
      </c>
      <c r="P29" s="68" t="inlineStr">
        <is>
          <t>待裁定</t>
        </is>
      </c>
      <c r="Q29" s="68" t="inlineStr">
        <is>
          <t>開 DEF-025；若維持可寫入：確認框至少要點名是哪幾列、說明成本基礎歸零的後果，且預設不勾選</t>
        </is>
      </c>
      <c r="R29" s="68" t="inlineStr">
        <is>
          <t>檢驗方 2026-09-23</t>
        </is>
      </c>
    </row>
    <row r="30" ht="15" customHeight="1" s="43">
      <c r="A30" s="72" t="inlineStr">
        <is>
          <t>R1</t>
        </is>
      </c>
      <c r="B30" s="72" t="inlineStr">
        <is>
          <t>DEF-026</t>
        </is>
      </c>
      <c r="C30" s="72" t="inlineStr">
        <is>
          <t>I-13</t>
        </is>
      </c>
      <c r="D30" s="72" t="inlineStr">
        <is>
          <t>2026-09-23</t>
        </is>
      </c>
      <c r="E30" s="66" t="inlineStr">
        <is>
          <t>—（本輪由檢驗方發現）</t>
        </is>
      </c>
      <c r="F30" s="67" t="inlineStr">
        <is>
          <t>—</t>
        </is>
      </c>
      <c r="G30" s="67" t="inlineStr">
        <is>
          <t>—</t>
        </is>
      </c>
      <c r="H30" s="67" t="inlineStr">
        <is>
          <t>—</t>
        </is>
      </c>
      <c r="I30" s="67" t="inlineStr">
        <is>
          <t>—</t>
        </is>
      </c>
      <c r="J30" s="67" t="inlineStr">
        <is>
          <t>—</t>
        </is>
      </c>
      <c r="K30" s="67" t="inlineStr">
        <is>
          <t>—</t>
        </is>
      </c>
      <c r="L30" s="67" t="inlineStr">
        <is>
          <t>—</t>
        </is>
      </c>
      <c r="M30" s="68" t="inlineStr">
        <is>
          <t>真實瀏覽器匯出→貼上預覽；人工改表頭後寫入 2 列，再以匯出檔比對新舊列，最後批次復原並逐位元比對</t>
        </is>
      </c>
      <c r="N30" s="68" t="inlineStr">
        <is>
          <t>觀察：原樣匯回 56/56 列錯誤；改表頭後除費率快照、批次編號與雜湊外其餘欄位一致
假設：①匯出與匯入各自定義欄名，沒有共用；②匯入其實接受別名但我貼錯分頁
排除：確認在「標準範本／交易」分頁貼上，且同一分頁貼範本格式可正常預覽（I-05／I-07），排除②；直接 POST /api/import/preview 結果相同
定位：portfolio_dash/export/ledgers.py:100 build_ledger_csv 以資料表欄名輸出；portfolio_dash/data_ingestion/csv_import.py:53 TRANSACTION_COLUMNS 是匯入唯一欄名來源，註解提到的 round-trip 守門測試只驗「範本↔解析器」，沒有驗「匯出↔解析器」；fee_rule_snapshot 在匯入時一律由 portfolio_dash/data_ingestion/fees.py:111 改寫為 supplied
判定：FAIL — I-13「往返後的列內容與原列一致」不成立：原樣不可匯回，人工改表頭後費率快照仍遺失（折讓款預估依賴此快照）</t>
        </is>
      </c>
      <c r="O30" s="68" t="inlineStr">
        <is>
          <t>原樣匯回 0/56 列可寫入；改表頭後 fee_rule_snapshot 遺失</t>
        </is>
      </c>
      <c r="P30" s="69" t="inlineStr">
        <is>
          <t>FAIL</t>
        </is>
      </c>
      <c r="Q30" s="68" t="inlineStr">
        <is>
          <t>開 DEF-026；股利／換匯／期初／公司行動／資金 5 類帳本的匯出→匯回未逐一測（公司行動匯出欄為 ratio_to／ratio_from／from_symbol，推測同類）</t>
        </is>
      </c>
      <c r="R30" s="68" t="inlineStr">
        <is>
          <t>檢驗方 2026-09-23</t>
        </is>
      </c>
    </row>
    <row r="31" ht="15" customHeight="1" s="43">
      <c r="A31" s="72" t="inlineStr">
        <is>
          <t>R1</t>
        </is>
      </c>
      <c r="B31" s="72" t="inlineStr">
        <is>
          <t>DEF-027</t>
        </is>
      </c>
      <c r="C31" s="72" t="inlineStr">
        <is>
          <t>I-10</t>
        </is>
      </c>
      <c r="D31" s="72" t="inlineStr">
        <is>
          <t>2026-09-23</t>
        </is>
      </c>
      <c r="E31" s="66" t="inlineStr">
        <is>
          <t>—（本輪由檢驗方發現）</t>
        </is>
      </c>
      <c r="F31" s="67" t="inlineStr">
        <is>
          <t>—</t>
        </is>
      </c>
      <c r="G31" s="67" t="inlineStr">
        <is>
          <t>—</t>
        </is>
      </c>
      <c r="H31" s="67" t="inlineStr">
        <is>
          <t>—</t>
        </is>
      </c>
      <c r="I31" s="67" t="inlineStr">
        <is>
          <t>—</t>
        </is>
      </c>
      <c r="J31" s="67" t="inlineStr">
        <is>
          <t>—</t>
        </is>
      </c>
      <c r="K31" s="67" t="inlineStr">
        <is>
          <t>—</t>
        </is>
      </c>
      <c r="L31" s="67" t="inlineStr">
        <is>
          <t>—</t>
        </is>
      </c>
      <c r="M31" s="68" t="inlineStr">
        <is>
          <t>真實瀏覽器上傳檔案→全部寫入；讀 /api/import/commit 請求本文與 /api/dashboard；之後以最近匯入 › 復原（批次 8）並逐位元比對</t>
        </is>
      </c>
      <c r="N31" s="68" t="inlineStr">
        <is>
          <t>觀察：寫入後 AAPL shares −914.96、original_cost_total 0、oversold true、kpis.xirr null；過程中沒有出現標準匯入的「匯入警告確認」或手動輸入的賣超三選一
假設：①前端寫死 ack_warnings；②後端對 broker 來源不檢查賣超；③轉換器已判斷為期初庫存可涵蓋
排除：同一列改用標準範本貼上時，後端回 422 warnings_unacknowledged（I-06），證明後端有檢查，排除②；期初庫存列我留白、未匯入，排除③
定位：web/broker-import.js:423 `ack_warnings: true` 寫死於每一個 kind 的 commit 請求；同檔 427-429 的註解自己寫明賣超確認是「the one acknowledgement that discards a cost basis」；轉換器（portfolio_dash/api/routers/broker_import.py:197 convert）只看檔案內部，不看帳本現有持股，所以 prehistory_position 提示要求補 1,000 股期初，而帳本其實已有 85.04 股
判定：FAIL（高）— 會把成本基礎永久歸零的操作沒有經過使用者確認；可用批次復原救回，但使用者看到的是成功訊息</t>
        </is>
      </c>
      <c r="O31" s="68" t="inlineStr">
        <is>
          <t>賣超列被自動確認寫入：AAPL −914.96 股、成本 0、XIRR 空白</t>
        </is>
      </c>
      <c r="P31" s="69" t="inlineStr">
        <is>
          <t>FAIL</t>
        </is>
      </c>
      <c r="Q31" s="68" t="inlineStr">
        <is>
          <t>開 DEF-027；同一機制對其他 needs_confirm 類警告（重複交易、日期早於期初等）也一律自動確認，未逐一測</t>
        </is>
      </c>
      <c r="R31" s="68" t="inlineStr">
        <is>
          <t>檢驗方 2026-09-23</t>
        </is>
      </c>
    </row>
    <row r="32" ht="15" customHeight="1" s="43">
      <c r="A32" s="72" t="inlineStr">
        <is>
          <t>R1</t>
        </is>
      </c>
      <c r="B32" s="72" t="inlineStr">
        <is>
          <t>DEF-028</t>
        </is>
      </c>
      <c r="C32" s="72" t="inlineStr">
        <is>
          <t>I-10</t>
        </is>
      </c>
      <c r="D32" s="72" t="inlineStr">
        <is>
          <t>2026-09-23</t>
        </is>
      </c>
      <c r="E32" s="66" t="inlineStr">
        <is>
          <t>—（本輪由檢驗方發現）</t>
        </is>
      </c>
      <c r="F32" s="67" t="inlineStr">
        <is>
          <t>—</t>
        </is>
      </c>
      <c r="G32" s="67" t="inlineStr">
        <is>
          <t>—</t>
        </is>
      </c>
      <c r="H32" s="67" t="inlineStr">
        <is>
          <t>—</t>
        </is>
      </c>
      <c r="I32" s="67" t="inlineStr">
        <is>
          <t>—</t>
        </is>
      </c>
      <c r="J32" s="67" t="inlineStr">
        <is>
          <t>—</t>
        </is>
      </c>
      <c r="K32" s="67" t="inlineStr">
        <is>
          <t>—</t>
        </is>
      </c>
      <c r="L32" s="67" t="inlineStr">
        <is>
          <t>—</t>
        </is>
      </c>
      <c r="M32" s="68" t="inlineStr">
        <is>
          <t>真實瀏覽器上傳，搜尋整頁 DOM（含隱藏元素）是否出現轉出列內容（例如代號 ALFA）；對照 /api/broker/convert 回應</t>
        </is>
      </c>
      <c r="N32" s="68" t="inlineStr">
        <is>
          <t>觀察：DOM 內找不到任何 ALFA 字樣，轉換區只有兩行摘要；15 列進、9 列出，6 列（Journaled ±25、Buy／Cancel Buy BETA、NRA Tax Adj 併入 DRIP、Reinvest 併入 DRIP）如何處理沒有說明
假設：①明細藏在收合區；②明細要按「全部寫入」後才出現；③設計上只給摘要
排除：列出轉換區所有 details／button／aria-expanded 元素，只有「清除」「全部寫入」，排除①；寫入後畫面只有「交易 寫入 1 筆／資金 寫入 1 筆」，排除②
定位：web/broker-import.js:266 的轉換結果只輸出「讀入 N 列，產生：…」筆數；明細存在 /api/broker/convert 回應的 files 欄位
判定：FAIL — I-10 ①「轉換報告逐列可檢視」不成立；使用者只能對著筆數按「全部寫入」</t>
        </is>
      </c>
      <c r="O32" s="68" t="inlineStr">
        <is>
          <t>轉換報告只有筆數，無逐列明細</t>
        </is>
      </c>
      <c r="P32" s="69" t="inlineStr">
        <is>
          <t>FAIL</t>
        </is>
      </c>
      <c r="Q32" s="68" t="inlineStr">
        <is>
          <t>開 DEF-028</t>
        </is>
      </c>
      <c r="R32" s="68" t="inlineStr">
        <is>
          <t>檢驗方 2026-09-23</t>
        </is>
      </c>
    </row>
    <row r="33" ht="15" customHeight="1" s="43">
      <c r="A33" s="72" t="inlineStr">
        <is>
          <t>R1</t>
        </is>
      </c>
      <c r="B33" s="72" t="inlineStr">
        <is>
          <t>DEF-029</t>
        </is>
      </c>
      <c r="C33" s="72" t="inlineStr">
        <is>
          <t>I-11</t>
        </is>
      </c>
      <c r="D33" s="72" t="inlineStr">
        <is>
          <t>2026-09-23</t>
        </is>
      </c>
      <c r="E33" s="66" t="inlineStr">
        <is>
          <t>—（本輪由檢驗方發現）</t>
        </is>
      </c>
      <c r="F33" s="67" t="inlineStr">
        <is>
          <t>—</t>
        </is>
      </c>
      <c r="G33" s="67" t="inlineStr">
        <is>
          <t>—</t>
        </is>
      </c>
      <c r="H33" s="67" t="inlineStr">
        <is>
          <t>—</t>
        </is>
      </c>
      <c r="I33" s="67" t="inlineStr">
        <is>
          <t>—</t>
        </is>
      </c>
      <c r="J33" s="67" t="inlineStr">
        <is>
          <t>—</t>
        </is>
      </c>
      <c r="K33" s="67" t="inlineStr">
        <is>
          <t>—</t>
        </is>
      </c>
      <c r="L33" s="67" t="inlineStr">
        <is>
          <t>—</t>
        </is>
      </c>
      <c r="M33" s="68" t="inlineStr">
        <is>
          <t>真實瀏覽器；讀 /api/broker/convert 請求與回應（blocking／advisory 皆為空）；寫入後以批次復原並逐位元比對</t>
        </is>
      </c>
      <c r="N33" s="68" t="inlineStr">
        <is>
          <t>觀察：兩種錯配在轉換時都沒有 blocking／advisory；Moomoo 錯配直接寫入成功
假設：①轉換 API 有帳戶／券商比對但前端沒顯示；②只靠寫入時的市場規則擋；③Moomoo 也能交易美股，所以被視為合法
排除：convert 回應 blocking=[]、advisory=[]，排除①；台灣券商案例的阻擋訊息來自 market_mismatch（寫入驗證），證實只有②；③正是問題所在——帳戶能交易美股不代表嘉信的對帳單屬於這個帳戶
定位：portfolio_dash/api/routers/broker_import.py:171-176 只檢查 broker 是否支援、account 是否存在，沒有「此帳戶是否為該券商」的對應；前端送出的 currency 固定為 USD（連台灣券商也是）
判定：FAIL — I-11「系統需警告或阻擋」在 Moomoo 案例完全沒有；台灣券商案例雖被擋，但轉換結果先顯示「✓ 對帳通過」，資訊互相矛盾</t>
        </is>
      </c>
      <c r="O33" s="68" t="inlineStr">
        <is>
          <t>嘉信對帳單寫進 Moomoo MY 帳戶無任何警告</t>
        </is>
      </c>
      <c r="P33" s="69" t="inlineStr">
        <is>
          <t>FAIL</t>
        </is>
      </c>
      <c r="Q33" s="68" t="inlineStr">
        <is>
          <t>開 DEF-029；帳戶是否該記錄所屬券商（目前 account 與 broker 沒有對應欄位）由 owner 決定</t>
        </is>
      </c>
      <c r="R33" s="68" t="inlineStr">
        <is>
          <t>檢驗方 2026-09-23</t>
        </is>
      </c>
    </row>
    <row r="34" ht="15" customHeight="1" s="43">
      <c r="A34" s="72" t="inlineStr">
        <is>
          <t>R1</t>
        </is>
      </c>
      <c r="B34" s="72" t="inlineStr">
        <is>
          <t>DEF-030</t>
        </is>
      </c>
      <c r="C34" s="72" t="inlineStr">
        <is>
          <t>H-04</t>
        </is>
      </c>
      <c r="D34" s="72" t="inlineStr">
        <is>
          <t>2026-09-23</t>
        </is>
      </c>
      <c r="E34" s="66" t="inlineStr">
        <is>
          <t>—（本輪由檢驗方發現）</t>
        </is>
      </c>
      <c r="F34" s="67" t="inlineStr">
        <is>
          <t>—</t>
        </is>
      </c>
      <c r="G34" s="67" t="inlineStr">
        <is>
          <t>—</t>
        </is>
      </c>
      <c r="H34" s="67" t="inlineStr">
        <is>
          <t>—</t>
        </is>
      </c>
      <c r="I34" s="67" t="inlineStr">
        <is>
          <t>—</t>
        </is>
      </c>
      <c r="J34" s="67" t="inlineStr">
        <is>
          <t>—</t>
        </is>
      </c>
      <c r="K34" s="67" t="inlineStr">
        <is>
          <t>—</t>
        </is>
      </c>
      <c r="L34" s="67" t="inlineStr">
        <is>
          <t>—</t>
        </is>
      </c>
      <c r="M34" s="68" t="inlineStr">
        <is>
          <t>真實瀏覽器按鈕；讀 /api/scheduler/runs 與 /api/scheduler/jobs；對照 AI 洞察 › 產生洞察（POST /api/insight-types/10/run）同一任務可成功（#156）</t>
        </is>
      </c>
      <c r="N34" s="68" t="inlineStr">
        <is>
          <t>觀察：三次立即執行皆在 0.02 s 內失敗，detail 只有帶引號的工作代號
假設：①任務停用導致；②新建任務的排程尚未登錄；③手動執行路徑根本不支援 insight 工作
排除：任務啟用後重試仍失敗，排除①；建立於 7 月的 insight:7 同樣失敗，排除②
定位：portfolio_dash/api/routers/scheduler.py:228-250 run_job_now 的背景執行走 portfolio_dash/scheduler/jobs.py:1573 `_jobs_by_id()[job_id]`，而 _jobs_by_id（jobs.py:1387）只含靜態 JOBS 清單，insight:* 不在其中 → KeyError('insight:10')，str(exc) 直接寫進 detail；排程中心列名由 jobLabel(j.id, j.desc) 取 desc，insight 工作的 desc 就是 insight:N
判定：FAIL — H-04「立即執行…即時反映在清單與 job_runs」在排程中心這條路徑不成立，且錯誤訊息不可讀</t>
        </is>
      </c>
      <c r="O34" s="69" t="inlineStr">
        <is>
          <t>insight:7／insight:10 立即執行皆失敗（KeyError）</t>
        </is>
      </c>
      <c r="P34" s="69" t="inlineStr">
        <is>
          <t>FAIL</t>
        </is>
      </c>
      <c r="Q34" s="68" t="inlineStr">
        <is>
          <t>開 DEF-030；排程觸發（cron）走 insight runner，demo 排程器關閉未能實測</t>
        </is>
      </c>
      <c r="R34" s="68" t="inlineStr">
        <is>
          <t>檢驗方 2026-09-23</t>
        </is>
      </c>
    </row>
    <row r="35" ht="15" customHeight="1" s="43">
      <c r="A35" s="72" t="inlineStr">
        <is>
          <t>R1</t>
        </is>
      </c>
      <c r="B35" s="72" t="inlineStr">
        <is>
          <t>DEF-031</t>
        </is>
      </c>
      <c r="C35" s="72" t="inlineStr">
        <is>
          <t>H-04／H-05</t>
        </is>
      </c>
      <c r="D35" s="72" t="inlineStr">
        <is>
          <t>2026-09-23</t>
        </is>
      </c>
      <c r="E35" s="66" t="inlineStr">
        <is>
          <t>—（本輪由檢驗方發現）</t>
        </is>
      </c>
      <c r="F35" s="67" t="inlineStr">
        <is>
          <t>—</t>
        </is>
      </c>
      <c r="G35" s="67" t="inlineStr">
        <is>
          <t>—</t>
        </is>
      </c>
      <c r="H35" s="67" t="inlineStr">
        <is>
          <t>—</t>
        </is>
      </c>
      <c r="I35" s="67" t="inlineStr">
        <is>
          <t>—</t>
        </is>
      </c>
      <c r="J35" s="67" t="inlineStr">
        <is>
          <t>—</t>
        </is>
      </c>
      <c r="K35" s="67" t="inlineStr">
        <is>
          <t>—</t>
        </is>
      </c>
      <c r="L35" s="67" t="inlineStr">
        <is>
          <t>—</t>
        </is>
      </c>
      <c r="M35" s="68" t="inlineStr">
        <is>
          <t>真實瀏覽器點擊兩次，攔截網路請求（0 支）與對話框（0 個）；讀原始碼確認</t>
        </is>
      </c>
      <c r="N35" s="68" t="inlineStr">
        <is>
          <t>觀察：按下後 0 支網路請求、0 個對話框，只有成功樣式的 toast
假設：①編輯器載入慢；②需先選別的分頁；③按鈕尚未實作
排除：等待 1.2 s 與重按皆無變化，排除①；抽屜其他分頁切換後仍相同，排除②
定位：web/pipeline.js:461-463 click 監聽只呼叫 window.toast('編輯標的', 'ok', '沿用既有標的選擇器（持倉＋觀察清單）')；同檔 51 行 R2 修正動作 edit_universe 只 openDrawer(t,'input')，回到同一顆按鈕
判定：FAIL — 修正指引不可執行，H-05 標的宇宙為空的情境也無法經 UI 建立</t>
        </is>
      </c>
      <c r="O35" s="68" t="inlineStr">
        <is>
          <t>編輯標的無作用</t>
        </is>
      </c>
      <c r="P35" s="69" t="inlineStr">
        <is>
          <t>FAIL</t>
        </is>
      </c>
      <c r="Q35" s="68" t="inlineStr">
        <is>
          <t>開 DEF-031</t>
        </is>
      </c>
      <c r="R35" s="68" t="inlineStr">
        <is>
          <t>檢驗方 2026-09-23</t>
        </is>
      </c>
    </row>
    <row r="36" ht="15" customHeight="1" s="43">
      <c r="A36" s="72" t="inlineStr">
        <is>
          <t>R1</t>
        </is>
      </c>
      <c r="B36" s="72" t="inlineStr">
        <is>
          <t>DEF-032</t>
        </is>
      </c>
      <c r="C36" s="72" t="inlineStr">
        <is>
          <t>H-04</t>
        </is>
      </c>
      <c r="D36" s="72" t="inlineStr">
        <is>
          <t>2026-09-23</t>
        </is>
      </c>
      <c r="E36" s="66" t="inlineStr">
        <is>
          <t>—（本輪由檢驗方發現）</t>
        </is>
      </c>
      <c r="F36" s="67" t="inlineStr">
        <is>
          <t>—</t>
        </is>
      </c>
      <c r="G36" s="67" t="inlineStr">
        <is>
          <t>—</t>
        </is>
      </c>
      <c r="H36" s="67" t="inlineStr">
        <is>
          <t>—</t>
        </is>
      </c>
      <c r="I36" s="67" t="inlineStr">
        <is>
          <t>—</t>
        </is>
      </c>
      <c r="J36" s="67" t="inlineStr">
        <is>
          <t>—</t>
        </is>
      </c>
      <c r="K36" s="67" t="inlineStr">
        <is>
          <t>—</t>
        </is>
      </c>
      <c r="L36" s="67" t="inlineStr">
        <is>
          <t>—</t>
        </is>
      </c>
      <c r="M36" s="68" t="inlineStr">
        <is>
          <t>真實瀏覽器讀精靈文字與勾選框；對照 /api/insight-tasks/status 的 13 檔與 /api/dashboard holdings 14 列</t>
        </is>
      </c>
      <c r="N36" s="68" t="inlineStr">
        <is>
          <t>觀察：14＝holdings 列數（AAPL 兩列），13＝不重複代號數
假設：①精靈直接用持倉列；②AAPL 在兩帳戶被當成兩個標的是刻意設計
排除：勾第一個 AAPL 後第二個不會連動、預覽仍算 1 檔，兩者是獨立選項；既有任務與批次都以代號為單位（13），排除②
定位：精靈的標的清單與計數來源（web/pipeline-wizard.js 讀 /api/dashboard holdings）
判定：FAIL（低）— 估算卡數與成本高估一張，清單重複</t>
        </is>
      </c>
      <c r="O36" s="68" t="inlineStr">
        <is>
          <t>精靈顯示 14 檔／14 卡，實際 13</t>
        </is>
      </c>
      <c r="P36" s="69" t="inlineStr">
        <is>
          <t>FAIL</t>
        </is>
      </c>
      <c r="Q36" s="68" t="inlineStr">
        <is>
          <t>開 DEF-032</t>
        </is>
      </c>
      <c r="R36" s="68" t="inlineStr">
        <is>
          <t>檢驗方 2026-09-23</t>
        </is>
      </c>
    </row>
    <row r="37" ht="15" customHeight="1" s="43">
      <c r="A37" s="72" t="inlineStr">
        <is>
          <t>R1</t>
        </is>
      </c>
      <c r="B37" s="72" t="inlineStr">
        <is>
          <t>DEF-033</t>
        </is>
      </c>
      <c r="C37" s="72" t="inlineStr">
        <is>
          <t>H-03</t>
        </is>
      </c>
      <c r="D37" s="72" t="inlineStr">
        <is>
          <t>2026-09-23</t>
        </is>
      </c>
      <c r="E37" s="66" t="inlineStr">
        <is>
          <t>—（本輪由檢驗方發現）</t>
        </is>
      </c>
      <c r="F37" s="67" t="inlineStr">
        <is>
          <t>—</t>
        </is>
      </c>
      <c r="G37" s="67" t="inlineStr">
        <is>
          <t>—</t>
        </is>
      </c>
      <c r="H37" s="67" t="inlineStr">
        <is>
          <t>—</t>
        </is>
      </c>
      <c r="I37" s="67" t="inlineStr">
        <is>
          <t>—</t>
        </is>
      </c>
      <c r="J37" s="67" t="inlineStr">
        <is>
          <t>—</t>
        </is>
      </c>
      <c r="K37" s="67" t="inlineStr">
        <is>
          <t>—</t>
        </is>
      </c>
      <c r="L37" s="67" t="inlineStr">
        <is>
          <t>—</t>
        </is>
      </c>
      <c r="M37" s="68" t="inlineStr">
        <is>
          <t>真實瀏覽器檢視策略卡所有控制項；讀 API 回應欄位（id, name, body, enabled, archived, created_at, updated_at, scope）</t>
        </is>
      </c>
      <c r="N37" s="68" t="inlineStr">
        <is>
          <t>觀察：API 與畫面都沒有版本欄位或歷史列表
假設：①版本記錄在別的頁（洞察管線的「校正版本」）；②設計上不做版本
排除：「校正版本」是自我校正產生的校正層，與使用者編輯的模板無關
定位：portfolio_dash/llm_insight/composer_store.py:302-320 update_strategy 以 UPDATE 覆寫 body 並重蓋 updated_at，無歷史表
判定：OBSERVE — 手冊 H-03 ①③ 期望版本記錄與回復，實作無此功能；是否要做由 owner 裁定</t>
        </is>
      </c>
      <c r="O37" s="68" t="inlineStr">
        <is>
          <t>無版本記錄／回復</t>
        </is>
      </c>
      <c r="P37" s="68" t="inlineStr">
        <is>
          <t>待裁定</t>
        </is>
      </c>
      <c r="Q37" s="68" t="inlineStr">
        <is>
          <t>開 DEF-033</t>
        </is>
      </c>
      <c r="R37" s="68" t="inlineStr">
        <is>
          <t>檢驗方 2026-09-23</t>
        </is>
      </c>
    </row>
    <row r="38" ht="15" customHeight="1" s="43">
      <c r="A38" s="72" t="inlineStr">
        <is>
          <t>R1</t>
        </is>
      </c>
      <c r="B38" s="72" t="inlineStr">
        <is>
          <t>DEF-034</t>
        </is>
      </c>
      <c r="C38" s="72" t="inlineStr">
        <is>
          <t>F-03</t>
        </is>
      </c>
      <c r="D38" s="72" t="inlineStr">
        <is>
          <t>2026-09-23</t>
        </is>
      </c>
      <c r="E38" s="66" t="inlineStr">
        <is>
          <t>—（本輪由檢驗方發現）</t>
        </is>
      </c>
      <c r="F38" s="67" t="inlineStr">
        <is>
          <t>—</t>
        </is>
      </c>
      <c r="G38" s="67" t="inlineStr">
        <is>
          <t>—</t>
        </is>
      </c>
      <c r="H38" s="67" t="inlineStr">
        <is>
          <t>—</t>
        </is>
      </c>
      <c r="I38" s="67" t="inlineStr">
        <is>
          <t>—</t>
        </is>
      </c>
      <c r="J38" s="67" t="inlineStr">
        <is>
          <t>—</t>
        </is>
      </c>
      <c r="K38" s="67" t="inlineStr">
        <is>
          <t>—</t>
        </is>
      </c>
      <c r="L38" s="67" t="inlineStr">
        <is>
          <t>—</t>
        </is>
      </c>
      <c r="M38" s="68" t="inlineStr">
        <is>
          <t>真實瀏覽器；一次用座標實點、一次用 DOM click，攔截 PUT 數量與 toast 數量；在乾淨頁面與切換分頁後各對照一次</t>
        </is>
      </c>
      <c r="N38" s="68" t="inlineStr">
        <is>
          <t>觀察：乾淨頁面 1 次、只切換分頁 1 次、儲存閾值 2 次後 3 次
假設：①我的攔截器重複掛載；②分頁切換重綁；③每次重新載入 LLM 設定都重綁
排除：同一頁的閾值 PUT 只記到 1 次，攔截器沒有重複，排除①；只切分頁不儲存時仍 1 次，排除②
定位：web/settings-llm.js:611 boot() 結尾呼叫 initAutoAiToggle()，該函式在 627 行 t.addEventListener('click', …) 沒有防重複；儲存閾值後重新 boot()
判定：FAIL（低）— 目前送出的值相同所以結果正確，但重複請求與 toast</t>
        </is>
      </c>
      <c r="O38" s="68" t="inlineStr">
        <is>
          <t>一次點擊 3 次 PUT／3 個 toast</t>
        </is>
      </c>
      <c r="P38" s="69" t="inlineStr">
        <is>
          <t>FAIL</t>
        </is>
      </c>
      <c r="Q38" s="68" t="inlineStr">
        <is>
          <t>開 DEF-034；同頁其他在 boot() 內綁定的控制項是否同樣累積監聽，未逐一測</t>
        </is>
      </c>
      <c r="R38" s="68" t="inlineStr">
        <is>
          <t>檢驗方 2026-09-23</t>
        </is>
      </c>
    </row>
    <row r="39" ht="15" customHeight="1" s="43">
      <c r="A39" s="72" t="inlineStr">
        <is>
          <t>R1</t>
        </is>
      </c>
      <c r="B39" s="72" t="inlineStr">
        <is>
          <t>DEF-035</t>
        </is>
      </c>
      <c r="C39" s="72" t="inlineStr">
        <is>
          <t>F-04</t>
        </is>
      </c>
      <c r="D39" s="72" t="inlineStr">
        <is>
          <t>2026-09-23</t>
        </is>
      </c>
      <c r="E39" s="66" t="inlineStr">
        <is>
          <t>—（本輪由檢驗方發現）</t>
        </is>
      </c>
      <c r="F39" s="67" t="inlineStr">
        <is>
          <t>—</t>
        </is>
      </c>
      <c r="G39" s="67" t="inlineStr">
        <is>
          <t>—</t>
        </is>
      </c>
      <c r="H39" s="67" t="inlineStr">
        <is>
          <t>—</t>
        </is>
      </c>
      <c r="I39" s="67" t="inlineStr">
        <is>
          <t>—</t>
        </is>
      </c>
      <c r="J39" s="67" t="inlineStr">
        <is>
          <t>—</t>
        </is>
      </c>
      <c r="K39" s="67" t="inlineStr">
        <is>
          <t>—</t>
        </is>
      </c>
      <c r="L39" s="67" t="inlineStr">
        <is>
          <t>—</t>
        </is>
      </c>
      <c r="M39" s="68" t="inlineStr">
        <is>
          <t>真實瀏覽器解析兩次；檢查每個 td 的子元素與 contenteditable，並模擬點擊／雙擊價格格</t>
        </is>
      </c>
      <c r="N39" s="68" t="inlineStr">
        <is>
          <t>觀察：每列只有 1 個 input（checkbox），td 的 isContentEditable 皆 false，雙擊後仍無輸入框；帳戶顯示 tw_broker／schwab
假設：①編輯需按某個按鈕；②設計上要回手動表單修改；③未實作
排除：列內沒有任何按鈕（未註冊列只有「立即註冊」），排除①；畫面沒有「改到手動表單」的入口，排除②
定位：web/input.js:1676 renderAiPreview／1773、1808、1825 以 el('td','col-text', d.account_id) 輸出純文字（CSV 預覽在 1234 行用 acctZh(d.account_id) 轉顯示名）
判定：FAIL — F-04 ①「可逐列編輯」不成立；帳戶原名違反帳戶顯示名單一來源（與 DEF-008、DEF-023 同類）</t>
        </is>
      </c>
      <c r="O39" s="68" t="inlineStr">
        <is>
          <t>草稿不可編輯；帳戶顯示原名</t>
        </is>
      </c>
      <c r="P39" s="69" t="inlineStr">
        <is>
          <t>FAIL</t>
        </is>
      </c>
      <c r="Q39" s="68" t="inlineStr">
        <is>
          <t>開 DEF-035；股利／資金等其他 AI 草稿表格（1808、1825 行）同樣以原名輸出</t>
        </is>
      </c>
      <c r="R39" s="68" t="inlineStr">
        <is>
          <t>檢驗方 2026-09-23</t>
        </is>
      </c>
    </row>
    <row r="40" ht="15" customHeight="1" s="43">
      <c r="A40" s="72" t="inlineStr">
        <is>
          <t>R1</t>
        </is>
      </c>
      <c r="B40" s="72" t="inlineStr">
        <is>
          <t>DEF-036</t>
        </is>
      </c>
      <c r="C40" s="72" t="inlineStr">
        <is>
          <t>F-05</t>
        </is>
      </c>
      <c r="D40" s="72" t="inlineStr">
        <is>
          <t>2026-09-23</t>
        </is>
      </c>
      <c r="E40" s="66" t="inlineStr">
        <is>
          <t>—（本輪由檢驗方發現）</t>
        </is>
      </c>
      <c r="F40" s="67" t="inlineStr">
        <is>
          <t>—</t>
        </is>
      </c>
      <c r="G40" s="67" t="inlineStr">
        <is>
          <t>—</t>
        </is>
      </c>
      <c r="H40" s="67" t="inlineStr">
        <is>
          <t>—</t>
        </is>
      </c>
      <c r="I40" s="67" t="inlineStr">
        <is>
          <t>—</t>
        </is>
      </c>
      <c r="J40" s="67" t="inlineStr">
        <is>
          <t>—</t>
        </is>
      </c>
      <c r="K40" s="67" t="inlineStr">
        <is>
          <t>—</t>
        </is>
      </c>
      <c r="L40" s="67" t="inlineStr">
        <is>
          <t>—</t>
        </is>
      </c>
      <c r="M40" s="68" t="inlineStr">
        <is>
          <t>真實瀏覽器解析；讀 POST /api/input/ai/preview 回應 rows[].status／data</t>
        </is>
      </c>
      <c r="N40" s="68" t="inlineStr">
        <is>
          <t>觀察：股數×價格＝4,600，文字寫 50,000，差 10.9 倍，status 仍 ok
假設：①模型沒讀到成交金額；②模型讀到但 schema 沒有「總額」欄可比對；③後端有比對但門檻寬
排除：note 欄正是「成交金額 50,000 元」，模型有讀到，排除①；status ok、reason null、沒有任何 warn，排除③
定位：AI 輸入回傳的交易 schema 只有 quantity／price／fee／tax，總額只能落在 note，寫入門（validate_transaction）不讀 note
判定：FAIL — F-05「矛盾數字…系統應拒絕或標示，不得自行補齊」不成立；照此寫入會記成 4,600 元</t>
        </is>
      </c>
      <c r="O40" s="68" t="inlineStr">
        <is>
          <t>矛盾金額未被標示</t>
        </is>
      </c>
      <c r="P40" s="69" t="inlineStr">
        <is>
          <t>FAIL</t>
        </is>
      </c>
      <c r="Q40" s="68" t="inlineStr">
        <is>
          <t>開 DEF-036</t>
        </is>
      </c>
      <c r="R40" s="68" t="inlineStr">
        <is>
          <t>檢驗方 2026-09-23</t>
        </is>
      </c>
    </row>
    <row r="41" ht="15" customHeight="1" s="43">
      <c r="A41" s="72" t="inlineStr">
        <is>
          <t>R1</t>
        </is>
      </c>
      <c r="B41" s="72" t="inlineStr">
        <is>
          <t>DEF-037</t>
        </is>
      </c>
      <c r="C41" s="72" t="inlineStr">
        <is>
          <t>G-09</t>
        </is>
      </c>
      <c r="D41" s="72" t="inlineStr">
        <is>
          <t>2026-09-23</t>
        </is>
      </c>
      <c r="E41" s="66" t="inlineStr">
        <is>
          <t>—（本輪由檢驗方發現）</t>
        </is>
      </c>
      <c r="F41" s="67" t="inlineStr">
        <is>
          <t>—</t>
        </is>
      </c>
      <c r="G41" s="67" t="inlineStr">
        <is>
          <t>—</t>
        </is>
      </c>
      <c r="H41" s="67" t="inlineStr">
        <is>
          <t>—</t>
        </is>
      </c>
      <c r="I41" s="67" t="inlineStr">
        <is>
          <t>—</t>
        </is>
      </c>
      <c r="J41" s="67" t="inlineStr">
        <is>
          <t>—</t>
        </is>
      </c>
      <c r="K41" s="67" t="inlineStr">
        <is>
          <t>—</t>
        </is>
      </c>
      <c r="L41" s="67" t="inlineStr">
        <is>
          <t>—</t>
        </is>
      </c>
      <c r="M41" s="68" t="inlineStr">
        <is>
          <t>真實瀏覽器設定目標價並觸發排程；比對 /api/alerts 36 條預警、/api/scheduler/runs 18 次派發與 /api/insights 17 張新卡</t>
        </is>
      </c>
      <c r="N41" s="68" t="inlineStr">
        <is>
          <t>觀察：預警 id「fx_drift:moomoo_my」對應到卡 symbol「moomoo_my」；2884 卡未提目標價
假設：①moomoo_my 是某個被註冊的代號；②派發時把預警 id 的後綴一律當代號；③模型自行編了代號
排除：/api/instruments 26 檔中沒有 moomoo_my，排除①；該卡 symbol 欄正是 moomoo_my 且 run 由 alert_scan 派發，不是模型產生的欄位，排除③
定位：portfolio_dash/scheduler/jobs.py:888 _alert_symbol 以「rule:後綴」取代號，docstring 自己舉例 fx_drift:schwab（帳戶），派發時當成 fired_symbol；portfolio_dash/llm_insight/gating.py:108 on_alert 以 fired_symbol 為產卡單位；卡片資料表與 API 沒有 fired_rule 欄位，提示詞也沒有觸發預警的變數，所以卡片說不出為何被觸發
判定：FAIL — G-09「scope 正確、卡片與預警關聯可追溯」兩項皆不成立</t>
        </is>
      </c>
      <c r="O41" s="68" t="inlineStr">
        <is>
          <t>產生 symbol=moomoo_my 的卡；卡片無觸發預警紀錄</t>
        </is>
      </c>
      <c r="P41" s="69" t="inlineStr">
        <is>
          <t>FAIL</t>
        </is>
      </c>
      <c r="Q41" s="68" t="inlineStr">
        <is>
          <t>開 DEF-037；只持有於觀察清單的標的（1234、2308、AMD…）也因 drawdown_from_peak 產生「持倉提點」卡，是否應派發由 owner 決定</t>
        </is>
      </c>
      <c r="R41" s="68" t="inlineStr">
        <is>
          <t>檢驗方 2026-09-23</t>
        </is>
      </c>
    </row>
    <row r="42" ht="15" customHeight="1" s="43">
      <c r="A42" s="72" t="inlineStr">
        <is>
          <t>R1</t>
        </is>
      </c>
      <c r="B42" s="72" t="inlineStr">
        <is>
          <t>DEF-038</t>
        </is>
      </c>
      <c r="C42" s="72" t="inlineStr">
        <is>
          <t>E-01</t>
        </is>
      </c>
      <c r="D42" s="72" t="inlineStr">
        <is>
          <t>2026-09-23</t>
        </is>
      </c>
      <c r="E42" s="66" t="inlineStr">
        <is>
          <t>—（本輪由檢驗方發現）</t>
        </is>
      </c>
      <c r="F42" s="67" t="inlineStr">
        <is>
          <t>—</t>
        </is>
      </c>
      <c r="G42" s="67" t="inlineStr">
        <is>
          <t>—</t>
        </is>
      </c>
      <c r="H42" s="67" t="inlineStr">
        <is>
          <t>—</t>
        </is>
      </c>
      <c r="I42" s="67" t="inlineStr">
        <is>
          <t>—</t>
        </is>
      </c>
      <c r="J42" s="67" t="inlineStr">
        <is>
          <t>—</t>
        </is>
      </c>
      <c r="K42" s="67" t="inlineStr">
        <is>
          <t>—</t>
        </is>
      </c>
      <c r="L42" s="67" t="inlineStr">
        <is>
          <t>—</t>
        </is>
      </c>
      <c r="M42" s="68" t="inlineStr">
        <is>
          <t>真實瀏覽器讀 button.title 與點擊連結後的 URL／可見內容</t>
        </is>
      </c>
      <c r="N42" s="68" t="inlineStr">
        <is>
          <t>觀察：tooltip 與實際行為矛盾；連結沒有帶分頁錨點
假設：①tooltip 是動態更新但這次沒更新；②連結目標本來就是設定首頁
排除：重新整理頁面後 tooltip 不變；「數據變數庫」等其他卡片會帶 #prompts 直達分頁，唯獨進化設定沒有
定位：web/shell.js:425 btn.title = '更新報價或重建統計（後端接線後生效）'；web/pipeline-hub.html:47 &lt;a class="pp-asset" href="settings.html"&gt;
判定：FAIL（低）— 文案與導覽一致性</t>
        </is>
      </c>
      <c r="O42" s="69" t="inlineStr">
        <is>
          <t>tooltip 與功能矛盾；連結落點錯誤</t>
        </is>
      </c>
      <c r="P42" s="69" t="inlineStr">
        <is>
          <t>FAIL</t>
        </is>
      </c>
      <c r="Q42" s="68" t="inlineStr">
        <is>
          <t>開 DEF-038</t>
        </is>
      </c>
      <c r="R42" s="68" t="inlineStr">
        <is>
          <t>檢驗方 2026-09-23</t>
        </is>
      </c>
    </row>
    <row r="43" ht="219.75" customHeight="1" s="43">
      <c r="A43" s="72" t="inlineStr">
        <is>
          <t>R2</t>
        </is>
      </c>
      <c r="B43" s="72" t="inlineStr">
        <is>
          <t>DEF-012</t>
        </is>
      </c>
      <c r="C43" s="72" t="inlineStr">
        <is>
          <t>B-18</t>
        </is>
      </c>
      <c r="D43" s="72" t="inlineStr">
        <is>
          <t>2026-09-23</t>
        </is>
      </c>
      <c r="E43" s="66" t="inlineStr">
        <is>
          <t>同意驗證者。以 B-18 資料重現：舊排序 cost_removed 5,690.00／已實現 −1,223.00／持倉成本 17,070.00（與驗證者逐位相同）；依輸入順序應為 6,046.67／−1,579.67／16,713.33。</t>
        </is>
      </c>
      <c r="F43" s="67" t="inlineStr">
        <is>
          <t>portfolio_dash/portfolio/cost_basis.py:473 `EventPriority.BUY if tx.side is Side.BUY else EventPriority.SELL,`＋:481 `events.sort(key=lambda e: (e[0], e[1]))`；portfolio_dash/shared/ledger_events.py:30-31 `BUY = 20`／`SELL = 30`</t>
        </is>
      </c>
      <c r="G43" s="66" t="inlineStr">
        <is>
          <t>應由單元測試攔下。tests/shared/test_corporate_actions.py:355 明文釘 `assert EventPriority.BUY &lt; EventPriority.SELL &lt; EventPriority.DIVIDEND`——防線釘的是錯的規則；所有 cost_basis 測試的同日資料都只有單邊或恰好買在前，沒有「賣→買」或「買→賣→買」；手動預覽 _ledger_before 用同一個 rank，沒有測試比對「預覽當下」與「重播後」。補：釘新規則的測試＋預覽＝重播的比對測試＋oracle 副本測試。</t>
        </is>
      </c>
      <c r="H43" s="66" t="inlineStr">
        <is>
          <t>規則（主控裁定，記錄於 domain-ledger.md 2026-09-23）：同一 trade_date 內，交易依寫入 id 升冪套用；OPENING、CORPORATE_ACTION 仍在當日交易之前，DIVIDEND 仍在之後。實作：ledger_events.py 新增 TRADE=20（BUY／SELL 為別名）；cost_basis.py 事件元組 (date, priority, seq, kind, ev)，seq＝各帳本 SELECT 的 id 順序，sort (date, priority, seq)；input_center.py:544-553 _ledger_before rank 改 TRADE；validate.py:327 pending flow 優先序改 TRADE；oracle.py 自有副本同步（enum＋兩處排序）。手動預覽：草稿附加在最後＝最大 id，與重播一致（測試證明 −1,579.67／6,046.67 逐位相等）。CSV 預覽：新增 validate.siblings_booked_before(batch, inp)，同日位於本列之後的兄弟列不計入 held_then；同日「賣列在買列之前」的檔案在預覽即判賣超，訊息「賣出 60 股，超過賣出當下持有的 0 股（同日較後面的列會在這筆之後才入帳，不能先拿來抵；目前淨額 40 股）— 請把買進列移到賣出列之前」。券商對帳單（Schwab 最新在前）：轉換器改依 chrono_key 日內按時間順序輸出（見 DEF-027 (c)），寫入 id＝時間序。dividends／corporate actions 同日順序不變。demo 不受影響：demo 唯一同日買賣對（tw_broker 2603 2026-07-02，買 id 7 &lt; 賣 id 8）新舊規則結果相同（測試 test_the_demo_shaped_pair_buy_id_below_sell_id_is_unchanged_by_the_rule）；prod 帳本為空。</t>
        </is>
      </c>
      <c r="I43" s="66" t="inlineStr">
        <is>
          <t>以 BUY/SELL 排序或切割的位置共 7 處／5 檔：修 5（cost_basis.py:473、validate.py:327、input_center.py:544/:553、oracle.py:835/:1490＋enum 副本）；白名單 2（data_ingestion/holdings.py:240、api/routers/symbol.py:621/630 用別名，值相等後 (date, prio) 切割＋穩定排序自動變成 id 順序，行為與重播一致）。</t>
        </is>
      </c>
      <c r="J43" s="66" t="inlineStr">
        <is>
          <t>新增 tests/portfolio/test_same_day_trade_order.py（6）、tests/api/test_def012_manual_preview_matches_replay.py（2）、tests/data_ingestion/test_def012_csv_same_day_order.py（5）、tests/scripts/test_oracle_same_day_rule.py（2）；更新 tests/shared/test_corporate_actions.py::test_event_priority_places_actions_before_the_day_s_trades。變異 1（SELL=30 放回＋cost_basis 依 side 取優先序）→ 7 則失敗（portfolio 4：B-18 主測試、賣先於買、opening/dividend 順序、store id 順序；api 2；shared 1「assert &lt;EventPriority.SELL: 30&gt; is &lt;EventPriority.TRADE: 20&gt;」）。變異 2（held_then 改回全部兄弟）→ 1 則失敗 test_a_same_day_sell_listed_above_its_buy_is_flagged_as_the_replay_would_book_it。變異 3（oracle 放回 BUY=20/SELL=30）→ test_the_oracle_ranks_a_days_trades_as_one_priority 失敗。改回後全過。</t>
        </is>
      </c>
      <c r="K43" s="67" t="inlineStr">
        <is>
          <t>e6fd9f4（已部署 demo）</t>
        </is>
      </c>
      <c r="L43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3" s="68" t="inlineStr">
        <is>
          <t>重放 R1 原始步驟：真實瀏覽器在交易輸入依序寫入 台灣券商 2884 同日（2026-09-24）買 200@44 → 賣 100@45 → 買 100@46；賣出當下讀草稿，第三筆寫入後讀 /api/dashboard realized／holdings。同類抽驗：CSV 匯入同日「賣列在買列之前」的檔案。本機另做變異測試（把 cost_basis 排序鍵改回依買賣別：買先賣後）</t>
        </is>
      </c>
      <c r="N43" s="68" t="inlineStr">
        <is>
          <t>觀察：賣出草稿 已實現 −1,579.67、成本移除 6,046.67（均價 60.4667＝(9,320+8,820)/300）；第三筆買進寫入後，帳本同一筆賣出仍為 realized −1,579.666…、original_cost_removed 6,046.666…，剩餘 300 股、成本 16,713.33、均價 55.711
假設：①修好了，同日依寫入 id 順序重播；②巧合——這組數字在買先賣後規則下也相同；③儀表板快取舊值
排除：若依舊規則（買先賣後），均價會是 (9,320+8,820+4,620)/400＝56.90、realized −1,223（R1 實測值），與本次不同，排除②；刪除三筆後六段 JSON 與基準逐位元相同，表示讀到的是即時重播，排除③
定位：cost_basis.py:491-501 事件鍵改為 (date, priority, seq)，TRADE=20 單一優先序；CSV 預覽同日賣在買前時訊息「賣出 350 股，超過賣出當下持有的 300 股（同日較後面的列會在這筆之後才入帳…）」同類已修。變異（排序鍵改回買先賣後）→ tests/portfolio/test_same_day_trade_order.py 3 failed
判定：複驗通過 → 結案（四條件：根因到行 ✓、同類 7 處修 5 白名單 2 並經 CSV 路徑抽驗 ✓、變異測試由驗證方重做會失敗 ✓、黑箱重放通過且 J 組無回歸 ✓）</t>
        </is>
      </c>
      <c r="O43" s="68" t="inlineStr">
        <is>
          <t>草稿 realized −1,579.67；三筆寫入後帳本 −1,579.67（R1 為 −1,223）；成本移除 6,046.67；CSV 同日賣在買前被判賣超；變異 3 failed／3 passed；#97～#99 刪除後逐位元還原</t>
        </is>
      </c>
      <c r="P43" s="68" t="inlineStr">
        <is>
          <t>複驗通過 → 結案</t>
        </is>
      </c>
      <c r="Q43" s="68" t="inlineStr">
        <is>
          <t>無</t>
        </is>
      </c>
      <c r="R43" s="68" t="inlineStr">
        <is>
          <t>檢驗方 2026-09-24</t>
        </is>
      </c>
    </row>
    <row r="44" ht="219.75" customHeight="1" s="43">
      <c r="A44" s="72" t="inlineStr">
        <is>
          <t>R2</t>
        </is>
      </c>
      <c r="B44" s="72" t="inlineStr">
        <is>
          <t>DEF-014</t>
        </is>
      </c>
      <c r="C44" s="72" t="inlineStr">
        <is>
          <t>B-17</t>
        </is>
      </c>
      <c r="D44" s="72" t="inlineStr">
        <is>
          <t>2026-09-23</t>
        </is>
      </c>
      <c r="E44" s="66" t="inlineStr">
        <is>
          <t>同意驗證者。validate_transaction 沒讀 opening_inventory.build_date，也沒有「早於帳戶最早紀錄」的提示。</t>
        </is>
      </c>
      <c r="F44" s="67" t="inlineStr">
        <is>
          <t>portfolio_dash/data_ingestion/validate.py:516 `if today is not None and inp.trade_date &gt; today:`</t>
        </is>
      </c>
      <c r="G44" s="66" t="inlineStr">
        <is>
          <t>應由單元測試攔下：沒有任何測試用「有期初庫存的標的＋早於建檔日的交易」；test_validate.py 的期初測試只驗股數加總。Issue 模型只有 hard／soft 兩階，沒有「提示不擋」層級，想加提示也沒有機制。補：Issue.info（advisory 層）＋三個門的契約測試。</t>
        </is>
      </c>
      <c r="H44" s="66" t="inlineStr">
        <is>
          <t>放在共用的 validate_transaction（手動／CSV／AI／券商四個使用者門同一 builder）：新增 warn 級需確認的 trade_before_opening「交易日 2026-07-01 早於 8299 在 {account:tw_broker} 的期初庫存建檔日 2026-07-21，期初庫存已包含該日的部位，請確認不是重複登錄」（與 future_trade_date 同機制）；否則 info 級 trade_before_ledger_start「早於此帳戶最早紀錄（2026-01-05），請確認日期」（不擋）。Issue 新增 info: bool（model_validator 強制 info ⇒ needs_confirm，既有硬錯誤判定不變）、advisory_issue()、_ledger_start()（五本帳 MIN 日期）。input_center.py：_wire_issue（info ⇒ sev:"info"，input.js 已支援、不擋確認鍵）；CSV 預覽只有 advisory 的列維持 ok、reason 取第一個 gating 訊息（無則 advisory）並附 info:[..]；commit 的 has_warn 排除 advisory。既有 demo 8299 兩筆早於建檔日的列不動（只在新寫入時檢核）。</t>
        </is>
      </c>
      <c r="I44" s="66" t="inlineStr">
        <is>
          <t>交易路徑的日期檢核共 1（future）／新增 2；validate_transaction 的程式入口 2（manual.py:76、csv_import.py:161）覆蓋手動／CSV／AI／券商 4 個使用者門；白名單 1（ledgers.py PUT 更正門本就不走此驗證器——跨包觀察，見備註）。</t>
        </is>
      </c>
      <c r="J44" s="66" t="inlineStr">
        <is>
          <t>新增 tests/data_ingestion/test_def014_trade_before_opening.py（6）、tests/contract/test_def014_three_doors.py（3：手動預覽 sev warn／info；CSV warn 列 422 warnings_unacknowledged、advisory 列 ok＋info 不需 ack 即寫入；券商頁只走 convert＋import/commit）。變異 1（opening=None、earliest=None）→ 5 則失敗 KeyError: 'trade_before_opening'／'trade_before_ledger_start'。變異 2（_wire_issue 不給 info、_row_status 有 issue 即 warn）→ 2 則失敗。改回後全過。</t>
        </is>
      </c>
      <c r="K44" s="67" t="inlineStr">
        <is>
          <t>e6fd9f4（已部署 demo）</t>
        </is>
      </c>
      <c r="L44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4" s="68" t="inlineStr">
        <is>
          <t>真實瀏覽器：交易帳本 › 手動交易草稿兩例＋一次實際寫入後刪除；讀 POST /api/input/manual/preview 的 issues</t>
        </is>
      </c>
      <c r="N44" s="68" t="inlineStr">
        <is>
          <t>觀察：R1 時早於建檔日／早於帳本起點的交易靜默通過
假設：①共用 validate_transaction 新增 warn（建檔日）與 info（帳本起點）；②只在前端提示
排除：preview 回應本身帶 issues——8299 2026-07-01 → sev warn code trade_before_opening「交易日 2026-07-01 早於 8299 在 台灣券商 的期初庫存建檔日 2026-07-21…請確認不是重複登錄」，確認鍵 disabled，勾「我了解，仍要寫入」後才可按；2884 2025-01-02 → sev info trade_before_ledger_start「早於此帳戶最早紀錄（2026-01-05），請確認日期」，不擋。CSV 路徑（DEF-026 複驗時）同樣出現 trade_before_opening
定位：開發者 validate.py 新增兩個檢核；變異（兩處改 if False）→ 5 failed
判定：通過</t>
        </is>
      </c>
      <c r="O44" s="68" t="inlineStr">
        <is>
          <t>兩種提示依設計出現；勾選確認後寫入 #102 201，刪除後 cmp D014 same:true</t>
        </is>
      </c>
      <c r="P44" s="68" t="inlineStr">
        <is>
          <t>複驗通過 → 結案</t>
        </is>
      </c>
      <c r="Q44" s="68" t="inlineStr">
        <is>
          <t>觀察（不另開）：草稿的「持股 1,911 → 2,011」是今天的持股，不是交易日當時的持股（2025-01-02 當時 2884 為 0 股，草稿仍寫 100 → 200）；帳帳本以日期重播，寫入後數字正確，僅草稿文案可能誤導，列入交接備註</t>
        </is>
      </c>
      <c r="R44" s="68" t="inlineStr">
        <is>
          <t>檢驗方 2026-09-24</t>
        </is>
      </c>
    </row>
    <row r="45" ht="219.75" customHeight="1" s="43">
      <c r="A45" s="72" t="inlineStr">
        <is>
          <t>R2</t>
        </is>
      </c>
      <c r="B45" s="72" t="inlineStr">
        <is>
          <t>DEF-024</t>
        </is>
      </c>
      <c r="C45" s="72" t="inlineStr">
        <is>
          <t>I-06</t>
        </is>
      </c>
      <c r="D45" s="72" t="inlineStr">
        <is>
          <t>2026-09-23</t>
        </is>
      </c>
      <c r="E45" s="66" t="inlineStr">
        <is>
          <t>同意驗證者，兩個根因：預覽把錯誤列的股數算成持股；commit 把被擋下的列算成「跳過」且前端顯示成功。</t>
        </is>
      </c>
      <c r="F45" s="67" t="inlineStr">
        <is>
          <t>validate.py:322-327 `for other in batch: if other is exclude: continue`；csv_import.py:491-496 只用 transaction_structural_issues；input_center.py:1325-1328 `accept -= {r.index for r in preview.rows if …}`、:1340 `out = {"written": …, "skipped": len(summary.skipped)}`；web/input.js:1392 `window.toast(rejected &gt; 0 ? '部分列被擋下' : '寫入成功', …, '成功 ' + written + ' 筆・跳過 ' + skipped + ' 筆')`</t>
        </is>
      </c>
      <c r="G45" s="67" t="inlineStr">
        <is>
          <t>transaction_structural_issues 的 docstring 論證「其餘 hard kind 都是 key-level，不可能造成假抵補」，L12（2026-09-16）加入 row-level 的 shares_not_integer 時沒回頭更新這個論證；test_import_commit_select_rederives_transactions 的 _BROKEN_COVER 只測負價（structural）；commit 測試只斷言 skipped == 2；前端沒有任何測試檢查措辭，e2e test_sweep_remediation_flows 甚至把「跳過 2 筆」釘成正確。補：錯誤列不得抵補的契約測試、逐列原因測試、前端 outcome 文字測試。</t>
        </is>
      </c>
      <c r="H45" s="66" t="inlineStr">
        <is>
          <t>後端：抽出 whole_share_issue(inp, inst)（整數股規則單一擁有者）與 row_cannot_be_written(inp, instrument_of)＝structural＋whole-share；pending_share_flows 一律排除 row_cannot_be_written 的列；commit 回應新增 skipped_rows:[{row, symbol, code, message}]（code＝deselected「未勾選」／重算後新出現的 issue kind（如 sell_exceeds_holdings）／skipped 防禦）。前端（input.js）：共用 commitOutcome／outcomeText／outcomeLines：只有 deselected →「未勾選 N 筆」成功語氣；其他 code 與 rejected_rows 一律「被擋下」：toast「⚠ 寫入完成（有列被擋下）」、banner 逐列「第 N 列 2884：＜伺服器原句＞」；舊伺服器無 skipped_rows 維持舊意義；AI 寫入未寫入列寫「未寫入」；單筆表單顯示伺服器原因；預覽列的 info 以灰色提示（.row-info）呈現，不算警告。</t>
        </is>
      </c>
      <c r="I45" s="66" t="inlineStr">
        <is>
          <t>後端 hard kind 共 11：原已排除 6（parse_error＋structural 5）、修 1（shares_not_integer）、白名單 4（unknown_account／market_mismatch／symbol_unresolved 為 key-level 同 (account, symbol) 每列同時被拒；fee_overflow 位於 M4 上限下游）。前端顯示寫入結果與原因欄共 7 處／修 6（input.js 4＋原因欄 2）／跨包 1（broker-import.js:926，由收尾包 I-8 處理）。</t>
        </is>
      </c>
      <c r="J45" s="66" t="inlineStr">
        <is>
          <t>新增 tests/contract/test_def024_error_rows_never_cover.py（5）、tests/contract/test_def024_commit_outcome_front.py（8，node 直接執行 input.js 函式）；e2e 措辭同步（test_sweep_remediation_flows「未勾選 2 筆」、test_input_clear_on_success_flow「未寫入 1 筆」）。變異 1（row_cannot_be_written 只看 structural）→ 2 則失敗「AssertionError: 賣出 500 股，超過持有的 200.5 股」；變異 2（不輸出 skipped_rows）→ KeyError: 'skipped_rows'；變異 3（前端 blocked 換回空陣列）→「'成功 0 筆・未勾選 2 筆' != '成功 0 筆・未勾選 1 筆・被擋下 1 筆'」；變異 4（提示當成原因）→「gating '早於帳本起點' != ''」。改回後全過。</t>
        </is>
      </c>
      <c r="K45" s="67" t="inlineStr">
        <is>
          <t>e6fd9f4（已部署 demo）</t>
        </is>
      </c>
      <c r="L45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5" s="68" t="inlineStr">
        <is>
          <t>真實瀏覽器：交易帳本 › 貼上 CSV 預覽＋寫入；讀 POST /api/import/preview、/commit 回應 skipped_rows</t>
        </is>
      </c>
      <c r="N45" s="68" t="inlineStr">
        <is>
          <t>觀察：R1 時被擋下的買入列（1.5 股）仍被算進後續賣出列的持股
假設：①預覽持股模擬已排除 error 列；②只排除 error 列、未排除「取消勾選」列
排除：①②都做了實驗——買 1.5（error）＋賣 101 → 賣出列警示「超過持有的 100 股」（1.5 未計入）；100＋0.5（error）＋賣 500 → 「超過持有的 200 股」；再取消勾選一列買入後寫入，賣出列以 sell_exceeds_holdings 擋下
定位：開發者於 import 預覽 row_cannot_be_written 略過不可寫列（變異測試移除該略過 → 2 failed）
判定：通過</t>
        </is>
      </c>
      <c r="O45" s="69" t="inlineStr">
        <is>
          <t>① error 列不再計入後續持股；② 取消勾選後寫入 → banner「⚠ 寫入完成（有列被擋下）：成功 0 筆・未勾選 1 筆・被擋下 1 筆 … 第 2 列 2884：賣出 150 股，超過持有的 100 股」，skipped_rows 代碼 deselected／sell_exceeds_holdings；帳本 0 筆寫入，cmp 相同</t>
        </is>
      </c>
      <c r="P45" s="68" t="inlineStr">
        <is>
          <t>複驗通過 → 結案</t>
        </is>
      </c>
      <c r="Q45" s="68" t="inlineStr">
        <is>
          <t>小瑕疵（不另開）：toast 顯示「! ⚠」雙符號</t>
        </is>
      </c>
      <c r="R45" s="68" t="inlineStr">
        <is>
          <t>檢驗方 2026-09-24</t>
        </is>
      </c>
    </row>
    <row r="46" ht="219.75" customHeight="1" s="43">
      <c r="A46" s="72" t="inlineStr">
        <is>
          <t>R2</t>
        </is>
      </c>
      <c r="B46" s="72" t="inlineStr">
        <is>
          <t>DEF-023</t>
        </is>
      </c>
      <c r="C46" s="72" t="inlineStr">
        <is>
          <t>D-11</t>
        </is>
      </c>
      <c r="D46" s="72" t="inlineStr">
        <is>
          <t>2026-09-23</t>
        </is>
      </c>
      <c r="E46" s="66" t="inlineStr">
        <is>
          <t>同意驗證者：提示可見但沒有入口，原因句嵌後端裸 id。</t>
        </is>
      </c>
      <c r="F46" s="67" t="inlineStr">
        <is>
          <t>cost_basis.py:257 `_reject(f"{action.from_symbol}（{action.account_id}）於 "…`；dashboard.py:307 `f"{a.from_symbol}（{a.account_id}・{a.date.isoformat()}）"`；web/app.js:637-640 `tr.title = …`；ledgers.py:1521-1538（列無 unapplied）；web/ledger.js:609 `delWithConfirm(...)`</t>
        </is>
      </c>
      <c r="G46" s="67" t="inlineStr">
        <is>
          <t>G-01 的守門 test_account_name_single_source.py 只掃前端 JS 讀 .account／.account_name，後端句子裡嵌 id／accounts.name 沒有靜態守門，而後端根本沒有中文帳戶名可用，每個訊息作者各自選裸 id 或英文名。契約測試只驗 payload 有 unapplied_actions（test_dashboard_never_500_on_bad_action.py），沒有測試要求任何頁面渲染它。補：後端記號守門（AST）＋api.js 解析縫測試＋「儀表板必須渲染 unapplied 區塊」靜態測試＋清單列 unapplied 契約測試。</t>
        </is>
      </c>
      <c r="H46" s="66" t="inlineStr">
        <is>
          <t>類別修法——帳戶記號縫：新增 portfolio_dash/shared/account_ref.py（account_ref(id) → "{account:&lt;id&gt;}"），後端使用者可見句一律嵌記號；web/api.js 對每個經 pdApi 的回應（2xx JSON 與錯誤 message／issues）深度走訪把記號換成 pdNames 中文名，names.js 提供 pdNames.resolveRefs。後端：cost_basis.py 10 處、dashboard.py:307、validate.py 三句公司行動訊息改記號；UnappliedAction 新增 action_id；dashboard wire unapplied_actions[] 每筆 {account_id, date, kind, from_symbol, to_symbol, reason, action_id}。前端：app.js renderUnappliedBanner() 頁首可見區塊逐筆「帳戶（pdNames）・代號・日期・種類：reason」＋連結「前往該筆公司行動」（trades.html?ledger=action&amp;action_id=N）；ledgers.py GET 公司行動列新增 unapplied:{reason}|null（與儀表板同一通道）；ledger.js 該列「未套用」badge＋深連結閃爍；交易刪除前查同帳戶同代號日期 ≥ 該筆的公司行動，確認框加「⚠ 刪除後 YYYY-MM-DD 的 2882 分割 可能失去持倉依據而無法套用（待釐清）。」；detail.js 抽屜改結構化欄位＋pdNames＋連結。</t>
        </is>
      </c>
      <c r="I46" s="66" t="inlineStr">
        <is>
          <t>後端 f-string 嵌帳戶名／裸 id 共 43 處：本張修 14（cost_basis 10、dashboard 1、validate 3）；白名單 14 處＝10 鍵附理由（記號產生器本身、holdings 內部例外、store 稽核標籤×2、dividend_inbox 指紋鍵×2、config_seed／rules_binding 種子期 ValueError、validate.py:298「帳戶 X 不存在」、agents.py LLM 提示×4）；其餘 15 處由 DEF-008 與收尾包 I-10 修掉（_PENDING 收斂至 0）。前端「只在 tooltip 的待釐清狀態」共 3／修 1／白名單 2（oversold／unbookable_dividend 已有可見 badge）。</t>
        </is>
      </c>
      <c r="J46" s="66" t="inlineStr">
        <is>
          <t>新增 tests/contract/test_account_ref_seam.py（9：AST 掃 f-string、api.js 兩條路徑解析縫、node 真跑 api.js＋names.js、TestClient 證明 detail 到前端前仍是記號）、tests/portfolio/test_unapplied_action_id.py（3）、tests/contract/test_unapplied_actions_have_an_entry.py（9：毒列→列帶 unapplied.reason 且與 /api/dashboard 同一列；靜態：儀表板區塊／acctZh／連結／空清單不渲染／ledger.js 標記／刪除警告／抽屜結構化）。變異：裸 id＋不帶 action_id → 2 則失敗（assert None == 1；reason 無記號）；dashboard 嵌 acct.name → test_no_backend_sentence_embeds_an_account_name_or_bare_id_outside_the_lists；api.js 2xx 不解析 → 3 則失敗（'…（{account:tw_broker}・2026-03-15）' == '…（台灣券商・2026-03-15）'）；錯誤路徑不解析 → 3 則失敗；列的 unapplied 恆 null → test_the_ledger_row_carries_the_replays_refusal「assert None is not None」；拔掉 renderUnappliedBanner() → test_the_dashboard_renders_a_visible_block_with_an_entry_per_row。改回後全過。</t>
        </is>
      </c>
      <c r="K46" s="67" t="inlineStr">
        <is>
          <t>e6fd9f4（已部署 demo）</t>
        </is>
      </c>
      <c r="L46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6" s="68" t="inlineStr">
        <is>
          <t>真實瀏覽器：台灣券商買 2882 100 股（2026-09-22，#103）→ 登錄 2882 分割 1→2（2026-09-23，#15）→ 刪除該筆買進 → 看公司行動帳本、儀表板、深連結；測畢刪除行動並比對</t>
        </is>
      </c>
      <c r="N46" s="68" t="inlineStr">
        <is>
          <t>觀察：①刪除買進的確認框新增「⚠ 刪除後 2026-09-23 的 2882 分割 可能失去持倉依據而無法套用（待釐清）」✓；②公司行動帳本該列出現「未套用」badge，title 為中文帳戶名「2882（台灣券商）於 2026-09-23 沒有持倉…」✓；③深連結 trades.html?ledger=action&amp;action_id=15 直接切到公司行動分頁並標示該列 ✓；④/api/dashboard.unapplied_actions 有 1 筆（含 action_id 15）✓；XIRR tooltip 已改中文帳戶名 ✓。✗ 但儀表板上看不到任何「帳本中有 1 筆公司行動無法套用」區塊，也沒有「前往該筆公司行動」連結：DOM 中沒有 #unapplied-banner，頁面上仍只有 XIRR「— 資料不足」與總損益口徑一句話（與 R1 相同）
假設：①資料沒送到；②渲染函式有但沒被呼叫到；③樣式隱藏
排除：API 有資料，排除①；DOM 找不到該元素（不是隱藏），排除③
定位：web/app.js:112 renderUnappliedBanner() 放在 renderUnregisteredBanner() 內、位於 app.js:100「if (!syms.length || !page) return;」之後——只有在「同時存在未註冊標的」時才會畫出公司行動區塊；本站未註冊標的為 0，所以永遠不顯示。tests/contract/test_unapplied_actions_have_an_entry.py:125 只斷言呼叫字串存在於函式內，沒斷言它在提前 return 之前，等於把這個缺陷釘住了
判定：複驗未過——R1 所報「儀表板沒有可點的入口」在一般情境（沒有未註冊標的）仍成立</t>
        </is>
      </c>
      <c r="O46" s="69" t="inlineStr">
        <is>
          <t>badge、刪除警告、深連結、中文名皆 OK；儀表板區塊因提前 return 永不顯示；cmp D023 same:true</t>
        </is>
      </c>
      <c r="P46" s="68" t="inlineStr">
        <is>
          <t>複驗未過</t>
        </is>
      </c>
      <c r="Q46" s="68" t="inlineStr">
        <is>
          <t>修法建議：renderUnappliedBanner() 移到 renderHeader 直接呼叫（或放在 renderUnregisteredBanner 的提前 return 之前）；測試改為行為層（無未註冊標的＋1 筆未套用 → DOM 有 #unapplied-banner 與連結），或至少斷言呼叫位置在 return 之前</t>
        </is>
      </c>
      <c r="R46" s="68" t="inlineStr">
        <is>
          <t>檢驗方 2026-09-24</t>
        </is>
      </c>
    </row>
    <row r="47" ht="219.75" customHeight="1" s="43">
      <c r="A47" s="72" t="inlineStr">
        <is>
          <t>R2</t>
        </is>
      </c>
      <c r="B47" s="72" t="inlineStr">
        <is>
          <t>DEF-005</t>
        </is>
      </c>
      <c r="C47" s="72" t="inlineStr">
        <is>
          <t>D-02</t>
        </is>
      </c>
      <c r="D47" s="72" t="inlineStr">
        <is>
          <t>2026-09-23</t>
        </is>
      </c>
      <c r="E47" s="66" t="inlineStr">
        <is>
          <t>同意驗證者。1.5 被洗成 15，試算與登錄鈕照常可用。</t>
        </is>
      </c>
      <c r="F47" s="67" t="inlineStr">
        <is>
          <t>web/corp-action-form.js:158 `const cleaned = n.value.replace(/[^0-9]/g, '');`</t>
        </is>
      </c>
      <c r="G47" s="66" t="inlineStr">
        <is>
          <t>沒有任何靜態守門掃「把使用者輸入改寫回欄位」的寫法；e2e 只 fill 整數，從未鍵入小數；檔頭註解宣稱「真正的拒絕在後端 E6/E6a」，但前端先洗成合法值，把守門架空。補：tests/contract/test_web_inputs_never_silently_rewritten.py（偵測力自證＋逐檔掃描＋白名單不得過期）。</t>
        </is>
      </c>
      <c r="H47" s="67" t="inlineStr">
        <is>
          <t>intBox 不再改寫值；INT_TERM=/^0*[1-9][0-9]*$/、ratioTermsValid()：欄位 .ca-int-bad 紅框、行內錯誤「比例只收整數（不要填算好的小數）」、ready() 先檢查（試算不送）、syncSave() 讓登錄鈕 disabled，試算區「✕ 比例只收整數…請改成對帳單上的兩個整數後再試算」。後端 E6/E6a 不動。同類 broker-import.js:360 `String(parseInt(to, 10))`（1.5 截成 1 進 CSV）由 Agent B 一併修：比例欄改 type=text inputmode=numeric、ratioValid() 只接受正整數字串、行內「請輸入正整數（例如 1、3、10）」、值原樣送出。</t>
        </is>
      </c>
      <c r="I47" s="67" t="inlineStr">
        <is>
          <t>web/*.js（排除 echarts）數字剝除／parseInt 截斷回寫共 4 處／3 檔：修 2（corp-action-form.js:158、broker-import.js:360）；白名單 1（settings-alerts.js:423 `parseInt(sel.value, 10)`——select 年份選項本來就是整數、不回寫）；另審過但不屬此類：cash.js:80 前導零正規化不回寫、input.js:1286/1878 dataset 索引、export.js:59 伺服器年份、rebalance.js／alerts.js／pager.js／digest.js 的 Math.floor/round（版面／分頁／天數）。</t>
        </is>
      </c>
      <c r="J47" s="66" t="inlineStr">
        <is>
          <t>新增 tests/contract/test_web_inputs_never_silently_rewritten.py。變異 M1（放回 `.replace(/[^0-9]/g,'')` 並寫回）→ 2 則失敗：test_no_field_silently_rewrites_what_the_owner_typed[corp-action-form.js]（「corp-action-form.js rewrites a typed value into a different legal one: [".replace(/[^0-9]/g, '')"]」）、test_the_corp_action_form_refuses_a_decimal_inline（「assert 'n.value = cleaned' not in …」）；變異 M6（broker-import.js 放回 parseInt）→ 1 則失敗「broker-import.js rewrites a typed value into a different legal one: ['String(parseInt(', 'String(parseInt(']」。改回後通過（sha256 驗證還原逐位元相同）。</t>
        </is>
      </c>
      <c r="K47" s="67" t="inlineStr">
        <is>
          <t>e6fd9f4（已部署 demo）</t>
        </is>
      </c>
      <c r="L47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7" s="68" t="inlineStr">
        <is>
          <t>真實瀏覽器：交易帳本 › 公司行動 › ＋補登 → 分割，以鍵盤在「每持有」欄鍵入 1.5、「變成」欄鍵入 3</t>
        </is>
      </c>
      <c r="N47" s="68" t="inlineStr">
        <is>
          <t>觀察：R1 時 1.5 被洗成 15 並可登錄
假設：①前端不再改寫、改為紅框擋下；②只擋試算不擋登錄
排除：欄位值保留「1.5」、class ca-int-bad、框線 rgb(240,84,79)，行內「比例只收整數（不要填算好的小數）」，試算區「✕ 比例只收整數…請改成對帳單上的兩個整數後再試算」，網路上沒有送出任何試算請求，登錄鈕 disabled；改成 1→2 後紅框消失、試算「2884 100→200、均價 93.20→46.60、✓ 成本不變 9,320→9,320」、登錄鈕可按
定位：corp-action-form.js intBox 改寫已移除（變異放回 → 2 failed）
判定：通過</t>
        </is>
      </c>
      <c r="O47" s="69" t="inlineStr">
        <is>
          <t>1.5 不再被改寫；紅框＋行內錯誤＋試算不送＋登錄鈕停用</t>
        </is>
      </c>
      <c r="P47" s="68" t="inlineStr">
        <is>
          <t>複驗通過 → 結案</t>
        </is>
      </c>
      <c r="Q47" s="68" t="inlineStr">
        <is>
          <t>無</t>
        </is>
      </c>
      <c r="R47" s="68" t="inlineStr">
        <is>
          <t>檢驗方 2026-09-24</t>
        </is>
      </c>
    </row>
    <row r="48" ht="219.75" customHeight="1" s="43">
      <c r="A48" s="72" t="inlineStr">
        <is>
          <t>R2</t>
        </is>
      </c>
      <c r="B48" s="72" t="inlineStr">
        <is>
          <t>DEF-020</t>
        </is>
      </c>
      <c r="C48" s="72" t="inlineStr">
        <is>
          <t>D-10</t>
        </is>
      </c>
      <c r="D48" s="72" t="inlineStr">
        <is>
          <t>2026-09-23</t>
        </is>
      </c>
      <c r="E48" s="66" t="inlineStr">
        <is>
          <t>同意驗證者。兩支請求非原子；刪除只刪行動列，出金留在資金收支。</t>
        </is>
      </c>
      <c r="F48" s="67" t="inlineStr">
        <is>
          <t>web/corp-action-form.js:713 `await bookReorgFee(body, fFee.value.trim(), …)`；data_ingestion/store.py:1111 `conn.execute("DELETE FROM corporate_actions WHERE id=?", (action_id,))`</t>
        </is>
      </c>
      <c r="G48" s="66" t="inlineStr">
        <is>
          <t>契約測試只驗 POST 後 corporate_actions 有列、DELETE 後 prices 逐位元還原（D38 不變量 3），從未把 cash_movements 納入「刪除後帳本應回到原狀」的斷言；費用走另一個路由，路由層測試各自成立。補：原子性（注入失敗）＋刪除後 cash_movements 全表逐位元相同的契約測試。</t>
        </is>
      </c>
      <c r="H48" s="67" t="inlineStr">
        <is>
          <t>schema additive：cash_movements.corporate_action_id INTEGER＋索引。store：insert_cash_movement(corporate_action_id=)、update/delete_cash_movement／update_corporate_action 加 commit= 參數、linked_cash_movements()、delete_corporate_action(commit=) 在同一交易內連帶刪除關聯出金（每列寫 ledger_audit）。ledgers.py：ActionBody.reorg_fee／reorg_fee_ccy；_reorg_fee_refusal() 用現金門同一個 validate_cash_movement（含日期感知透支守門）在任何寫入前驗證，被拒就整筆 400/422「重組費用無法登錄，公司行動也未寫入：…」；POST 在 insert_corporate_action×N → move_target_band(commit=False) → insert_cash_movement(commit=False) → 一次 commit 的同一 try/rollback 內；PUT 同步費用（缺省不動／空字串刪／值更新）；DELETE 單筆／整組走 _delete_actions() 一次 commit，回 fee_deleted[]；GET 列帶 reorg_fee。前端：單一請求；成功 toast 註明；ledger.js 刪除確認框明列「會一併刪除這筆行動的重組費用出金：日期 出金 金額 幣別（帳戶）」；編輯 modal 加重組費用欄。</t>
        </is>
      </c>
      <c r="I48" s="66" t="inlineStr">
        <is>
          <t>「同一事件分兩支請求／寫入者跨交易」共 5：修 2（bookReorgFee；move_target_band 原在 commit 之後→移入同一交易）；白名單 2（applyBandRestate PUT /api/instruments 為 owner 逐次勾選的獨立設定；refresh-quotes 非帳本寫入）；跨包 1（strategy/target_weights.py move_target_weight 仍在 commit 後且刪除不回搬）→ 已由 Agent F 補修（F-3）：搬移移入同一交易、corporate_actions.weight_move_json 記錄、刪除條件回搬。另 CSV 匯入公司行動整批非原子（corporate_action_import.py 未傳 commit）由收尾包 I-1 處理。</t>
        </is>
      </c>
      <c r="J48" s="66" t="inlineStr">
        <is>
          <t>新增 tests/contract/test_corporate_action_reorg_fee.py（14：同一請求寫入＋關聯、守門拒絕整筆不寫、原子性（monkeypatch 第二步拋例外→行動列也回滾）、單筆刪除後 cash_movements 全表逐位元相同、整組刪除、自行登錄的出金不被牽連、PUT 同步／空白刪除／缺省不動）；tests/contract/test_f3_target_weight_move_atomic_and_reversible.py（16）。變異 M2（conn.commit() 放回費用寫入之前）→ test_the_action_and_the_fee_are_atomic「AssertionError: the action rows must roll back too」；M3（刪除不走 linked_cash_movements）→ 3 則失敗（「the pool must be exactly where it was」等）；F-3 變異（搬移放回 commit 後）→ test_the_move_lands_with_the_action_or_not_at_all `assert [StoredCorporateAction(...)] == []`。改回後全過。</t>
        </is>
      </c>
      <c r="K48" s="67" t="inlineStr">
        <is>
          <t>e6fd9f4（已部署 demo）</t>
        </is>
      </c>
      <c r="L48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8" s="68" t="inlineStr">
        <is>
          <t>真實瀏覽器：公司行動 2884 每 1 股→2 股＋重組費用 50 登錄 → 刪除；另以重組費用 99,999,999 測原子性</t>
        </is>
      </c>
      <c r="N48" s="68" t="inlineStr">
        <is>
          <t>觀察：R1 時前端送兩支請求、刪除不連帶刪出金
假設：①單一請求＋同交易；②刪除連帶刪出金
排除：登錄只送 1 支 POST /api/ledgers/corporate-actions（body 帶 reorg_fee 50）201，回應 reorg_fee.movement_id 50，TWD 6,067,595→6,067,545，toast 註明「刪除此公司行動時會一併刪除」；刪除確認框「會一併刪除這筆行動的重組費用出金：2026-09-24 出金 50 TWD（台灣券商）」，DELETE 回 fee_deleted[movement 50]，TWD 回到 6,067,595。原子性：費用 99,999,999 → 422 withdraw_insufficient_balance「重組費用無法登錄，公司行動也未寫入：…降至 −93,932,404」，公司行動列數仍 0、現金不變
定位：ledgers.py _reorg_fee_refusal＋單一交易；變異移除連帶刪除 → 3 failed
判定：通過</t>
        </is>
      </c>
      <c r="O48" s="68" t="inlineStr">
        <is>
          <t>單一請求、刪除連帶刪出金、費用被拒時整筆不寫；cmp D020 same:true</t>
        </is>
      </c>
      <c r="P48" s="68" t="inlineStr">
        <is>
          <t>複驗通過 → 結案</t>
        </is>
      </c>
      <c r="Q48" s="68" t="inlineStr">
        <is>
          <t>觀察（不另開）：公司行動帳本列未顯示該筆的重組費用（只有編輯框有），使用者要到刪除框才知道有連帶出金</t>
        </is>
      </c>
      <c r="R48" s="68" t="inlineStr">
        <is>
          <t>檢驗方 2026-09-24</t>
        </is>
      </c>
    </row>
    <row r="49" ht="219.75" customHeight="1" s="43">
      <c r="A49" s="72" t="inlineStr">
        <is>
          <t>R2</t>
        </is>
      </c>
      <c r="B49" s="72" t="inlineStr">
        <is>
          <t>DEF-021</t>
        </is>
      </c>
      <c r="C49" s="72" t="inlineStr">
        <is>
          <t>D-10</t>
        </is>
      </c>
      <c r="D49" s="72" t="inlineStr">
        <is>
          <t>2026-09-23</t>
        </is>
      </c>
      <c r="E49" s="66" t="inlineStr">
        <is>
          <t>同意驗證者。docstring 宣稱「入口會說明」，入口從未說；刪除不回搬。</t>
        </is>
      </c>
      <c r="F49" s="67" t="inlineStr">
        <is>
          <t>store.py:220 `⚠ **Not reversible.** Deleting the EXCHANGE does not move the band back.`；ledgers.py:1899 `delete_corporate_action(conn, action_id)`；corp-action-form.js:263-265</t>
        </is>
      </c>
      <c r="G49" s="67" t="inlineStr">
        <is>
          <t>tests/data_ingestion/test_band_moves_on_exchange.py 只釘「搬移」的三個性質，沒有任何測試描述刪除後的狀態；docstring 把「入口會說明」當成既成事實，沒有測試驗證入口文案是否存在。補：可逆／不可逆兩條路由測試＋入口文案靜態測試。</t>
        </is>
      </c>
      <c r="H49" s="66" t="inlineStr">
        <is>
          <t>改為條件可逆：schema additive corporate_actions.band_move_json；store：band_move_to_json/from_json、StoredCorporateAction.band_move、insert_corporate_action(band_move=)、pending_band_restore()（唯讀判定）與 restore_target_band()（同一判定執行寫入）；可回搬條件＝目標代號 low/high/target_set_at 三者逐字等於記錄且原代號目前無目標價，否則回 zh 原因（已改動／原代號另有目標價／標的不存在／已清除）。ledgers.py：POST 記錄並把搬移移入同一交易；_delete_actions() 刪列後同一交易 restore_target_band，回 band_restored true/false/null 與 band_restore{restorable, restored, reason, band}；GET 列帶 band_move 與 band_restore。corporate_action_import.py：CSV 門也記錄 band_move。前端：試算提示「會一併移到 X，數值不變；刪除此行動時若 X 的目標價未再改動會自動移回 Y」；ledger.js 刪除框依列資料寫「…會自動移回 Y」或「目標價不會移回：&lt;原因&gt;」；刪除後 toast。目標權重同類由 Agent F 補修（weight_move_json、weight_restored）。</t>
        </is>
      </c>
      <c r="I49" s="67" t="inlineStr">
        <is>
          <t>EXCHANGE 隨行動搬移的 owner 設定共 2：目標價（修）、目標權重（F-3 補修）；批次復原路徑（provenance.py:194 直接 DELETE 不回搬）由收尾包 I-3 處理。</t>
        </is>
      </c>
      <c r="J49" s="66" t="inlineStr">
        <is>
          <t>新增 tests/contract/test_corporate_action_band_restore.py（16：JSON 往返、可逆／目的已改／原代號另有目標價／目的被清除／無紀錄／延後 commit 可回滾、路由層可逆（40／55 移回、set_at 一併回來）、不可逆（PUT /api/instruments/NEWCO 改 45 後刪除 → band_restored:false＋原因）、CSV 門同樣可逆、入口文案存在）。變異 M4（restore_target_band 恆不寫入）→ 4 則失敗：test_the_row_stores_what_it_moved_and_the_delete_moves_it_back、test_the_predicate_and_the_write_are_one_rule、test_delete_moves_the_band_back_when_it_was_not_touched（「assert False is True」）、test_the_csv_door_records_the_move_too。改回後通過。</t>
        </is>
      </c>
      <c r="K49" s="67" t="inlineStr">
        <is>
          <t>e6fd9f4（已部署 demo）</t>
        </is>
      </c>
      <c r="L49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49" s="68" t="inlineStr">
        <is>
          <t>真實瀏覽器：觀察清單設 2884 目標價 40／55 → 公司行動 換股 2884→2882 每 1 換 1 → 刪除（可逆）；再登錄一次、把 2882 改為 42／55 後重新載入頁面再刪除（不可逆）</t>
        </is>
      </c>
      <c r="N49" s="68" t="inlineStr">
        <is>
          <t>觀察：R1 時刪除換股不回搬、入口沒說明
假設：①條件可逆；②只改文案
排除：試算「✓ 2884 的目標價（下限 40、上限 55）會一併移到 2882，數值不變；刪除此行動時若 2882 的目標價未再改動會自動移回 2884」；登錄 201 band_moved 40／55 → 2882 40/55、2884 空；刪除框「登錄時移到 2882 的目標價…未再改動，會自動移回 2884」，DELETE 回 band_restored true，2884 回到 40/55、2882 空，toast「✓ 目標價已移回 2884」。不可逆路徑：2882 改 42／55 → 刪除框「目標價不會移回：2882 的目標價在換股後已改動（登錄時 下限 40／上限 55，目前 下限 42／上限 55）…請到「觀察清單」自行調整」，DELETE band_restored false，toast「! 目標價未移回」
定位：store.restore_target_band；變異傳 None → 3 failed
判定：通過</t>
        </is>
      </c>
      <c r="O49" s="68" t="inlineStr">
        <is>
          <t>可逆與不可逆兩條路徑的試算、刪除框、API、toast 皆一致；測畢 26 檔目標價全為空，cmp D021 same:true</t>
        </is>
      </c>
      <c r="P49" s="68" t="inlineStr">
        <is>
          <t>複驗通過 → 結案</t>
        </is>
      </c>
      <c r="Q49" s="68" t="inlineStr">
        <is>
          <t>觀察（不另開）：公司行動帳本的刪除框文案取自頁面載入時的列資料；若在同一頁停留期間於別處改了目標價，框內仍寫「會自動移回」，實際 API 依當下狀態判斷不移回並以 toast 告知——結果正確、只有預告過時，重新載入即正確</t>
        </is>
      </c>
      <c r="R49" s="68" t="inlineStr">
        <is>
          <t>檢驗方 2026-09-24</t>
        </is>
      </c>
    </row>
    <row r="50" ht="219.75" customHeight="1" s="43">
      <c r="A50" s="72" t="inlineStr">
        <is>
          <t>R2</t>
        </is>
      </c>
      <c r="B50" s="72" t="inlineStr">
        <is>
          <t>DEF-022</t>
        </is>
      </c>
      <c r="C50" s="72" t="inlineStr">
        <is>
          <t>D-11</t>
        </is>
      </c>
      <c r="D50" s="72" t="inlineStr">
        <is>
          <t>2026-09-23</t>
        </is>
      </c>
      <c r="E50" s="66" t="inlineStr">
        <is>
          <t>同意驗證者，且是一類：業務日期用非 app 時鐘產生。</t>
        </is>
      </c>
      <c r="F50" s="67" t="inlineStr">
        <is>
          <t>store.py:122 `stamp = (today or datetime.now(UTC).date()).isoformat()`</t>
        </is>
      </c>
      <c r="G50" s="67" t="inlineStr">
        <is>
          <t>Q6 只寫在 shared/clock.py 的 docstring，沒有守門掃描；tests/pricing/test_new_quote_providers.py:139 甚至斷言 `row.as_of == date.today()`——把錯的時鐘釘成規格。補：tests/architecture/test_business_dates_use_app_clock.py（AST 掃 portfolio_dash/**/*.py 排除 shared/clock.py：date.today()、*.utcnow()、*.now(...).date()；白名單需附理由且不得過期，目前為空；偵測力自證）。</t>
        </is>
      </c>
      <c r="H50" s="67" t="inlineStr">
        <is>
          <t>store.py 改 app_now().date()；全 portfolio_dash 同類一律改 app_now()：pricing/providers 7 檔 8 處 date.today()（最新報價 as_of／TWSE 日檔參數）、shared/llm_usage_reads.py:127（30 日用量視窗）、data_ingestion/agents.py:465 datetime.now(_TAIPEI).date()（私有時區常數繞過 shared/clock，改 app_now() 並刪 _TAIPEI）；test_new_quote_providers.py 改 monkeypatch app_now 至「台北 03:00、UTC 前一天」固定時刻。UTC 瞬時戳（.isoformat() 帶時區 instant：store.py:69、fee_overrides.py:262、evaluations_store.py:220/245、llm_config.py:360、config_store.py:35、scheduler/jobs.py:1419、api/app.py:252）不屬此類，守門只抓 .date()。</t>
        </is>
      </c>
      <c r="I50" s="66" t="inlineStr">
        <is>
          <t>業務日期 pattern 命中共 11 處／10 檔：修 11／白名單 0（date.today() 8：twstock:36、twse:41、stockprices_dev:55、malaysiastock:69、klsescreener:72、finnhub:80、alphavantage:90、:117；datetime.now(UTC).date() 2：store.py:122、llm_usage_reads.py:127；datetime.now(_TAIPEI).date() 1：agents.py:465）。</t>
        </is>
      </c>
      <c r="J50" s="66" t="inlineStr">
        <is>
          <t>新增 tests/data_ingestion/test_target_set_at_uses_business_day.py（固定 2030-01-01 03:00 台北 → 存 2030-01-01；注入 today= 仍優先）、tests/architecture/test_business_dates_use_app_clock.py。變異 M5（store.py 放回 datetime.now(UTC).date()）→ 2 則失敗：test_the_band_stamp_is_the_taipei_day（「assert datetime.date(2026, 9, 23) == datetime.date(2030, 1, 1)」）、test_business_dates_come_from_the_app_clock[data_ingestion/store.py]（「[(130, 'now(...).date()')]」）。改回後通過。</t>
        </is>
      </c>
      <c r="K50" s="67" t="inlineStr">
        <is>
          <t>e6fd9f4（已部署 demo）</t>
        </is>
      </c>
      <c r="L50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0" s="68" t="inlineStr">
        <is>
          <t>真實瀏覽器：UTC 2026-09-23T18:32Z（台北 2026-09-24 02:32）於觀察清單設 2884 目標價，再以換股試算／登錄讀 band_move.set_at</t>
        </is>
      </c>
      <c r="N50" s="68" t="inlineStr">
        <is>
          <t>觀察：R1 時台北凌晨設定的目標價記成前一天
假設：①set_at 改用台北日期；②仍用 UTC
排除：測試時刻 UTC 日期為 09-23、台北為 09-24，preview 與登錄回應的 band_move.set_at 皆為「2026-09-24」，排除②
定位：開發者改用台北日期；變異改回 UTC 日期 → 2 failed
判定：通過</t>
        </is>
      </c>
      <c r="O50" s="69" t="inlineStr">
        <is>
          <t>set_at＝台北日期 2026-09-24（UTC 仍是 09-23）</t>
        </is>
      </c>
      <c r="P50" s="68" t="inlineStr">
        <is>
          <t>複驗通過 → 結案</t>
        </is>
      </c>
      <c r="Q50" s="68" t="inlineStr">
        <is>
          <t>無</t>
        </is>
      </c>
      <c r="R50" s="68" t="inlineStr">
        <is>
          <t>檢驗方 2026-09-24</t>
        </is>
      </c>
    </row>
    <row r="51" ht="219.75" customHeight="1" s="43">
      <c r="A51" s="72" t="inlineStr">
        <is>
          <t>R2</t>
        </is>
      </c>
      <c r="B51" s="72" t="inlineStr">
        <is>
          <t>DEF-027</t>
        </is>
      </c>
      <c r="C51" s="72" t="inlineStr">
        <is>
          <t>I-10</t>
        </is>
      </c>
      <c r="D51" s="72" t="inlineStr">
        <is>
          <t>2026-09-23</t>
        </is>
      </c>
      <c r="E51" s="66" t="inlineStr">
        <is>
          <t>同意驗證者，且是三個缺陷的集合：(a) 前端寫死整批確認；(b) 期初庫存提示只看檔案不看帳本（85.04 持有再加 1,000 → 多算 85.04 股）；(c) Schwab 匯出最新在前，轉換器依 line_no 排序 → 同日「先買後賣」寫成「先賣後買」，DEF-012 改成依寫入 id 重播後會直接判成賣超。</t>
        </is>
      </c>
      <c r="F51" s="67" t="inlineStr">
        <is>
          <t>(a) web/broker-import.js:423 `kind, csv_text: text, ack_warnings: true,`；(b) api/routers/broker_import.py:136-139 `"openings_needing_cost": […]`＋web/broker-import.js:378 `rows.push([…, o.symbol, o.shares, cost, …])`；(c) data_ingestion/broker/convert.py:122 `for e in sorted(grouped.trades, key=lambda x: (x.trade_date, x.line_no)):`＋grouping.py:456</t>
        </is>
      </c>
      <c r="G51" s="67" t="inlineStr">
        <is>
          <t>(a) tests/e2e/test_broker_web_import_flow.py:148-154（舊）斷言第一個 commit status==200 且「全部寫入完成」——語料的 PREH 賣出本身就是對空帳本的賣超，該測試把整批 ack 釘成正確行為；沒有 contract 守門掃 `ack_warnings: true` 字面值（test_web_native_dialogs.py 只掃 window.confirm）。(b) test_the_corpus_finds_the_pre_history_position 只釘檔案內 {"PREH": 80}。(c) 合成語料 tests/golden/broker/schwab_2024.csv 是最舊在前，與真實 Schwab 相反，line 順序恰好等於時間順序。補：ack 字面值守門（全站每個 ack 字面值須在 dialog 30 行內）、帳本對照的 opening gap 測試、最新在前語料與方向偵測測試。</t>
        </is>
      </c>
      <c r="H51" s="67" t="inlineStr">
        <is>
          <t>(a) commitStep() 先送 ack_warnings:false；422 warnings_unacknowledged → 呼叫 /api/import/preview 取逐列 status/reason → 專案 modal「匯入警告確認 —— 交易」逐列顯示代號、日期、類型、股數、伺服器原句；賣超列加「→ 賣超：確認後成本基礎永久捨棄（待釐清），之後再買回也不會還原」；checkbox 預設不勾；「寫入勾選的警告列」0 勾時 disabled；另有「略過所有警告列，只寫入其他列」與「取消」；確認後只把勾選列以 select 索引重送（伺服器 QA-01 shrink-only 規則等價逐列 ack）；每個 kind 各自對話框。(b) 後端 _opening_gaps()：對每個 prehistory 代號讀 holdings.shares_through(conn, account, symbol, on=對帳單首日前一天)，回 shares／ledger_shares／gap／satisfied／as_of 與 openings_build_date；前端 satisfied 者「期初庫存 X 不需補：帳本在 D 已持有 N 股…」、未滿足者「對帳單需要 80 股，帳本在 2024-01-02 已有 0 股，仍缺 80 股」，期初列寫入 gap。(c) ir.py RawEvent.seq＋chrono_key(e)=(trade_date, source_file, seq, line_no)；schwab.py newest_first(posted_dates) 由 posted date 走勢判讀檔案方向（單調不增＝最新在前；單調不減＝最舊在前；其餘／單日→券商慣例最新在前，絕不落回 line 順序）；convert.py／grouping.py 全改 chrono_key；commit 依 CSV 列序 insert → id 升冪＝時間序，與 DEF-012 規則相符。</t>
        </is>
      </c>
      <c r="I51" s="66" t="inlineStr">
        <is>
          <t>整批 ack 字面值 `ack_warnings\s*:\s*true` web/*.js 共 4／修 1／白名單 3（input.js:1983、:2175、ledger.js:773 皆在 confirmDialog 的 onConfirm 內）；期初提示只看檔案 共 1／修 1／白名單 1（scripts/schwab_convert.py CLI 無 DB）；(trade_date, line_no) 排序 共 4（convert.py:122、:179、grouping.py:265、:456）／修 4／白名單 1（grouping.py:667 overlap_duplicates 為報告用途）。</t>
        </is>
      </c>
      <c r="J51" s="66" t="inlineStr">
        <is>
          <t>新增 tests/contract/test_broker_import_acknowledges_per_row.py（3）；test_broker_import_api.py 新增 test_the_opening_hint_subtracts_what_the_ledger_already_holds、test_a_position_the_ledger_already_covers_needs_no_opening、test_ledger_shares_are_counted_at_the_day_BEFORE_the_statement_starts；test_broker_adapter.py 新增 6 則（newest_first／oldest_first／方向偵測 6 例／同日 round trip BUY before SELL 不捏造期初／…）；test_holdings_containment.py 普查登記＋地雷測試；e2e 主流程改寫（第一個 commit 422 → 對話框含 PREH／「賣出 80 股，超過持有的 0 股」／「永久捨棄」、未勾、disabled → 勾 → 重送 ack_warnings:true 且 select==0..10 → 第二對話框 NEWX →「寫入完成」）＋新增 test_an_unticked_row_is_not_written_and_a_skipped_warning_row_is_not_written。變異 M1（放回 (trade_date, line_no)）→ 2 則失敗 `assert ['SELL', 'BUY'] == ['BUY', 'SELL']`、`assert {'AAA': Decimal('10')} == {}`；M1b（不蓋 seq）→ 3 則失敗；M2（_opening_gaps held=0）→ 2 則失敗（ledger_shares '10' 得 '0'）；M4（放回 ack_warnings: true）→ 2 則失敗「web/broker-import.js sends ack_warnings: true as a literal…」「ack_warnings: true sent without a dialog naming what is acknowledged: broker-import.js:800」。改回後全過。</t>
        </is>
      </c>
      <c r="K51" s="67" t="inlineStr">
        <is>
          <t>e6fd9f4（已部署 demo）</t>
        </is>
      </c>
      <c r="L51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1" s="68" t="inlineStr">
        <is>
          <t>重放 R1 步驟：交易帳本 › CSV 匯入 › 券商對帳單，券商嘉信、帳戶嘉信，上傳同一份「09/22/2026 Sell AAPL 1000 @$250」檔 → 按「寫入勾選列」；讀 commit／preview 請求本文、對話框內容與勾選狀態，按「取消，停在這一步」後比對六段 JSON。本機變異：把 broker-import.js 的 ack 預設改成 true（以變數而非字面值送出，行為等同舊版）</t>
        </is>
      </c>
      <c r="N51" s="68" t="inlineStr">
        <is>
          <t>觀察：第一次 POST /api/import/commit 帶 ack_warnings:false → 422，前端改取 /api/import/preview，跳出「匯入警告確認 —— 交易」，逐列列出 AAPL 2026-09-22 賣出 1000「超過持有的 85.039… 股 → 賣超：確認後成本基礎永久捨棄（待釐清）」，勾選框預設未勾、「寫入勾選的警告列」disabled；取消後畫面「⚠ 寫入取消」，帳本逐位元不變。期初提示改為「對帳單需要 1000 股，帳本在 2026-09-21 已有 85.039… 股，仍缺 914.96… 股」
假設：①修好了；②只是這份檔案剛好被新的轉換檢查擋住，寫入端仍自動確認；③我點到的是舊版快取的 JS
排除：網路紀錄第一支 commit 請求明確是 ack_warnings:false、第二支是 preview（不是自動重送 ack:true），排除②；頁首版本 e6fd9f4 且按鈕文字已是新版「寫入勾選列（1）」，排除③
定位：web/broker-import.js:883-889 commitStep() 以 ack 變數起始 false、僅在對話框勾選後帶 select 重送；broker_import.py _opening_gaps 讀帳本股數。變異：開發方的字面值守門（test_broker_import_acknowledges_per_row.py）對「let ack = true」這種等價回歸 3 則全過、攔不到；但 e2e（test_broker_web_import_flow.py、test_broker_convert_import_flow.py）2 則失敗「assert 200 == 422」，回歸有被攔下
判定：複驗通過 → 結案（附帶：股數顯示為 28 位原始小數，另開 DEF-039 低）</t>
        </is>
      </c>
      <c r="O51" s="68" t="inlineStr">
        <is>
          <t>第一次 commit 422 → 逐列確認框（預設不勾、確認鈕 disabled）→ 取消後 0 寫入、六段 JSON 相同；期初缺口 914.96 股正確；變異：單元守門 3 passed（攔不到），e2e 2 failed（攔得到）</t>
        </is>
      </c>
      <c r="P51" s="68" t="inlineStr">
        <is>
          <t>複驗通過 → 結案</t>
        </is>
      </c>
      <c r="Q51" s="68" t="inlineStr">
        <is>
          <t>單元守門只認字面值 ack_warnings: true，等價寫法要靠 e2e 才攔得到——建議把 e2e 納入每輪 J-06；新開 DEF-039：對帳單轉換的股數顯示 28 位原始小數</t>
        </is>
      </c>
      <c r="R51" s="68" t="inlineStr">
        <is>
          <t>檢驗方 2026-09-24</t>
        </is>
      </c>
    </row>
    <row r="52" ht="219.75" customHeight="1" s="43">
      <c r="A52" s="72" t="inlineStr">
        <is>
          <t>R2</t>
        </is>
      </c>
      <c r="B52" s="72" t="inlineStr">
        <is>
          <t>DEF-028</t>
        </is>
      </c>
      <c r="C52" s="72" t="inlineStr">
        <is>
          <t>I-10</t>
        </is>
      </c>
      <c r="D52" s="72" t="inlineStr">
        <is>
          <t>2026-09-23</t>
        </is>
      </c>
      <c r="E52" s="66" t="inlineStr">
        <is>
          <t>同意驗證者。</t>
        </is>
      </c>
      <c r="F52" s="67" t="inlineStr">
        <is>
          <t>web/broker-import.js:264-266 `const counts = (c.commit_order||[]).map((k) =&gt; KIND_ZH[k] + ' ' + c.counts[k]).join(' · ')`</t>
        </is>
      </c>
      <c r="G52" s="67" t="inlineStr">
        <is>
          <t>e2e 只 to_contain_text("交易") 與比對批次筆數；API 測試只比 files 文字；沒有任何斷言檢視列。補：rows∪dropped 對來源 ref 守恆的 API 測試＋e2e 四張表列數與 dropped 區文案。</t>
        </is>
      </c>
      <c r="H52" s="66" t="inlineStr">
        <is>
          <t>後端 convert.py 新增 RowDetail（refs／date／type／symbol／shares／price／amount／currency／note＋cells）與 DroppedRow（refs／why／date／symbol／kinds／into／detail）；Conversion.details／dropped；rows[kind]＝[d.cells]（一份資料兩個視圖，CLI 不受影響）；_dropped_rows() 由 suppressed／merged_dividend（into dividends:i）／folded_interest_tax（into cash:i）／option_row_unsupported／unrouted_row／unconvertible／action_needs_input 組出。路由回 rows:{kind:[{i, refs, date, type, symbol, shares, price, amount, currency, note, cells}]}（全字串）與 dropped。前端每 kind 一張 table.data（來源行號、日期、類型、代號、股數、價格、金額、幣別、備註），逐列 checkbox 預設勾選＋全選；「全部寫入」→「寫入勾選列（N）」；「沒有成為獨立帳本列的原始列（N 組）」表（來源、日期、代號、原因、去向）；commit 以 select 送勾選索引；pending_actions_csv 只由勾選的公司行動組成；openings_build_date 由伺服器給；帳戶／券商名 pdNames。</t>
        </is>
      </c>
      <c r="I52" s="66" t="inlineStr">
        <is>
          <t>報告只出筆數的轉換結果面 共 1／修 1／白名單 0。</t>
        </is>
      </c>
      <c r="J52" s="67" t="inlineStr">
        <is>
          <t>test_broker_import_api.py 新增 test_every_converted_row_is_listed_and_its_cells_render_the_file_byte_for_byte（rows 數＝counts、render_kind(kind, cells)==files[kind]、金額欄皆字串）、test_every_source_row_is_either_a_row_or_named_as_dropped_with_its_destination（兩檔 46 個 ref：rows∪dropped 守恆）；e2e 斷言四張表列數 11／1／7／3、dropped 區含「已合併為一筆股利」「互相抵銷」、按鈕「寫入勾選列（22）」；取消勾 #bk-row-transactions-10 → 21 → 只寫 9 筆。變異 M5（路由 dropped:[]）→ 1 則失敗（ref 集合不等）。改回後通過。</t>
        </is>
      </c>
      <c r="K52" s="67" t="inlineStr">
        <is>
          <t>e6fd9f4（已部署 demo）</t>
        </is>
      </c>
      <c r="L52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2" s="68" t="inlineStr">
        <is>
          <t>重放 R1 步驟：券商對帳單上傳 repo 內合成樣本 schwab_2024.csv（15 列），讀轉換區的表格、勾選框與「沒有成為獨立帳本列的原始列」區塊；不寫入</t>
        </is>
      </c>
      <c r="N52" s="68" t="inlineStr">
        <is>
          <t>觀察：畫面列出交易 3 列、股利 1 列、資金 5 列三張表（來源行號／日期／類型／代號／股數／價格／金額／幣別／備註），共 13 個勾選框（含全選），按鈕「寫入勾選列（9）」；收合區「沒有成為獨立帳本列的原始列（3 組）」列出 :15+:16 BETA 互相抵銷、:9+:10 ALFA 互相抵銷、:6～:8 三列配息分錄合併為「股利 第 1 列」
假設：①修好了；②表格只列部分列、被丟掉的列仍然看不到
排除：逐一對帳 15 個來源行號：交易 :4 :5 :11、股利 :6-8、資金 :3 :12 :13 :14 :17、抵銷 :9 :10 :15 :16，15/15 全部有去向，排除②
定位：convert.py RowDetail／DroppedRow 與前端逐列表格；變異（路由 dropped:[]）→ test_every_source_row_is_either_a_row_or_named_as_dropped 1 failed
判定：複驗通過 → 結案</t>
        </is>
      </c>
      <c r="O52" s="69" t="inlineStr">
        <is>
          <t>15 列來源全部可見（9 列可勾選寫入＋3 組被合併／抵銷含去向）；變異 1 failed</t>
        </is>
      </c>
      <c r="P52" s="68" t="inlineStr">
        <is>
          <t>複驗通過 → 結案</t>
        </is>
      </c>
      <c r="Q52" s="68" t="inlineStr">
        <is>
          <t>無</t>
        </is>
      </c>
      <c r="R52" s="68" t="inlineStr">
        <is>
          <t>檢驗方 2026-09-24</t>
        </is>
      </c>
    </row>
    <row r="53" ht="219.75" customHeight="1" s="43">
      <c r="A53" s="72" t="inlineStr">
        <is>
          <t>R2</t>
        </is>
      </c>
      <c r="B53" s="72" t="inlineStr">
        <is>
          <t>DEF-029</t>
        </is>
      </c>
      <c r="C53" s="72" t="inlineStr">
        <is>
          <t>I-11</t>
        </is>
      </c>
      <c r="D53" s="72" t="inlineStr">
        <is>
          <t>2026-09-23</t>
        </is>
      </c>
      <c r="E53" s="66" t="inlineStr">
        <is>
          <t>同意驗證者。</t>
        </is>
      </c>
      <c r="F53" s="67" t="inlineStr">
        <is>
          <t>broker_import.py:174 `if body.account not in {a.account_id for a in list_accounts(conn)}:`；broker-import.js:221 `currency: 'USD',`；:503-507 `accounts.forEach((a) =&gt; { … asel.appendChild(o); })`</t>
        </is>
      </c>
      <c r="G53" s="67" t="inlineStr">
        <is>
          <t>test_an_unknown_account_is_refused 只測不存在；沒有 broker×account 配對測試；e2e _open_broker_mode 甚至斷言 `#bk-account option[value='tw_broker']` 存在——把缺陷釘成期望。補：錯配 blocking 測試（兩個帳戶參數化）＋adapters 清單測試＋e2e 選單只有相符帳戶。</t>
        </is>
      </c>
      <c r="H53" s="67" t="inlineStr">
        <is>
          <t>registry.py 新增 ACCOUNT_BROKERS={"schwab": {"schwab", "charles schwab"}}（adapter → accounts.broker 欄值，小寫比對）＋serves_account()；路由解析前 _broker_mismatch()，不符回 200 ok:false 的 blocking issue account_broker_mismatch（account_id／broker_id 結構欄位，detail「帳戶 {account:tw_broker} 不屬於券商 schwab（對帳單格式），一列都不會轉換」，用 shared.account_ref）；GET /api/broker/adapters 加 accounts_by_broker（由 registry＋list_accounts 算，前端不持有對照表）；前端 fillAccountOptions() 只列相符帳戶（無則「（沒有屬於這家券商的帳戶）」disabled），券商改選時重建；currency 改所選帳戶 settlement_ccy；BLOCK_ZH 以 pdNames.broker／account 組句。</t>
        </is>
      </c>
      <c r="I53" s="66" t="inlineStr">
        <is>
          <t>同時收 broker 與 account 的端點 共 1（/api/broker/convert）／修 1／白名單 1（scripts/schwab_convert.py --account 無 DB 無法核對）；其他 21 處 list_accounts(conn) 存在性檢查端點都沒有券商參數，不屬同類；`currency: 'USD'` 字面值 web/*.js 共 1／修 1／白名單 0。</t>
        </is>
      </c>
      <c r="J53" s="67" t="inlineStr">
        <is>
          <t>test_a_statement_aimed_at_another_brokers_account_is_a_BLOCKING_refusal[tw_broker|moomoo_my]（ok false、無 files／rows／counts、detail 含 {account:&lt;id&gt;} 且不含 TW Broker／Moomoo MY／Charles Schwab）、test_the_matching_account_converts、test_the_adapter_list_names_the_accounts_each_broker_serves；e2e _open_broker_mode 斷言選單只有「嘉信 Schwab（USD）」、tw_broker／moomoo_my count 0。變異 M3（刪掉 _broker_mismatch 呼叫）→ 2 則失敗 `assert True is False`（tw_broker 與 moomoo_my 各一）。改回後通過。</t>
        </is>
      </c>
      <c r="K53" s="67" t="inlineStr">
        <is>
          <t>e6fd9f4（已部署 demo）</t>
        </is>
      </c>
      <c r="L53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3" s="68" t="inlineStr">
        <is>
          <t>重放 R1 步驟：券商對帳單頁檢查「匯入到帳戶」下拉，嘗試選非嘉信帳戶；再以 API 送 {account: moomoo_my, broker: schwab} 核對後端拒絕內容。本機變異：拿掉 _broker_mismatch 判斷</t>
        </is>
      </c>
      <c r="N53" s="68" t="inlineStr">
        <is>
          <t>觀察：券商選嘉信時下拉只剩「嘉信 Schwab（USD）」一個選項，無法再選 Moomoo MY／台灣券商；直接呼叫 /api/broker/convert 帳戶 moomoo_my → ok:false、blocking account_broker_mismatch「帳戶 {account:moomoo_my} 不屬於券商 schwab（對帳單格式），一列都不會轉換」、counts 空
假設：①修好了；②只是前端藏選項，後端仍會轉換
排除：API 直打仍被後端擋下且不產生任何列，排除②
定位：broker_import.py:267 _broker_mismatch＋:332 前置判斷；前端 fillAccountOptions 依 accounts_by_broker。變異 → test_broker_import_api.py 2 failed（assert True is False）
判定：複驗通過 → 結案</t>
        </is>
      </c>
      <c r="O53" s="68" t="inlineStr">
        <is>
          <t>下拉只列嘉信帳戶；API 錯配回 blocking account_broker_mismatch；變異 2 failed</t>
        </is>
      </c>
      <c r="P53" s="68" t="inlineStr">
        <is>
          <t>複驗通過 → 結案</t>
        </is>
      </c>
      <c r="Q53" s="68" t="inlineStr">
        <is>
          <t>無</t>
        </is>
      </c>
      <c r="R53" s="68" t="inlineStr">
        <is>
          <t>檢驗方 2026-09-24</t>
        </is>
      </c>
    </row>
    <row r="54" ht="219.75" customHeight="1" s="43">
      <c r="A54" s="72" t="inlineStr">
        <is>
          <t>R2</t>
        </is>
      </c>
      <c r="B54" s="72" t="inlineStr">
        <is>
          <t>DEF-001</t>
        </is>
      </c>
      <c r="C54" s="72" t="inlineStr">
        <is>
          <t>I-03</t>
        </is>
      </c>
      <c r="D54" s="72" t="inlineStr">
        <is>
          <t>2026-09-23</t>
        </is>
      </c>
      <c r="E54" s="66" t="inlineStr">
        <is>
          <t>同意驗證者。儀表板 returns.by_currency.&lt;ccy&gt;.realized 是 Book.realized.by_currency（所有種類加總，含 kind=dividend 的結清後配息），對帳欄卻套用申報口徑，差 5,200 無說明。申報欄 16,004.56 正確，一字未動。</t>
        </is>
      </c>
      <c r="F54" s="67" t="inlineStr">
        <is>
          <t>export/tax.py:89 `if r.kind not in ("sale", "short_cover"): continue`（位於 :103 `adjusted_subtotal[r.quote_ccy] += r.realized` 之前）</t>
        </is>
      </c>
      <c r="G54" s="67" t="inlineStr">
        <is>
          <t>test_export_tax.py 只驗每列 realized_adjusted 與申報行，沒有任何測試拿對帳行去比 /api/dashboard；稅務測試的固定帳本都沒有「結清後配息」，golden 帳本沒有賣出。補：新測試以字串逐位元比對儀表板 wire 值，並加含結清後配息、跨年度兩種固定帳本。</t>
        </is>
      </c>
      <c r="H54" s="66" t="inlineStr">
        <is>
          <t>只動 export/tax.py：對帳數字改在 kind 過濾之前累加（defaultdict += 照重播順序，與 cost_basis 同一串運算 → 逐位元相等）；新增拆解行「其中 出售／回補」與「其中 結清後配息（不列入申報，已列於股利表）：- TWD: 5200.0（2412 2026-08-07）」；跨年度帳本多印「本年度以外的已實現」與「歷年累計（= 儀表板）」（直接取 book.realized.by_currency）；對帳段改用 decimal_str（與 wire 相同 format(,"f")）避免 0E-26 科學記號。</t>
        </is>
      </c>
      <c r="I54" s="66" t="inlineStr">
        <is>
          <t>對帳段錯位共 3 處（種類過濾、年度切分、數字格式）／修 3／白名單 3 段（申報段：申報口徑不得動；股利段：申報數字未宣稱與儀表板對帳；換匯段：與儀表板同一 realized_fx_rows_as_of，test_r8 已釘）；另查 Book.realized.rows 其他 5 個消費者（export/realized.py:34、api/routers/symbol.py:691、llm_insight/variables.py:639、:1010、api/routers/input_center.py:711）0 錯位。</t>
        </is>
      </c>
      <c r="J54" s="66" t="inlineStr">
        <is>
          <t>新增 tests/contract/test_def001_tax_reconciliation_matches_dashboard.py（5；修復前 3 失敗 2 通過——通過的是申報行不變、單一年度不印跨年行兩個恆等式）。變異 M1（對帳數字改回過濾後的 adjusted_subtotal）→ test_the_reconciliation_line_is_the_dashboard_figure_byte_for_byte 失敗：對帳行 5052.142857142857142857142857，儀表板 10252.14285714285714285714286，差額正是 5,200 的配息。改回後通過。</t>
        </is>
      </c>
      <c r="K54" s="67" t="inlineStr">
        <is>
          <t>e6fd9f4（已部署 demo）</t>
        </is>
      </c>
      <c r="L54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4" s="68" t="inlineStr">
        <is>
          <t>真實瀏覽器：交易帳本 › 稅務包（2026 年度）→ 攔截下載的 ZIP 於頁內解壓讀 summary.md，與 GET /api/dashboard returns.by_currency 比對</t>
        </is>
      </c>
      <c r="N54" s="68" t="inlineStr">
        <is>
          <t>觀察：R1 時對帳欄 TWD 36,804.556 與儀表板已實現 42,004.556 差 5,200 未說明
假設：①對帳欄改為與儀表板同口徑並拆出差額來源；②只加註解
排除：summary.md「對帳用：績效基礎已實現」TWD＝42004.55597014925373134328360，與 dashboard.returns.by_currency.TWD.realized 逐字相同；下方拆成「出售／回補（調整後成本）36804.55597…」＋「結清後配息（不列入申報，已列於股利表）5200.0（2412 2026-08-07）」，36,804.556＋5,200＝42,004.556；USD 97.3005739… 亦相同；另加註「非申報數字…兩者相加會把同一筆錢課兩次」
定位：開發者改 tax.py 對帳段；變異還原 tax.py → 3 failed
判定：通過</t>
        </is>
      </c>
      <c r="O54" s="68" t="inlineStr">
        <is>
          <t>對帳欄與儀表板逐字一致，差額 5,200 有具名拆分</t>
        </is>
      </c>
      <c r="P54" s="68" t="inlineStr">
        <is>
          <t>複驗通過 → 結案</t>
        </is>
      </c>
      <c r="Q54" s="68" t="inlineStr">
        <is>
          <t>無</t>
        </is>
      </c>
      <c r="R54" s="68" t="inlineStr">
        <is>
          <t>檢驗方 2026-09-24</t>
        </is>
      </c>
    </row>
    <row r="55" ht="219.75" customHeight="1" s="43">
      <c r="A55" s="72" t="inlineStr">
        <is>
          <t>R2</t>
        </is>
      </c>
      <c r="B55" s="72" t="inlineStr">
        <is>
          <t>DEF-026</t>
        </is>
      </c>
      <c r="C55" s="72" t="inlineStr">
        <is>
          <t>I-13</t>
        </is>
      </c>
      <c r="D55" s="72" t="inlineStr">
        <is>
          <t>2026-09-23</t>
        </is>
      </c>
      <c r="E55" s="66" t="inlineStr">
        <is>
          <t>同意驗證者，且六類帳本全部如此：交易「缺少必要欄位（欄位 account）」；股利、換匯「缺少必填欄位 account」；資金、公司行動「帳戶不可空白」；期初 原因欄直接顯示 Python 錯誤文字「'account'」。改表頭後 fee_rule_snapshot 被改寫成 supplied。</t>
        </is>
      </c>
      <c r="F55" s="67" t="inlineStr">
        <is>
          <t>export/ledgers.py:56 `sql = f"SELECT * FROM {table}"`；csv_import.py:107 `canon = [canonical_header(f) for f in fieldnames]`；fees.py:111 `return {"engine": "supplied", "fee": str(fee), "tax": str(tax)}`</t>
        </is>
      </c>
      <c r="G55" s="67" t="inlineStr">
        <is>
          <t>test_import_template.py 只驗「範本↔解析器」；test_export_ledger.py 反而把匯出表頭 id,account_id,… 釘死卻從沒接到匯入端——「匯出↔解析器」完全沒有守門。補：test_every_export_column_has_an_import_decision（走 EXPORT_KINDS 與每表 PRAGMA table_info，每個匯出欄必須是範本欄、別名、交易端額外讀取欄、或列在匯出專用欄清單附理由；任何表新增欄位會在這裡失敗）。</t>
        </is>
      </c>
      <c r="H55" s="67" t="inlineStr">
        <is>
          <t>csv_import.py 集中一處定義並附「匯出欄名↔範本欄名」對照：EXPORT_COLUMN_ALIASES（account_id→account 六類、quantity→shares、fees→fee、trade_date→date）、EXPORT_ONLY_COLUMNS（附忽略理由）、TRANSACTION_IMPORT_ONLY_COLUMNS={fee_rule_snapshot}；別名在共用 normalize_import_csv 套用（六類一起生效，不改路由）；同時有 account 與 account_id 時以範本欄為準、另一欄標示已忽略；交易匯入讀 fee_rule_snapshot（扁平字串 JSON）：fee 與 tax 都供給時經 fees.supplied_snapshot(carried=…) 原樣保存（含 {}）；fee 或 tax 空白時改由引擎計算、舊快照丟棄並提示「已忽略欄位：fee_rule_snapshot（…）」；無效 JSON → 中文硬錯誤；unread_columns_issues() 對交易每列提示「已忽略欄位：id、import_batch_id、source_row_hash（匯出檔的系統欄位，寫入時由系統重新產生）」；範本欄名與 export/ledgers.py 不變；corporate_action_id／band_move_json／weight_move_json 列入匯出專用欄。其他 5 類的「已忽略欄位」提示由收尾包 I-4 補齊。</t>
        </is>
      </c>
      <c r="I55" s="66" t="inlineStr">
        <is>
          <t>六類匯出共 67 欄，39 欄直接相符；不相符 共 28／修 10（別名 9 欄＋快照 provenance 1 欄）／白名單 18（id×5、import_batch_id×5、source_row_hash×5、corporate_action_id、band_move_json、weight_move_json，理由在 EXPORT_ONLY_COLUMNS）。</t>
        </is>
      </c>
      <c r="J55" s="66" t="inlineStr">
        <is>
          <t>新增 tests/contract/test_def026_ledger_export_reimports.py（21：六類預覽 0 錯誤、六類除 id／批次／hash 外逐欄相等、快照原樣保存、已忽略欄位有標示、fee 空白丟棄舊快照、快照無效中文硬錯誤、範本表頭不變、兩種拼法並存、別名守門 2 則；修復前 17 失敗 3 通過）。變異 M2（停用別名）→ 17 則失敗「缺少必要欄位（欄位 account）」「帳戶不可空白」「'account'」；M3（拿掉快照原樣保存）→ 2 則失敗 `['{"engine": …"tax": "930"}'] == ['{"brokerage…`；M4（拿掉已忽略欄位提示）→ 2 則失敗。改回後全過。</t>
        </is>
      </c>
      <c r="K55" s="67" t="inlineStr">
        <is>
          <t>e6fd9f4（已部署 demo）</t>
        </is>
      </c>
      <c r="L55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5" s="68" t="inlineStr">
        <is>
          <t>真實瀏覽器：交易帳本 › 匯出 CSV 原檔直接貼回「貼上 CSV」預覽並寫入 2 列，再以批次復原</t>
        </is>
      </c>
      <c r="N55" s="68" t="inlineStr">
        <is>
          <t>觀察：R1 時匯出檔貼回會因多出的系統欄位報錯
假設：①系統欄位被忽略並提示；②別名表涵蓋匯出表頭
排除：原檔貼回 0 error；56 warn（54 重複＋2 筆 8299 trade_before_opening），並列出「已忽略欄位：id、import_batch_id、source_row_hash…」。寫入第 7、8 列成批次 11 → 新列 #100/#101 與原列逐欄相同（含 fee_rule_snapshot）
定位：別名表變異 → 17 failed
判定：通過</t>
        </is>
      </c>
      <c r="O55" s="68" t="inlineStr">
        <is>
          <t>匯出→貼回可無損往返；復原後 cmp D026 same:true</t>
        </is>
      </c>
      <c r="P55" s="68" t="inlineStr">
        <is>
          <t>複驗通過 → 結案</t>
        </is>
      </c>
      <c r="Q55" s="69" t="inlineStr">
        <is>
          <t>CSV 警告確認對話框仍是通用句「部分列有警告（如賣超）」，依 DEF-025 裁定於下一輪改為逐列確認；8299 在建倉日前的交易也在 CSV 路徑出現 trade_before_opening 警示（屬 DEF-014 同類，行為正確）</t>
        </is>
      </c>
      <c r="R55" s="68" t="inlineStr">
        <is>
          <t>檢驗方 2026-09-24</t>
        </is>
      </c>
    </row>
    <row r="56" ht="219.75" customHeight="1" s="43">
      <c r="A56" s="72" t="inlineStr">
        <is>
          <t>R2</t>
        </is>
      </c>
      <c r="B56" s="72" t="inlineStr">
        <is>
          <t>DEF-004</t>
        </is>
      </c>
      <c r="C56" s="72" t="inlineStr">
        <is>
          <t>I-04</t>
        </is>
      </c>
      <c r="D56" s="72" t="inlineStr">
        <is>
          <t>2026-09-23</t>
        </is>
      </c>
      <c r="E56" s="66" t="inlineStr">
        <is>
          <t>同意驗證者。後端預覽已送出所有值，是前端只有一張交易用的表。</t>
        </is>
      </c>
      <c r="F56" s="67" t="inlineStr">
        <is>
          <t>web/trades.html:205 固定表頭；web/input.js:1256 `tr.appendChild(el('td', 'num', f.shares(d.quantity !== undefined ? d.quantity : d.shares)));`</t>
        </is>
      </c>
      <c r="G56" s="67" t="inlineStr">
        <is>
          <t>test_import_template 只檢查範本在後端能解析，不檢查頁面畫了什麼；CSV 的 e2e 只跑交易這一類；沒有任何測試比對「預覽 data 的鍵」與「前端的欄位」。補：以真的預覽端點跑每類範本、data 每個鍵都必須被該類欄位讀到（或列白名單附理由）的契約測試＋5 類範本 e2e。</t>
        </is>
      </c>
      <c r="H56" s="67" t="inlineStr">
        <is>
          <t>input.js:1275 新增 CSV_COLS（每類各自定義欄名、class、格式器）；日期各讀自己的鍵（期初讀 build_date）；金額一律用 fmt 格式化字串不做算術；換匯「32,000 TWD → 1,000.00 USD」；比例「每 1 股 → 10 股」（兩數不相除，寫法與帳本相同）；帳戶一律 acctZh（pdNames）；renderCsvHead 在切換類型與重畫時重寫 #csv-head；renderCsvPreview(preview, kind) 用發出請求時的類別；代碼型欄位（現金類型、公司行動類型）前端存一份中文對照，由測試逐鍵比對後端 CASH_KIND_ZH 與 KIND_ZH。</t>
        </is>
      </c>
      <c r="I56" s="67" t="inlineStr">
        <is>
          <t>input.js 內用交易欄位畫多類資料的表共 4 張／修 1（CSV 預覽，涵蓋 6 類）；AI 三張原本依類別分欄、只有帳戶欄有問題（併入 DEF-035）；白名單 0。欄位：6 類預覽 data 共 48 個鍵，修前 28 個沒有欄位顯示，修後 47 個有顯示，白名單 1（交易的 note，自由文字，寫入後在交易帳本看得到）。券商對帳單轉換報告的逐列預覽由 DEF-028 處理。</t>
        </is>
      </c>
      <c r="J56" s="66" t="inlineStr">
        <is>
          <t>新增 tests/contract/test_def004_csv_preview_columns.py（18）；e2e tests/e2e/test_def004_def035_input_previews_flow.py::test_every_template_previews_its_own_values（5 類範本貼回去，讀出 600,000、5,000、「32,000 TWD → 1,000.00 USD」、500,000＋2026-01-02、「每 1 股 → 10 股」）。變異（`const k = CSV_COLS[kind] ? kind : 'transactions'` 換回固定交易表）→ 2 則失敗：test_the_preview_renders_with_the_requested_kinds_columns；e2e「expected '600,000'，Actual: #1—台灣券商————✓ 可寫入」（正是驗證者看到的症狀）；變異（刪掉股利的毛額欄）→ 2 則失敗「dividends still does not show ['gross']」。改回後通過。</t>
        </is>
      </c>
      <c r="K56" s="67" t="inlineStr">
        <is>
          <t>e6fd9f4（已部署 demo）</t>
        </is>
      </c>
      <c r="L56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6" s="68" t="inlineStr">
        <is>
          <t>真實瀏覽器：交易帳本 › 貼上 CSV，逐一選 5 種範本（交易／股利／資金／換匯／公司行動）→ 預覽</t>
        </is>
      </c>
      <c r="N56" s="68" t="inlineStr">
        <is>
          <t>觀察：R1 時範本切換後預覽仍用交易欄位
假設：①預覽依範本 key 決定解析器；②只有表頭跟著換
排除：5 種範本各自帶出自己的表頭與值——換匯「32,000 TWD → 1,000.00 USD」、分割「每 1 股 → 10 股」、期初建倉日期欄
定位：開發者修正範本 key 傳遞；變異 const k='transactions' → 1 failed
判定：通過</t>
        </is>
      </c>
      <c r="O56" s="69" t="inlineStr">
        <is>
          <t>5/5 範本預覽使用各自表頭與值</t>
        </is>
      </c>
      <c r="P56" s="68" t="inlineStr">
        <is>
          <t>複驗通過 → 結案</t>
        </is>
      </c>
      <c r="Q56" s="68" t="inlineStr">
        <is>
          <t>防護偏弱：以「只換表頭」變異測試 18 passed 未抓到，只有 regex 釘住 key 的那支測試會失敗；建議補一支以預覽內容（非原始碼字串）驗證的測試</t>
        </is>
      </c>
      <c r="R56" s="68" t="inlineStr">
        <is>
          <t>檢驗方 2026-09-24</t>
        </is>
      </c>
    </row>
    <row r="57" ht="219.75" customHeight="1" s="43">
      <c r="A57" s="72" t="inlineStr">
        <is>
          <t>R2</t>
        </is>
      </c>
      <c r="B57" s="72" t="inlineStr">
        <is>
          <t>DEF-019</t>
        </is>
      </c>
      <c r="C57" s="72" t="inlineStr">
        <is>
          <t>C-04b／C-05</t>
        </is>
      </c>
      <c r="D57" s="72" t="inlineStr">
        <is>
          <t>2026-09-23</t>
        </is>
      </c>
      <c r="E57" s="66" t="inlineStr">
        <is>
          <t>同意驗證者。復原是 broker-import.js 做的，它只重抓批次清單和帳本表格；交易輸入頁的持倉快取只有 input.js 自己寫入時才會清掉。</t>
        </is>
      </c>
      <c r="F57" s="67" t="inlineStr">
        <is>
          <t>web/broker-import.js:229 `try { await window.pdLedgerRefresh(); } catch (e) {…}`；web/input.js:2112 `Object.keys(acctHoldingsCache).forEach((k) =&gt; { delete acctHoldingsCache[k]; });`</t>
        </is>
      </c>
      <c r="G57" s="66" t="inlineStr">
        <is>
          <t>各寫入路徑各自維護一份「寫入後要重抓什麼」，沒有單一來源；既有 e2e test_sell_hints_ledger_refresh_flow 只測 input.js 自己的寫入，沒有測「帳本在別的檔案被改掉」；broker-import.js 註解 F-04 記載過去曾呼叫一個不存在的 pdAfterLedgerChange，被 if 判斷靜默略過。補：呼叫圖守門（每個打寫入端點的函式都必須能走到 refreshAfterLedgerChange）＋批次復原 e2e。</t>
        </is>
      </c>
      <c r="H57" s="66" t="inlineStr">
        <is>
          <t>收斂成單一 refreshAfterLedgerChange(kind, opts)（input.js:2737）：必要時重抓 context → 清掉並重新預熱持倉快取（交易、股利、期初三個帳戶選單），挑選清單開著就重畫 → 重抓最近匯入 → 重抓帳本表格 → 更新賣出提示 → 閃爍新列；input.js 的 5 條寫入路徑（手動交易、賣超確認、CSV、AI、股利與期初單筆表單）都改呼叫它；adoptLedgerSeam()（input.js:2722）在頁面載入完成時接管 window.pdLedgerRefresh，所以 broker-import.js 的復原與一鍵匯入、corp-action-form.js 的公司行動儲存不改一行即走同一條重整。ledger.js 的編輯／刪除（mutationOk()→boot()）由收尾包 I-7 改走接管點。</t>
        </is>
      </c>
      <c r="I57" s="67" t="inlineStr">
        <is>
          <t>trades.html 上會改帳本的成功路徑共 9 處／修 8（input.js 5 處收斂到同一函式，外部 3 處經接管的 window.pdLedgerRefresh）／白名單→跨包 1（ledger.js:235 mutationOk()→boot()，收尾包 I-7）。</t>
        </is>
      </c>
      <c r="J57" s="66" t="inlineStr">
        <is>
          <t>新增 tests/contract/test_def019_single_ledger_refresh.py（7：呼叫圖、只有這個函式能清快取、必須接管 window.pdLedgerRefresh、trades.html 上其他會寫帳本的腳本都必須呼叫接管點、_PENDING 過期會失敗）；e2e test_undoing_a_batch_refreshes_the_input_panes_holdings（寫入一批 CSV → 復原 → 斷言重新請求 /api/input/holdings）。變異（拿掉接管那一行）→ 2 則失敗：test_input_js_adopts_the_page_seam「window.pdLedgerRefresh is not re-pointed」、e2e「Timeout 20000ms … waiting for event "request"」；變異（拿掉 onCsvWritten 的 refresh）→ 1 則失敗「ledger-writing path(s) ['commitCsv'] never reach refreshAfterLedgerChange」。改回後通過。</t>
        </is>
      </c>
      <c r="K57" s="67" t="inlineStr">
        <is>
          <t>e6fd9f4（已部署 demo）</t>
        </is>
      </c>
      <c r="L57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7" s="68" t="inlineStr">
        <is>
          <t>真實瀏覽器：手動輸入「賣出 2603」草稿開著時，於同頁復原匯入批次 11；讀網路請求與草稿持股提示</t>
        </is>
      </c>
      <c r="N57" s="68" t="inlineStr">
        <is>
          <t>觀察：R1 時復原批次後手動草稿仍顯示舊持股
假設：①復原後重抓 context／holdings；②只重抓批次列表
排除：DELETE /api/import/batches/11 後依序 GET /api/import/batches、/api/input/context、/api/ledgers/transactions、/api/input/holdings；草稿「持股 3,000 → 2,999」變為「持股 1,500 → 1,499」
定位：開發者於復原後重新指向 seam；變異移除 → 1 failed
判定：通過</t>
        </is>
      </c>
      <c r="O57" s="68" t="inlineStr">
        <is>
          <t>復原後草稿持股即時更新；復原對話框文案已改為「將刪除這批匯入寫進帳本的 2 筆交易紀錄（來源：貼上 CSV）…」；cmp 相同</t>
        </is>
      </c>
      <c r="P57" s="68" t="inlineStr">
        <is>
          <t>複驗通過 → 結案</t>
        </is>
      </c>
      <c r="Q57" s="68" t="inlineStr">
        <is>
          <t>無</t>
        </is>
      </c>
      <c r="R57" s="68" t="inlineStr">
        <is>
          <t>檢驗方 2026-09-24</t>
        </is>
      </c>
    </row>
    <row r="58" ht="219.75" customHeight="1" s="43">
      <c r="A58" s="72" t="inlineStr">
        <is>
          <t>R2</t>
        </is>
      </c>
      <c r="B58" s="72" t="inlineStr">
        <is>
          <t>DEF-035</t>
        </is>
      </c>
      <c r="C58" s="72" t="inlineStr">
        <is>
          <t>F-04</t>
        </is>
      </c>
      <c r="D58" s="72" t="inlineStr">
        <is>
          <t>2026-09-23</t>
        </is>
      </c>
      <c r="E58" s="66" t="inlineStr">
        <is>
          <t>同意驗證者。</t>
        </is>
      </c>
      <c r="F58" s="67" t="inlineStr">
        <is>
          <t>web/input.js:1773/1808/1825 `tr.appendChild(el('td', 'col-text', d.account_id || ''));`；api/routers/input_center.py:1554 `if not body.text.strip() and not images:`</t>
        </is>
      </c>
      <c r="G58" s="67" t="inlineStr">
        <is>
          <t>test_account_name_single_source 只抓 .account 與 .account_name，明確放行 .account_id（理由是「換成顯示名就是修法」），卻從沒檢查 id 上畫面前有沒有真的換掉；該守門的 _PENDING 早在 2026-09-16 清空（input.js 不在其中），所以有缺陷時仍是綠燈。補：test_no_surface_renders_a_raw_account_id（正向對照＋_ID_PENDING 過期檢查）。</t>
        </is>
      </c>
      <c r="H58" s="66" t="inlineStr">
        <is>
          <t>後端 agents.py:577 revalidate_ai_drafts：把後處理抽成 _build_result，模型解析與手動編輯共用同一條流程（逐列預覽、代號格式檢查、DEF-036 金額檢查、現金類別標籤、伺服器重新產生寫入 CSV），完全不呼叫模型；回應多帶 drafts 與 cash_kinds。input_center.py 只動 AI 門（AiBody.drafts；有 drafts 直接重新檢核；_ai_wire）。前端可編輯欄位：交易（帳戶、日期、買賣、代號、股數、價格）、股利（帳戶、日期、代號、類型、毛額、扣繳、淨額、再投資股數、再投資價格）、資金（帳戶、日期、類型、幣別、金額、取得成本）；帳戶下拉 pdNames.accountOption；改完一格 250ms 防抖送回 AI 門重新檢核（序號，過期回應丟棄）並換成伺服器 CSV，前端不組 CSV；打錯的值保持原樣、框變紅、原因寫在該列且該類不能寫入；費用／稅唯讀由引擎依編輯後股數價格重算；無 drafts 退回唯讀顯示（帳戶中文名）；trades.html 三張 AI 表「模型備註」→「狀態／原因」。</t>
        </is>
      </c>
      <c r="I58" s="66" t="inlineStr">
        <is>
          <t>原始帳戶 id 直接顯示：全站 web/*.js 修前 4 處／修 3（input.js）／跨包 1（web/corp-action-form.js:781 `el('option', null, prefill.account_id)`，收尾包 I-9）；可編輯欄位共 21 個，唯讀白名單 2（交易的費用、稅，引擎為權威）。</t>
        </is>
      </c>
      <c r="J58" s="67" t="inlineStr">
        <is>
          <t>test_account_name_single_source.py 新增 3 則；新增 tests/contract/test_def035_ai_drafts_editable.py（8）、tests/contract/test_def035_ai_edit_door.py（3：LLM 換成一呼叫就報錯的替身，證明編輯重新檢核不叫模型；格式錯誤回 400 中文）、tests/data_ingestion/test_def035_ai_revalidate.py（4）；e2e test_ai_drafts_are_editable_and_a_contradicted_amount_is_not_preticked（股數 10→1000 → 手續費 20→855 → 輸入「1,000」框變紅、原字保留、寫入鈕停用 → 修正 → 寫入 CSV 為編輯後值、source_name「AI 輸入」）。變異（原始 id 放回唯讀分支）→ 2 則失敗「raw account id(s) rendered…input.js: ["…d.account_id || ''…"]」；變異（AI 門忽略 drafts）→ 2 則失敗（400「請提供對帳單文字或至少一張截圖」；e2e count 0）；變異（前端改回走 CSV 門）→ 2 則失敗。改回後通過。</t>
        </is>
      </c>
      <c r="K58" s="67" t="inlineStr">
        <is>
          <t>e6fd9f4（已部署 demo）</t>
        </is>
      </c>
      <c r="L58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8" s="68" t="inlineStr">
        <is>
          <t>真實瀏覽器：交易帳本 › AI 輸入 貼 4 行（2884 買 100@46.45／2884 買 100@46 成交金額 50,000／嘉信 AAPL 賣 2@330／閒聊）→ 解析 → 檢查草稿每格控制項 → 把第 2 列價格改成 500 → 不寫入</t>
        </is>
      </c>
      <c r="N58" s="68" t="inlineStr">
        <is>
          <t>觀察：R1 時草稿每格是純文字、帳戶顯示 tw_broker
假設：①每格改為可編輯控制項並以中文帳戶名顯示；②編輯後重驗
排除：3 列各有 帳戶 select（顯示「台灣券商（TWD）」「嘉信 Schwab（USD）」）、日期 date、買賣 select、代號／股數／價格 text input；閒聊列列在「有 1 列無法歸類（不會寫入…）」。把第 2 列價格 46→500 後自動送 POST /api/input/ai/preview（body 為 drafts、回應 meta.model null、cost null，不再呼叫模型），該列變「✓ 解析完整」，手續費依規則重算 20→71。額度只扣首次解析 0.0005936（3.2697655→3.2691719）
定位：input.js AI 草稿表格；變異還原 drafts 路徑 → 1 failed
判定：通過</t>
        </is>
      </c>
      <c r="O58" s="68" t="inlineStr">
        <is>
          <t>草稿可逐欄編輯、編輯後重驗不花費、中文帳戶名；未寫入，cmp D035 只差額度 0.0005936（本次解析花費）</t>
        </is>
      </c>
      <c r="P58" s="68" t="inlineStr">
        <is>
          <t>複驗通過 → 結案</t>
        </is>
      </c>
      <c r="Q58" s="68" t="inlineStr">
        <is>
          <t>無</t>
        </is>
      </c>
      <c r="R58" s="68" t="inlineStr">
        <is>
          <t>檢驗方 2026-09-24</t>
        </is>
      </c>
    </row>
    <row r="59" ht="219.75" customHeight="1" s="43">
      <c r="A59" s="72" t="inlineStr">
        <is>
          <t>R2</t>
        </is>
      </c>
      <c r="B59" s="72" t="inlineStr">
        <is>
          <t>DEF-036</t>
        </is>
      </c>
      <c r="C59" s="72" t="inlineStr">
        <is>
          <t>F-05</t>
        </is>
      </c>
      <c r="D59" s="72" t="inlineStr">
        <is>
          <t>2026-09-23</t>
        </is>
      </c>
      <c r="E59" s="66" t="inlineStr">
        <is>
          <t>同意驗證者。</t>
        </is>
      </c>
      <c r="F59" s="67" t="inlineStr">
        <is>
          <t>agents.py:92 `note: str | None = None`</t>
        </is>
      </c>
      <c r="G59" s="66" t="inlineStr">
        <is>
          <t>資料結構裡沒有這個欄位，語料格式也表達不出來；加上 extra="forbid"，模型根本無處可放。語料與線上評估只比 CSV 欄位。補：語料格式加 stated_amount／amount_check 並要求三種判定都有案例、確定性重播。</t>
        </is>
      </c>
      <c r="H59" s="67" t="inlineStr">
        <is>
          <t>TxnDraft.stated_amount（agents.py:102，模型只抄不算，不是帳本欄位、不進寫入 CSV）；_append_amount_check（agents.py:337）用 Decimal 把明示金額跟三個候選值比對：股數×價格、＋引擎費稅（買方應付）、−費稅（賣方淨收）；STATED_AMOUNT_TOLERANCE=Decimal("0.01")（股數×價格的 1%）；三者都不符 → 需確認的 amount_mismatch「金額矛盾：文字寫成交金額 50,000，但 100 股 × 46 = 4,600，差距超過 1%；請確認股數、價格與金額後再勾選寫入」，payload amount_mismatch="1"，不補任何欄位、不代選；前端不預設勾選、另顯示「⚠ 金額矛盾」、勾選後寫入前再確認一次。提示詞 AI_INPUT_PROMPT_VERSION v7.4→v8（新增規則「只抄不算、不為了對上而改股數或價格、不要放 note」＋一致／矛盾對照範例）；LIBRARY_VERSION official-v25 (2026-09-23)；test_prompt_registry 通過。</t>
        </is>
      </c>
      <c r="I59" s="66" t="inlineStr">
        <is>
          <t>模型抄寫的數字 vs 結構化欄位 共 6 組：已處理 3（股數×價格 vs 成交金額；張／股換算差 1000 倍同一檢查可抓；股利 扣繳＋淨額≤毛額 既有 check_amounts）；白名單 3（DRIP 再投資股數×價 vs 淨額：碎股四捨五入會誤報；明示手續費／稅 vs 引擎：提示詞禁止模型輸出、引擎為權威；資金金額 vs 家幣取得成本：兩種幣別、F1 禁止由匯率推導）。</t>
        </is>
      </c>
      <c r="J59" s="66" t="inlineStr">
        <is>
          <t>新增 tests/data_ingestion/test_def036_stated_amount.py（7：驗證者原句、一致、含費用應付、賣方淨收、未提及、1% 容差兩邊界 10,120 一致／10,121 矛盾、不進 CSV）；語料 tests/golden/ai_extraction/cases.json 40→45 例（2 矛盾含驗證者原句、2 一致、1 未提及）；test_ai_extraction_corpus.py 新增防腐與確定性重播；test_official_templates 釘住 v8。變異（拿掉 _append_amount_check 呼叫）→ 9 則失敗（test_the_measured_contradiction_is_flagged_not_ok「assert 0 == 1」，語料重播「('amount-contradiction-measured','mismatch',[])」）；變異（改回預設勾選）→ 2 則失敗 e2e「expected not to be checked, Actual: checked」；變異（提示詞拿掉 stated_amount）→ 1 則失敗。改回後通過。</t>
        </is>
      </c>
      <c r="K59" s="67" t="inlineStr">
        <is>
          <t>e6fd9f4（已部署 demo）</t>
        </is>
      </c>
      <c r="L59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59" s="68" t="inlineStr">
        <is>
          <t>同上一次 AI 解析：「2026/09/22 台灣券商 買進 玉山金 2884 100股 成交價 46 成交金額 50,000 元」</t>
        </is>
      </c>
      <c r="N59" s="68" t="inlineStr">
        <is>
          <t>觀察：R1 時 100×46＝4,600 與 50,000 矛盾卻「✓ 解析完整」
假設：①schema 增 stated_amount 並由後端比對；②靠模型自評
排除：回應 data.stated_amount "50000"、amount_mismatch "1"、status warn、kinds ["amount_mismatch"]，reason「金額矛盾：文字寫成交金額 50,000，但 100 股 × 46 = 4,600，差距超過 1%；請確認股數、價格與金額後再勾選寫入」，該列預設不勾選；把價格改成 500（100×500＝50,000）重驗後矛盾消失，證明是後端依數字比對而非模型自評
定位：開發者後端金額檢核；變異關閉 → 3 failed
判定：通過</t>
        </is>
      </c>
      <c r="O59" s="68" t="inlineStr">
        <is>
          <t>矛盾被標示 warn、預設不勾；修正後即解除</t>
        </is>
      </c>
      <c r="P59" s="68" t="inlineStr">
        <is>
          <t>複驗通過 → 結案</t>
        </is>
      </c>
      <c r="Q59" s="68" t="inlineStr">
        <is>
          <t>無</t>
        </is>
      </c>
      <c r="R59" s="68" t="inlineStr">
        <is>
          <t>檢驗方 2026-09-24</t>
        </is>
      </c>
    </row>
    <row r="60" ht="219.75" customHeight="1" s="43">
      <c r="A60" s="72" t="inlineStr">
        <is>
          <t>R2</t>
        </is>
      </c>
      <c r="B60" s="72" t="inlineStr">
        <is>
          <t>DEF-007</t>
        </is>
      </c>
      <c r="C60" s="72" t="inlineStr">
        <is>
          <t>A-02</t>
        </is>
      </c>
      <c r="D60" s="72" t="inlineStr">
        <is>
          <t>2026-09-23</t>
        </is>
      </c>
      <c r="E60" s="66" t="inlineStr">
        <is>
          <t>同意驗證者。攔住 acq-rate 回應、使用者填 31.5 後放行：舊碼欄位變成 33、模式被切回「匯率」；提示句標輸入日。</t>
        </is>
      </c>
      <c r="F60" s="67" t="inlineStr">
        <is>
          <t>web/cash.js:936-939 `if (seq !== acqPrefillSeq) return; … $('#cm-acq-mode').value = 'rate'; $('#cm-acq').value = r.rate;`；:941</t>
        </is>
      </c>
      <c r="G60" s="66" t="inlineStr">
        <is>
          <t>序號（sequence token）被當成「欄位歸屬」的守門，其實它只管回應先後；既有 e2e（test_fx_acq_cost_flow）都等預填落地後才打字，競態視窗從沒被走到；沒有任何靜態規則管「await 之後寫 .value」。補：tests/contract/test_def007_async_field_writes.py（掃描 async/await 後與 .then 回呼裡的 .value 寫入）＋攔截回應的競態 e2e。</t>
        </is>
      </c>
      <c r="H60" s="67" t="inlineStr">
        <is>
          <t>cash.js:122-144 守門 writeIfUntouched(input, expected, next)：await 之後的寫入只能取代頁面已知的值（空值或上次自動填的值），其他一律視為使用者輸入不動；autoFill（記下「這是頁面填的」）、resetField（換帳戶／幣別時同步清空）。prefillAcq：永不切換模式；「家幣金額」模式只在提示顯示參考值；提示句用 r.as_of（「參考值：2026-06-09 收盤…（2026-06-10 尚無收盤匯率，採最近一個交易日）」）；沒寫入時標明「未覆寫你輸入的值」；從「匯率」切到「家幣金額」只撤回頁面自己填的匯率。同類：換匯試算 runEstimate 回填（被擋時轉「已手動指定」）、clearAutoEstimate 撤回、「重新試算」明確交回頁面、兩張表單送出成功後只清掉剛送出的值。其他檔案 11 處真實風險由收尾包 I-12 抽成共用 helper 一併處理。</t>
        </is>
      </c>
      <c r="I60" s="67" t="inlineStr">
        <is>
          <t>web/*.js「async 函式 await 之後」與 .then( 回呼裡的 `.value =` 共 45 處：cash.js 6／修 6（另收進 clearAutoEstimate 與 2 處同步重設）；白名單 28（16 新建 DOM／option、5 巢狀同步事件處理、7 已有 pristine／dirty 旗標：input.js:574/575、ledger.js:479/480、inst-quickadd.js:463/465/496）；跨包 11（settings-prompts.js:99/546/598、settings-prefs.js:27/37/44、export.js:80、input.js:1557、settings-users.js:146-148 → 收尾包 I-12）。</t>
        </is>
      </c>
      <c r="J60" s="66" t="inlineStr">
        <is>
          <t>新增 tests/contract/test_def007_async_field_writes.py（4）、tests/e2e/test_def007_acq_prefill_race_flow.py（2：Playwright 攔住 acq-rate；「匯率」模式填 31.5 後放行值仍 31.5、入帳 acq_home_amount=="31500"；「家幣金額」模式填 31500 值與模式不變；空欄位仍自動帶入）。變異 1（放回舊 cash.js）→ 靜態 3 則失敗「web/cash.js writes an editable field after an await without the DEF-007 guard — line 938 / 939 / 944 / 1054 / 1186 / 1290」「the 取得成本 mode is the owner's choice — no code path may set it」「ReferenceError: autoFill is not defined」；變異 2（舊 cash.js 跑 e2e）→「the late reference overwrote the owner assert '33' == '31.5'」。改回後通過。</t>
        </is>
      </c>
      <c r="K60" s="67" t="inlineStr">
        <is>
          <t>e6fd9f4（已部署 demo）</t>
        </is>
      </c>
      <c r="L60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0" s="68" t="inlineStr">
        <is>
          <t>真實瀏覽器：資金管理 › 出金入金，於頁內把 GET /api/cash/acq-rate 人為延遲 4 秒，期間填入 嘉信 USD 2026-09-23 入金 1,000、匯率 31.5 → 等回應全部到達後寫入，再刪除</t>
        </is>
      </c>
      <c r="N60" s="68" t="inlineStr">
        <is>
          <t>觀察：R1 時晚到的參考匯率會蓋掉使用者輸入並切回「匯率」模式
假設：①晚到回應不再覆寫已輸入值；②只是回應變快而已
排除：人為延遲下 4 支 acq-rate 回應都在輸入後才到，欄位仍為 31.5、模式仍為 rate，提示改為「參考值：2026-09-22 收盤 1 USD = 31.66 TWD（2026-09-23 尚無收盤匯率，採最近一個交易日）（市場中價，僅供參考；未覆寫你輸入的值）」——日期標的是匯率實際日期；POST body acq_rate "31.5"，帳本 acq_home_amount 31500（R1 為 31699）
定位：cash.js 覆寫守門；變異還原 cash.js → 3 failed
判定：通過</t>
        </is>
      </c>
      <c r="O60" s="68" t="inlineStr">
        <is>
          <t>延遲回應不覆寫；提示日期＝匯率實際日；寫入 31,500；刪除後 cmp D007 same:true</t>
        </is>
      </c>
      <c r="P60" s="68" t="inlineStr">
        <is>
          <t>複驗通過 → 結案</t>
        </is>
      </c>
      <c r="Q60" s="68" t="inlineStr">
        <is>
          <t>無</t>
        </is>
      </c>
      <c r="R60" s="68" t="inlineStr">
        <is>
          <t>檢驗方 2026-09-24</t>
        </is>
      </c>
    </row>
    <row r="61" ht="219.75" customHeight="1" s="43">
      <c r="A61" s="72" t="inlineStr">
        <is>
          <t>R2</t>
        </is>
      </c>
      <c r="B61" s="72" t="inlineStr">
        <is>
          <t>DEF-008</t>
        </is>
      </c>
      <c r="C61" s="72" t="inlineStr">
        <is>
          <t>A-05／A-06</t>
        </is>
      </c>
      <c r="D61" s="72" t="inlineStr">
        <is>
          <t>2026-09-23</t>
        </is>
      </c>
      <c r="E61" s="66" t="inlineStr">
        <is>
          <t>同意驗證者。透支訊息有五個出處三種寫法；toast 副行印出錯誤碼。</t>
        </is>
      </c>
      <c r="F61" s="67" t="inlineStr">
        <is>
          <t>validate.py:1793 `f"{account.name} 的 {inp.ccy.value} 帳戶現金 " f"{decimal_str(before.balance)} — 出金不可透支"`；web/shell.js:720 `if (sub) txt.appendChild(el('div', 'sub', sub));`</t>
        </is>
      </c>
      <c r="G61" s="67" t="inlineStr">
        <is>
          <t>test_cash_movement_guard_contract.py 逐字釘住，但它的預期值本身就含「TW Broker」與「3033798.0000」——把缺陷釘成規格；Agent A 的 account_ref 守門只認 f-string 裡的 account_id 與 account.name，看不到不同變數名（account、body.account、acct、acct_id）與間接嵌入（_acct_name=account.name、account_name=）；沒有測試看 toast 副行；api.js 檔頭註解甚至規定把 err.code 當第三參數傳。盲點已補：守門改用更寬的 regex＋關鍵字／預設值掃描，多找到 12 處。</t>
        </is>
      </c>
      <c r="H61" s="66" t="inlineStr">
        <is>
          <t>共用句型：validate.py:184 cash_amount_text（幣別最小單位：TWD 0 位、USD/MYR 2 位、千分位、負號 U+2212 與 format.js 一致）；validate.py:203 cash_dip_sentence「此筆&lt;X&gt;會使 {account:id} 的 CCY 現金於 D 降至 −N（原因）」；出金兩分支（當日「出金當日」、另一條「出金日早於資金到位」）、fx_import 換匯兩分支、cash.py negative_cash 都改走；「帳戶 X 不存在」改 unknown_account_message（cash.py 3、ledgers.py:501、export.py 2）；rebates「帳戶 {account:x} 無折讓款設定」；dividend_inbox.py:286、rebates.py:274/400 的 account_name 改記號；ledgers.py 兩句「期初 {account:x}／SYM 不存在」；OversellError 四份副本收斂成 shared/oversold.py 的 oversold_position_message／oversold_position_issues（Protocol，errors.py／actions.py／export.py／whatif.py 改用）。Toast：web/shell.js window.toast 唯一入口加 DIAG_CODE=/^[a-z][a-z0-9_]*$/，機器碼副行不顯示，改放 title「錯誤碼：…」與 console.debug。剩餘 10 處裸 id（broker_import.py:322、input_center.py:289、validate.py:247、cost_basis.py 六句、dashboard.py:774）由收尾包 I-10 修掉。</t>
        </is>
      </c>
      <c r="I61" s="66" t="inlineStr">
        <is>
          <t>透支句型 共 5／修 5／白名單 0；後端使用者可見句嵌帳戶名／裸 id 共 31：修 21（原 PENDING 18＋寬掃新找 3）／跨包 10（收尾包 I-10）／白名單 11 鍵（原 9＋cash_statement 檔名與 CSV 頁尾、alerts id 鍵）；OversellError 4 副本→1 產生器；toast 附錯誤碼 共 105 處呼叫 28 檔，改 1 個入口，後端 107 個錯誤碼全部符合過濾規則、白名單 0。</t>
        </is>
      </c>
      <c r="J61" s="66" t="inlineStr">
        <is>
          <t>新增 tests/contract/test_def008_pool_guard_sentences.py（9：逐字釘住「…於 2026-09-23 降至 −1（出金當日）…」「…於 2026-07-17 降至 −253,820（出金日早於資金到位）…」，含 USD、換匯、negative_cash、未知帳戶、折讓款）、tests/contract/test_def008_toast_hides_error_codes.py（3）；e2e（test_def007 第 2 則）toast msg「此筆出金會使 嘉信 Schwab 的 USD 現金於 2026-05-01 降至 −500.00（出金當日）…」、無 .sub、title「錯誤碼：withdraw_insufficient_balance」。變異 1（放回舊出金分支＋_acct_name）→ 8 則失敗（「'出金金額 3033799…' == '此筆出金會使 {acco…'」、seam 守門「a backend f-string names an account by its English name or bare id」、guard_contract 5 例）；變異 2（舊 shell.js）→ e2e「the toast still prints a sub-line … 'sub': 'withdraw_insufficient_balance'」。舊措辭斷言重錄 22 處（新行為即裁定）。改回後通過。</t>
        </is>
      </c>
      <c r="K61" s="67" t="inlineStr">
        <is>
          <t>e6fd9f4（已部署 demo）</t>
        </is>
      </c>
      <c r="L61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1" s="68" t="inlineStr">
        <is>
          <t>真實瀏覽器：資金管理 › 台灣券商 2026-07-14 出金 4,000,000（前端放行、後端擋）；另以 API 送今日出金 6,067,596（餘額 6,067,595）</t>
        </is>
      </c>
      <c r="N61" s="68" t="inlineStr">
        <is>
          <t>觀察：R1 時句子帶英文帳戶名、4 位小數、無日期，toast 附錯誤碼
假設：①共用句型＋記號縫＋toast 過濾錯誤碼
排除：②toast「✕ 此筆出金會使 台灣券商 的 TWD 現金於 2026-07-17 降至 −253,820（出金日早於資金到位）— 出金不可透支，請先補登入金或換匯」，錯誤碼只在 title「錯誤碼：withdraw_insufficient_balance」；①API 422「此筆出金會使 {account:tw_broker} 的 TWD 現金於 2026-09-24 降至 −1（出金當日）…」——有日期、有原因、整數格式與 U+2212 負號，帳戶以記號交前端轉中文。前端預檢另有「出金金額超過帳戶現金（6,067,595 TWD）— 出金不可透支」並停用確認鍵。換匯同類句（DEF-024 複驗時看到）「此筆換匯會使 嘉信 Schwab 的 TWD 現金於 2026-07-10 降至 −31,000（換匯當日）」同句型
定位：validate.py cash_dip_sentence／shell.js toast DIAG_CODE；變異 → 3／6 failed
判定：通過</t>
        </is>
      </c>
      <c r="O61" s="68" t="inlineStr">
        <is>
          <t>兩條分支句型一致，無英文名、無原始碼、有日期；未寫入任何列（資金 34 列不變）</t>
        </is>
      </c>
      <c r="P61" s="68" t="inlineStr">
        <is>
          <t>複驗通過 → 結案</t>
        </is>
      </c>
      <c r="Q61" s="68" t="inlineStr">
        <is>
          <t>無</t>
        </is>
      </c>
      <c r="R61" s="68" t="inlineStr">
        <is>
          <t>檢驗方 2026-09-24</t>
        </is>
      </c>
    </row>
    <row r="62" ht="219.75" customHeight="1" s="43">
      <c r="A62" s="72" t="inlineStr">
        <is>
          <t>R2</t>
        </is>
      </c>
      <c r="B62" s="72" t="inlineStr">
        <is>
          <t>DEF-011</t>
        </is>
      </c>
      <c r="C62" s="72" t="inlineStr">
        <is>
          <t>A-16</t>
        </is>
      </c>
      <c r="D62" s="72" t="inlineStr">
        <is>
          <t>2026-09-23</t>
        </is>
      </c>
      <c r="E62" s="66" t="inlineStr">
        <is>
          <t>同意驗證者：是文案錯，行為符合 AI-D42（returns.py XIRR_CASH_KINDS 明列 REBATE）。</t>
        </is>
      </c>
      <c r="F62" s="67" t="inlineStr">
        <is>
          <t>web/dividend-inbox.html:69 `…&lt;b&gt;不計入成本／損益／XIRR&lt;/b&gt;`</t>
        </is>
      </c>
      <c r="G62" s="66" t="inlineStr">
        <is>
          <t>沒有測試把文案跟 AI-D42 的行為綁在一起；標點與語言守門只檢查形式。補：以 portfolio/returns.py::XIRR_CASH_KINDS 為錨的文案守門（HTML 去標籤後整行再讀一次，因為被 &lt;b&gt; 切開的句子原本看不到）。</t>
        </is>
      </c>
      <c r="H62" s="66" t="inlineStr">
        <is>
          <t>改為「不改變持倉成本與資產損益，但會計入 XIRR 與含匯兌總損益」：dividend-inbox.html:69、:80；rebate-inbox.js:221（:157 確認框補 XIRR 說明）；shared/whatsnew.py 兩條（折讓款那條；「三種都不列入 XIRR」那條——融資利息與券商費用其實會計入，同樣違反 AI-D42）。</t>
        </is>
      </c>
      <c r="I62" s="66" t="inlineStr">
        <is>
          <t>「否定詞＋XIRR／損益／報酬」共 20 處：屬「某類現金收支對報酬的影響」7 處——錯 5 全修、對 2 白名單（重組費用是 WITHDRAW 本來就不進 XIRR；「入金／出金／期初與閒置現金利息仍然不算」）；其餘 13 不屬此類（A／B 標籤、取得成本、指數報酬說明、prompt）；另 5 處「不計入成本」正確保留。</t>
        </is>
      </c>
      <c r="J62" s="66" t="inlineStr">
        <is>
          <t>新增 tests/contract/test_def011_cash_kind_copy_matches_ai_d42.py（5：釘住 AI-D42 分類表；折讓款相關句不得「否定詞＋XIRR」；融資利息／券商費用與 XIRR 同句且有否定詞時必須寫明「會計入 XIRR」；面板與 rebate-inbox.js 都必須寫明兩個會變動的數字）。變異（放回舊文案）→ 3 則失敗，點名 rebate-inbox.js:221、dividend-inbox.html:69、:80、whatsnew.py:1244、whatsnew.py:373「三種都不列入 XIRR」，另「AssertionError: panel」。改回後通過。</t>
        </is>
      </c>
      <c r="K62" s="67" t="inlineStr">
        <is>
          <t>e6fd9f4（已部署 demo）</t>
        </is>
      </c>
      <c r="L62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2" s="68" t="inlineStr">
        <is>
          <t>真實瀏覽器：收件匣 › 待確認退款（折讓款）區塊標題、每張卡與頁尾說明文字</t>
        </is>
      </c>
      <c r="N62" s="68" t="inlineStr">
        <is>
          <t>觀察：R1 時文案寫「不計入成本／損益／XIRR」，實際會動 XIRR 與含匯兌總損益
假設：①三處文案都改為與實際行為一致；②只改一處
排除：標題下「它是交易成本的退回：不改變持倉成本與資產損益，但會計入 XIRR 與含匯兌總損益」、3 張卡片內文、頁尾「…但會計入 XIRR 與含匯兌總損益（交易與融資成本項）」三處一致；與 R1 實測（確認 620 後 XIRR 10.22407→10.22472、total_return_fx_complete +620、total_return 不變）相符
定位：dividend-inbox 文案；變異還原 → 2 failed
判定：通過</t>
        </is>
      </c>
      <c r="O62" s="68" t="inlineStr">
        <is>
          <t>三處文案與實際影響一致</t>
        </is>
      </c>
      <c r="P62" s="68" t="inlineStr">
        <is>
          <t>複驗通過 → 結案</t>
        </is>
      </c>
      <c r="Q62" s="68" t="inlineStr">
        <is>
          <t>無</t>
        </is>
      </c>
      <c r="R62" s="68" t="inlineStr">
        <is>
          <t>檢驗方 2026-09-24</t>
        </is>
      </c>
    </row>
    <row r="63" ht="219.75" customHeight="1" s="43">
      <c r="A63" s="72" t="inlineStr">
        <is>
          <t>R2</t>
        </is>
      </c>
      <c r="B63" s="72" t="inlineStr">
        <is>
          <t>DEF-015</t>
        </is>
      </c>
      <c r="C63" s="72" t="inlineStr">
        <is>
          <t>C-01</t>
        </is>
      </c>
      <c r="D63" s="72" t="inlineStr">
        <is>
          <t>2026-09-23</t>
        </is>
      </c>
      <c r="E63" s="66" t="inlineStr">
        <is>
          <t>同意驗證者。</t>
        </is>
      </c>
      <c r="F63" s="67" t="inlineStr">
        <is>
          <t>api/dividend_inbox.py:208 `return f"{len(summary.ok)} 檔事件已更新，{len(summary.failed)} 檔失敗"`；pricing/registry.py:101 `except Exception:  # noqa: BLE001 … continue`</t>
        </is>
      </c>
      <c r="G63" s="67" t="inlineStr">
        <is>
          <t>RefreshSummary 沒有欄位可放理由；沒有測試斷言收件匣的 refreshed 文字；兩套格式器（排程 _summarize 與收件匣）從沒被放在一起比對。補：registry 記理由、格式器句型、收件匣與排程同一句的測試。</t>
        </is>
      </c>
      <c r="H63" s="67" t="inlineStr">
        <is>
          <t>pricing/registry.py 新增 fetch_dividends_explained（每檔記理由「yfinance 逾時／連線失敗／回應錯誤／無配息資料」；整個市場沒有來源時「無可用的配息資料來源」；原 fetch_dividends 三元組介面不變）；RefreshSummary.failed_reasons；唯一格式器 pricing/refresh.py::describe_refresh（「14 檔事件已更新，1 檔失敗（TSLA：yfinance 無配息資料）」）＋refresh_failures 結構化；api/dividend_inbox.py RefreshOutcome 與 scan_sentence（句尾「・待確認 N 筆」）；GET 回應改 refreshed:{updated, failed:[{symbol, reason}], text}，text 與 scan_job 寫進 job_runs 的是同一句；scheduler/jobs.py dividends_daily 與 dividend_inbox_scan 的 fallback 改用 describe_refresh；web/inbox.js 部分失敗時 toast 警告樣式並在面板留一行「上次偵測：…」。</t>
        </is>
      </c>
      <c r="I63" s="66" t="inlineStr">
        <is>
          <t>「配息刷新」彙總的產生處共 3／修 3；其他 _summarize 呼叫（報價、歷史、匯率、基準、回補）9 處仍英文無理由（M10-02 釘住）→ 由 Agent G 於 DEF-030 同類補修。</t>
        </is>
      </c>
      <c r="J63" s="66" t="inlineStr">
        <is>
          <t>新增 tests/api/test_def015_dividend_scan_names_failures.py（7：registry 記理由、refresh 帶理由、格式器句型、收件匣 failed／text 與 scan_job 同一句、不帶 refresh 回 None、兩個排程工作同一格式器、inbox.js 讀結構化欄位）。變異（格式器改回只給計數、registry 改回吞掉理由）→ 5 則失敗（test_the_registry_records_a_reason_per_failed_symbol、test_refresh_dividends_carries_the_reasons、test_one_sentence_names_every_failure_with_its_reason、test_the_inbox_refresh_names…、test_both_scheduler_jobs_use_the_one_formatter）。改回後通過。</t>
        </is>
      </c>
      <c r="K63" s="67" t="inlineStr">
        <is>
          <t>e6fd9f4（已部署 demo）</t>
        </is>
      </c>
      <c r="L63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3" s="68" t="inlineStr">
        <is>
          <t>真實瀏覽器：收件匣 › 待確認匯入 › 重新偵測（外部來源 yfinance）</t>
        </is>
      </c>
      <c r="N63" s="68" t="inlineStr">
        <is>
          <t>觀察：R1 時只說「1 檔失敗」
假設：①回應帶 failed[{symbol, reason}] 並顯示；②只加到 API
排除：GET /api/dividend-inbox?refresh=1 回 refreshed {updated 14, failed [{symbol TSLA, reason「yfinance 無配息資料」}], text…}；toast「! 偵測完成（部分標的失敗）14 檔事件已更新，1 檔失敗（TSLA：yfinance 無配息資料）・待確認 7 筆」，狀態列「上次偵測：…」同句
定位：dividend_inbox refresh 回傳失敗明細；變異只回計數 → 3 failed
判定：通過</t>
        </is>
      </c>
      <c r="O63" s="69" t="inlineStr">
        <is>
          <t>toast 與狀態列點名 TSLA 與原因；收件匣仍 7 筆</t>
        </is>
      </c>
      <c r="P63" s="68" t="inlineStr">
        <is>
          <t>複驗通過 → 結案</t>
        </is>
      </c>
      <c r="Q63" s="68" t="inlineStr">
        <is>
          <t>觀察（不另開、交 owner 參考）：TSLA 本來就不配息，「無配息資料」被歸為「失敗」並把整次偵測標成「部分標的失敗」的警告色；可考慮把「來源回應成功但無配息」與「抓取失敗」分開</t>
        </is>
      </c>
      <c r="R63" s="68" t="inlineStr">
        <is>
          <t>檢驗方 2026-09-24</t>
        </is>
      </c>
    </row>
    <row r="64" ht="219.75" customHeight="1" s="43">
      <c r="A64" s="72" t="inlineStr">
        <is>
          <t>R2</t>
        </is>
      </c>
      <c r="B64" s="72" t="inlineStr">
        <is>
          <t>DEF-017</t>
        </is>
      </c>
      <c r="C64" s="72" t="inlineStr">
        <is>
          <t>C-04</t>
        </is>
      </c>
      <c r="D64" s="72" t="inlineStr">
        <is>
          <t>2026-09-23</t>
        </is>
      </c>
      <c r="E64" s="66" t="inlineStr">
        <is>
          <t>同意驗證者。手動股利表單走匯入管線（刻意的單一驗證門），但批次計數與帳本脫節。</t>
        </is>
      </c>
      <c r="F64" s="67" t="inlineStr">
        <is>
          <t>input_center.py:1510 `"SELECT id, kind, broker, source_name, source_sha256, imported_at, row_count, status FROM import_batches …"`；ledgers.py:763 remove_dividend（不處理批次）</t>
        </is>
      </c>
      <c r="G64" s="67" t="inlineStr">
        <is>
          <t>provenance 的測試只驗證「批次復原 → 刪帳本列」這個方向，從沒驗證「刪帳本列 → 批次」。補：四類參數化＋公司行動＋驗證者原案例的契約測試。</t>
        </is>
      </c>
      <c r="H64" s="66" t="inlineStr">
        <is>
          <t>讀取時推導而非改六個 DELETE 入口：data_ingestion/provenance.py list_batches——row_count 即時計算各帳本表仍帶該 import_batch_id 的列，原存數字改 written_count；已無剩餘列的批次不列出（不論從哪個入口刪）；is_undoable（openings 表以（帳戶,代號）覆寫、列上沒有批次 id → undoable:false）。DELETE /api/import/batches/{id}：列已刪光回 {deleted:0, import_batch_id, message:"此批次的列已在帳本中刪除"} 並清掉空批次紀錄；openings 批次 422 batch_not_undoable；有剩餘列的正常復原回應逐字不變。前端（input.js）手動股利與期初庫存表單送 source_name:"手動輸入"，CSV 匯入送檔名／「貼上 CSV」，AI 寫入送「AI 輸入」，最近匯入清單顯示來源；broker-import.js 的批次清單／復原對話框（undoable、written_count、deleted 0 的訊息、矛盾文案）由收尾包 I-8 處理。</t>
        </is>
      </c>
      <c r="I64" s="66" t="inlineStr">
        <is>
          <t>會刪帳本列的 DELETE 入口共 6：5 個有批次追蹤全部由讀取時推導涵蓋；openings 1 個標示不可復原。走 /api/import/commit 的手動表單共 2（input.js 股利、期初庫存），換匯與資金在 cash.js 走 /api/cash/fx、/api/cash/movements 不產生批次。</t>
        </is>
      </c>
      <c r="J64" s="66" t="inlineStr">
        <is>
          <t>新增 tests/contract/test_def017_batches_follow_the_ledger.py（8：交易、股利、換匯、資金各一例刪一列後 row_count 2→1、刪最後一列後批次不再列出；公司行動一例；驗證者原案例 source_name="手動輸入" 刪除後復原得如實回應且紀錄被清除；正常復原回應逐字不變；openings 批次不可復原）；e2e 驗證最近匯入顯示「貼上 CSV」。變異（放回舊清單查詢與舊 DELETE）→ 7 則失敗（4 KeyError 'written_count'、2「assert 1 not in {1: …}」、1 KeyError 'undoable'）。改回後通過。</t>
        </is>
      </c>
      <c r="K64" s="67" t="inlineStr">
        <is>
          <t>e6fd9f4（已部署 demo）</t>
        </is>
      </c>
      <c r="L64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4" s="68" t="inlineStr">
        <is>
          <t>真實瀏覽器：交易帳本 › 股利表單寫入 2884 現金股利 100（2026-09-23）→ 於帳本股利分頁刪除 → 同頁回 CSV 匯入看「最近匯入」並按復原</t>
        </is>
      </c>
      <c r="N64" s="68" t="inlineStr">
        <is>
          <t>觀察：API 面已修——寫入後 GET /api/import/batches 為 {id 12, source_name「手動輸入」, row_count 1, written_count 1, undoable true}，最近匯入顯示來源「手動輸入」；從帳本刪除後 GET /api/import/batches → []
假設：①同頁的最近匯入清單會跟著刷新；②只有重新載入才會刷新
排除：刪除後 DELETE /api/ledgers/dividends/44 之後沒有任何 GET /api/import/batches，同頁清單仍顯示「2026-09-24 02:28:56 股利 手動輸入 1 復原」，排除①。按復原 → 對話框仍寫「將刪除這批匯入寫進帳本的 1 筆股利紀錄」，實際 DELETE /api/import/batches/12 回 {deleted:0, message:「此批次的列已在帳本中刪除」}，toast「! 沒有可復原的列」，清單此時才刷新為「尚無匯入紀錄」
定位：input.js 帳本刪除成功後未重抓批次清單（與 DEF-019 復原後重抓 seam 為反方向）；復原對話框筆數取清單快取的 row_count
判定：部分通過——後端與重新載入後的畫面正確；同頁操作時對話框筆數仍與實際不符（R1 所報「文案說刪 1 筆、實際 0 筆」在同頁情境仍可重現）</t>
        </is>
      </c>
      <c r="O64" s="69" t="inlineStr">
        <is>
          <t>API 正確；同頁清單與復原對話框未刷新，仍寫「將刪除 1 筆」而實刪 0 筆；cmp D017 same:true</t>
        </is>
      </c>
      <c r="P64" s="68" t="inlineStr">
        <is>
          <t>部分通過</t>
        </is>
      </c>
      <c r="Q64" s="68" t="inlineStr">
        <is>
          <t>帳本任一刪除（交易／股利／換匯／資金／公司行動）成功後，同頁「最近匯入」清單需重抓 /api/import/batches；或復原對話框開啟前先重抓該批次最新 row_count</t>
        </is>
      </c>
      <c r="R64" s="68" t="inlineStr">
        <is>
          <t>檢驗方 2026-09-24</t>
        </is>
      </c>
    </row>
    <row r="65" ht="219.75" customHeight="1" s="43">
      <c r="A65" s="72" t="inlineStr">
        <is>
          <t>R2</t>
        </is>
      </c>
      <c r="B65" s="72" t="inlineStr">
        <is>
          <t>DEF-002</t>
        </is>
      </c>
      <c r="C65" s="72" t="inlineStr">
        <is>
          <t>J-05</t>
        </is>
      </c>
      <c r="D65" s="72" t="inlineStr">
        <is>
          <t>2026-09-23</t>
        </is>
      </c>
      <c r="E65" s="66" t="inlineStr">
        <is>
          <t>同意驗證者。修前實測 1,440px 時 scrollWidth 3,874、390px 時 3,673；兩層原因：變數表沒包捲動容器＋td nowrap。</t>
        </is>
      </c>
      <c r="F65" s="67" t="inlineStr">
        <is>
          <t>web/settings-prompts.js:724 `const table = el('table', 'data vars-table');`；:777 `sec.appendChild(table);`；web/styles.css:866 `table.data td { white-space: nowrap; }`</t>
        </is>
      </c>
      <c r="G65" s="66" t="inlineStr">
        <is>
          <t>應由版面溢位守門（tests/e2e/test_no_horizontal_scroll.py:73-78 _assert_no_h_scroll）攔下，它有三個盲點：(1) 載入後直接量、從不展開 &lt;details&gt;（收合內容不參與版面）；(2) settings.html 8 個分頁只量到預設與 5 個有轉址頁的分頁，預警規則／通知中心／匯出中心從沒顯示過；(3) settings-*.html 轉址是同一份文件的 hash 切換，上一頁展開狀態帶進下一頁。三個都已修：每次量測前 goto about:blank；先量一次再 _EXPAND 打開所有 &lt;details&gt; 與 [aria-expanded=false] 再量；逐一走 8 個分頁；新增指定走到「數據變數總表」的測試並證明展開發生（opened≥1）。</t>
        </is>
      </c>
      <c r="H65" s="66" t="inlineStr">
        <is>
          <t>原則：每張表都在自己的水平捲動容器（優先 .table-wrap；不能改 JS 的在容器 CSS 加 overflow-x:auto）。settings-prompts.js 變數表包進 .table-wrap；settings.css：td.vars-desc 可換行（min 220px）、#users-wrap overflow-x:auto（settings-users.js 改容器不動 JS）、.billing-grid &gt; * { min-width:0 }（新守門抓到自己修法造成的回歸：加值歷史表包 .table-wrap 後手機寬度 min 640px 撐大 grid，390px 頁寬 673）；settings.html:288 加值歷史表包 .table-wrap；pipeline.js 運行記錄表包 .table-wrap。</t>
        </is>
      </c>
      <c r="I65" s="66" t="inlineStr">
        <is>
          <t>表格建立點共 45（JS 14、HTML 31；變數總表 1 個建立點產生 11 張表）：修 4（settings-prompts.js 變數表、pipeline.js 運行記錄表、settings.html:288 加值歷史表、settings-users.js 表改 CSS 容器）／白名單 5（.rbt-detail、.ca-modal .ca-acct、.ccyret-table-wrap 容器本身會捲；index.html table.fresh 兩欄新鮮度表由展開後掃描量測；白名單 CSS 規則由測試讀回驗證）／原本就有包 36。</t>
        </is>
      </c>
      <c r="J65" s="66" t="inlineStr">
        <is>
          <t>新增 tests/contract/test_def002_tables_scroll_inside_a_wrap.py（4，表格數量鎖定 JS 14、HTML 31）；改寫 tests/e2e/test_no_horizontal_scroll.py 並新增 test_prompt_variable_tables_scroll_inside_their_own_wrap[1440/390]。修前 e2e 失敗「settings.html#prompts @ 1440px scrolls horizontally once its disclosures are expanded ({'opened': 7, 'clicked': 1}): document scrollWidth=3874」（未展開的第一次量測是通過的）。變異（sec.appendChild(table) 放回）→ 2 則失敗：test_every_js_table_is_inside_a_horizontal_scroller「settings-prompts.js:728 `table` (class 'data vars-table') is appended into sec (vars-cat)」、test_the_variable_tables_are_the_reproduction「assert 'table-wrap' in ['vars-cat']」。改回後 test_no_horizontal_scroll.py 整檔 17 passed。</t>
        </is>
      </c>
      <c r="K65" s="67" t="inlineStr">
        <is>
          <t>e6fd9f4（已部署 demo）</t>
        </is>
      </c>
      <c r="L65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5" s="68" t="inlineStr">
        <is>
          <t>真實瀏覽器模擬 390×844 → 系統設定 #prompts → 展開「數據變數總表 38 個變數」；另以同源 iframe（390px）掃 13 個頁面／分頁的 scrollWidth（J-05）</t>
        </is>
      </c>
      <c r="N65" s="68" t="inlineStr">
        <is>
          <t>觀察：R1 時展開後整頁 scrollWidth 3,673
假設：①表格包進可橫捲容器；②只是縮字
排除：展開後 document.documentElement.scrollWidth＝390（展開前也是 390），11 張表最寬 715px，但父層 overflow-x:auto，只在表格區內橫捲，排除②。J-05 同步掃描：index、trades、dividend-inbox、cash、instruments、insights、pipeline-hub、news、data-center、settings（含 #prompts／#llm／#scheduler）scrollWidth 全部＝390
定位：settings-prompts.js 表格外層容器；變異還原 → 2 failed
判定：通過</t>
        </is>
      </c>
      <c r="O65" s="69" t="inlineStr">
        <is>
          <t>390px 展開後 scrollWidth 390；13 頁皆無整頁橫捲</t>
        </is>
      </c>
      <c r="P65" s="68" t="inlineStr">
        <is>
          <t>複驗通過 → 結案</t>
        </is>
      </c>
      <c r="Q65" s="68" t="inlineStr">
        <is>
          <t>觀察（不另開）：收件匣「待確認退款」標題下的副標題 nowrap＋ellipsis，390px 時 DEF-011 新增的關鍵句「不改變持倉成本與資產損益，但會計入 XIRR…」被截掉（scrollWidth 849／clientWidth 349）；同句在卡片內文與頁尾可完整看到</t>
        </is>
      </c>
      <c r="R65" s="68" t="inlineStr">
        <is>
          <t>檢驗方 2026-09-24</t>
        </is>
      </c>
    </row>
    <row r="66" ht="219.75" customHeight="1" s="43">
      <c r="A66" s="72" t="inlineStr">
        <is>
          <t>R2</t>
        </is>
      </c>
      <c r="B66" s="72" t="inlineStr">
        <is>
          <t>DEF-031</t>
        </is>
      </c>
      <c r="C66" s="72" t="inlineStr">
        <is>
          <t>H-04／H-05</t>
        </is>
      </c>
      <c r="D66" s="72" t="inlineStr">
        <is>
          <t>2026-09-23</t>
        </is>
      </c>
      <c r="E66" s="66" t="inlineStr">
        <is>
          <t>同意驗證者。按鈕只有 toast；乾跑預檢 R2/R4 的 edit_universe 修正動作導向的也是這顆按鈕。</t>
        </is>
      </c>
      <c r="F66" s="67" t="inlineStr">
        <is>
          <t>web/pipeline.js:463 `be.addEventListener('click', function () { window.toast('編輯標的', 'ok', …); });`；:51 `edit_universe: { … run: function (t) { openDrawer(t, 'input'); } }`</t>
        </is>
      </c>
      <c r="G66" s="66" t="inlineStr">
        <is>
          <t>沒有測試檢查按下後的效果；站點架構圖把抽屜的 DELETE 套到每顆按鈕，這顆被標成 WIRED-API 看起來像有接線；沒有「處理器只有一個 toast」守門，也沒有比對後端 fix.kind 與前端 FIX_KINDS。補：test_no_pipeline_click_handler_is_only_a_toast＋fix.kind 對映測試＋e2e。</t>
        </is>
      </c>
      <c r="H66" s="67" t="inlineStr">
        <is>
          <t>pipeline.js 新增 ppUniverseModal 對話框（全部持倉／含觀察標的／自選）；自選用共用 ppUniversePicker（一個代號一列、名稱、帳戶 chip 走 pdNames.accountShort、觀察標的標「觀察」、全選／全部持倉／清除、即時「將分析 N 檔標的・每次 N 張洞察卡」）；儲存由單一 helper taskBody(full, patch) 組 PUT 只改 universe（setEnabled 也改走，兩處不會各漏欄位）；儲存後重整任務卡並以最新資料重開抽屜，「② 輸入 N 檔標的」由後端重算；edit_universe 修正動作直接開此對話框；非單一標的範圍的任務仍開抽屜；pipeline-hub.html 加載 names.js；pipeline.css .pp-uni-*。</t>
        </is>
      </c>
      <c r="I66" s="67" t="inlineStr">
        <is>
          <t>pipeline 四檔 click 處理器＋修正動作死路 共 3／修 2（pipeline.js:463、:51）／白名單 1（pipeline-preflight.js:43 未對映 fix.kind 時的 toast——新增比對測試證明不可達：後端 6 種 kind 全在前端 9 個 FIX_KINDS 裡）；四檔 21 個 toast 其餘都伴隨實際動作。</t>
        </is>
      </c>
      <c r="J66" s="66" t="inlineStr">
        <is>
          <t>新增 tests/contract/test_def031_universe_edit.py（5）、tests/e2e/test_def031_universe_dialog_flow.py（3）。修前／變異失敗：test_the_button_and_the_fix_action_open_the_universe_dialog「the toast-only 編輯標的 handler is back」、test_no_pipeline_click_handler_is_only_a_toast「click handlers that only toast: ['pipeline.js:463']」、e2e test_edit_universe_opens_a_dialog… 與 test_the_preflight_edit_universe_fix_opens_the_dialog「Locator expected to have text '編輯標的 — 個股健檢' … element(s) not found」。改回後 contract 5 passed、e2e 3 passed。</t>
        </is>
      </c>
      <c r="K66" s="67" t="inlineStr">
        <is>
          <t>e6fd9f4（已部署 demo）</t>
        </is>
      </c>
      <c r="L66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6" s="68" t="inlineStr">
        <is>
          <t>真實瀏覽器：以精靈建立暫存任務「QA R2 暫存任務（DEF-031）」（自選 2884、個股健檢策略、關閉自我校正；乾跑預檢不花費）→ 開「② 輸入」抽屜 → 編輯標的 → 加勾 2330 → 儲存標的 → 刪除暫存任務</t>
        </is>
      </c>
      <c r="N66" s="68" t="inlineStr">
        <is>
          <t>觀察：R1 時「編輯標的」只跳 toast
假設：①開啟真正的標的選擇器並寫回任務；②只換文案
排除：按鈕開出與精靈相同的選擇器（全部持倉 13／含觀察 26／自選），預先勾好目前的 2884，即時摘要「將分析 2 檔標的・每次 2 張洞察卡」；儲存送 PUT /api/insight-tasks/11 universe {custom, [2330, 2884]} 200，toast「✓ 已更新標的 …：2 檔標的」，GET 回讀相同。刪除框「將同步移除排程、整條校正鏈封存；歷史洞察與運行記錄保留可反查（軟刪除）」→ DELETE 200，任務清單回到 1,2,7,8,9，排程工作只剩 insight:7／8。額度 3.2697655 前後不變
定位：pipeline.js；變異還原 → 2 failed
判定：通過</t>
        </is>
      </c>
      <c r="O66" s="68" t="inlineStr">
        <is>
          <t>編輯標的可用且寫回；暫存任務已刪除、無花費</t>
        </is>
      </c>
      <c r="P66" s="68" t="inlineStr">
        <is>
          <t>複驗通過 → 結案</t>
        </is>
      </c>
      <c r="Q66" s="68" t="inlineStr">
        <is>
          <t>無</t>
        </is>
      </c>
      <c r="R66" s="68" t="inlineStr">
        <is>
          <t>檢驗方 2026-09-24</t>
        </is>
      </c>
    </row>
    <row r="67" ht="219.75" customHeight="1" s="43">
      <c r="A67" s="72" t="inlineStr">
        <is>
          <t>R2</t>
        </is>
      </c>
      <c r="B67" s="72" t="inlineStr">
        <is>
          <t>DEF-032</t>
        </is>
      </c>
      <c r="C67" s="72" t="inlineStr">
        <is>
          <t>H-04</t>
        </is>
      </c>
      <c r="D67" s="72" t="inlineStr">
        <is>
          <t>2026-09-23</t>
        </is>
      </c>
      <c r="E67" s="66" t="inlineStr">
        <is>
          <t>同意驗證者，並發現延伸後果：兩個 AAPL 都勾會存成 ["AAPL","AAPL"]，後端自選模式沒去重 → 同一代號產生 2 張卡、收 2 次費用。</t>
        </is>
      </c>
      <c r="F67" s="67" t="inlineStr">
        <is>
          <t>web/pipeline-wizard.js:82 `REF.held = (…holdings…).map(function (h) { return h.symbol; });`；insight_service.py:142 `return list(syms) if isinstance(syms, list) else []`</t>
        </is>
      </c>
      <c r="G67" s="67" t="inlineStr">
        <is>
          <t>golden 測試資料裡沒有任何代號同時在兩個帳戶；已有的 _seed_dual_account 只被再平衡測試使用；精靈完全沒有測試。補：以 golden＋第二個 AAPL 帳戶列跑真正 pipeline.js 的 node 測試＋e2e。</t>
        </is>
      </c>
      <c r="H67" s="67" t="inlineStr">
        <is>
          <t>pipeline.js 新增唯一定義 window.ppUniverseSource／ppUniverseSymbols（對齊後端解析器）與 ppLoadUniverse；精靈的計數、成本估算、自選清單與 DEF-031 對話框用同一套函式與 picker；自選說明改「勾選持倉或觀察標的」；後端 insight_service.py 新增 _custom_symbols，兩個解析器都在讀取端去重（保留首次出現順序），已存進資料庫的重複資料一併修正。</t>
        </is>
      </c>
      <c r="I67" s="66" t="inlineStr">
        <is>
          <t>前端從持倉列推導代號／數量 共 1／修 1；後端自選模式沒去重 共 2／修 2；白名單 3（app.js:481 帳戶清單、rebalance.js:179 已按代號分組、detail.js:143 刻意以帳戶＋代號為單位）。</t>
        </is>
      </c>
      <c r="J67" s="66" t="inlineStr">
        <is>
          <t>新增 tests/contract/test_def032_universe_source.py（5，node 執行 pipeline.js）、e2e test_the_wizard_lists_and_counts_symbols_not_holding_rows。變異失敗：test_a_symbol_held_in_two_accounts_counts_once（AAPL 出現 2 列）、test_the_wizard_reads_the_shared_source…「pipeline-wizard.js maps dashboard holding ROWS to symbols again」、test_a_duplicated_custom_symbol_is_one_symbol「assert '3 檔標的' == '2 檔標的'」、e2e「Locator expected to contain text '2 檔' / Actual value: 全部持倉3 檔・自動跟隨持倉變動」。改回後通過。</t>
        </is>
      </c>
      <c r="K67" s="67" t="inlineStr">
        <is>
          <t>e6fd9f4（已部署 demo）</t>
        </is>
      </c>
      <c r="L67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7" s="68" t="inlineStr">
        <is>
          <t>真實瀏覽器：洞察管線 › ＋新增洞察任務 → 先不排程 → 單一標的 → 看範圍計數與管線預覽 → 自選標的清單</t>
        </is>
      </c>
      <c r="N67" s="68" t="inlineStr">
        <is>
          <t>觀察：R1 時以持倉列計數（14 檔、AAPL 兩個勾選框）
假設：①前端以代號去重；②後端去重
排除：範圍選項「全部持倉 13 檔・自動跟隨持倉變動」「含觀察標的 26 檔」，管線預覽「全部持倉 13 檔・每檔 1 卡／產出 13 張洞察卡/次／~$0.13」；自選清單 26 個勾選框，AAPL 只 1 個、標示「嘉信 Moomoo MY」兩帳戶
定位：前端 held 改由代號彙整（變異 032b → 2 failed）；後端去重變異 5 passed 未抓到，但前端已去重、行為正確
判定：通過</t>
        </is>
      </c>
      <c r="O67" s="69" t="inlineStr">
        <is>
          <t>13 檔／26 檔，AAPL 單一勾選框</t>
        </is>
      </c>
      <c r="P67" s="68" t="inlineStr">
        <is>
          <t>複驗通過 → 結案</t>
        </is>
      </c>
      <c r="Q67" s="68" t="inlineStr">
        <is>
          <t>防護提醒：後端去重的變異測試 5 passed（沒有測試抓到後端回傳重複列），目前靠前端彙整；建議補後端契約測試</t>
        </is>
      </c>
      <c r="R67" s="68" t="inlineStr">
        <is>
          <t>檢驗方 2026-09-24</t>
        </is>
      </c>
    </row>
    <row r="68" ht="219.75" customHeight="1" s="43">
      <c r="A68" s="72" t="inlineStr">
        <is>
          <t>R2</t>
        </is>
      </c>
      <c r="B68" s="72" t="inlineStr">
        <is>
          <t>DEF-034</t>
        </is>
      </c>
      <c r="C68" s="72" t="inlineStr">
        <is>
          <t>F-03</t>
        </is>
      </c>
      <c r="D68" s="72" t="inlineStr">
        <is>
          <t>2026-09-23</t>
        </is>
      </c>
      <c r="E68" s="66" t="inlineStr">
        <is>
          <t>同意驗證者，e2e 重現：兩次存閾值後點一次開關送出 3 個 PUT。同頁其他在 boot() 內處理的控制項都不累積（renderModels 只綁自己重建的節點；renderRoles 用 onchange 屬性；圖表有 if (!llmChart)；resize 在模組層只綁一次）。</t>
        </is>
      </c>
      <c r="F68" s="67" t="inlineStr">
        <is>
          <t>web/settings-llm.js:611 `initAutoAiToggle();`；:627 `t.addEventListener('click', async () =&gt; {`</t>
        </is>
      </c>
      <c r="G68" s="66" t="inlineStr">
        <is>
          <t>既有的 L13 測試只做靜態存在檢查；沒有 e2e 走「重載之後再點」；沒有「可重入函式重複綁定」守門。補：test_def034_rebinding_listeners（boot() 及其遞迴呼叫的函式不得綁頁面既有元素；全站可重入函式無守門數必須為 0）＋e2e。</t>
        </is>
      </c>
      <c r="H68" s="66" t="inlineStr">
        <is>
          <t>改成頁面初始化時執行一次的 IIFE（與同檔 initThreshold／initTopup 同一寫法），boot() 只負責載入資料；開關的顯示狀態由它自己 PUT 的回應更新。</t>
        </is>
      </c>
      <c r="I68" s="66" t="inlineStr">
        <is>
          <t>掃 web/*.js（先剝掉註解）「有 ≥2 個呼叫點或被這類函式呼叫、且對頁面既有元素 addEventListener」的函式 共 7／修 1（settings-llm.js initAutoAiToggle）／白名單 6（charts.js wireModeOnce 有 modeWired 旗標；digest.js openHistory、settings-scheduler.js openRunModal、instruments.js delInstrument、whatsnew.js _renderPanel 有對應 removeEventListener；whatsnew.js _startArrival 先 _endArrival）；第一版掃描沒剝註解多報 5 個假陽性，逐一查證都只呼叫一次。</t>
        </is>
      </c>
      <c r="J68" s="66" t="inlineStr">
        <is>
          <t>新增 tests/contract/test_def034_rebinding_listeners.py（3）、tests/e2e/test_def034_auto_ai_toggle_binds_once.py（兩次存閾值後點開關只能有 1 個 PUT）。變異失敗：「boot() re-binds page elements on every reload: {'initAutoAiToggle': ['t.addEventListener']}」「{'settings-llm.js': ['initAutoAiToggle']}」、e2e「one click sent 3 PUT /api/ui-prefs — listeners stacked on reload / assert 3 == 1」。改回後通過。</t>
        </is>
      </c>
      <c r="K68" s="67" t="inlineStr">
        <is>
          <t>e6fd9f4（已部署 demo）</t>
        </is>
      </c>
      <c r="L68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8" s="68" t="inlineStr">
        <is>
          <t>真實瀏覽器：系統設定 › AI 與額度，低額度警示 1.00→1.50→1.00（各離開欄位一次）→ 點一下「代號查無時自動 AI 辨識」開關 → 再點一下還原</t>
        </is>
      </c>
      <c r="N68" s="68" t="inlineStr">
        <is>
          <t>觀察：R1 時每存一次閾值就多綁一個監聽，點一下送 3 次 PUT
假設：①監聽只綁一次；②去抖
排除：兩次閾值儲存各送 1 次 PUT /api/llm/quota（1.50、1.00）；之後點開關只送 1 次 PUT /api/ui-prefs {auto_ai_resolve:false}、只 1 個 toast「✓ 已儲存 不再自動 AI 辨識…」；再點一次送 1 次 {auto_ai_resolve:true}
定位：settings-llm.js；變異還原 → 2 failed
判定：通過</t>
        </is>
      </c>
      <c r="O68" s="68" t="inlineStr">
        <is>
          <t>兩次儲存後點一下＝1 次 PUT；閾值與開關皆已還原（1.00、true）</t>
        </is>
      </c>
      <c r="P68" s="68" t="inlineStr">
        <is>
          <t>複驗通過 → 結案</t>
        </is>
      </c>
      <c r="Q68" s="68" t="inlineStr">
        <is>
          <t>無</t>
        </is>
      </c>
      <c r="R68" s="68" t="inlineStr">
        <is>
          <t>檢驗方 2026-09-24</t>
        </is>
      </c>
    </row>
    <row r="69" ht="219.75" customHeight="1" s="43">
      <c r="A69" s="72" t="inlineStr">
        <is>
          <t>R2</t>
        </is>
      </c>
      <c r="B69" s="72" t="inlineStr">
        <is>
          <t>DEF-038</t>
        </is>
      </c>
      <c r="C69" s="72" t="inlineStr">
        <is>
          <t>E-01</t>
        </is>
      </c>
      <c r="D69" s="72" t="inlineStr">
        <is>
          <t>2026-09-23</t>
        </is>
      </c>
      <c r="E69" s="66" t="inlineStr">
        <is>
          <t>同意驗證者。另在數據變數總表發現 2 處殘留「其中 N 個待後端新增」「需新增資料快照（spec 06）」，variables.py 已把這些變數註冊為 available=True。</t>
        </is>
      </c>
      <c r="F69" s="67" t="inlineStr">
        <is>
          <t>web/shell.js:425 `btn.title = '更新報價或重建統計（後端接線後生效）';`；web/pipeline-hub.html:47 `&lt;a class="pp-asset" href="settings.html"&gt;`</t>
        </is>
      </c>
      <c r="G69" s="66" t="inlineStr">
        <is>
          <t>沒有殘留文案的守門，也沒有「連結必須帶分頁且錨點存在」的守門。補：test_def038_residual_copy_and_settings_links（殘留文案清單＋每條 settings 連結必須帶分頁與真實錨點）＋深連結 e2e。</t>
        </is>
      </c>
      <c r="H69" s="67" t="inlineStr">
        <is>
          <t>① tooltip 改「更新報價或重建統計」；settings-prompts.js 兩處殘留改「其中 N 個取自外部資料快照」「外部資料快照」、:469 過期註解更正。② settings.html 路由新增 #分頁/錨點 語法（parseHash／goAnchor：找該分頁內帶 data-anchor 的元素，收合的 details 先打開再捲過去；非同步生成用 MutationObserver 等最多 10 秒並於 0.4／1.2 秒補捲）；錨點 templates／vars／evolution；連結：進化設定 settings.html#prompts/evolution、數據變數庫 #prompts/vars、分析模板庫與 pipeline.js／精靈的模板庫連結、enable_template #prompts/templates。</t>
        </is>
      </c>
      <c r="I69" s="66" t="inlineStr">
        <is>
          <t>殘留文案：關鍵字 grep 22 行——使用者可見 3 行修 3（shell.js:425、settings-prompts.js:712、:723）、過期註解 1 行更正、白名單 19（17 行如實記錄 mock 退役的註解、2 行只是 class 名稱）；沒有真正未實作需保留的文案。指向 settings.html 的連結共 46：不帶分頁 4——修 1（pipeline-hub.html:47）、白名單 3（shell.js 側欄本就去預設分頁；whatsnew.js:93 是頁名比對；alerts.js:43 跨包 → 收尾包 I-15）；另 5 條精準化到區塊錨點；修後 37 只帶分頁、6 帶錨點。</t>
        </is>
      </c>
      <c r="J69" s="66" t="inlineStr">
        <is>
          <t>新增 tests/contract/test_def038_residual_copy_and_settings_links.py（5）、tests/e2e/test_def038_settings_deep_links.py（3：真的點三張資產卡，檢查分頁是「AI 提示詞」、目標區塊在視窗內、details 已打開）。修 shell.js 前失敗「stale 'not wired yet' copy: ['shell.js:425 接線後生效']」；變異（連結改回 settings.html）→ test_every_settings_link_names_a_tab_and_a_real_anchor「settings links that land on the wrong place」、test_the_evolution_card_lands_on_the_evolution_panel 失敗、e2e「TimeoutError: Timeout 30000ms exceeded」。改回後 contract 5 passed、e2e 3 passed。</t>
        </is>
      </c>
      <c r="K69" s="67" t="inlineStr">
        <is>
          <t>e6fd9f4（已部署 demo）</t>
        </is>
      </c>
      <c r="L69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69" s="68" t="inlineStr">
        <is>
          <t>真實瀏覽器：儀表板「⟳重新整理」tooltip；洞察管線 › 點「進化設定 5 項安全邊界」</t>
        </is>
      </c>
      <c r="N69" s="68" t="inlineStr">
        <is>
          <t>觀察：R1 時 tooltip 寫「（後端接線後生效）」、進化設定連到設定首頁
假設：①兩處都改
排除：tooltip 現為「更新報價或重建統計」；進化設定 href＝settings.html#prompts/evolution，點擊後切到「AI 提示詞」分頁，資料載入後自動捲到頁底的「自我進化設定」面板（scrollY 535＝最大捲動量，面板在可視範圍）
定位：shell.js／pipeline-hub.html；變異還原 → 2 failed
判定：通過</t>
        </is>
      </c>
      <c r="O69" s="69" t="inlineStr">
        <is>
          <t>tooltip 已改；深連結落在自我進化設定</t>
        </is>
      </c>
      <c r="P69" s="68" t="inlineStr">
        <is>
          <t>複驗通過 → 結案</t>
        </is>
      </c>
      <c r="Q69" s="68" t="inlineStr">
        <is>
          <t>無</t>
        </is>
      </c>
      <c r="R69" s="68" t="inlineStr">
        <is>
          <t>檢驗方 2026-09-24</t>
        </is>
      </c>
    </row>
    <row r="70" ht="219.75" customHeight="1" s="43">
      <c r="A70" s="72" t="inlineStr">
        <is>
          <t>R2</t>
        </is>
      </c>
      <c r="B70" s="72" t="inlineStr">
        <is>
          <t>DEF-030</t>
        </is>
      </c>
      <c r="C70" s="72" t="inlineStr">
        <is>
          <t>H-04</t>
        </is>
      </c>
      <c r="D70" s="72" t="inlineStr">
        <is>
          <t>2026-09-23</t>
        </is>
      </c>
      <c r="E70" s="66" t="inlineStr">
        <is>
          <t>同意驗證者。修復前測試照原步驟重現 status='error'、detail="'insight:1'"、payload=None（同 #153）；設定表有但系統不能執行的列（ghost_job）也回 202 後背景失敗。另發現：任務入口 run_insight_func 在沒有 runner 或 runner 拋錯時直接 return，留下永遠 running 的列（之後每次執行被 409 擋）；cron 路徑 runner 失敗只寫 log。</t>
        </is>
      </c>
      <c r="F70" s="67" t="inlineStr">
        <is>
          <t>scheduler/jobs.py:1573 `outcome = _outcome_of(_jobs_by_id()[job_id].func(conn, now=now))`；:1575 `outcome = JobOutcome("error", str(exc))`；api/routers/scheduler.py:240 `raise HTTPException(status_code=404, detail=f"{job_id} 不存在")`；:143 `"enabled": bool(row["enabled"]),`；web/settings-scheduler.js:124、:432</t>
        </is>
      </c>
      <c r="G70" s="67" t="inlineStr">
        <is>
          <t>tests/contract/test_scheduler_api.py::test_run_202_inserts_row 只驗同步的 202 與預插列，docstring 說背景執行「由 run_job_func 單元路徑涵蓋」，但沒有任何單元測試用 kind=insight 的列跑過 run_job_func；test_insight_dispatch.py 只測 cron 的 dispatch_job；清單契約只檢查靜態工作的列。補：新測試把背景執行緒改成同步、session 指向測試資料庫真正跑一次 worker，202 以後的流程不再是測試看不到的地方。</t>
        </is>
      </c>
      <c r="H70" s="67" t="inlineStr">
        <is>
          <t>jobs.py 新增 job_kind()、start_run()（insight 列用 start_insight_run 格式預插、帶 payload）、insight_task_of()、unknown_job_message()；唯一執行器 _execute_insight()：cron、排程中心立即執行、任務入口三個入口都經過它（標記執行中與進度、呼叫 runner 帶 trigger、失敗由 _record_insight_failure() 恰好記一次）；run_job_func 先判斷種類，查不到的 id 收尾為錯誤句不卡在 running；failure_detail(exc)「執行失敗：&lt;例外類別&gt;：&lt;訊息&gt;」同步門與非同步門都用。路由：run_job_now 找不到能執行的 id → 404「找不到排程工作「ghost_job」：它不是已登錄的系統工作，也不是 AI 洞察任務的排程」；insight 列走共用 insight_task_run_refusal()（404／已刪除 409／已暫停 409／執行中 409），insights.py::run_insight_now 也改用，兩入口錯誤內容相同。清單（additive）：/api/scheduler/jobs 每列加 kind、label（「AI 洞察任務「每日持倉週報」」，已刪除加註）、effective_enabled（排程開關且任務啟用）、paused_reason，暫停時 next=null；/api/scheduler/runs 加 label（由 payload 或排程綁定取得，不解析 id 字串）。前端 settings-scheduler.js：labelById／rememberLabels，jobLabel 多查伺服器名稱；開關讀 effective_enabled，暫停時鎖住、提示原因、加「前往洞察管線 →」。同類補修：_summarize 9 處英文彙總改中文全形「3 項已更新，1 項失敗（來源 twse：2330、2603；yfinance：AAPL）；失敗：8299」（有理由才列理由，不捏造；失敗清單永不截斷）。</t>
        </is>
      </c>
      <c r="I70" s="66" t="inlineStr">
        <is>
          <t>直接查靜態表 共 2／修 1（run_job_func）／白名單 1（run_job_outcome 同步門只收寫死靜態 id，KeyError 在插入列之前變 500 不留卡住列）；入口 5（立即執行、工作清單、暫停切換 PUT、cron、執行歷史）修 3、cron 改接共用執行器、PUT 只多回欄位；以「insight:」前綴判斷種類 4 處白名單＋守門 test_a_static_job_id_can_never_look_like_a_dynamic_one；背景例外裸 str(exc) 進 job_runs.detail 共 7／修 4／白名單 2（generate.py stop_detail 有 reason 前綴且 llm_insight 不能 import scheduler；jobs.py _run_ingest 740/753 為資料來源健康表）／跨包 1（api/routers/news.py:134 → 收尾包 I-16）；_summarize 英文彙總 共 9／修 9／白名單 0（jobs.py 另 15 句其他英文執行摘要未在此範圍）。</t>
        </is>
      </c>
      <c r="J70" s="66" t="inlineStr">
        <is>
          <t>新增 tests/contract/test_def030_scheduler_insight_run_now.py（5）、tests/scheduler/test_def030_worker_failure_detail.py（9）、e2e test_scheduler_center_names_insight_rows_and_locks_a_paused_task；修復前 22 則中 21 則失敗（`{'detail': "'insight:1'" …} assert 'error' == 'ok'`、`assert 202 == 404`）。變異 M1（放回舊 worker 本體）→ 5 則失敗（`assert "'x'" == "執行失敗：KeyError：'x'"` 等）；M2（failure_detail 改回 str(exc)）→ 4 則失敗；M3（路由不檢查 job_kind）→ 2 則失敗（`assert 202 == 409`）；M4（effective_enabled 改回 enabled）→ 1 則失敗；M5（無 runner 直接 return）→ 1 則失敗「a running row left behind blocks every later run」；M12（前端開關改回 j.enabled）→ e2e 1 則失敗；M6（_summarize 放回英文句）→ 3 則失敗。改回後通過；test_scheduler_api.py::test_runs_row_shape_and_filter 更新（列多 label）。</t>
        </is>
      </c>
      <c r="K70" s="67" t="inlineStr">
        <is>
          <t>e6fd9f4（已部署 demo）</t>
        </is>
      </c>
      <c r="L70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70" s="68" t="inlineStr">
        <is>
          <t>真實瀏覽器：系統設定 › 排程中心，看 insight:* 列名稱 → 市場週報（insight:7）立即執行；再到洞察管線暫停該任務，看排程中心開關，再啟用還原</t>
        </is>
      </c>
      <c r="N70" s="68" t="inlineStr">
        <is>
          <t>觀察：R1 時 insight:* 立即執行一律失敗「'insight:7'」、列上無任務名、暫停後開關仍亮
假設：①run-now 走正確的派發；②名稱與暫停狀態由後端帶出
排除：列名「AI 洞察任務「市場週報」 insight:7」，歷史列含「（已刪除）」標示；立即執行 → 202 run #180 → 14.4 s 後 status ok、cost 0.0023063，額度 3.2720718→3.2697655（差額相同），產出 3 張卡（3 個市場）；洞察管線暫停 → PUT /api/insight-tasks/7 enabled:false → /api/scheduler/jobs insight:7 effective_enabled false、paused_reason「任務已在 AI 洞察管線暫停，排程觸發時不會執行；請至洞察管線啟用」，排程中心該列開關 aria-checked false 並有「前往洞察管線 →」；再啟用後恢復 eff true
定位：scheduler insight 派發路徑；變異關閉 → 3 failed
判定：通過</t>
        </is>
      </c>
      <c r="O70" s="68" t="inlineStr">
        <is>
          <t>立即執行成功、名稱顯示、暫停狀態同步；任務已重新啟用</t>
        </is>
      </c>
      <c r="P70" s="68" t="inlineStr">
        <is>
          <t>複驗通過 → 結案</t>
        </is>
      </c>
      <c r="Q70" s="68" t="inlineStr">
        <is>
          <t>小瑕疵（不另開）：立即執行的 toast 仍寫「✓ 已排入執行 insight:7 #180」（job id 而非任務名）。本案花費 $0.0023063</t>
        </is>
      </c>
      <c r="R70" s="68" t="inlineStr">
        <is>
          <t>檢驗方 2026-09-24</t>
        </is>
      </c>
    </row>
    <row r="71" ht="219.75" customHeight="1" s="43">
      <c r="A71" s="72" t="inlineStr">
        <is>
          <t>R2</t>
        </is>
      </c>
      <c r="B71" s="72" t="inlineStr">
        <is>
          <t>DEF-037</t>
        </is>
      </c>
      <c r="C71" s="72" t="inlineStr">
        <is>
          <t>G-09</t>
        </is>
      </c>
      <c r="D71" s="72" t="inlineStr">
        <is>
          <t>2026-09-23</t>
        </is>
      </c>
      <c r="E71" s="66" t="inlineStr">
        <is>
          <t>同意驗證者。帳戶、產業、幣別層級的預警都會被當成個股產卡；模型沒被告知觸發了什麼預警只能推測（2884 實際是 target_cross，卡片卻寫「RSI過熱」）；同一檔同一天兩條不同預警的提示詞完全相同，第二張卡命中快取根本沒寫入。</t>
        </is>
      </c>
      <c r="F71" s="67" t="inlineStr">
        <is>
          <t>jobs.py:918 `symbol=_alert_symbol(alert)`；alerts_bridge.py:285 `fired_symbol=event.symbol,`；generate.py:368 `alert_note = _ON_ALERT_NOTE if is_alert else ""`；insight_service.py:918 `symbol=str(it.id)`</t>
        </is>
      </c>
      <c r="G71" s="67" t="inlineStr">
        <is>
          <t>Alert 只有字串 id，後綴的意義依規則不同（10 個規則是代號、fx_drift 帳戶、sector_weight 產業、currency_weight 幣別）沒有型別區分；兩則舊測試把缺陷釘成正確行為（test_alert_scan.py::test_alert_scan_records_events_and_dispatches 斷言 fired_symbol == "schwab"；test_alerts_bridge.py::test_dispatch_runs_each_subscriber_once_and_debounces）；提示詞登記測試只檢查常數存在。補：scope 改必填＋validator（id 與 subject 一致）＋AST 守門（每個 Alert 建構必須寫出 scope）＋golden 真實規則引擎驗 scope＋提示詞內容測試；兩則釘錯的舊測試改寫。</t>
        </is>
      </c>
      <c r="H71" s="66" t="inlineStr">
        <is>
          <t>結構化並保留字串相容：strategy/alerts.py Alert 新增必填 scope（symbol／sector／account／currency／portfolio）與 subject（validator 要求 id 等於 rule:subject 或以它開頭），16 處建構全部標明（symbol 10、sector 1、account 1、currency 1、portfolio 3），兩欄 exclude=True（GET /api/alerts 與 golden 位元組不變）；alert_events 加 scope／title／detail（additive）；alerts_bridge card_target()：只有 symbol 送個股卡、portfolio 送組合卡（舊事件 signal_* 視為 symbol、無 subject 視為 portfolio、其餘不派發）；dispatch_alert_events_ex() 回 DispatchResult(dispatched, skipped)；alert_scan detail 加「；略過 N 條非個股預警（不產個股卡）：fx_drift 帳戶 {account:moomoo_my}、…」；calibration_regression 改 scope="task"。卡片溯源：insights.trigger_json（InsightTrigger{source: alert/schedule/manual, rule, alert_id, fired_at, scope, subject, title, detail}）由 RunInputs.trigger／run_for_id(trigger=) 傳到兩處 add_card（shadow 卡也帶）；GET /api/insights 每張卡加 trigger（含 rule_label 取自 ops.notify.RULE_CATALOG，舊卡 null）。提示詞：official_templates.ON_ALERT_CONTEXT 把規則代碼、預警標題、內容、觸發日期餵進 on_alert 附加段並規定只能依此描述（只放日期，同日同預警仍命中快取）；ON_ALERT_NOTE_VERSION v1→v2。前端 insights.html 洞察卡與健診卡底列「由預警「目標價穿越」觸發」連 settings.html#alerts，滑鼠提示為預警標題／內容／時間；排程或手動來源顯示淡色標籤。</t>
        </is>
      </c>
      <c r="I71" s="66" t="inlineStr">
        <is>
          <t>從字串 id 拆後綴推斷代號／帳戶 共 3／修 1（jobs.py _alert_symbol）／跨包 2（api/digest_service.py:510-516 _drift_symbols、web/alerts.js:200 symbolOf → 收尾包 I-16，連同 ops/notify.py format_event、_alerts_today、signals_service record_event_ex scope）；Alert 建構 16 處全部結構化（3 處以前會被當成個股）；產卡入口寫溯源 runner 4／4、add_card 2／2、run_insight_type 3 處（主流程與 shadow 寫、未知任務不產卡）；gating.py 只用結構化 fired_symbol 不解析字串、未改。</t>
        </is>
      </c>
      <c r="J71" s="66" t="inlineStr">
        <is>
          <t>新增 tests/scheduler/test_def037_alert_scope_dispatch.py（9，含 AST 守門）、tests/llm_insight/test_def037_card_trigger.py（6：提示詞有餵入、兩條預警產兩張卡、排程與手動來源、API rule_label、頁面靜態、真實規則引擎 scope）、e2e test_an_alert_card_says_which_alert_produced_it；改寫釘錯舊測試（test_alert_scan 1＋4 處建構、test_alerts_bridge 1、test_pipeline_hub_api 1、test_insight_dispatch 3 stub、unit/test_digest 3 處）；修復前新卡片測試檔 collection 即 ImportError、派發測試 8 則失敗。變異 M7（派發改回有後綴就當代號）→ 4 則失敗「an account id reached the per-symbol card as fired_symbol」；M8（提示詞改回只有原附加段）→ 2 則失敗（`'2330 跌破目標價' in '&lt;prompt&gt;'` 為假）；M9（不存 trigger）→ 4 則失敗 `assert None is not None`；M10（fx_drift 建構拿掉 scope）→ 2 則失敗（AST `[(335, 'scope missing or not a literal')]`、ValidationError）；M11（健診卡拿掉觸發標籤）→ 2 則失敗。改回後通過。觀察（需 owner 裁定，未做）：只在觀察清單的標的因 drawdown_from_peak 產「持倉提點」卡；demo 既有錯誤卡（moomoo_my、#207）因卡片表只增不改而保留。</t>
        </is>
      </c>
      <c r="K71" s="67" t="inlineStr">
        <is>
          <t>e6fd9f4（已部署 demo）</t>
        </is>
      </c>
      <c r="L71" s="66" t="inlineStr">
        <is>
          <t>本輪整體閘門（開發機、e6fd9f4）：ruff check portfolio_dash tests scripts 全過・mypy --strict 860 檔 0 問題・pytest 非 e2e 5,900 passed／2 skipped／0 failed（9 分 13 秒）・e2e 66 檔 260 則全過（分 11 批前景執行；其中 3 檔 5 則在 HEAD 就已因 2026-09-16 裁定 L23／L16／L13 失效，斷言已依裁定更新並註明）・stress-audit phase 1 ops=128、pass=6,025、fail=0（oracle 的換匯隱含匯率轉錄依 L6 更新後重跑）。各缺陷的定向子集與變異測試見 J 欄。部署：demo 備份 portfolio-pre-e6fd9f4-20260923T173052Z.db（integrity ok）→ 部署 e6fd9f4 → /api/health commit=e6fd9f4 → verify_live https://invest-demo.tail271ef9.ts.net --expect-version 0.1.28 ALL PASS；additive 欄位（cash_movements.corporate_action_id、corporate_actions.band_move_json／weight_move_json、insights.trigger_json、alert_events.scope／title／detail）已在 demo DB 建立，帳本列數不變（56／23／34／194）。</t>
        </is>
      </c>
      <c r="M71" s="68" t="inlineStr">
        <is>
          <t>真實瀏覽器：系統設定 › 排程中心 › alert_scan 立即執行三次（#181 2884 下限 50；#182 2884 上限 45；#183 2330 上限 1000）→ 比對 job 詳情、派發 run 與新卡欄位 → 目標價全部改回空白</t>
        </is>
      </c>
      <c r="N71" s="68" t="inlineStr">
        <is>
          <t>觀察：R1 時 fx_drift:moomoo_my 被當代號派發、卡片無觸發紀錄
假設：①派發只收 symbol／portfolio scope；②卡片帶 trigger 結構
排除：三次掃描詳情都寫「略過 1 條非個股預警（不產個股卡）：fx_drift 帳戶 …」，沒有任何 symbol＝moomoo_my 的新 run；#181／#182 0 dispatched 是 24 小時去抖（R1 已派發過 2884 target_cross，程式註解 per (rule, symbol) 24h-debounced）；換成新組合 2330 上限 1000 → #183「1 dispatched」→ insight:9 run #184 ok、cost 0.0007319（額度 3.2691719→3.2684400 相同）→ 新卡 #211 帶 trigger {source alert, rule target_cross, alert_id 132, scope symbol, subject 2330, title「2330 突破目標價」, detail「現價 2460.0 ≥ 目標上限 1000」, rule_label「目標價穿越」}，標題「台積電(2330) 突破警示目標價」，AI 洞察 › 持倉健診 卡片顯示「由預警「目標價穿越」觸發」
定位：jobs.py alert_scan 改用 Alert.scope／subject，_alert_symbol 已刪；變異 → 4 failed
判定：通過</t>
        </is>
      </c>
      <c r="O71" s="68" t="inlineStr">
        <is>
          <t>帳戶層級預警不再產卡；卡片可追溯觸發預警；本案花費 $0.0007319；26 檔目標價皆已改回空白</t>
        </is>
      </c>
      <c r="P71" s="68" t="inlineStr">
        <is>
          <t>複驗通過 → 結案</t>
        </is>
      </c>
      <c r="Q71" s="69" t="inlineStr">
        <is>
          <t>①R1 產生的錯誤卡（symbol＝moomoo_my、「Moomoo 交易商警示」）仍留在持倉健診清單，建議清除或隱藏；②排程中心詳情的帳戶記號顯示為原始 id「fx_drift 帳戶 moomoo_my」——settings.html 沒載入 names.js，另開 DEF-044；③只在觀察清單的標的仍因 drawdown_from_peak 列入預警（依 OBS-2 裁定下一輪改為只派發持有中的標的）</t>
        </is>
      </c>
      <c r="R71" s="68" t="inlineStr">
        <is>
          <t>檢驗方 2026-09-24</t>
        </is>
      </c>
    </row>
    <row r="72" ht="15" customHeight="1" s="43">
      <c r="A72" s="72" t="inlineStr">
        <is>
          <t>R2</t>
        </is>
      </c>
      <c r="B72" s="72" t="inlineStr">
        <is>
          <t>DEF-003</t>
        </is>
      </c>
      <c r="C72" s="72" t="inlineStr">
        <is>
          <t>G-06</t>
        </is>
      </c>
      <c r="D72" s="72" t="inlineStr">
        <is>
          <t>2026-09-24</t>
        </is>
      </c>
      <c r="E72" s="66" t="inlineStr">
        <is>
          <t>—（Owner 裁定列，本輪未修）</t>
        </is>
      </c>
      <c r="F72" s="67" t="inlineStr">
        <is>
          <t>—</t>
        </is>
      </c>
      <c r="G72" s="67" t="inlineStr">
        <is>
          <t>—</t>
        </is>
      </c>
      <c r="H72" s="67" t="inlineStr">
        <is>
          <t>—</t>
        </is>
      </c>
      <c r="I72" s="67" t="inlineStr">
        <is>
          <t>—</t>
        </is>
      </c>
      <c r="J72" s="67" t="inlineStr">
        <is>
          <t>—</t>
        </is>
      </c>
      <c r="K72" s="67" t="inlineStr">
        <is>
          <t>—</t>
        </is>
      </c>
      <c r="L72" s="67" t="inlineStr">
        <is>
          <t>—</t>
        </is>
      </c>
      <c r="M72" s="68" t="inlineStr">
        <is>
          <t>非複驗：Owner 裁定（驗證者整理 2～3 個方案供選，Owner 選定）</t>
        </is>
      </c>
      <c r="N72" s="68" t="inlineStr">
        <is>
          <t>裁定：以 prediction 為準：prediction 為空的卡一律顯示「純描述・無預測」，不顯示信心值，也不進校準曲線。</t>
        </is>
      </c>
      <c r="O72" s="68" t="inlineStr">
        <is>
          <t>改程式；G-06 期望不變（現行行為不符 → 交開發者）</t>
        </is>
      </c>
      <c r="P72" s="69" t="inlineStr">
        <is>
          <t>FAIL</t>
        </is>
      </c>
      <c r="Q72" s="68" t="inlineStr">
        <is>
          <t>依裁定現行行為不符 → 狀態改「新開」交開發者</t>
        </is>
      </c>
      <c r="R72" s="68" t="inlineStr">
        <is>
          <t>檢驗方 2026-09-24</t>
        </is>
      </c>
    </row>
    <row r="73" ht="15" customHeight="1" s="43">
      <c r="A73" s="72" t="inlineStr">
        <is>
          <t>R2</t>
        </is>
      </c>
      <c r="B73" s="72" t="inlineStr">
        <is>
          <t>DEF-006</t>
        </is>
      </c>
      <c r="C73" s="72" t="inlineStr">
        <is>
          <t>A-01</t>
        </is>
      </c>
      <c r="D73" s="72" t="inlineStr">
        <is>
          <t>2026-09-24</t>
        </is>
      </c>
      <c r="E73" s="66" t="inlineStr">
        <is>
          <t>—（Owner 裁定列，本輪未修）</t>
        </is>
      </c>
      <c r="F73" s="67" t="inlineStr">
        <is>
          <t>—</t>
        </is>
      </c>
      <c r="G73" s="67" t="inlineStr">
        <is>
          <t>—</t>
        </is>
      </c>
      <c r="H73" s="67" t="inlineStr">
        <is>
          <t>—</t>
        </is>
      </c>
      <c r="I73" s="67" t="inlineStr">
        <is>
          <t>—</t>
        </is>
      </c>
      <c r="J73" s="67" t="inlineStr">
        <is>
          <t>—</t>
        </is>
      </c>
      <c r="K73" s="67" t="inlineStr">
        <is>
          <t>—</t>
        </is>
      </c>
      <c r="L73" s="67" t="inlineStr">
        <is>
          <t>—</t>
        </is>
      </c>
      <c r="M73" s="68" t="inlineStr">
        <is>
          <t>非複驗：Owner 裁定（驗證者整理 2～3 個方案供選，Owner 選定）</t>
        </is>
      </c>
      <c r="N73" s="68" t="inlineStr">
        <is>
          <t>裁定：維持中性色：入金實心、出金外框（方向不是損益，不用紅綠），不改 CSS。</t>
        </is>
      </c>
      <c r="O73" s="68" t="inlineStr">
        <is>
          <t>改手冊：A-01／A-04／A-09 期望改為「方向 chip 為中性色：入金實心、出金外框」。依 §5 驗證者不改 .md 與 F 欄，請 owner／開發者下一輪同步</t>
        </is>
      </c>
      <c r="P73" s="68" t="inlineStr">
        <is>
          <t>複驗通過 → 結案</t>
        </is>
      </c>
      <c r="Q73" s="68" t="inlineStr">
        <is>
          <t>依裁定改判非缺陷；手冊期望待同步</t>
        </is>
      </c>
      <c r="R73" s="68" t="inlineStr">
        <is>
          <t>檢驗方 2026-09-24</t>
        </is>
      </c>
    </row>
    <row r="74" ht="15" customHeight="1" s="43">
      <c r="A74" s="72" t="inlineStr">
        <is>
          <t>R2</t>
        </is>
      </c>
      <c r="B74" s="72" t="inlineStr">
        <is>
          <t>DEF-009</t>
        </is>
      </c>
      <c r="C74" s="72" t="inlineStr">
        <is>
          <t>A-11</t>
        </is>
      </c>
      <c r="D74" s="72" t="inlineStr">
        <is>
          <t>2026-09-24</t>
        </is>
      </c>
      <c r="E74" s="66" t="inlineStr">
        <is>
          <t>—（Owner 裁定列，本輪未修）</t>
        </is>
      </c>
      <c r="F74" s="67" t="inlineStr">
        <is>
          <t>—</t>
        </is>
      </c>
      <c r="G74" s="67" t="inlineStr">
        <is>
          <t>—</t>
        </is>
      </c>
      <c r="H74" s="67" t="inlineStr">
        <is>
          <t>—</t>
        </is>
      </c>
      <c r="I74" s="67" t="inlineStr">
        <is>
          <t>—</t>
        </is>
      </c>
      <c r="J74" s="67" t="inlineStr">
        <is>
          <t>—</t>
        </is>
      </c>
      <c r="K74" s="67" t="inlineStr">
        <is>
          <t>—</t>
        </is>
      </c>
      <c r="L74" s="67" t="inlineStr">
        <is>
          <t>—</t>
        </is>
      </c>
      <c r="M74" s="68" t="inlineStr">
        <is>
          <t>非複驗：Owner 裁定（驗證者整理 2～3 個方案供選，Owner 選定）</t>
        </is>
      </c>
      <c r="N74" s="68" t="inlineStr">
        <is>
          <t>裁定：自動入帳類（折讓款等）改為整列可編輯（日期／類型／金額／備註），與手動輸入一致，讓使用者有補救空間；編輯寫入稽核軌跡。</t>
        </is>
      </c>
      <c r="O74" s="68" t="inlineStr">
        <is>
          <t>改程式＋改手冊：A-11② 期望改為「折讓款列整列可編輯（與手動輸入的資金列相同），編輯寫入稽核軌跡」</t>
        </is>
      </c>
      <c r="P74" s="69" t="inlineStr">
        <is>
          <t>FAIL</t>
        </is>
      </c>
      <c r="Q74" s="68" t="inlineStr">
        <is>
          <t>依裁定現行行為不符 → 狀態改「新開」交開發者</t>
        </is>
      </c>
      <c r="R74" s="68" t="inlineStr">
        <is>
          <t>檢驗方 2026-09-24</t>
        </is>
      </c>
    </row>
    <row r="75" ht="15" customHeight="1" s="43">
      <c r="A75" s="72" t="inlineStr">
        <is>
          <t>R2</t>
        </is>
      </c>
      <c r="B75" s="72" t="inlineStr">
        <is>
          <t>DEF-010</t>
        </is>
      </c>
      <c r="C75" s="72" t="inlineStr">
        <is>
          <t>B-16</t>
        </is>
      </c>
      <c r="D75" s="72" t="inlineStr">
        <is>
          <t>2026-09-24</t>
        </is>
      </c>
      <c r="E75" s="66" t="inlineStr">
        <is>
          <t>—（Owner 裁定列，本輪未修）</t>
        </is>
      </c>
      <c r="F75" s="67" t="inlineStr">
        <is>
          <t>—</t>
        </is>
      </c>
      <c r="G75" s="67" t="inlineStr">
        <is>
          <t>—</t>
        </is>
      </c>
      <c r="H75" s="67" t="inlineStr">
        <is>
          <t>—</t>
        </is>
      </c>
      <c r="I75" s="67" t="inlineStr">
        <is>
          <t>—</t>
        </is>
      </c>
      <c r="J75" s="67" t="inlineStr">
        <is>
          <t>—</t>
        </is>
      </c>
      <c r="K75" s="67" t="inlineStr">
        <is>
          <t>—</t>
        </is>
      </c>
      <c r="L75" s="67" t="inlineStr">
        <is>
          <t>—</t>
        </is>
      </c>
      <c r="M75" s="68" t="inlineStr">
        <is>
          <t>非複驗：Owner 裁定（驗證者整理 2～3 個方案供選，Owner 選定）</t>
        </is>
      </c>
      <c r="N75" s="68" t="inlineStr">
        <is>
          <t>裁定：兩者都做：退款預估器對費率快照 discount&lt;1（下單已打折）的交易不預估退款；並清理這 8 筆歷史快照（清理前備份、寫稽核紀錄）。</t>
        </is>
      </c>
      <c r="O75" s="68" t="inlineStr">
        <is>
          <t>改程式＋資料清理；B-16 補「快照已打折（discount&lt;1）的交易不列入退款預估」</t>
        </is>
      </c>
      <c r="P75" s="69" t="inlineStr">
        <is>
          <t>FAIL</t>
        </is>
      </c>
      <c r="Q75" s="68" t="inlineStr">
        <is>
          <t>依裁定現行行為不符 → 狀態改「新開」交開發者</t>
        </is>
      </c>
      <c r="R75" s="68" t="inlineStr">
        <is>
          <t>檢驗方 2026-09-24</t>
        </is>
      </c>
    </row>
    <row r="76" ht="15" customHeight="1" s="43">
      <c r="A76" s="72" t="inlineStr">
        <is>
          <t>R2</t>
        </is>
      </c>
      <c r="B76" s="72" t="inlineStr">
        <is>
          <t>DEF-013</t>
        </is>
      </c>
      <c r="C76" s="72" t="inlineStr">
        <is>
          <t>B-10</t>
        </is>
      </c>
      <c r="D76" s="72" t="inlineStr">
        <is>
          <t>2026-09-24</t>
        </is>
      </c>
      <c r="E76" s="66" t="inlineStr">
        <is>
          <t>—（Owner 裁定列，本輪未修）</t>
        </is>
      </c>
      <c r="F76" s="67" t="inlineStr">
        <is>
          <t>—</t>
        </is>
      </c>
      <c r="G76" s="67" t="inlineStr">
        <is>
          <t>—</t>
        </is>
      </c>
      <c r="H76" s="67" t="inlineStr">
        <is>
          <t>—</t>
        </is>
      </c>
      <c r="I76" s="67" t="inlineStr">
        <is>
          <t>—</t>
        </is>
      </c>
      <c r="J76" s="67" t="inlineStr">
        <is>
          <t>—</t>
        </is>
      </c>
      <c r="K76" s="67" t="inlineStr">
        <is>
          <t>—</t>
        </is>
      </c>
      <c r="L76" s="67" t="inlineStr">
        <is>
          <t>—</t>
        </is>
      </c>
      <c r="M76" s="68" t="inlineStr">
        <is>
          <t>非複驗：Owner 裁定（驗證者整理 2～3 個方案供選，Owner 選定）</t>
        </is>
      </c>
      <c r="N76" s="68" t="inlineStr">
        <is>
          <t>裁定：允許「當沖＋放空」組合（台股現股當沖可先賣後買）；表單加組合說明，交易帳本列標示「當沖」「放空」。</t>
        </is>
      </c>
      <c r="O76" s="68" t="inlineStr">
        <is>
          <t>改程式；B-10③ 期望改為「允許組合，表單有組合說明，帳本列可見兩個標示」</t>
        </is>
      </c>
      <c r="P76" s="69" t="inlineStr">
        <is>
          <t>FAIL</t>
        </is>
      </c>
      <c r="Q76" s="68" t="inlineStr">
        <is>
          <t>依裁定現行行為不符 → 狀態改「新開」交開發者</t>
        </is>
      </c>
      <c r="R76" s="68" t="inlineStr">
        <is>
          <t>檢驗方 2026-09-24</t>
        </is>
      </c>
    </row>
    <row r="77" ht="15" customHeight="1" s="43">
      <c r="A77" s="72" t="inlineStr">
        <is>
          <t>R2</t>
        </is>
      </c>
      <c r="B77" s="72" t="inlineStr">
        <is>
          <t>DEF-016</t>
        </is>
      </c>
      <c r="C77" s="72" t="inlineStr">
        <is>
          <t>C-02</t>
        </is>
      </c>
      <c r="D77" s="72" t="inlineStr">
        <is>
          <t>2026-09-24</t>
        </is>
      </c>
      <c r="E77" s="66" t="inlineStr">
        <is>
          <t>—（Owner 裁定列，本輪未修）</t>
        </is>
      </c>
      <c r="F77" s="67" t="inlineStr">
        <is>
          <t>—</t>
        </is>
      </c>
      <c r="G77" s="67" t="inlineStr">
        <is>
          <t>—</t>
        </is>
      </c>
      <c r="H77" s="67" t="inlineStr">
        <is>
          <t>—</t>
        </is>
      </c>
      <c r="I77" s="67" t="inlineStr">
        <is>
          <t>—</t>
        </is>
      </c>
      <c r="J77" s="67" t="inlineStr">
        <is>
          <t>—</t>
        </is>
      </c>
      <c r="K77" s="67" t="inlineStr">
        <is>
          <t>—</t>
        </is>
      </c>
      <c r="L77" s="67" t="inlineStr">
        <is>
          <t>—</t>
        </is>
      </c>
      <c r="M77" s="68" t="inlineStr">
        <is>
          <t>非複驗：Owner 裁定（驗證者整理 2～3 個方案供選，Owner 選定）</t>
        </is>
      </c>
      <c r="N77" s="68" t="inlineStr">
        <is>
          <t>裁定：入帳日（pay_date）晚於估值日的股利不進 XIRR；總報酬、現金池、XIRR 三個口徑都以實際入帳為準。</t>
        </is>
      </c>
      <c r="O77" s="68" t="inlineStr">
        <is>
          <t>改程式；C-02 補「pay_date 在未來的股利：入帳日前不計入 XIRR 與總報酬」</t>
        </is>
      </c>
      <c r="P77" s="69" t="inlineStr">
        <is>
          <t>FAIL</t>
        </is>
      </c>
      <c r="Q77" s="68" t="inlineStr">
        <is>
          <t>依裁定現行行為不符 → 狀態改「新開」交開發者</t>
        </is>
      </c>
      <c r="R77" s="68" t="inlineStr">
        <is>
          <t>檢驗方 2026-09-24</t>
        </is>
      </c>
    </row>
    <row r="78" ht="15" customHeight="1" s="43">
      <c r="A78" s="72" t="inlineStr">
        <is>
          <t>R2</t>
        </is>
      </c>
      <c r="B78" s="72" t="inlineStr">
        <is>
          <t>DEF-018</t>
        </is>
      </c>
      <c r="C78" s="72" t="inlineStr">
        <is>
          <t>C-04b</t>
        </is>
      </c>
      <c r="D78" s="72" t="inlineStr">
        <is>
          <t>2026-09-24</t>
        </is>
      </c>
      <c r="E78" s="66" t="inlineStr">
        <is>
          <t>—（Owner 裁定列，本輪未修）</t>
        </is>
      </c>
      <c r="F78" s="67" t="inlineStr">
        <is>
          <t>—</t>
        </is>
      </c>
      <c r="G78" s="67" t="inlineStr">
        <is>
          <t>—</t>
        </is>
      </c>
      <c r="H78" s="67" t="inlineStr">
        <is>
          <t>—</t>
        </is>
      </c>
      <c r="I78" s="67" t="inlineStr">
        <is>
          <t>—</t>
        </is>
      </c>
      <c r="J78" s="67" t="inlineStr">
        <is>
          <t>—</t>
        </is>
      </c>
      <c r="K78" s="67" t="inlineStr">
        <is>
          <t>—</t>
        </is>
      </c>
      <c r="L78" s="67" t="inlineStr">
        <is>
          <t>—</t>
        </is>
      </c>
      <c r="M78" s="68" t="inlineStr">
        <is>
          <t>非複驗：Owner 裁定（驗證者整理 2～3 個方案供選，Owner 選定）</t>
        </is>
      </c>
      <c r="N78" s="68" t="inlineStr">
        <is>
          <t>裁定：維持 DRIP 以 $0 成本入帳（股利折入成本模型）。</t>
        </is>
      </c>
      <c r="O78" s="68" t="inlineStr">
        <is>
          <t>改手冊：C-04b① 期望改為「股數增加、原始成本不變（$0 成本股），均價依股數重算；表單有說明」。請 owner／開發者下一輪同步 .md 與 F 欄</t>
        </is>
      </c>
      <c r="P78" s="68" t="inlineStr">
        <is>
          <t>複驗通過 → 結案</t>
        </is>
      </c>
      <c r="Q78" s="68" t="inlineStr">
        <is>
          <t>依裁定改判非缺陷；手冊期望待同步</t>
        </is>
      </c>
      <c r="R78" s="68" t="inlineStr">
        <is>
          <t>檢驗方 2026-09-24</t>
        </is>
      </c>
    </row>
    <row r="79" ht="15" customHeight="1" s="43">
      <c r="A79" s="72" t="inlineStr">
        <is>
          <t>R2</t>
        </is>
      </c>
      <c r="B79" s="72" t="inlineStr">
        <is>
          <t>DEF-025</t>
        </is>
      </c>
      <c r="C79" s="72" t="inlineStr">
        <is>
          <t>I-06</t>
        </is>
      </c>
      <c r="D79" s="72" t="inlineStr">
        <is>
          <t>2026-09-24</t>
        </is>
      </c>
      <c r="E79" s="66" t="inlineStr">
        <is>
          <t>—（Owner 裁定列，本輪未修）</t>
        </is>
      </c>
      <c r="F79" s="67" t="inlineStr">
        <is>
          <t>—</t>
        </is>
      </c>
      <c r="G79" s="67" t="inlineStr">
        <is>
          <t>—</t>
        </is>
      </c>
      <c r="H79" s="67" t="inlineStr">
        <is>
          <t>—</t>
        </is>
      </c>
      <c r="I79" s="67" t="inlineStr">
        <is>
          <t>—</t>
        </is>
      </c>
      <c r="J79" s="67" t="inlineStr">
        <is>
          <t>—</t>
        </is>
      </c>
      <c r="K79" s="67" t="inlineStr">
        <is>
          <t>—</t>
        </is>
      </c>
      <c r="L79" s="67" t="inlineStr">
        <is>
          <t>—</t>
        </is>
      </c>
      <c r="M79" s="68" t="inlineStr">
        <is>
          <t>非複驗：Owner 裁定（驗證者整理 2～3 個方案供選，Owner 選定）</t>
        </is>
      </c>
      <c r="N79" s="68" t="inlineStr">
        <is>
          <t>裁定：CSV 賣超列比照手動輸入：預設不勾選，確認框逐列點名並寫明「成本基礎會被永久捨棄」，勾選後才寫入。</t>
        </is>
      </c>
      <c r="O79" s="68" t="inlineStr">
        <is>
          <t>改程式＋改手冊：I-06 賣超期望改為「該列預設不勾、需逐列明確確認後才可寫入」（R2 複驗 DEF-026 時 CSV 確認框仍是通用句「部分列有警告（如賣超）」）</t>
        </is>
      </c>
      <c r="P79" s="69" t="inlineStr">
        <is>
          <t>FAIL</t>
        </is>
      </c>
      <c r="Q79" s="68" t="inlineStr">
        <is>
          <t>依裁定現行行為不符 → 狀態改「新開」交開發者</t>
        </is>
      </c>
      <c r="R79" s="68" t="inlineStr">
        <is>
          <t>檢驗方 2026-09-24</t>
        </is>
      </c>
    </row>
    <row r="80" ht="15" customHeight="1" s="43">
      <c r="A80" s="72" t="inlineStr">
        <is>
          <t>R2</t>
        </is>
      </c>
      <c r="B80" s="72" t="inlineStr">
        <is>
          <t>DEF-033</t>
        </is>
      </c>
      <c r="C80" s="72" t="inlineStr">
        <is>
          <t>H-03</t>
        </is>
      </c>
      <c r="D80" s="72" t="inlineStr">
        <is>
          <t>2026-09-24</t>
        </is>
      </c>
      <c r="E80" s="66" t="inlineStr">
        <is>
          <t>—（Owner 裁定列，本輪未修）</t>
        </is>
      </c>
      <c r="F80" s="67" t="inlineStr">
        <is>
          <t>—</t>
        </is>
      </c>
      <c r="G80" s="67" t="inlineStr">
        <is>
          <t>—</t>
        </is>
      </c>
      <c r="H80" s="67" t="inlineStr">
        <is>
          <t>—</t>
        </is>
      </c>
      <c r="I80" s="67" t="inlineStr">
        <is>
          <t>—</t>
        </is>
      </c>
      <c r="J80" s="67" t="inlineStr">
        <is>
          <t>—</t>
        </is>
      </c>
      <c r="K80" s="67" t="inlineStr">
        <is>
          <t>—</t>
        </is>
      </c>
      <c r="L80" s="67" t="inlineStr">
        <is>
          <t>—</t>
        </is>
      </c>
      <c r="M80" s="68" t="inlineStr">
        <is>
          <t>非複驗：Owner 裁定（驗證者整理 2～3 個方案供選，Owner 選定）</t>
        </is>
      </c>
      <c r="N80" s="68" t="inlineStr">
        <is>
          <t>裁定：策略提示詞做完整版本記錄：每次儲存留一版，可檢視差異並回復任一版，洞察卡記錄生成時使用的版本。</t>
        </is>
      </c>
      <c r="O80" s="68" t="inlineStr">
        <is>
          <t>改程式；H-03 期望不變</t>
        </is>
      </c>
      <c r="P80" s="69" t="inlineStr">
        <is>
          <t>FAIL</t>
        </is>
      </c>
      <c r="Q80" s="68" t="inlineStr">
        <is>
          <t>依裁定現行行為不符 → 狀態改「新開」交開發者</t>
        </is>
      </c>
      <c r="R80" s="68" t="inlineStr">
        <is>
          <t>檢驗方 2026-09-24</t>
        </is>
      </c>
    </row>
    <row r="81" ht="15" customHeight="1" s="43">
      <c r="A81" s="72" t="inlineStr">
        <is>
          <t>R2</t>
        </is>
      </c>
      <c r="B81" s="72" t="inlineStr">
        <is>
          <t>DEF-039</t>
        </is>
      </c>
      <c r="C81" s="72" t="inlineStr">
        <is>
          <t>I-10</t>
        </is>
      </c>
      <c r="D81" s="72" t="inlineStr">
        <is>
          <t>2026-09-24</t>
        </is>
      </c>
      <c r="E81" s="66" t="inlineStr">
        <is>
          <t>—（本輪由檢驗方發現／Owner 裁定）</t>
        </is>
      </c>
      <c r="F81" s="67" t="inlineStr">
        <is>
          <t>—</t>
        </is>
      </c>
      <c r="G81" s="67" t="inlineStr">
        <is>
          <t>—</t>
        </is>
      </c>
      <c r="H81" s="67" t="inlineStr">
        <is>
          <t>—</t>
        </is>
      </c>
      <c r="I81" s="67" t="inlineStr">
        <is>
          <t>—</t>
        </is>
      </c>
      <c r="J81" s="67" t="inlineStr">
        <is>
          <t>—</t>
        </is>
      </c>
      <c r="K81" s="67" t="inlineStr">
        <is>
          <t>—</t>
        </is>
      </c>
      <c r="L81" s="67" t="inlineStr">
        <is>
          <t>—</t>
        </is>
      </c>
      <c r="M81" s="68" t="inlineStr">
        <is>
          <t>真實瀏覽器走完 DEF-027 的券商對帳單流程，讀賣超列的提示文字</t>
        </is>
      </c>
      <c r="N81" s="68" t="inlineStr">
        <is>
          <t>觀察：提示中的持股是 28 位小數原文
假設：①前端未經 format.js；②後端回傳已格式化字串
排除：/api/input/holdings 回傳 shares 為 Decimal 原文，UI 其他處（持倉表）都有格式化，排除②
判定：FAIL（低）— 顯示格式不一致</t>
        </is>
      </c>
      <c r="O81" s="68" t="inlineStr">
        <is>
          <t>提示顯示 28 位小數；缺口數值正確</t>
        </is>
      </c>
      <c r="P81" s="69" t="inlineStr">
        <is>
          <t>FAIL</t>
        </is>
      </c>
      <c r="Q81" s="68" t="inlineStr">
        <is>
          <t>開 DEF-039</t>
        </is>
      </c>
      <c r="R81" s="68" t="inlineStr">
        <is>
          <t>檢驗方 2026-09-24</t>
        </is>
      </c>
    </row>
    <row r="82" ht="15" customHeight="1" s="43">
      <c r="A82" s="72" t="inlineStr">
        <is>
          <t>R2</t>
        </is>
      </c>
      <c r="B82" s="72" t="inlineStr">
        <is>
          <t>DEF-040</t>
        </is>
      </c>
      <c r="C82" s="72" t="inlineStr">
        <is>
          <t>D-10</t>
        </is>
      </c>
      <c r="D82" s="72" t="inlineStr">
        <is>
          <t>2026-09-24</t>
        </is>
      </c>
      <c r="E82" s="66" t="inlineStr">
        <is>
          <t>—（本輪由檢驗方發現／Owner 裁定）</t>
        </is>
      </c>
      <c r="F82" s="67" t="inlineStr">
        <is>
          <t>—</t>
        </is>
      </c>
      <c r="G82" s="67" t="inlineStr">
        <is>
          <t>—</t>
        </is>
      </c>
      <c r="H82" s="67" t="inlineStr">
        <is>
          <t>—</t>
        </is>
      </c>
      <c r="I82" s="67" t="inlineStr">
        <is>
          <t>—</t>
        </is>
      </c>
      <c r="J82" s="67" t="inlineStr">
        <is>
          <t>—</t>
        </is>
      </c>
      <c r="K82" s="67" t="inlineStr">
        <is>
          <t>—</t>
        </is>
      </c>
      <c r="L82" s="67" t="inlineStr">
        <is>
          <t>—</t>
        </is>
      </c>
      <c r="M82" s="68" t="inlineStr">
        <is>
          <t>開發者交接觀察，未另行黑箱重現（刪除不回收已由程式碼與開發者說明確認）</t>
        </is>
      </c>
      <c r="N82" s="69" t="inlineStr">
        <is>
          <t>Owner 裁定為需修正的行為，轉開發者</t>
        </is>
      </c>
      <c r="O82" s="69" t="inlineStr">
        <is>
          <t>—</t>
        </is>
      </c>
      <c r="P82" s="69" t="inlineStr">
        <is>
          <t>FAIL</t>
        </is>
      </c>
      <c r="Q82" s="68" t="inlineStr">
        <is>
          <t>開 DEF-040（OBS-1）</t>
        </is>
      </c>
      <c r="R82" s="68" t="inlineStr">
        <is>
          <t>檢驗方 2026-09-24</t>
        </is>
      </c>
    </row>
    <row r="83" ht="15" customHeight="1" s="43">
      <c r="A83" s="72" t="inlineStr">
        <is>
          <t>R2</t>
        </is>
      </c>
      <c r="B83" s="72" t="inlineStr">
        <is>
          <t>DEF-041</t>
        </is>
      </c>
      <c r="C83" s="72" t="inlineStr">
        <is>
          <t>G-09</t>
        </is>
      </c>
      <c r="D83" s="72" t="inlineStr">
        <is>
          <t>2026-09-24</t>
        </is>
      </c>
      <c r="E83" s="66" t="inlineStr">
        <is>
          <t>—（本輪由檢驗方發現／Owner 裁定）</t>
        </is>
      </c>
      <c r="F83" s="67" t="inlineStr">
        <is>
          <t>—</t>
        </is>
      </c>
      <c r="G83" s="67" t="inlineStr">
        <is>
          <t>—</t>
        </is>
      </c>
      <c r="H83" s="67" t="inlineStr">
        <is>
          <t>—</t>
        </is>
      </c>
      <c r="I83" s="67" t="inlineStr">
        <is>
          <t>—</t>
        </is>
      </c>
      <c r="J83" s="67" t="inlineStr">
        <is>
          <t>—</t>
        </is>
      </c>
      <c r="K83" s="67" t="inlineStr">
        <is>
          <t>—</t>
        </is>
      </c>
      <c r="L83" s="67" t="inlineStr">
        <is>
          <t>—</t>
        </is>
      </c>
      <c r="M83" s="69" t="inlineStr">
        <is>
          <t>R2 三次 alert_scan（#181～#183）讀 /api/alerts 與派發數</t>
        </is>
      </c>
      <c r="N83" s="68" t="inlineStr">
        <is>
          <t>觀察：觀察標的仍在預警清單且屬 on_alert 訂閱規則；Owner 裁定只派發持有中標的</t>
        </is>
      </c>
      <c r="O83" s="69" t="inlineStr">
        <is>
          <t>19 條預警中 7 條為觀察標的的 drawdown_from_peak</t>
        </is>
      </c>
      <c r="P83" s="69" t="inlineStr">
        <is>
          <t>FAIL</t>
        </is>
      </c>
      <c r="Q83" s="68" t="inlineStr">
        <is>
          <t>開 DEF-041（OBS-2）</t>
        </is>
      </c>
      <c r="R83" s="68" t="inlineStr">
        <is>
          <t>檢驗方 2026-09-24</t>
        </is>
      </c>
    </row>
    <row r="84" ht="15" customHeight="1" s="43">
      <c r="A84" s="72" t="inlineStr">
        <is>
          <t>R2</t>
        </is>
      </c>
      <c r="B84" s="72" t="inlineStr">
        <is>
          <t>DEF-042</t>
        </is>
      </c>
      <c r="C84" s="72" t="inlineStr">
        <is>
          <t>B-17</t>
        </is>
      </c>
      <c r="D84" s="72" t="inlineStr">
        <is>
          <t>2026-09-24</t>
        </is>
      </c>
      <c r="E84" s="66" t="inlineStr">
        <is>
          <t>—（本輪由檢驗方發現／Owner 裁定）</t>
        </is>
      </c>
      <c r="F84" s="67" t="inlineStr">
        <is>
          <t>—</t>
        </is>
      </c>
      <c r="G84" s="67" t="inlineStr">
        <is>
          <t>—</t>
        </is>
      </c>
      <c r="H84" s="67" t="inlineStr">
        <is>
          <t>—</t>
        </is>
      </c>
      <c r="I84" s="67" t="inlineStr">
        <is>
          <t>—</t>
        </is>
      </c>
      <c r="J84" s="67" t="inlineStr">
        <is>
          <t>—</t>
        </is>
      </c>
      <c r="K84" s="67" t="inlineStr">
        <is>
          <t>—</t>
        </is>
      </c>
      <c r="L84" s="67" t="inlineStr">
        <is>
          <t>—</t>
        </is>
      </c>
      <c r="M84" s="68" t="inlineStr">
        <is>
          <t>真實瀏覽器 J-03：寫入 #104 → 編輯價格 → 刪除；讀 PUT 本文與回應</t>
        </is>
      </c>
      <c r="N84" s="68" t="inlineStr">
        <is>
          <t>觀察：PUT 回 {ok, fee, tax}，無 issues；開發者自述 ledgers.py 更正門不走驗證器（跨包白名單 1）。Owner 裁定要統一</t>
        </is>
      </c>
      <c r="O84" s="68" t="inlineStr">
        <is>
          <t>編輯成功、統計正確（均價 69.7→71.7）；無日期類提示</t>
        </is>
      </c>
      <c r="P84" s="69" t="inlineStr">
        <is>
          <t>FAIL</t>
        </is>
      </c>
      <c r="Q84" s="68" t="inlineStr">
        <is>
          <t>開 DEF-042（OBS-3）</t>
        </is>
      </c>
      <c r="R84" s="68" t="inlineStr">
        <is>
          <t>檢驗方 2026-09-24</t>
        </is>
      </c>
    </row>
    <row r="85" ht="15" customHeight="1" s="43">
      <c r="A85" s="72" t="inlineStr">
        <is>
          <t>R2</t>
        </is>
      </c>
      <c r="B85" s="72" t="inlineStr">
        <is>
          <t>DEF-043</t>
        </is>
      </c>
      <c r="C85" s="72" t="inlineStr">
        <is>
          <t>H-05</t>
        </is>
      </c>
      <c r="D85" s="72" t="inlineStr">
        <is>
          <t>2026-09-24</t>
        </is>
      </c>
      <c r="E85" s="66" t="inlineStr">
        <is>
          <t>—（本輪由檢驗方發現／Owner 裁定）</t>
        </is>
      </c>
      <c r="F85" s="67" t="inlineStr">
        <is>
          <t>—</t>
        </is>
      </c>
      <c r="G85" s="67" t="inlineStr">
        <is>
          <t>—</t>
        </is>
      </c>
      <c r="H85" s="67" t="inlineStr">
        <is>
          <t>—</t>
        </is>
      </c>
      <c r="I85" s="67" t="inlineStr">
        <is>
          <t>—</t>
        </is>
      </c>
      <c r="J85" s="67" t="inlineStr">
        <is>
          <t>—</t>
        </is>
      </c>
      <c r="K85" s="67" t="inlineStr">
        <is>
          <t>—</t>
        </is>
      </c>
      <c r="L85" s="67" t="inlineStr">
        <is>
          <t>—</t>
        </is>
      </c>
      <c r="M85" s="68" t="inlineStr">
        <is>
          <t>真實瀏覽器讀洞察管線任務卡；對照 /api/scheduler/runs 的 insight:9 自動 run</t>
        </is>
      </c>
      <c r="N85" s="68" t="inlineStr">
        <is>
          <t>觀察：卡片說不會自動執行，但 run #184 由 alert_scan 自動派發
假設：①on_alert 需另外排程；②狀態判斷漏了 scope
排除：#184 為自動派發，排除①
定位：pipeline_status.py:86
判定：FAIL（低）</t>
        </is>
      </c>
      <c r="O85" s="68" t="inlineStr">
        <is>
          <t>觸發節點誤報 warn；需注意計數多 1</t>
        </is>
      </c>
      <c r="P85" s="69" t="inlineStr">
        <is>
          <t>FAIL</t>
        </is>
      </c>
      <c r="Q85" s="68" t="inlineStr">
        <is>
          <t>開 DEF-043</t>
        </is>
      </c>
      <c r="R85" s="68" t="inlineStr">
        <is>
          <t>檢驗方 2026-09-24</t>
        </is>
      </c>
    </row>
    <row r="86" ht="15" customHeight="1" s="43">
      <c r="A86" s="72" t="inlineStr">
        <is>
          <t>R2</t>
        </is>
      </c>
      <c r="B86" s="72" t="inlineStr">
        <is>
          <t>DEF-044</t>
        </is>
      </c>
      <c r="C86" s="72" t="inlineStr">
        <is>
          <t>G-09</t>
        </is>
      </c>
      <c r="D86" s="72" t="inlineStr">
        <is>
          <t>2026-09-24</t>
        </is>
      </c>
      <c r="E86" s="66" t="inlineStr">
        <is>
          <t>—（本輪由檢驗方發現／Owner 裁定）</t>
        </is>
      </c>
      <c r="F86" s="67" t="inlineStr">
        <is>
          <t>—</t>
        </is>
      </c>
      <c r="G86" s="67" t="inlineStr">
        <is>
          <t>—</t>
        </is>
      </c>
      <c r="H86" s="67" t="inlineStr">
        <is>
          <t>—</t>
        </is>
      </c>
      <c r="I86" s="67" t="inlineStr">
        <is>
          <t>—</t>
        </is>
      </c>
      <c r="J86" s="67" t="inlineStr">
        <is>
          <t>—</t>
        </is>
      </c>
      <c r="K86" s="67" t="inlineStr">
        <is>
          <t>—</t>
        </is>
      </c>
      <c r="L86" s="67" t="inlineStr">
        <is>
          <t>—</t>
        </is>
      </c>
      <c r="M86" s="68" t="inlineStr">
        <is>
          <t>真實瀏覽器讀排程中心列文字；grep web/*.html 的 script 標籤</t>
        </is>
      </c>
      <c r="N86" s="68" t="inlineStr">
        <is>
          <t>觀察：畫面出現 moomoo_my
假設：①後端沒轉；②前端退化路徑
排除：API 為記號、api.js 註解寫明無 names.js 時印 id
定位：api.js:49＋5 頁缺 names.js
判定：FAIL（低）</t>
        </is>
      </c>
      <c r="O86" s="69" t="inlineStr">
        <is>
          <t>5 頁缺 names.js；排程中心顯示原始 id</t>
        </is>
      </c>
      <c r="P86" s="69" t="inlineStr">
        <is>
          <t>FAIL</t>
        </is>
      </c>
      <c r="Q86" s="68" t="inlineStr">
        <is>
          <t>開 DEF-044</t>
        </is>
      </c>
      <c r="R86" s="68" t="inlineStr">
        <is>
          <t>檢驗方 2026-09-24</t>
        </is>
      </c>
    </row>
    <row r="87" ht="15" customHeight="1" s="43">
      <c r="A87" s="72" t="inlineStr">
        <is>
          <t>R2</t>
        </is>
      </c>
      <c r="B87" s="72" t="inlineStr">
        <is>
          <t>DEF-045</t>
        </is>
      </c>
      <c r="C87" s="72" t="inlineStr">
        <is>
          <t>J-04</t>
        </is>
      </c>
      <c r="D87" s="72" t="inlineStr">
        <is>
          <t>2026-09-24</t>
        </is>
      </c>
      <c r="E87" s="66" t="inlineStr">
        <is>
          <t>—（本輪由檢驗方發現／Owner 裁定）</t>
        </is>
      </c>
      <c r="F87" s="67" t="inlineStr">
        <is>
          <t>—</t>
        </is>
      </c>
      <c r="G87" s="67" t="inlineStr">
        <is>
          <t>—</t>
        </is>
      </c>
      <c r="H87" s="67" t="inlineStr">
        <is>
          <t>—</t>
        </is>
      </c>
      <c r="I87" s="67" t="inlineStr">
        <is>
          <t>—</t>
        </is>
      </c>
      <c r="J87" s="67" t="inlineStr">
        <is>
          <t>—</t>
        </is>
      </c>
      <c r="K87" s="67" t="inlineStr">
        <is>
          <t>—</t>
        </is>
      </c>
      <c r="L87" s="67" t="inlineStr">
        <is>
          <t>—</t>
        </is>
      </c>
      <c r="M87" s="68" t="inlineStr">
        <is>
          <t>真實瀏覽器下載（攔截）帳本報告，搜尋帳戶名</t>
        </is>
      </c>
      <c r="N87" s="68" t="inlineStr">
        <is>
          <t>觀察：報告為英文名
定位：ledgers_report.py:439 取 accounts.name
判定：FAIL（低）</t>
        </is>
      </c>
      <c r="O87" s="68" t="inlineStr">
        <is>
          <t>報告 8 處以上英文帳戶名</t>
        </is>
      </c>
      <c r="P87" s="69" t="inlineStr">
        <is>
          <t>FAIL</t>
        </is>
      </c>
      <c r="Q87" s="68" t="inlineStr">
        <is>
          <t>開 DEF-045</t>
        </is>
      </c>
      <c r="R87" s="68" t="inlineStr">
        <is>
          <t>檢驗方 2026-09-24</t>
        </is>
      </c>
    </row>
    <row r="88" ht="15" customHeight="1" s="43">
      <c r="A88" s="72" t="inlineStr">
        <is>
          <t>R2</t>
        </is>
      </c>
      <c r="B88" s="72" t="inlineStr">
        <is>
          <t>DEF-046</t>
        </is>
      </c>
      <c r="C88" s="72" t="inlineStr">
        <is>
          <t>G-09</t>
        </is>
      </c>
      <c r="D88" s="72" t="inlineStr">
        <is>
          <t>2026-09-24</t>
        </is>
      </c>
      <c r="E88" s="66" t="inlineStr">
        <is>
          <t>—（本輪由檢驗方發現／Owner 裁定）</t>
        </is>
      </c>
      <c r="F88" s="67" t="inlineStr">
        <is>
          <t>—</t>
        </is>
      </c>
      <c r="G88" s="67" t="inlineStr">
        <is>
          <t>—</t>
        </is>
      </c>
      <c r="H88" s="67" t="inlineStr">
        <is>
          <t>—</t>
        </is>
      </c>
      <c r="I88" s="67" t="inlineStr">
        <is>
          <t>—</t>
        </is>
      </c>
      <c r="J88" s="67" t="inlineStr">
        <is>
          <t>—</t>
        </is>
      </c>
      <c r="K88" s="67" t="inlineStr">
        <is>
          <t>—</t>
        </is>
      </c>
      <c r="L88" s="67" t="inlineStr">
        <is>
          <t>—</t>
        </is>
      </c>
      <c r="M88" s="68" t="inlineStr">
        <is>
          <t>真實瀏覽器讀持倉健診清單</t>
        </is>
      </c>
      <c r="N88" s="68" t="inlineStr">
        <is>
          <t>觀察：錯誤卡仍在。屬修復前寫入的舊資料，程式已正確 → 依 §分類為資料殘留，交 owner 裁定</t>
        </is>
      </c>
      <c r="O88" s="68" t="inlineStr">
        <is>
          <t>卡片仍在</t>
        </is>
      </c>
      <c r="P88" s="68" t="inlineStr">
        <is>
          <t>待裁定</t>
        </is>
      </c>
      <c r="Q88" s="68" t="inlineStr">
        <is>
          <t>開 DEF-046，Owner 已裁定刪除</t>
        </is>
      </c>
      <c r="R88" s="68" t="inlineStr">
        <is>
          <t>檢驗方 2026-09-24</t>
        </is>
      </c>
    </row>
    <row r="89" ht="15" customHeight="1" s="43">
      <c r="A89" s="72" t="inlineStr">
        <is>
          <t>R2</t>
        </is>
      </c>
      <c r="B89" s="72" t="inlineStr">
        <is>
          <t>DEF-047</t>
        </is>
      </c>
      <c r="C89" s="72" t="inlineStr">
        <is>
          <t>C-01</t>
        </is>
      </c>
      <c r="D89" s="72" t="inlineStr">
        <is>
          <t>2026-09-24</t>
        </is>
      </c>
      <c r="E89" s="66" t="inlineStr">
        <is>
          <t>—（本輪由檢驗方發現／Owner 裁定）</t>
        </is>
      </c>
      <c r="F89" s="67" t="inlineStr">
        <is>
          <t>—</t>
        </is>
      </c>
      <c r="G89" s="67" t="inlineStr">
        <is>
          <t>—</t>
        </is>
      </c>
      <c r="H89" s="67" t="inlineStr">
        <is>
          <t>—</t>
        </is>
      </c>
      <c r="I89" s="67" t="inlineStr">
        <is>
          <t>—</t>
        </is>
      </c>
      <c r="J89" s="67" t="inlineStr">
        <is>
          <t>—</t>
        </is>
      </c>
      <c r="K89" s="67" t="inlineStr">
        <is>
          <t>—</t>
        </is>
      </c>
      <c r="L89" s="67" t="inlineStr">
        <is>
          <t>—</t>
        </is>
      </c>
      <c r="M89" s="68" t="inlineStr">
        <is>
          <t>真實瀏覽器按重新偵測，讀 refreshed.failed</t>
        </is>
      </c>
      <c r="N89" s="68" t="inlineStr">
        <is>
          <t>觀察：failed 內只有「無配息資料」一類原因
判定：規格未定，交 owner</t>
        </is>
      </c>
      <c r="O89" s="69" t="inlineStr">
        <is>
          <t>TSLA 被列為失敗</t>
        </is>
      </c>
      <c r="P89" s="68" t="inlineStr">
        <is>
          <t>待裁定</t>
        </is>
      </c>
      <c r="Q89" s="68" t="inlineStr">
        <is>
          <t>開 DEF-047，Owner 已裁定</t>
        </is>
      </c>
      <c r="R89" s="68" t="inlineStr">
        <is>
          <t>檢驗方 2026-09-24</t>
        </is>
      </c>
    </row>
    <row r="90" ht="15" customHeight="1" s="43">
      <c r="A90" s="72" t="inlineStr">
        <is>
          <t>R2</t>
        </is>
      </c>
      <c r="B90" s="72" t="inlineStr">
        <is>
          <t>DEF-048</t>
        </is>
      </c>
      <c r="C90" s="72" t="inlineStr">
        <is>
          <t>B-17</t>
        </is>
      </c>
      <c r="D90" s="72" t="inlineStr">
        <is>
          <t>2026-09-24</t>
        </is>
      </c>
      <c r="E90" s="66" t="inlineStr">
        <is>
          <t>—（本輪由檢驗方發現／Owner 裁定）</t>
        </is>
      </c>
      <c r="F90" s="67" t="inlineStr">
        <is>
          <t>—</t>
        </is>
      </c>
      <c r="G90" s="67" t="inlineStr">
        <is>
          <t>—</t>
        </is>
      </c>
      <c r="H90" s="67" t="inlineStr">
        <is>
          <t>—</t>
        </is>
      </c>
      <c r="I90" s="67" t="inlineStr">
        <is>
          <t>—</t>
        </is>
      </c>
      <c r="J90" s="67" t="inlineStr">
        <is>
          <t>—</t>
        </is>
      </c>
      <c r="K90" s="67" t="inlineStr">
        <is>
          <t>—</t>
        </is>
      </c>
      <c r="L90" s="67" t="inlineStr">
        <is>
          <t>—</t>
        </is>
      </c>
      <c r="M90" s="68" t="inlineStr">
        <is>
          <t>真實瀏覽器 DEF-014 複驗時的兩個草稿</t>
        </is>
      </c>
      <c r="N90" s="68" t="inlineStr">
        <is>
          <t>觀察：position_preview.old_shares＝目前持股
判定：規格未定，交 owner</t>
        </is>
      </c>
      <c r="O90" s="68" t="inlineStr">
        <is>
          <t>草稿持股為今天的持股</t>
        </is>
      </c>
      <c r="P90" s="68" t="inlineStr">
        <is>
          <t>待裁定</t>
        </is>
      </c>
      <c r="Q90" s="68" t="inlineStr">
        <is>
          <t>開 DEF-048，Owner 已裁定</t>
        </is>
      </c>
      <c r="R90" s="68" t="inlineStr">
        <is>
          <t>檢驗方 2026-09-24</t>
        </is>
      </c>
    </row>
    <row r="91" ht="219.75" customHeight="1" s="43">
      <c r="A91" s="72" t="inlineStr">
        <is>
          <t>R3</t>
        </is>
      </c>
      <c r="B91" s="72" t="inlineStr">
        <is>
          <t>DEF-023</t>
        </is>
      </c>
      <c r="C91" s="72" t="inlineStr">
        <is>
          <t>D-11</t>
        </is>
      </c>
      <c r="D91" s="72" t="inlineStr">
        <is>
          <t>2026-09-24</t>
        </is>
      </c>
      <c r="E91" s="66" t="inlineStr">
        <is>
          <t>同意驗證者。R2 把 renderUnappliedBanner() 放進 renderUnregisteredBanner() 的提前 return 之後；demo 標的全部已註冊，所以區塊永遠不出現。刪除警告、帳本「未套用」badge、深連結都正常，只有儀表板入口失效。</t>
        </is>
      </c>
      <c r="F91" s="67" t="inlineStr">
        <is>
          <t>web/app.js:112 `renderUnappliedBanner();`（位於 web/app.js:100 `if (!syms.length || !page) return;` 之後）</t>
        </is>
      </c>
      <c r="G91" s="67" t="inlineStr">
        <is>
          <t>R2 的守門 tests/contract/test_unapplied_actions_have_an_entry.py:125 `assert "renderUnappliedBanner();" in _fn(src, "renderUnregisteredBanner")` 只看字串在不在函式裡，看不到控制流程，等於把錯的位置釘成規格。補：①Node（Playwright driver）原樣執行 app.js 的 header 區段（載入真的 format.js／names.js），對最小 DOM 呼叫 renderHeader() 後檢查 DOM；②e2e 真伺服器＋全部已註冊的 golden 帳本＋1 筆無持倉可套用的 SPLIT → #unapplied-banner 可見、#unreg-banner 不存在、連結可點；③舊斷言改為負向（不得再出現在 renderUnregisteredBanner 內）。</t>
        </is>
      </c>
      <c r="H91" s="67" t="inlineStr">
        <is>
          <t>renderHeader() 直接依序呼叫 renderUnregisteredBanner(); renderUnappliedBanner();，兩個區塊各自獨立；刪除 renderUnregisteredBanner 內的呼叫。同類掃描（自寫 scan_early_return.py：遮蔽字串／註解／regex 後做括號比對）：找出每個函式頂層 `if (…) return` 之後才呼叫的 render/draw/show/build/mount/load/refresh/update* 函式，逐筆比對 guard 條件與被呼叫者是否相關。</t>
        </is>
      </c>
      <c r="I91" s="66" t="inlineStr">
        <is>
          <t>共 106／修 1／白名單 105（guard 檢查的是被呼叫者自己的掛載點或同頁元素 33；guard 檢查 API 層是否存在 18；guard 檢查的正是被呼叫者要渲染的資料 40，例：detail 的 txSection→renderActionIssues，有未套用行動就一定有 activity；一次性／過期序號／防重入 14）</t>
        </is>
      </c>
      <c r="J91" s="66" t="inlineStr">
        <is>
          <t>新增 tests/contract/test_def023_unapplied_banner_renders.py（3）、tests/e2e/test_def023_unapplied_banner_flow.py（1）；改寫 test_unapplied_actions_have_an_entry.py（1）。變異（把呼叫放回 e6fd9f4 的位置）→ 3 則失敗：test_the_block_renders_on_a_ledger_with_no_unregistered_symbol「#unapplied-banner missing … {'order': []}」、test_the_dashboard_renders_a_visible_block_with_an_entry_per_row「'renderUnappliedBanner();' is contained here」、e2e「Locator expected to be visible」。還原後全過。</t>
        </is>
      </c>
      <c r="K91" s="67" t="inlineStr">
        <is>
          <t>4655845（已部署 demo）</t>
        </is>
      </c>
      <c r="L91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1" s="68" t="inlineStr">
        <is>
          <t>真實瀏覽器：重放 R2 未解情境——確認 freshness.unregistered_symbols＝[]（無未註冊標的）→ 台灣券商買 2882 100 股（2026-09-22，#106）→ 登錄 2882 分割 1→2（2026-09-23，#16）→ 刪除該筆買進 → 儀表板 → 點區塊內連結 → 刪除行動並比對</t>
        </is>
      </c>
      <c r="N91" s="68" t="inlineStr">
        <is>
          <t>觀察：R2 時儀表板 DOM 中沒有 #unapplied-banner（被 app.js:100 的提前 return 擋掉）
假設：①區塊改由頁首直接畫；②只在有未註冊標的時才出現（R2 狀態）
排除：本次 unregistered_symbols＝[]、#unreg-banner 不存在，#unapplied-banner 仍出現在頁首（top 51px、可見），內容「⚠ 帳本中有 1 筆公司行動無法套用（待釐清）…台灣券商・2882・2026-09-23・分割 2882（台灣券商）於 2026-09-23 沒有持倉…」＋「前往該筆公司行動」，排除②。點連結 → trades.html?ledger=action&amp;action_id=16… 直接切到公司行動分頁並標示該列（未套用 badge）。刪除買進時警告「⚠ 刪除後 2026-09-23 的 2882 分割 可能失去持倉依據而無法套用（待釐清）」仍在
定位：renderHeader 直接呼叫 renderUnappliedBanner；守門改為實際渲染
判定：通過
變異（驗證者於本機 4655845 重做）：renderHeader 內不呼叫 renderUnappliedBanner（等同 R2 被提前 return 擋住） → 3 failed（AssertionError: #unapplied-banner missing — the unapplied block is gated by another banner's early return: {'order': []}）；1 failed（E2E test_def023_unapplied_banner_flow：頁面快照中找不到 #unapplied-banner 區塊（只剩持倉表）），還原後通過</t>
        </is>
      </c>
      <c r="O91" s="68" t="inlineStr">
        <is>
          <t>無未註冊標的時區塊與連結正常顯示並可跳轉；刪除行動後 cmp D023R3 same:true（prices_restated 1 已還原）</t>
        </is>
      </c>
      <c r="P91" s="68" t="inlineStr">
        <is>
          <t>複驗通過 → 結案</t>
        </is>
      </c>
      <c r="Q91" s="68" t="inlineStr">
        <is>
          <t>無</t>
        </is>
      </c>
      <c r="R91" s="68" t="inlineStr">
        <is>
          <t>檢驗方 2026-09-24</t>
        </is>
      </c>
    </row>
    <row r="92" ht="219.75" customHeight="1" s="43">
      <c r="A92" s="72" t="inlineStr">
        <is>
          <t>R3</t>
        </is>
      </c>
      <c r="B92" s="72" t="inlineStr">
        <is>
          <t>DEF-017</t>
        </is>
      </c>
      <c r="C92" s="72" t="inlineStr">
        <is>
          <t>C-04</t>
        </is>
      </c>
      <c r="D92" s="72" t="inlineStr">
        <is>
          <t>2026-09-24</t>
        </is>
      </c>
      <c r="E92" s="66" t="inlineStr">
        <is>
          <t>同意驗證者。後端與重新整理後的畫面都正確；同頁操作時，帳本刪除後「最近匯入」沒有重抓，復原對話框又引用快取的 row_count，所以寫「將刪除 1 筆」而實刪 0 筆。</t>
        </is>
      </c>
      <c r="F92" s="67" t="inlineStr">
        <is>
          <t>web/input.js:2752 `if (!o.external &amp;&amp; window.pdReloadImportBatches) {`；web/broker-import.js:237 `body: '將刪除這批匯入寫進帳本的 ' + b.row_count + ' 筆'`</t>
        </is>
      </c>
      <c r="G92" s="67" t="inlineStr">
        <is>
          <t>R2 的 tests/contract/test_def017_batches_follow_the_ledger.py 只測 API；test_def019_single_ledger_refresh.py 只查字串；沒有任何測試在同一頁刪除後再看最近匯入。補 e2e tests/e2e/test_def017_batch_list_follows_ledger_flow.py（兩則，真瀏覽器同頁操作）。</t>
        </is>
      </c>
      <c r="H92" s="66" t="inlineStr">
        <is>
          <t>兩條都做（第二條是類別修法：破壞性確認框不得引用快取數字）：①刷新縫在每一次帳本變動後都重抓最近匯入（移除 !o.external 條件）；②undoBatch 開框前先 GET /api/import/batches 取該批次當下筆數——批次已不在清單則不開框、toast「沒有可復原的列／此批次的列已在帳本中刪除」並重抓清單；重讀失敗不開框（無法確認筆數時不要求使用者確認破壞性動作）；筆數有變則同步重繪。同類掃描：web/*.js 全部 confirmDialog 呼叫點。</t>
        </is>
      </c>
      <c r="I92" s="66" t="inlineStr">
        <is>
          <t>共 31／修 1／白名單 3（cash.js removeMovement 引用被刪那一列自己的欄位、DELETE 用同一 id；ledger.js actionDeleteConsequences 引用該列自己的連結紀錄，同頁任何變動後列表重讀、伺服器刪除時重新判定；inbox.js 批次確認入帳非破壞性，筆數＝送出的 fingerprint 數）；其餘 27 處不引用快取數字</t>
        </is>
      </c>
      <c r="J92" s="66" t="inlineStr">
        <is>
          <t>新增 e2e 2 則：同頁刪 1 筆後清單顯示「1（原寫入 2）」、再刪 1 筆後批次消失；頁面背後用 API 刪 1 筆後對話框寫「1 筆」、最後一筆也刪掉後不開框改出 toast。變異 A（放回 !o.external &amp;&amp;）→ 第一則失敗「to_contain_text '1（原寫入 2）' Actual …復原」；變異 B（對話框改回快取）→ 第二則失敗「…將刪除這批匯入寫進帳本的 2 筆股利紀錄…」。還原後全過。</t>
        </is>
      </c>
      <c r="K92" s="67" t="inlineStr">
        <is>
          <t>4655845（已部署 demo）</t>
        </is>
      </c>
      <c r="L92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2" s="68" t="inlineStr">
        <is>
          <t>真實瀏覽器：交易帳本 › CSV 匯入（股利範本）貼上 2 列寫入（批次 13）→ 同頁到帳本股利分頁刪 1 列 → 看「最近匯入」→ 按「復原」讀框後取消 → 以 API 在頁面背後刪掉最後 1 列（模擬另一分頁）→ 再按「復原」</t>
        </is>
      </c>
      <c r="N92" s="68" t="inlineStr">
        <is>
          <t>觀察：R2 時同頁刪帳本列後清單不刷新、復原框仍寫「將刪除 1 筆」而實刪 0 筆
假設：①每次帳本變動都重抓清單＋開框前重讀筆數；②只做其一
排除：刪 #45 後立即 GET /api/import/batches，清單改為「2026-09-24 21:30:37 股利 貼上 CSV 1（原寫入 2）」；按復原先 GET /api/import/batches?limit=500，框寫「將刪除這批匯入寫進帳本的 1 筆股利紀錄」；背後刪掉最後一列後再按復原 → 先重讀得 []，不開框，toast「! 沒有可復原的列 此批次的列已在帳本中刪除」，清單同時變「尚無匯入紀錄」，排除②（背後刪除的情境只有開框前重讀才抓得到）
定位：input.js 刷新縫移除 !o.external；broker-import.js undoBatch 開框前重讀
判定：通過
變異（驗證者於本機 4655845 重做）：A 放回 `!o.external &amp;&amp;`；B undoBatch 改用快取列 → 1 failed（AssertionError: Locator expected to contain text '1（原寫入 2）'）；1 failed（AssertionError: Locator expected to contain text '將刪除這批匯入寫進帳本的 1 筆股利紀錄'），還原後通過</t>
        </is>
      </c>
      <c r="O92" s="68" t="inlineStr">
        <is>
          <t>清單即時「1（原寫入 2）」；框內筆數為當下值；批次已空不開框；cmp D017R3 same:true</t>
        </is>
      </c>
      <c r="P92" s="68" t="inlineStr">
        <is>
          <t>複驗通過 → 結案</t>
        </is>
      </c>
      <c r="Q92" s="68" t="inlineStr">
        <is>
          <t>無</t>
        </is>
      </c>
      <c r="R92" s="68" t="inlineStr">
        <is>
          <t>檢驗方 2026-09-24</t>
        </is>
      </c>
    </row>
    <row r="93" ht="219.75" customHeight="1" s="43">
      <c r="A93" s="72" t="inlineStr">
        <is>
          <t>R3</t>
        </is>
      </c>
      <c r="B93" s="72" t="inlineStr">
        <is>
          <t>DEF-025</t>
        </is>
      </c>
      <c r="C93" s="72" t="inlineStr">
        <is>
          <t>I-06</t>
        </is>
      </c>
      <c r="D93" s="72" t="inlineStr">
        <is>
          <t>2026-09-24</t>
        </is>
      </c>
      <c r="E93" s="66" t="inlineStr">
        <is>
          <t>同意，依 owner 裁定實作：CSV 賣超列比照手動輸入，預設不勾、確認框逐列點名並寫明成本基礎會被永久捨棄。另發現更根本的問題：伺服器只要整檔 ack_warnings: true 就寫入賣超，R2 DEF-027 的逐列確認只是券商頁面的慣例，不是規則；AI 門也有同樣的預勾與通用確認框。</t>
        </is>
      </c>
      <c r="F93" s="67" t="inlineStr">
        <is>
          <t>portfolio_dash/api/routers/input_center.py:1364 `if has_warn and not body.ack_warnings:`；web/input.js:1383 `cb.checked = r.status !== 'error';`、:1470 通用確認框；web/input.js:1992（AI 預勾）、:2530（AI 通用確認框）</t>
        </is>
      </c>
      <c r="G93" s="67" t="inlineStr">
        <is>
          <t>R2 的守門 test_broker_import_acknowledges_per_row.py 是對 broker-import.js 原始碼做字串掃描，只保證一個頁面的原始碼，沒管到三個門共用的伺服器端點；另有 5 則契約測試把「整檔確認就寫入賣超」釘成正確、4 支 e2e 釘住通用確認框。守門全部改測行為：伺服器端 TestClient、以 Node 實際執行共用確認模組、Playwright 真實點擊；字串掃描只保留「不得送出 ack_warnings: true 字面值」的類別檢查。</t>
        </is>
      </c>
      <c r="H93" s="66" t="inlineStr">
        <is>
          <t>伺服器端強制「每一列賣超要有它自己的確認」：/api/import/commit 新增 ack_rows，會寫入的賣超列不在其中 → 422 oversell_rows_unacknowledged，逐列點名「第 N 列 代號 … 成本基礎會被永久捨棄」，整批不寫（只看真的會寫入的列：未勾、硬錯、重複匯入的列不問）。前端把 R2 券商頁的逐列確認框抽成共用的 web/import-ack.js：收到 422 後重取預覽，每列勾選框預設不勾，勾選並確認後才送 select＋ack_rows。CSV 門、券商門、AI 門全部改走它；CSV 與 AI 的賣超列預設不勾。同類掃描：grep /api/import/commit、write_transaction_row／insert_transaction 呼叫點，並以 TestClient 探測每個門。</t>
        </is>
      </c>
      <c r="I93" s="66" t="inlineStr">
        <is>
          <t>可寫入賣超的批次門 共 6／修 4（CSV 門、券商門、AI 門、伺服器端點本身）／白名單 2（單筆股利／期初表單不可能產生賣超；stress-audit 工具的 CSV 沒有賣超列，萬一送了也會被 422 擋下）。單列門（手動、帳本編輯、帳本刪除）本來就逐列確認，不列入。另發現：批次「復原」可讓之後的賣出變成賣超且不問確認，建議另開缺陷</t>
        </is>
      </c>
      <c r="J93" s="66" t="inlineStr">
        <is>
          <t>新增 tests/contract/test_def025_bulk_oversell_needs_its_own_ack.py（8）、tests/contract/test_def025_import_ack_front.py（6，Node 執行）、tests/e2e/test_def009_def025_flows.py 中 CSV 與 AI 各 1；依裁定改寫 5 則契約與 4 支 e2e 的確認步驟。變異：拿掉伺服器檢查 → 3 則失敗「assert 200 == 422」（回應 {"written":2,…}）；確認模組不送 ack_rows → 2 則 KeyError: 'ack_rows'；前端改回預勾 → e2e 2 則「Locator expected not to be checked」；改回通用確認框 → e2e 2 則「expected to contain text '第 2 列 2330'」。還原後全過。</t>
        </is>
      </c>
      <c r="K93" s="67" t="inlineStr">
        <is>
          <t>4655845（已部署 demo）</t>
        </is>
      </c>
      <c r="L93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3" s="68" t="inlineStr">
        <is>
          <t>真實瀏覽器：交易帳本 › CSV 匯入貼上兩列（2884 買 100；2330 賣 5000，持有 2600）→ 預覽 → 勾選賣超列按「確認寫入勾選列」→ 取消；API 探測整檔 ack_warnings:true 不帶 ack_rows；AI 輸入同樣兩行 → 解析 → 勾選賣超列寫入 → 取消</t>
        </is>
      </c>
      <c r="N93" s="68" t="inlineStr">
        <is>
          <t>觀察：R1 時 CSV 賣超列預設勾選、通用確認框一按即寫入
假設：①前端預設不勾＋逐列確認，伺服器強制逐列 ack；②只有前端改
排除：CSV 預覽第 2 列預設不勾，列內「賣超：預設不勾選。勾選並確認寫入後，這個部位的成本基礎會被永久捨棄（待釐清）」；勾選後寫入 → 第一次 commit 422 warnings_unacknowledged → 重新預覽 → 「匯入警告確認 —— 交易」框逐列點名「第 2 列 2330 是賣超：勾選並確認後，這個部位的成本基礎會被永久捨棄…」，框內勾選預設 false、「寫入勾選的警告列」disabled；API 直接送 ack_warnings true＋select [0,1] 不帶 ack_rows → 422 oversell_rows_unacknowledged「第 2 列 2330 是賣超，需逐列勾選確認後才寫入…」，整批未寫（交易 56 列、批次 0），排除②。AI 門：賣超列預設不勾、勾選後同一逐列框。券商門 R2 已驗
定位：input_center.py ack_rows；web/import-ack.js 共用
判定：通過
變異（驗證者於本機 4655845 重做）：伺服器 `if unacked:` 改 `if False:` → 3 failed（AssertionError: {"written":2,"skipped":0,"import_batch_id":1}），還原後通過</t>
        </is>
      </c>
      <c r="O93" s="69" t="inlineStr">
        <is>
          <t>CSV／AI 賣超列預設不勾、逐列確認；伺服器拒絕整檔 ack；0 寫入。AI 花費 $0.0005528</t>
        </is>
      </c>
      <c r="P93" s="68" t="inlineStr">
        <is>
          <t>複驗通過 → 結案</t>
        </is>
      </c>
      <c r="Q93" s="69" t="inlineStr">
        <is>
          <t>owner 決策項 ⑦b（CSV 門其他警告類型也逐列確認，開發者建議維持）見本輪裁定</t>
        </is>
      </c>
      <c r="R93" s="68" t="inlineStr">
        <is>
          <t>檢驗方 2026-09-24</t>
        </is>
      </c>
    </row>
    <row r="94" ht="219.75" customHeight="1" s="43">
      <c r="A94" s="72" t="inlineStr">
        <is>
          <t>R3</t>
        </is>
      </c>
      <c r="B94" s="72" t="inlineStr">
        <is>
          <t>DEF-033</t>
        </is>
      </c>
      <c r="C94" s="72" t="inlineStr">
        <is>
          <t>H-03</t>
        </is>
      </c>
      <c r="D94" s="72" t="inlineStr">
        <is>
          <t>2026-09-24</t>
        </is>
      </c>
      <c r="E94" s="66" t="inlineStr">
        <is>
          <t>同意，依 owner 裁定實作完整版本記錄。「同步官方」確認框自己寫「你的自訂修改將遺失」；洞察卡也不記錄生成時用了哪一版。</t>
        </is>
      </c>
      <c r="F94" s="67" t="inlineStr">
        <is>
          <t>portfolio_dash/llm_insight/composer_store.py:319 `"UPDATE strategy_prompts SET name = ?, body = ?, enabled = ?, updated_at = ? "`；web/settings-prompts.js:413 `'你的自訂修改將遺失，…'`；llm_insight/insights_store.py:292（INSERT 無版本欄位）</t>
        </is>
      </c>
      <c r="G94" s="66" t="inlineStr">
        <is>
          <t>沒有守門（規格未定，從未要求版本記錄）。新守門全部驗行為：store 13 則、API 契約 10 則、Playwright e2e 1 則、Node 執行頁面函式 1 則。</t>
        </is>
      </c>
      <c r="H94" s="66" t="inlineStr">
        <is>
          <t>新表 strategy_prompt_versions（只增不改）：每個寫入內文的門經 composer_store 追加一版並標來源（新增／自官方模板加入／儲存／同步官方／回復）；內文沒變不加版；回復＝另存成新版，歷史永不改寫；遷移時每則策略的現行內文回填為 v1（冪等）。API：GET /api/strategy-prompt-versions（清單）、/{id}（內文）、/{id}/diff（後端 difflib 逐行差異，對照前一版／目前）、POST /{id}/restore（操作記錄「策略模板回復版本」）。洞察卡新增 insights.strategy_versions（組裝時以實際渲染的內文反查版號）；舊卡顯示「生成時版本未記錄」。設定頁每張策略卡有「版本記錄」：檢視／對照前一版／對照目前／回復此版（確認在視窗內）；同步官方確認文案改為「目前的內文會保留在版本記錄中」。快取指紋不變（組裝 prompt 已含內文，內文一變指紋就變）。</t>
        </is>
      </c>
      <c r="I94" s="66" t="inlineStr">
        <is>
          <t>寫入策略內文的門 共 5／修 5／白名單 0（新增、自官方模板複製、同步官方、儲存、一鍵官方套件）。使用者可編輯且儲存即覆寫的提示詞 共 4／修 1（策略，本裁定範圍）／白名單 1（校正提示詞本來就是只增不改的版本鏈）；系統提示詞、新聞整理提示詞、任務自評提示詞 3 處列 owner 決策</t>
        </is>
      </c>
      <c r="J94" s="66" t="inlineStr">
        <is>
          <t>新增 tests/llm_insight/test_def033_strategy_prompt_versions.py（13）、tests/contract/test_def033_strategy_prompt_versions_api.py（10）、tests/e2e/test_def033_prompt_versions_flow.py（1：v2→版本記錄 2 列→檢視 v1→對照目前→回復→toast「已回復至 v1」→最上列「v3 目前 回復（回復自 v1）」、v1/v2 仍在→洞察頁「提示詞 v2」／「生成時版本未記錄」，零 console error）。變異：儲存不加版 → 6 則失敗；生成不記版本 → 1 則「assert [] == [{'name': '甲'…'version': 2}]」；頁面不顯示版本 → 1 則「assert None == '生成時版本未記錄'」。還原後全過。</t>
        </is>
      </c>
      <c r="K94" s="67" t="inlineStr">
        <is>
          <t>4655845（已部署 demo）</t>
        </is>
      </c>
      <c r="L94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4" s="68" t="inlineStr">
        <is>
          <t>真實瀏覽器：系統設定 › AI 提示詞 › 策略「持倉提點策略」在內文尾加一行「（QA-R3 版本測試）」→ 儲存 → 版本記錄 → v1「對照目前」→ v1「回復此版」→ 確認；讀 /api/strategy-prompt-versions、/api/insights 的 prompt_versions 與 AI 洞察頁</t>
        </is>
      </c>
      <c r="N94" s="68" t="inlineStr">
        <is>
          <t>觀察：R1 時策略提示詞儲存直接覆寫、無版本、無法回復
假設：①只增不改的版本表＋差異＋回復＋卡片記版號；②只留上一版
排除：遷移後 5 則策略各有 v1「啟用版本記錄時的內容」；儲存 → PUT 200、toast「…內文已寫入資料庫（v2）…」，版本清單「v2 目前 儲存 23 行／v1 啟用版本記錄時的內容 22 行」；v1「對照目前」→ GET …/5/diff?against=current，差異只有「+ （QA-R3 版本測試）」一行；回復 → 視窗內確認「回復至 v1：將以 v1 的內文另存為新版本；目前內容仍保留在版本記錄中…」→ POST …/5/restore 200、toast「已回復至 v1…另存為 v3」，清單「v3 回復（回復自 v1）／v2／v1」全部保留，內文與測試前逐字相同（640 字），排除②。卡片：本輪 alert 產生的 #212～#218 prompt_versions＝[{strategy_id 5, 持倉提點策略, version 1}]，洞察頁顯示「提示詞 v1」，舊卡顯示「生成時版本未記錄」（持倉健診 20 張）
定位：composer_store 版本表、insights.prompt_versions
判定：通過
變異（驗證者於本機 4655845 重做）：儲存路徑的 _append_version 改成 pass → 6 failed（AssertionError: assert [(4, 'restore...reate', None)] == [(4, 'restore...reate', None)]），還原後通過</t>
        </is>
      </c>
      <c r="O94" s="68" t="inlineStr">
        <is>
          <t>儲存成 v2、差異正確、回復成 v3＝原文；卡片記錄版號</t>
        </is>
      </c>
      <c r="P94" s="68" t="inlineStr">
        <is>
          <t>複驗通過 → 結案</t>
        </is>
      </c>
      <c r="Q94" s="68" t="inlineStr">
        <is>
          <t>本測試在 demo 留下策略 5 的 v2、v3 兩筆版本紀錄（只增不改的設計，內文已回到原文），屬預期寫入</t>
        </is>
      </c>
      <c r="R94" s="68" t="inlineStr">
        <is>
          <t>檢驗方 2026-09-24</t>
        </is>
      </c>
    </row>
    <row r="95" ht="219.75" customHeight="1" s="43">
      <c r="A95" s="72" t="inlineStr">
        <is>
          <t>R3</t>
        </is>
      </c>
      <c r="B95" s="72" t="inlineStr">
        <is>
          <t>DEF-042</t>
        </is>
      </c>
      <c r="C95" s="72" t="inlineStr">
        <is>
          <t>B-17</t>
        </is>
      </c>
      <c r="D95" s="72" t="inlineStr">
        <is>
          <t>2026-09-24</t>
        </is>
      </c>
      <c r="E95" s="66" t="inlineStr">
        <is>
          <t>同意，依 owner 裁定實作：編輯更正走同一個 validate_transaction，警告與確認流程與新增一致。另發現編輯框的預覽問的是「再新增一筆」，把本列當成自己的重複與自己的賣超，所以舊碼只能把這兩類結果丟掉。</t>
        </is>
      </c>
      <c r="F95" s="67" t="inlineStr">
        <is>
          <t>portfolio_dash/api/routers/ledgers.py:675-676 `would_be = [...]`／`blocked = _replay_guard(conn, ack_oversell=body.ack_oversell, txs=would_be)`；web/ledger.js:490 `window.pdApi.post('/api/input/manual/preview', {`、:430 `const EDIT_ISSUE_DROP = [...]`、:548 `renderEditIssues(issueBox, []);`；data_ingestion/validate.py:666（賣超計數含本列）、:768 `if _duplicate_exists(conn, inp):`</t>
        </is>
      </c>
      <c r="G95" s="67" t="inlineStr">
        <is>
          <t>M3-02 e2e 只驗「警告出現」，不驗「要確認才能存」與伺服器端；ledgers_mutations 契約只驗重播防護；更正門與新增門是否共用驗證器沒有任何測試。補：後端契約直接打 PUT 與取代模式預覽；M3-02 e2e 改為開框即預覽、未勾確認不可儲存。</t>
        </is>
      </c>
      <c r="H95" s="67" t="inlineStr">
        <is>
          <t>validate_transaction 新增 replacing=（被取代的原列）：以「帳本去掉此列＋修改後的列」計算——本列不再是自己的 cover／重複，同日 id 較大的列不算 cover；只擋這次修改「引入」的硬性問題（舊列本來就有的狀況仍可改備註）。PUT：硬性 400 → 重播防護 → 本列賣超 422（確認框）→ 寫入，200 回傳 issues。預覽新增 replaces_txn_id。編輯框：開框即預覽（不回寫費用）、每個軟性警告各一個勾選、預覽回來且全部勾選前「儲存」停用；費用／稅回填改走 pdField.autoFill（R2 延遲寫入守門）。同類掃描：grep -n "@router.put" ledgers.py cash.py（所有更正門）。</t>
        </is>
      </c>
      <c r="I95" s="66" t="inlineStr">
        <is>
          <t>更正門 共 6／修 1（交易）／已同源 4（換匯 fx_change_guard、資金收支 movement_guard、公司行動 validate_corporate_action、期初 validate_opening_cost）／白名單 1（股利：新增門的檢查寫在 CSV builder 內、沒有可重用的驗證器；更正門已跑金額檢查、帳戶守門與重播防護，缺 4 種股利型別檢查——建議下一輪抽出 validate_dividend）</t>
        </is>
      </c>
      <c r="J95" s="66" t="inlineStr">
        <is>
          <t>新增 tests/contract/test_def042_edit_runs_validate_transaction.py（9）＋e2e 1（tests/e2e/test_r3_k_ledger_and_draft_flow.py）；改寫 M3-02 e2e（test_ledger_correction_doors_flow.py）與 test_def007（移除 2 筆失效項）。變異：PUT 不驗證 → 3 則失敗（「the correction door must report the DEF-014 finding it saved over」「'future_trade_date' in []」「assert 200 == 400」）；不排除本列 → 2 則（「超過持有的 -50 股」、同日較晚列仍當 cover）；重複檢查不排除本列 → 「'duplicate_trade' not in ['duplicate_trade']」；前端不等勾選 → 「Locator expected to be disabled / Actual: enabled」。還原後全過。</t>
        </is>
      </c>
      <c r="K95" s="67" t="inlineStr">
        <is>
          <t>4655845（已部署 demo）</t>
        </is>
      </c>
      <c r="L95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5" s="68" t="inlineStr">
        <is>
          <t>真實瀏覽器：交易帳本 › 交易 › 編輯 #29（8299 2026-07-21 買 500）把日期改 2026-07-01、再改 2026-12-01；編輯 #26（2412 2026-07-19 賣 1000）把股數改 3000 並嘗試儲存；皆取消。另把 #29 備註改「加碼 QA-R3」儲存再改回</t>
        </is>
      </c>
      <c r="N95" s="68" t="inlineStr">
        <is>
          <t>觀察：R2 J-03 時更正門不跑驗證器，日期類提示到不了
假設：①編輯開框即呼叫同一個預覽並逐項勾選；②只在儲存後由伺服器擋
排除：開框即送 POST /api/input/manual/preview（replaces_txn_id 29、fee_override 285）；日期改 07-01 → 預覽 issues trade_before_opening「交易日 2026-07-01 早於 8299 在 台灣券商 的期初庫存建檔日 2026-07-21…」，框內出現「我了解，仍要儲存。」勾選框，儲存鍵 disabled，勾選後 enabled；改 12-01 → 「交易日期 2026-12-01 晚於今日，確認無誤？」並重新要求勾選（儲存又 disabled）。賣超：股數 3000 → 預覽 sell_exceeds_holdings「賣出 3000 股，超過持有的 1000 股」＋「儲存時會再請你確認賣超：確認後這個部位的成本基礎會被永久捨棄」，按儲存 → PUT 422 oversell，再跳「賣超確認」框。只改備註 → PUT 200 issues []，fee 285 與清理後的費率快照原樣保留
定位：ledgers.py PUT 改走 validate_transaction(replacing=)；web/ledger.js 編輯框預覽
判定：通過
變異（驗證者於本機 4655845 重做）：PUT 的 validate_transaction 結果清空（findings = []） → 3 failed（AssertionError: the correction door must report the DEF-014 finding it saved over），還原後通過</t>
        </is>
      </c>
      <c r="O95" s="68" t="inlineStr">
        <is>
          <t>日期兩種提示、賣超 422＋確認框皆出現；只改備註可直接儲存且不重寫快照；全部取消或改回，cmp R3_START same:true</t>
        </is>
      </c>
      <c r="P95" s="68" t="inlineStr">
        <is>
          <t>複驗通過 → 結案</t>
        </is>
      </c>
      <c r="Q95" s="68" t="inlineStr">
        <is>
          <t>依開發者自述，軟性警告只由畫面把關、伺服器只擋硬錯與賣超（owner 決策項 ⑪，見本輪裁定）</t>
        </is>
      </c>
      <c r="R95" s="68" t="inlineStr">
        <is>
          <t>檢驗方 2026-09-24</t>
        </is>
      </c>
    </row>
    <row r="96" ht="219.75" customHeight="1" s="43">
      <c r="A96" s="72" t="inlineStr">
        <is>
          <t>R3</t>
        </is>
      </c>
      <c r="B96" s="72" t="inlineStr">
        <is>
          <t>DEF-003</t>
        </is>
      </c>
      <c r="C96" s="72" t="inlineStr">
        <is>
          <t>G-06</t>
        </is>
      </c>
      <c r="D96" s="72" t="inlineStr">
        <is>
          <t>2026-09-24</t>
        </is>
      </c>
      <c r="E96" s="66" t="inlineStr">
        <is>
          <t>同意，依 owner 裁定實作：以 prediction 為準。demo 上 40 張無預測卡有 25 張帶信心值，所以 #182 顯示「信心 0%」。</t>
        </is>
      </c>
      <c r="F96" s="67" t="inlineStr">
        <is>
          <t>web/insights.html:323 `if (card.confidence == null) {`；llm_insight/insights_store.py:344 `"confidence": row["confidence"],`；evaluations_store.py:300 `confidence=r["confidence"],`、:404 校準母體條件、:573 信心上限違規率條件</t>
        </is>
      </c>
      <c r="G96" s="66" t="inlineStr">
        <is>
          <t>頁面的信心標籤沒有任何測試；既有 tests/llm_insight/test_review_r3_ceiling_violations.py 的測資正是 prediction=None、confidence=55，把「無預測卡也算進違規率」釘成正確（當時規格未定）。已修測資，並新增一檔把 8 個信心母體逐一釘住。</t>
        </is>
      </c>
      <c r="H96" s="66" t="inlineStr">
        <is>
          <t>讀取時忽略（卡片只增不改，DB 原值不動）：唯一讀取入口 insights_store._card_from_row 遇 prediction 為空 → 信心回 None；前端 confChip：prediction 或信心為空 → 「純描述・無預測」；唯一排除條件 evaluations_store._predicted_clause 套用在校準曲線、信心命中（calib_gap 預警、回測信心上限）、滾動視窗（取最近 N 筆之前先過濾）；信心上限違規率加 prediction IS NOT NULL；預測明細、CSV 匯出、失誤樣本中無預測卡信心值為空；評分器寫入端也不帶。同類掃描：grep confidence，逐一檢視讀取已儲存信心值的位置。</t>
        </is>
      </c>
      <c r="I96" s="66" t="inlineStr">
        <is>
          <t>共 12／修 11／白名單 1（M9 數值核對改讀原值 stated_confidence：那是模型自己印出的數字，引用不算捏造；改成空會讓 25 張舊卡無端出現「數值待核」）</t>
        </is>
      </c>
      <c r="J96" s="66" t="inlineStr">
        <is>
          <t>新增 tests/llm_insight/test_def003_prediction_decides.py（14：讀取入口、8 個母體參數化、無 insights 表降級、API、評分器寫入端、Node 執行 confChip——#182 形狀→「純描述・無預測」，有預測而信心 0% 仍顯示「信心 0%」）；修正 test_review_r3_ceiling_violations.py 測資。變異 8 組全數被攔，例：頁面只看信心 → 「'信心 0%' == '純描述・無預測'」；拿掉排除條件 → 4 則「[('0-20',1),('80-100',1)] == [('80-100',1)]」；讀取入口照給 → 2 則。還原後全過。</t>
        </is>
      </c>
      <c r="K96" s="67" t="inlineStr">
        <is>
          <t>4655845（已部署 demo）</t>
        </is>
      </c>
      <c r="L96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6" s="68" t="inlineStr">
        <is>
          <t>真實瀏覽器：AI 洞察 › 洞察卡；分頁讀 /api/insights 全部 195 張；/api/ai-score</t>
        </is>
      </c>
      <c r="N96" s="68" t="inlineStr">
        <is>
          <t>觀察：R1 時 prediction 為空但有信心值的卡顯示「信心 N%」（25 張）
假設：①讀取入口依 prediction 決定、前端同規則；②只改前端文字
排除：API 195 張中 prediction 為空 49 張，其 confidence 全部為 null（DB 原值不動、讀取時忽略），排除②；畫面可見 16 個「純描述・無預測」標籤，其所屬卡片內 0 個「信心 N%」；有預測的卡仍顯示信心。/api/ai-score 校準分桶 n 為 2／1／47／42／…、totals n 94，與 R2 相同——被評分的母體本來就都有 prediction，排除條件未改變現有數字
定位：insights_store._card_from_row＋evaluations_store._predicted_clause；變異見開發者 8 組
判定：通過
變異（驗證者於本機 4655845 重做）：_card_from_row 無條件回傳 confidence → 2 failed（AssertionError: assert (None is None and 10 is None)），還原後通過</t>
        </is>
      </c>
      <c r="O96" s="68" t="inlineStr">
        <is>
          <t>無預測卡一律「純描述・無預測」、不帶信心；校準母體不含無預測卡</t>
        </is>
      </c>
      <c r="P96" s="68" t="inlineStr">
        <is>
          <t>複驗通過 → 結案</t>
        </is>
      </c>
      <c r="Q96" s="68" t="inlineStr">
        <is>
          <t>無</t>
        </is>
      </c>
      <c r="R96" s="68" t="inlineStr">
        <is>
          <t>檢驗方 2026-09-24</t>
        </is>
      </c>
    </row>
    <row r="97" ht="219.75" customHeight="1" s="43">
      <c r="A97" s="72" t="inlineStr">
        <is>
          <t>R3</t>
        </is>
      </c>
      <c r="B97" s="72" t="inlineStr">
        <is>
          <t>DEF-009</t>
        </is>
      </c>
      <c r="C97" s="72" t="inlineStr">
        <is>
          <t>A-11</t>
        </is>
      </c>
      <c r="D97" s="72" t="inlineStr">
        <is>
          <t>2026-09-24</t>
        </is>
      </c>
      <c r="E97" s="66" t="inlineStr">
        <is>
          <t>同意，依 owner 裁定實作整列可編輯。原本的鎖是為了防止同月重複入帳，但它把「去重的鍵」和「可編輯欄位」綁在一起，所以不能只拿掉鎖。另發現資金紀錄的編輯與刪除完全沒有寫入稽核軌跡（demo 上 cash_movements 的 update 稽核為 0 筆）。</t>
        </is>
      </c>
      <c r="F97" s="67" t="inlineStr">
        <is>
          <t>portfolio_dash/api/routers/cash.py:662 `if existing.kind.upper() == "REBATE" and (`；web/cash.js:615/616/628（三欄 disabled）；portfolio_dash/api/rebates.py:228 `py, pm = _prev_month(...)`（去重取自列本身）；portfolio_dash/data_ingestion/store.py:1737／:1750（資金 UPDATE／DELETE 前沒有寫稽核）</t>
        </is>
      </c>
      <c r="G97" s="66" t="inlineStr">
        <is>
          <t>鎖本身被 4 個守門當成正確行為釘住（test_cash_movement_guard_contract.py 2 個錄製斷言、test_rebates_api 的「類型與日期已鎖定」、e2e 外幣折讓款編輯框），已依裁定重錄或替換。稽核：M9 的稽核測試只涵蓋交易、股利、換匯、公司行動，沒有資金；新增 test_every_cash_edit_and_delete_writes_its_before_image。</t>
        </is>
      </c>
      <c r="H97" s="66" t="inlineStr">
        <is>
          <t>新增 nullable 欄位 cash_movements.rebate_period（結構性連結）：收件匣確認入帳時寫入；欄位首次建立時對既有折讓款回填一次（優先備註標記的月份，其次日期前一個月＝收件匣原本就認定已入帳的月份，所以沒有月份會因此重開；demo #34 → 2026-01）。去重先讀這個連結，所以改日期／類型／金額／備註都不會讓該月重新出現在收件匣。拿掉前後端的鎖，對話框說明「修改後 YYYY-MM 仍視為已入帳」。資金紀錄的修改與刪除都把整列寫入 ledger_audit（稽核軌跡）。同類掃描：web 下所有 disabled 的編輯欄位＋store 所有 UPDATE／DELETE 與寫稽核的對應。</t>
        </is>
      </c>
      <c r="I97" s="66" t="inlineStr">
        <is>
          <t>鎖 共 1（前後端兩層）／修 1；自動入帳的列 共 4 類／修 1（折讓款）／白名單 3（重組費列、收件匣確認的股利、期初庫存本來就可編輯且有稽核）；更正函式的稽核 共 14／修 2（資金 update、delete）／白名單 1（批次復原：是復原不是編輯，併入另開缺陷的建議）</t>
        </is>
      </c>
      <c r="J97" s="66" t="inlineStr">
        <is>
          <t>新增 tests/contract/test_def009_rebate_row_fully_editable.py（5）、e2e 1（折讓款整列可編輯且該月仍為已入帳）；重錄 2 個錄製斷言。變異：去重不讀連結 → 3 則失敗（「assert '2026-05' not in ['2026-05']」等）；更新不寫稽核 → 1 則「assert [] == ['update']」；放回後端鎖 → 2 則（400「折讓款的類型與日期已鎖定…」）；放回前端鎖 → e2e 2 則「Locator expected to be enabled」。還原後全過。</t>
        </is>
      </c>
      <c r="K97" s="67" t="inlineStr">
        <is>
          <t>4655845（已部署 demo）</t>
        </is>
      </c>
      <c r="L97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7" s="68" t="inlineStr">
        <is>
          <t>真實瀏覽器：資金管理 › 出金入金 › 折讓款列 #34（2026-02-01 191 TWD「2026-01 折讓款」）→ 編輯：日期改 2026-02-03、金額 190、備註「QA-R3 折讓」→ 儲存 → 看收件匣待確認退款 → 全部改回</t>
        </is>
      </c>
      <c r="N97" s="68" t="inlineStr">
        <is>
          <t>觀察：R1 時折讓款只能改金額、日期／類型／備註鎖定
假設：①四欄皆可改且月份仍視為已入帳；②解鎖後月份靠備註判斷（改備註就會重開）
排除：編輯框四個控制項 disabled 皆 false，框內說明「此筆為 2026-01 月份的折讓款入帳…每次修改都會寫入稽核軌跡；修改後 2026-01 仍視為已入帳…」；PUT /api/cash/movements/34 200，列變為 2026-02-03／190／「QA-R3 折讓」；把帶月份的備註改掉之後 /api/rebates 月份仍為 2026-07、06、02（2026-01 沒有重新出現）、count 3，排除②；操作記錄「現金紀錄更正」。改回後列逐字還原
定位：cash.py 移除鎖＋cash_movements.rebate_period 連結；稽核寫入依開發者變異證據（ledger_audit 無讀取 API，黑箱只能看到 action_log）
判定：通過
變異（驗證者於本機 4655845 重做）：去重不讀 rebate_period → 2 failed（AssertionError: assert '2026-05' not in ['2026-05']），還原後通過</t>
        </is>
      </c>
      <c r="O97" s="68" t="inlineStr">
        <is>
          <t>四欄可改、月份不重開、改回後 cmp D009R3 same:true</t>
        </is>
      </c>
      <c r="P97" s="68" t="inlineStr">
        <is>
          <t>複驗通過 → 結案</t>
        </is>
      </c>
      <c r="Q97" s="69" t="inlineStr">
        <is>
          <t>owner 決策項 ⑥（改類型後該月維持已入帳）見本輪裁定；ledger_audit 目前沒有任何畫面或 API 可讀，使用者看不到「稽核軌跡」——列入觀察</t>
        </is>
      </c>
      <c r="R97" s="68" t="inlineStr">
        <is>
          <t>檢驗方 2026-09-24</t>
        </is>
      </c>
    </row>
    <row r="98" ht="219.75" customHeight="1" s="43">
      <c r="A98" s="72" t="inlineStr">
        <is>
          <t>R3</t>
        </is>
      </c>
      <c r="B98" s="72" t="inlineStr">
        <is>
          <t>DEF-010</t>
        </is>
      </c>
      <c r="C98" s="72" t="inlineStr">
        <is>
          <t>B-16</t>
        </is>
      </c>
      <c r="D98" s="72" t="inlineStr">
        <is>
          <t>2026-09-24</t>
        </is>
      </c>
      <c r="E98" s="66" t="inlineStr">
        <is>
          <t>同意，依 owner 裁定兩者都做。同一個優惠被算兩次；除了收件匣，手動交易草稿的「預估折讓」與再平衡摘要（含列印報告）也有同樣問題，一併修。</t>
        </is>
      </c>
      <c r="F98" s="67" t="inlineStr">
        <is>
          <t>portfolio_dash/api/rebates.py:261 `trade_expected = forecast_tw_rebate(t.fees, rate)`；portfolio_dash/api/routers/input_center.py:901；portfolio_dash/strategy/rebalance.py:403</t>
        </is>
      </c>
      <c r="G98" s="67" t="inlineStr">
        <is>
          <t>test_fee_rule_conflict.py 只驗設定頁的衝突提示；所有預測器測試的資料都用種子規則（discount=1），從來沒有一筆已打折的手續費進過預測器；函式簽章只有 (fee, rate)，忘了傳 discount 不會出錯。新守門：discount 改為必填、無預設值的參數（漏傳即 mypy 錯誤與 TypeError），每個受影響畫面各一則測試。</t>
        </is>
      </c>
      <c r="H98" s="67" t="inlineStr">
        <is>
          <t>fees.rebate_applies(discount)、fees.booked_discount(snapshot)；forecast_tw_rebate(..., *, discount) 在 discount&lt;1 時回 0。收件匣：快照已打折的交易不預估，也不計入該月筆數與手續費合計；草稿提示回空；再平衡該筆算 0。資料清理：新增 scripts/clean_rebate_snapshots.py（預設試跑、--apply 才寫、必須指定 --db 與 --scope、可重複執行；每筆交易寫一筆 ledger_audit 'update'（完整原列）＋一筆 action_log）。「清理」只把快照的 rebate_rate 改為 "0" 並記下原值與清理依據；discount 保留（它是實際發生的事），手續費、稅與成本一律不動。依裁定清理 8 筆（2026-02／06／07：#26、28、29、32、34、42、45、53），demo 先備份再執行（見 L 欄）。同類掃描：forecast_tw_rebate 全部呼叫點。</t>
        </is>
      </c>
      <c r="I98" s="66" t="inlineStr">
        <is>
          <t>預估器呼叫點 共 3／修 3（收件匣、手動草稿、再平衡）；受影響畫面：收件匣待確認／累計中／已略過明細／側欄徽章／確認時檢查、草稿提示、再平衡摘要與列印報告。資料：快照 discount&lt;1 共 10 筆／清理 8（裁定範圍）／保留 2（2026-01 的 #33、#44：該月退款已由資金 #34 入帳 191，不在預估內；同樣自相矛盾，是否一併清理列 owner 決策）</t>
        </is>
      </c>
      <c r="J98" s="66" t="inlineStr">
        <is>
          <t>新增 tests/api/test_def010_rebate_never_forecast_on_a_discounted_fee.py（6＋6 組參數化）、tests/scripts/test_clean_rebate_snapshots.py（7，暫存 DB）；更新 3 支舊測試呼叫點。變異：三處改回不看 discount → 6 則失敗（預期 262／322／229、「'125' is None」「'102' is None」「153 == 0」）。還原後全過。</t>
        </is>
      </c>
      <c r="K98" s="67" t="inlineStr">
        <is>
          <t>4655845（已部署 demo）</t>
        </is>
      </c>
      <c r="L98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8" s="68" t="inlineStr">
        <is>
          <t>真實瀏覽器＋API 逐列對帳：收件匣 › 待確認退款三個月份，對照交易帳本各列 fee_rule_snapshot 的 discount／rebate_rate；另編輯已清理的 #29 備註後改回，確認快照不被重寫</t>
        </is>
      </c>
      <c r="N98" s="68" t="inlineStr">
        <is>
          <t>觀察：R2 時 2026-07 預估 11 筆・手續費 2,601・退款 1,997，含下單已打折（discount 0.23）的交易
假設：①預估器排除 discount&lt;1 且清理 8 筆快照；②只清資料、預估器未改
排除：2026-07 現為 7 筆・1,412・1,083：只含 #7、8、10、12、13、66、25（皆 discount 1），逐列 floor(fee×0.77)＝407＋103＋137＋15＋111＋128＋182＝1,083；#32、29、26、28（discount 0.23）已排除且快照 rebate_rate "0"、rebate_rate_was "0.77"、附清理說明。2026-06：4 筆・746・573（#65、64、63、24；#53、42 排除）；2026-02：3 筆・1,765・1,358（#55、16、2；#45、34 排除）——三個月逐列手算全符。清理 8 筆＝#26、28、29、32、34、42、45、53 與開發者所列相同。只改 #29 備註 → PUT 後 fee 285、快照（含 cleaned 標記）逐字未變、2026-07 仍 7／1,412／1,083
定位：fees.rebate_applies＋clean_rebate_snapshots.py
判定：通過
變異（驗證者於本機 4655845 重做）：rebate_applies 恆回 True → 6 failed（AssertionError: assert '125' is None），還原後通過</t>
        </is>
      </c>
      <c r="O98" s="68" t="inlineStr">
        <is>
          <t>三個月份預估逐列手算相符；8 筆快照已清理；編輯不會重寫快照</t>
        </is>
      </c>
      <c r="P98" s="68" t="inlineStr">
        <is>
          <t>複驗通過 → 結案</t>
        </is>
      </c>
      <c r="Q98" s="69" t="inlineStr">
        <is>
          <t>2026-01 的 #33、#44（discount 0.23、rebate_rate 0.77）尚未清理——owner 本輪裁定一併清（見 DEF-055）；觀察：編輯框的預覽回應仍帶 rebate_estimate 219（以 fee_override 285×0.77 計），畫面未顯示、不影響數字，列入 DEF-055 一併處理</t>
        </is>
      </c>
      <c r="R98" s="68" t="inlineStr">
        <is>
          <t>檢驗方 2026-09-24</t>
        </is>
      </c>
    </row>
    <row r="99" ht="219.75" customHeight="1" s="43">
      <c r="A99" s="72" t="inlineStr">
        <is>
          <t>R3</t>
        </is>
      </c>
      <c r="B99" s="72" t="inlineStr">
        <is>
          <t>DEF-013</t>
        </is>
      </c>
      <c r="C99" s="72" t="inlineStr">
        <is>
          <t>B-10</t>
        </is>
      </c>
      <c r="D99" s="72" t="inlineStr">
        <is>
          <t>2026-09-24</t>
        </is>
      </c>
      <c r="E99" s="66" t="inlineStr">
        <is>
          <t>同意，依 owner 裁定實作：允許「當沖＋放空」組合，表單加組合說明，帳本列標示兩者。兩個旗標本來就是 transactions 的欄位（daytrade、short_sale），不需新增欄位。</t>
        </is>
      </c>
      <c r="F99" s="67" t="inlineStr">
        <is>
          <t>web/ledger.js:638 `tdSide.appendChild(dirChip(t.side));`；portfolio_dash/api/routers/ledgers.py:205（交易列 wire 無 daytrade）</t>
        </is>
      </c>
      <c r="G99" s="66" t="inlineStr">
        <is>
          <t>沒有任何測試涵蓋兩旗標同時勾選或帳本列標示。新增契約 4 則＋e2e 1 則。</t>
        </is>
      </c>
      <c r="H99" s="66" t="inlineStr">
        <is>
          <t>交易列 wire 加 daytrade；網頁帳本列與列印帳本加「當沖」「放空」徽章；手動表單兩者皆勾時顯示組合說明（當沖 0.15% 優先於 ETF 0.1%；放空以收到的價金為空單成本、回補時結算）；編輯框加兩個勾選（僅賣出）與說明，預覽與 PUT 都帶；TxEditBody.short_sale、update_transaction(short_sale=)。CSV 的兩欄本來就能表達（補測試）。</t>
        </is>
      </c>
      <c r="I99" s="66" t="inlineStr">
        <is>
          <t>輸入門 共 5／修 2（手動、編輯）／已同源 2（CSV、AI）／白名單 1（券商對帳單：Schwab 美股沒有當沖概念）；顯示面 共 5／修 2（帳本分頁、列印帳本）／已同源 2（CSV 與 AI 預覽）／白名單 1（個股抽屜交易明細，不是交易帳本、wire 無旗標）</t>
        </is>
      </c>
      <c r="J99" s="66" t="inlineStr">
        <is>
          <t>新增 tests/contract/test_def013_daytrade_and_short_together.py（4）、e2e 1。變異：wire 拿掉 daytrade → 2 則 KeyError；store 不更新 short_sale → 失敗；拿掉放空徽章 → 「expected to have text '放空'」；說明永遠隱藏 → 「expected to be visible」；列印不帶旗標 → 失敗。還原後全過。</t>
        </is>
      </c>
      <c r="K99" s="67" t="inlineStr">
        <is>
          <t>4655845（已部署 demo）</t>
        </is>
      </c>
      <c r="L99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99" s="68" t="inlineStr">
        <is>
          <t>真實瀏覽器：手動交易 台灣券商 2454（未持有）賣 1000@1500、同時勾「當沖」「放空」→ 看組合說明 → 寫入 #105 → 交易帳本列與列印帳本報告 → 刪除</t>
        </is>
      </c>
      <c r="N99" s="68" t="inlineStr">
        <is>
          <t>觀察：R1 時兩者可同勾但無說明、帳本列不標示放空
假設：①允許組合＋說明＋雙徽章；②只加說明
排除：兩者皆勾時表單出現「當沖＋放空（先賣後買）：這筆賣出的證交稅以當沖 0.15% 計算（當沖優先於 ETF 的 0.1%）；同時宣告為放空，賣出股數可以超過持股…買回回補時才結算已實現損益」；草稿稅 2,250＝1,500,000×0.15%、手續費 2,137＝floor(2,137.5)、開空 1,000 股；寫入後 API daytrade true／short_sale true，帳本列「賣 當沖 放空」（class tx-flag-daytrade／tx-flag-short），列印報告同列「賣 當沖 放空」。編輯框（賣出列）也出現「當沖（賣出稅 0.15%）」「放空（賣出股數可超過持股）」兩個勾選
定位：ledgers.py wire 加 daytrade、ledger.js 徽章
判定：通過
變異（驗證者於本機 4655845 重做）：交易列 wire 拿掉 daytrade → 3 failed（KeyError: 'daytrade'），還原後通過</t>
        </is>
      </c>
      <c r="O99" s="68" t="inlineStr">
        <is>
          <t>組合說明、稅率、帳本與列印徽章皆符合 B-10③；刪除後 cmp R3_START same:true</t>
        </is>
      </c>
      <c r="P99" s="68" t="inlineStr">
        <is>
          <t>複驗通過 → 結案</t>
        </is>
      </c>
      <c r="Q99" s="68" t="inlineStr">
        <is>
          <t>無</t>
        </is>
      </c>
      <c r="R99" s="68" t="inlineStr">
        <is>
          <t>檢驗方 2026-09-24</t>
        </is>
      </c>
    </row>
    <row r="100" ht="219.75" customHeight="1" s="43">
      <c r="A100" s="72" t="inlineStr">
        <is>
          <t>R3</t>
        </is>
      </c>
      <c r="B100" s="72" t="inlineStr">
        <is>
          <t>DEF-016</t>
        </is>
      </c>
      <c r="C100" s="72" t="inlineStr">
        <is>
          <t>C-02</t>
        </is>
      </c>
      <c r="D100" s="72" t="inlineStr">
        <is>
          <t>2026-09-24</t>
        </is>
      </c>
      <c r="E100" s="66" t="inlineStr">
        <is>
          <t>同意，依 owner 裁定實作：入帳日晚於估值日的股利不進 XIRR，總報酬與 XIRR 都以實際入帳為準（現金池原本就依日期）。實測：一筆 15 天後入帳的 18,200 股利讓 XIRR 0.5677→0.6703、總報酬 111,600→129,800，而現金池與走勢圖不動。</t>
        </is>
      </c>
      <c r="F100" s="67" t="inlineStr">
        <is>
          <t>portfolio_dash/portfolio/dashboard.py:491 `book = build_book(bundle, allow_oversell=True)`；portfolio_dash/portfolio/returns.py:215 `add(dv.date, ccy_of(dv.symbol), dv.net)`</t>
        </is>
      </c>
      <c r="G100" s="66" t="inlineStr">
        <is>
          <t>沒有守門；stress-audit oracle 也是整本帳比對（同一個錯），情境全是過去日期。補：test_def016 逐一比對 15 個數字面；oracle 補上同一規則的轉錄與對 app 的行為測試。</t>
        </is>
      </c>
      <c r="H100" s="66" t="inlineStr">
        <is>
          <t>新增單一接縫 LedgerBundle.received_by(as_of)：去掉 effective_date（付款日；配股為除權日）晚於估值日的股利，規則集中在 dividend_effective_date()。套用：儀表板（帳本／總報酬／XIRR／已收股利／本金匯率效果及所有下游）、試算、稅務包、賣出提示均價、個股抽屜對帳、stress-audit oracle。驗證用的重播（重算、更正門防護、公司行動可達性）仍看整本帳。規則已寫入 .claude/rules/domain-ledger.md。同類掃描：grep build_book( / load_ledger_bundle( / list_dividends( / .dividends。</t>
        </is>
      </c>
      <c r="I100" s="66" t="inlineStr">
        <is>
          <t>共 16／修 6／已同源 6（走勢圖、現金池、FX 池、淨值現金序列、公司行動驗證、手動草稿交易日重播）／白名單 4（重算與更正門防護等驗證用重播：驗證的是將存入的帳本；各種列表：股利帳本頁、CSV、列印報表、收件匣去重——列出紀錄本身而非估值）</t>
        </is>
      </c>
      <c r="J100" s="66" t="inlineStr">
        <is>
          <t>新增 tests/contract/test_def016_future_dividend_counts_from_pay_date.py（4）、tests/scripts/test_oracle_pay_date_rule.py（2）；改 test_def001（時鐘移到所有事件之後）、test_short_sale_api（股利日期 ≤ 時鐘）。變異：儀表板不切 → 15 個數字面全動；抽屜不切、試算、稅務包（多一列 18,200）、賣出提示、oracle（「476800 == 495000」）各自失敗。還原後全過。</t>
        </is>
      </c>
      <c r="K100" s="67" t="inlineStr">
        <is>
          <t>4655845（已部署 demo）</t>
        </is>
      </c>
      <c r="L100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0" s="68" t="inlineStr">
        <is>
          <t>真實瀏覽器：交易帳本 › 股利表單 台灣券商 2884 現金股利 1,000（發放日 2026-10-15，晚於今天 2026-09-24）→ 寫入（批次 14）→ 比對儀表板、現金池、個股抽屜 → 刪除</t>
        </is>
      </c>
      <c r="N100" s="68" t="inlineStr">
        <is>
          <t>觀察：R1 時入帳日在未來的股利被放進 XIRR 現金流
假設：①儀表板等計算以估值日切掉未入帳股利；②只從 XIRR 排除、現金與調整成本仍先入帳
排除：寫入後 /api/dashboard 的 kpis／holdings／realized／allocation 與 /api/cash 的 balances／reporting_total 六段字串與寫入前完全相同（XIRR 10.871082685115885 不變、2884 調整均價 93.2／調整成本 9,320 不變、已收股利 TWD 146,708 不變），只有股利帳本列數 23→24 與批次數 0→1，排除②（C-02 ⑦ 的 ①③⑤⑥ 皆未提前生效）；個股抽屜 dividend_events 仍列出該筆（帳本面可見）。刪除後六段與列數回到基準
定位：LedgerBundle.received_by(as_of)
判定：通過
變異（驗證者於本機 4655845 重做）：儀表板不呼叫 received_by → 2 failed（AssertionError: a dividend whose pay date is after the valuation day moved these figures (baseline, with-unpaid-row): {'xirr': ('0.567700348），還原後通過</t>
        </is>
      </c>
      <c r="O100" s="68" t="inlineStr">
        <is>
          <t>未來股利入帳日前不影響任何計算；刪除後 cmp D016R3 same:true</t>
        </is>
      </c>
      <c r="P100" s="68" t="inlineStr">
        <is>
          <t>複驗通過 → 結案</t>
        </is>
      </c>
      <c r="Q100" s="68" t="inlineStr">
        <is>
          <t>觀察（不另開）：股利帳本列沒有任何「入帳日前不計入」的標示，使用者看到已寫入卻不見現金增加，可能困惑——與 owner 本輪對「未來日期交易」的裁定一起處理（見 DEF-056）</t>
        </is>
      </c>
      <c r="R100" s="68" t="inlineStr">
        <is>
          <t>檢驗方 2026-09-24</t>
        </is>
      </c>
    </row>
    <row r="101" ht="219.75" customHeight="1" s="43">
      <c r="A101" s="72" t="inlineStr">
        <is>
          <t>R3</t>
        </is>
      </c>
      <c r="B101" s="72" t="inlineStr">
        <is>
          <t>DEF-039</t>
        </is>
      </c>
      <c r="C101" s="72" t="inlineStr">
        <is>
          <t>I-10</t>
        </is>
      </c>
      <c r="D101" s="72" t="inlineStr">
        <is>
          <t>2026-09-24</t>
        </is>
      </c>
      <c r="E101" s="66" t="inlineStr">
        <is>
          <t>同意驗證者。</t>
        </is>
      </c>
      <c r="F101" s="67" t="inlineStr">
        <is>
          <t>web/broker-import.js:600 `'帳本' + asOf + '已持有 ' + o.ledger_shares + ' 股'`（同段 :601、:607、:608 同寫法）</t>
        </is>
      </c>
      <c r="G101" s="66" t="inlineStr">
        <is>
          <t>沒有這類守門。新增 tests/contract/test_def039_broker_hint_formats_shares.py：以 Node 執行真正的 renderNeedsInput 與 completedOpeningsCsv，餵實測 payload，句子須顯示 85.039255、914.960745、1,000，寫出去的期初 CSV 仍須是精確字串；另加一則類別靜態守門：這 7 個 wire 欄位不得未經格式化就拼進文字。</t>
        </is>
      </c>
      <c r="H101" s="66" t="inlineStr">
        <is>
          <t>新增 fmtShares（委派 web/format.js 的 fmt.shares）：句子裡「說出來」的數字一律格式化，「寫出去」的值（期初 CSV）保留原字串。同類掃描（自寫 scan_raw_member.py：找未經格式化就拼進字串、設成 textContent 或當 el() 文字的成員運算式，再以 grep 補抓陣列形式）後一併修：web/inbox.js:256 r.per_share、web/digest.js:150 m.close、web/input.js:1004 ar.last、web/ledger.js:880-881 目標價上下限改經 f.exact（f.money 會把 0.5 元捨成 0）。</t>
        </is>
      </c>
      <c r="I101" s="66" t="inlineStr">
        <is>
          <t>候選 139，屬 wire Decimal 共 23／修 12／白名單 11（app.js 匯率三角 implied/direct/gap_pct 3：後端已量化、M3-08 裁定原樣印；detail.js tech_score 1：後端已量化 1 位；detail.js 比例 2：使用者輸入的整數比例；ledger.js cost_carry 與 acq_home_amount 2：帳本刻意原樣顯示輸入值；broker-import.js rowCells 與 lab.shares 2：「將寫入 CSV 的逐欄值」對帳檢視，格式化會捨入；detail.js prefill 1：輸入欄位值不是顯示文字）</t>
        </is>
      </c>
      <c r="J101" s="66" t="inlineStr">
        <is>
          <t>新增 tests/contract/test_def039_broker_hint_formats_shares.py（3）。變異：fmtShares 改回原字串 → 2 則失敗「'…已有 85.039255 股' in …」；digest.js 改回原寫法 → 類別守門失敗「digest.js:150: … + m.close」。還原後全過。</t>
        </is>
      </c>
      <c r="K101" s="67" t="inlineStr">
        <is>
          <t>4655845（已部署 demo）</t>
        </is>
      </c>
      <c r="L101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1" s="68" t="inlineStr">
        <is>
          <t>真實瀏覽器：交易帳本 › CSV 匯入 › 券商對帳單（嘉信）上傳自製 Schwab 格式檔「09/23/2026 Sell AAPL 1000 @230」→ 讀期初缺口提示；不寫入</t>
        </is>
      </c>
      <c r="N101" s="68" t="inlineStr">
        <is>
          <t>觀察：R2 時提示把帳本持股印成 28 位小數
假設：①句子內的數字經 fmt.shares；②只截斷位數
排除：/api/input/holdings 仍回 AAPL 85.03925471251653744415967210（原字串），POST /api/broker/convert 200 後提示為「期初庫存 AAPL 對帳單需要 1,000 股，帳本在 2026-09-22 已有 85.039255 股，仍缺 914.960745 股…」——千分位與 6 位小數與持倉表一致，914.960745＝1,000−85.039255 相符，排除②（非字串截斷：1,000 有千分位）
定位：broker-import.js fmtShares
判定：通過
變異（驗證者於本機 4655845 重做）：fmtShares 改回 String(v) → 2 failed（AssertionError: ⚠ 需要你補的資料（1）這些欄位匯出檔本身沒有寫，系統不會用猜的填 —— 猜出來的比例或成本會安靜地算錯，而且畫面上看起來完全正常。留白就是不匯入那一列。期初庫存　AAPL　對帳單需要 1000 股，帳本在 2025-12-31 已有 85.039），還原後通過</t>
        </is>
      </c>
      <c r="O101" s="68" t="inlineStr">
        <is>
          <t>提示數字已格式化且相減正確；未寫入，cmp R3_START 帳本六段相同（僅額度差為 DEF-025 的 AI 解析）</t>
        </is>
      </c>
      <c r="P101" s="68" t="inlineStr">
        <is>
          <t>複驗通過 → 結案</t>
        </is>
      </c>
      <c r="Q101" s="68" t="inlineStr">
        <is>
          <t>無</t>
        </is>
      </c>
      <c r="R101" s="68" t="inlineStr">
        <is>
          <t>檢驗方 2026-09-24</t>
        </is>
      </c>
    </row>
    <row r="102" ht="219.75" customHeight="1" s="43">
      <c r="A102" s="72" t="inlineStr">
        <is>
          <t>R3</t>
        </is>
      </c>
      <c r="B102" s="72" t="inlineStr">
        <is>
          <t>DEF-040</t>
        </is>
      </c>
      <c r="C102" s="72" t="inlineStr">
        <is>
          <t>D-10</t>
        </is>
      </c>
      <c r="D102" s="72" t="inlineStr">
        <is>
          <t>2026-09-24</t>
        </is>
      </c>
      <c r="E102" s="66" t="inlineStr">
        <is>
          <t>同意，依 owner 裁定實作：刪除分拆時一併移除它寫入、且之後未被正式報價覆蓋的子公司起始價；不可移除時在刪除框與 toast 說明原因。</t>
        </is>
      </c>
      <c r="F102" s="67" t="inlineStr">
        <is>
          <t>portfolio_dash/api/routers/ledgers.py:2172 `delete_corporate_action(conn, a.id, commit=False)`；:1954 `close=close, source="manual")],`（起始價寫入點）</t>
        </is>
      </c>
      <c r="G102" s="66" t="inlineStr">
        <is>
          <t>沒有守門。新增契約 5 則＋e2e 1 則。</t>
        </is>
      </c>
      <c r="H102" s="66" t="inlineStr">
        <is>
          <t>新增 pricing/seed.py（pricing 仍是價格列唯一寫入者）：write_seed_price（以簽章 source='manual'＋fetched_at＝行動日 00:00 寫入）、pending_seed_removal、remove_seed_price（併入刪除交易）。供應商寫入不會產生這個簽章，同日正式報價會同時覆蓋兩欄，所以可由價格列本身判定「是它寫的、且未被覆蓋」，也涵蓋修正前寫入的列。api 的 _delete_actions（單筆、整組、CSV 批次復原共用）綁定：依整組判定後移除；列表回 child_price_restore，刪除回 child_price_removed，前端確認框與 toast 比照目標價／權重的「條件可逆」說明。</t>
        </is>
      </c>
      <c r="I102" s="66" t="inlineStr">
        <is>
          <t>刪除時要還原的副作用 共 5／修 1（子公司起始價）／已同源 3（目標價 DEF-021、目標權重、重組費 DEF-020）／白名單 1（自動註冊的子公司標的：屬登錄簿設定、可能被其他列引用，裁定未涵蓋）；刪除路徑 共 3／修 3</t>
        </is>
      </c>
      <c r="J102" s="66" t="inlineStr">
        <is>
          <t>新增 tests/contract/test_def040_spinoff_delete_takes_its_seed_price.py（5）、e2e 1。變異：只判定不刪 → 2 則失敗（「False is True」「[False] == [True]」）；確認框不讀承諾 → 「expected to contain text '子公司起始價'」。還原後全過。</t>
        </is>
      </c>
      <c r="K102" s="67" t="inlineStr">
        <is>
          <t>4655845（已部署 demo）</t>
        </is>
      </c>
      <c r="L102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2" s="68" t="inlineStr">
        <is>
          <t>真實瀏覽器：公司行動 › 原持股不變另得新股（分拆）台灣券商 2884 → 2882、2026-09-20（2882 當日無報價）、每 1 股配 1 股、成本分攤 0.1、子公司起始價 30 → 登錄 → 讀 /api/symbol/2882/detail 價格序列 → 刪除；另於本機 4655845 以 TestClient 走真實路由抽驗「子公司當日已有正式報價」的情形</t>
        </is>
      </c>
      <c r="N102" s="68" t="inlineStr">
        <is>
          <t>觀察：黑箱正常路徑通過——登錄 201 child_priced 2882，價格序列多出 2026-09-20 close 30；刪除框「登錄時寫入的子公司起始價（2882，2026-09-20）尚未被正式報價覆蓋，會一併移除」，DELETE 回 child_price_removed true、restored true，2882 價格序列 117 點與登錄前逐字相同，cmp same:true。抽驗同類：子公司在行動日「已經有」正式報價時
假設：①寫入起始價時跳過或保留既有正式報價；②直接覆蓋，刪除時整列刪掉
排除：本機探測（tests/contract 相同 fixture：CHLD 在 2026-03-16 先有 yfinance 48.70）→ 登錄分拆並填 50.00 → 該列變 {close 50.00, source manual}（原報價被覆蓋）→ 列表承諾 restorable true → 刪除回 restored true → 該日價格列不存在（48.70 永久遺失），排除①
定位：portfolio_dash/pricing/seed.py write_seed_price 經 upsert_prices ON CONFLICT 覆蓋同日正式報價，且沒有保存被覆蓋的原值；remove_seed_price 只判斷「現在是不是種子」
判定：部分通過——手冊 v3.1 D-10「子公司起始價全部回到行動前的狀態，逐位元比對」在子公司當日已有報價時不成立（刪除後少一筆正式報價，框內卻說會移除起始價、toast 說已還原）。為免銷毀 demo 真實報價，此情形只在本機重現、未在 demo 執行
變異（驗證者於本機 4655845 重做）：remove_seed_price 的 DELETE 改成 SELECT → 2 failed（AssertionError: the seed price outlived the action that wrote it），還原後通過</t>
        </is>
      </c>
      <c r="O102" s="68" t="inlineStr">
        <is>
          <t>正常路徑通過；「當日已有正式報價」時存檔覆蓋、刪除後原報價遺失（本機重現）</t>
        </is>
      </c>
      <c r="P102" s="68" t="inlineStr">
        <is>
          <t>部分通過</t>
        </is>
      </c>
      <c r="Q102" s="68" t="inlineStr">
        <is>
          <t>修法方向（二擇一，建議 A）：A. 寫入前若該日已有非種子的正式報價就不寫入起始價，回應 child_priced null 並在表單／toast 說明「2882 在 2026-09-20 已有正式報價 112.0，起始價未寫入」；B. 寫入時把被覆蓋的原列存進 corporate_actions（如 seed_replaced_json），刪除時放回。補一則測試：當日先有 provider 報價 → 存檔＋刪除後該列逐字相同。探測檔見驗證者本機 test_qa_r3_seed_over_quote.py（內容已寫在本欄）</t>
        </is>
      </c>
      <c r="R102" s="68" t="inlineStr">
        <is>
          <t>檢驗方 2026-09-24</t>
        </is>
      </c>
    </row>
    <row r="103" ht="219.75" customHeight="1" s="43">
      <c r="A103" s="72" t="inlineStr">
        <is>
          <t>R3</t>
        </is>
      </c>
      <c r="B103" s="72" t="inlineStr">
        <is>
          <t>DEF-041</t>
        </is>
      </c>
      <c r="C103" s="72" t="inlineStr">
        <is>
          <t>G-09</t>
        </is>
      </c>
      <c r="D103" s="72" t="inlineStr">
        <is>
          <t>2026-09-24</t>
        </is>
      </c>
      <c r="E103" s="66" t="inlineStr">
        <is>
          <t>同意，依 owner 裁定實作：預警觸發的持倉提點只派發持有中的標的。</t>
        </is>
      </c>
      <c r="F103" s="67" t="inlineStr">
        <is>
          <t>portfolio_dash/llm_insight/alerts_bridge.py:375 `for it in subscribers:`</t>
        </is>
      </c>
      <c r="G103" s="66" t="inlineStr">
        <is>
          <t>沒有守門；反而有 4 個測試在空帳本下派發 2330／2884 的卡，把「未持有也產卡」釘成正確（test_alert_scan.py、test_def037_alert_scope_dispatch.py、test_alerts_bridge.py、test_pipeline_hub_api.py）。持倉參數改為必填、無預設值（架構規則注入義務：漏綁即 TypeError），4 檔已明確綁定。</t>
        </is>
      </c>
      <c r="H103" s="66" t="inlineStr">
        <is>
          <t>在唯一派發點 dispatch_alert_events_ex 加必填 held_symbols：個股預警的標的不在持有集合 → 標記已消化、不產卡，預警事件本身仍留在預警清單／鈴鐺／推播；執行明細寫「略過 N 條觀察標的預警（未持有，不產卡）：…」。持有＝計算後帳本（build_dashboard holdings 中 shares ≠ 0，跨帳戶；宣告放空也算持有），不另寫 SQL 重算。讀不到持倉時該批預警不消化、下次掃描重試。scheduler 以 register_alert_held_fn 注入，app 啟動時註冊。</t>
        </is>
      </c>
      <c r="I103" s="66" t="inlineStr">
        <is>
          <t>共 6／修 1（on_alert 派發）／白名單 2（mode:custom、mode:all_registered：使用者明示納入觀察標的）；另 2 處（mode:all 與其草稿預檢）原本就只取持倉，改用同一個持有定義；1 處不適用（per_market）。R2 觀察「已封存標的仍被納入」：1 處，列 owner 決策</t>
        </is>
      </c>
      <c r="J103" s="66" t="inlineStr">
        <is>
          <t>新增 tests/scheduler/test_def041_alert_cards_only_for_held.py（7）；修改 4 個既有測試檔綁定持倉。變異：拿掉持有判斷 → 3 則失敗「['1234','2884','SPCX',None] == ['2884',None]」；app 沒註冊 → 1 則「assert None is &lt;function held_symbols_for_alerts…&gt;」。還原後全過。</t>
        </is>
      </c>
      <c r="K103" s="67" t="inlineStr">
        <is>
          <t>4655845（已部署 demo）</t>
        </is>
      </c>
      <c r="L103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3" s="68" t="inlineStr">
        <is>
          <t>真實瀏覽器：系統設定 › 排程中心 › alert_scan 立即執行（run #185，距 R1 派發已逾 24 小時去抖）→ 讀詳情、派發的 run 與新卡</t>
        </is>
      </c>
      <c r="N103" s="68" t="inlineStr">
        <is>
          <t>觀察：R1 時只在觀察清單的標的（1234、1235、2308…）因 drawdown_from_peak 產「持倉提點」卡
假設：①派發前以持有集合過濾；②只是 24h 去抖暫時擋住
排除：本次已超過 R1 派發的 24 小時，若無過濾這 7 條會再派發；詳情「18 alert(s)…, 7 dispatched…；略過 7 條觀察標的預警（未持有，不產卡）：drawdown_from_peak 1234、1235、2308、2323、2331、2608、SPCX」；實際派發 insight:9 run #186～#192 共 7 張卡 #212～#218，symbol 為 3008（single_weight）、1155、2317、3008、5225、8299、TSLA（drawdown_from_peak），逐一比對儀表板 holdings 全部為持有中，排除②；觀察標的預警仍列在預警清單。花費 7 卡合計 0.0050487＝額度 3.2678872→3.2628385
定位：alerts_bridge.dispatch_alert_events_ex(held_symbols)
判定：通過
變異（驗證者於本機 4655845 重做）：`if fired_symbol not in held:` 改 `if False:` → 1 failed（AssertionError: assert ['1234', '2884', 'SPCX', None] == ['2884', None]），還原後通過</t>
        </is>
      </c>
      <c r="O103" s="68" t="inlineStr">
        <is>
          <t>觀察標的 7 條不產卡、持有標的 7 條產卡；本案花費 $0.0050487</t>
        </is>
      </c>
      <c r="P103" s="68" t="inlineStr">
        <is>
          <t>複驗通過 → 結案</t>
        </is>
      </c>
      <c r="Q103" s="69" t="inlineStr">
        <is>
          <t>owner 決策項 ⑤（mode:all_registered 任務是否排除已封存標的）見本輪裁定</t>
        </is>
      </c>
      <c r="R103" s="68" t="inlineStr">
        <is>
          <t>檢驗方 2026-09-24</t>
        </is>
      </c>
    </row>
    <row r="104" ht="219.75" customHeight="1" s="43">
      <c r="A104" s="72" t="inlineStr">
        <is>
          <t>R3</t>
        </is>
      </c>
      <c r="B104" s="72" t="inlineStr">
        <is>
          <t>DEF-043</t>
        </is>
      </c>
      <c r="C104" s="72" t="inlineStr">
        <is>
          <t>H-05</t>
        </is>
      </c>
      <c r="D104" s="72" t="inlineStr">
        <is>
          <t>2026-09-24</t>
        </is>
      </c>
      <c r="E104" s="66" t="inlineStr">
        <is>
          <t>同意驗證者。乾跑預檢 G1 本身對 on_alert 已回 ok；錯的是觸發節點，以及由它推出的頁首「需注意」計數。</t>
        </is>
      </c>
      <c r="F104" s="67" t="inlineStr">
        <is>
          <t>portfolio_dash/llm_insight/pipeline_status.py:86-87 `if not f.scheduled: return NodeState(lv="warn", text="未排程（手動）", sub="不會自動執行")`</t>
        </is>
      </c>
      <c r="G104" s="67" t="inlineStr">
        <is>
          <t>tests/llm_insight/test_pipeline_status.py 沒有 on_alert 案例，也沒有「管線卡片與乾跑結果一致」的測試。新增 tests/contract/test_def043_on_alert_trigger_node.py。</t>
        </is>
      </c>
      <c r="H104" s="67" t="inlineStr">
        <is>
          <t>_trigger 先判斷 scope：on_alert 回 ok「預警觸發／風險預警命中時自動執行」，判斷順序與乾跑 G1 相同（scope → scheduled → 手動）。同類掃描：所有對任務做觸發分類的地方。</t>
        </is>
      </c>
      <c r="I104" s="66" t="inlineStr">
        <is>
          <t>共 6／修 1／白名單 0（其餘 5 處本來就考慮 on_alert：乾跑 G1、pipeline.js 篩選、抽屜觸發卡、精靈摘要、insights.html triggerChip；排程中心只列排程工作不做觸發分類）</t>
        </is>
      </c>
      <c r="J104" s="66" t="inlineStr">
        <is>
          <t>新增 tests/contract/test_def043_on_alert_trigger_node.py（3：on_alert 觸發節點 ok 且與 G1 同義；一般未排程任務仍 warn（反證）；健康的 on_alert 任務整體 ok）。變異（令 on_alert 分支失效）→ 2 則失敗「'warn' == 'ok'」，反證仍通過。還原後全過。</t>
        </is>
      </c>
      <c r="K104" s="67" t="inlineStr">
        <is>
          <t>4655845（已部署 demo）</t>
        </is>
      </c>
      <c r="L104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4" s="68" t="inlineStr">
        <is>
          <t>真實瀏覽器：洞察管線中心 → 「持倉提點」（預警觸發）任務卡的 ① 觸發節點與頁首任務狀態；/api/insight-tasks/status</t>
        </is>
      </c>
      <c r="N104" s="68" t="inlineStr">
        <is>
          <t>觀察：R2 時預警觸發任務的觸發節點寫「未排程（手動） 不會自動執行」並算進需注意
假設：①依 scope 判斷、on_alert 為 ok；②只改文字、level 仍 warn
排除：卡片 ①「預警觸發 風險預警命中時自動執行」；頁首「任務狀態 2 個需注意」（R2 為 3），排除②；手動任務（持倉週報、個股健檢）仍為「未排程（手動） 不會自動執行」warn（反證）。同一輪 alert_scan #185 確實自動派發 7 張卡
定位：pipeline_status._trigger 先判 scope
判定：通過
變異（驗證者於本機 4655845 重做）：_trigger 的 on_alert 分支失效 → 2 failed（AssertionError: {'lv': 'warn', 'sub': '不會自動執行', 'text': '未排程（手動）'}），還原後通過</t>
        </is>
      </c>
      <c r="O104" s="68" t="inlineStr">
        <is>
          <t>觸發節點正確、需注意 3→2</t>
        </is>
      </c>
      <c r="P104" s="68" t="inlineStr">
        <is>
          <t>複驗通過 → 結案</t>
        </is>
      </c>
      <c r="Q104" s="68" t="inlineStr">
        <is>
          <t>新發現（另開 DEF-058）：同頁「最近批次 2026-09-24 21:40・7 卡 本批成本 $0.001」——7 張卡來自 7 個 run，合計 $0.0050487，但成本只取最後一個 run（0.0005979）。owner 決策項 ⑧（alert_scan 停用時預警觸發任務改顯示警告）見本輪裁定</t>
        </is>
      </c>
      <c r="R104" s="68" t="inlineStr">
        <is>
          <t>檢驗方 2026-09-24</t>
        </is>
      </c>
    </row>
    <row r="105" ht="219.75" customHeight="1" s="43">
      <c r="A105" s="72" t="inlineStr">
        <is>
          <t>R3</t>
        </is>
      </c>
      <c r="B105" s="72" t="inlineStr">
        <is>
          <t>DEF-044</t>
        </is>
      </c>
      <c r="C105" s="72" t="inlineStr">
        <is>
          <t>G-09／J-06</t>
        </is>
      </c>
      <c r="D105" s="72" t="inlineStr">
        <is>
          <t>2026-09-24</t>
        </is>
      </c>
      <c r="E105" s="66" t="inlineStr">
        <is>
          <t>同意驗證者。帳戶記號縫只在有 names.js 的頁面生效，5 頁退化成原始 id（排程中心「fx_drift 帳戶 moomoo_my」）。</t>
        </is>
      </c>
      <c r="F105" s="67" t="inlineStr">
        <is>
          <t>web/api.js:49 `return s.replace(ACCOUNT_REF, (m, id) =&gt; id);`；web/settings.html:643、insights.html:243、instruments.html:119、news.html:116、data-center.html:98 只有 `&lt;script src="api.js…"&gt;`</t>
        </is>
      </c>
      <c r="G105" s="66" t="inlineStr">
        <is>
          <t>沒有守門檢查「用到 api.js 的頁面都載入 names.js」；R2 的 seam 測試只在 node 沙盒同時載入兩個檔（而且 api.js 在前），從沒看過真正的頁面。補：①tests/contract/test_names_js_before_api_js.py 以 HTMLParser 讀每頁 &lt;script src&gt; 順序，凡載入 api.js 或 shell.js（shell.js 會動態注入 api.js）的頁面，names.js 必須存在且排在前面；②e2e 在 11 頁以 page.route 回應含記號的 200 與 422，頁面拿到的必須是中文名；③seam harness 改成頁面實際的載入順序，並斷言缺 names.js 時 console.error。</t>
        </is>
      </c>
      <c r="H105" s="67" t="inlineStr">
        <is>
          <t>11 頁一律把 names.js 放在 api.js 之前（含原本已載但排在後面的 5 頁：names.js 是無相依的 IIFE，放在後面時較早回來的回應會在 resolver 存在前被解析）；api.js 載入時若沒有 pdNames 就 console.error（頁面煙霧 e2e 要求零 console error，新頁面漏載會讓建置變紅）。保留「退化成 id」而不是讓 api.js 自己載 names.js：動態注入是非同步的仍有競態，把名稱表併進 api.js 會造成第二個命名來源。</t>
        </is>
      </c>
      <c r="I105" s="66" t="inlineStr">
        <is>
          <t>共 11／修 11／白名單 0（5 頁缺 names.js、5 頁順序在後、login 缺）；另 7 頁是無 script 的轉址頁，不在類別內</t>
        </is>
      </c>
      <c r="J105" s="66" t="inlineStr">
        <is>
          <t>新增 tests/contract/test_names_js_before_api_js.py（20）、tests/e2e/test_def044_account_tokens_every_page_flow.py（1）；改寫 tests/contract/test_account_ref_seam.py。變異（11 頁換回 e6fd9f4 版本）→ contract 11 則失敗；e2e 失敗「degraded to raw ids on: data-center, insights, instruments, login, news, settings」（例「fx_drift 帳戶 moomoo_my」）。還原後全過。</t>
        </is>
      </c>
      <c r="K105" s="67" t="inlineStr">
        <is>
          <t>4655845（已部署 demo）</t>
        </is>
      </c>
      <c r="L105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5" s="68" t="inlineStr">
        <is>
          <t>真實瀏覽器：系統設定 › 排程中心 alert_scan 詳情；逐頁讀 11 個 html 的 script 順序</t>
        </is>
      </c>
      <c r="N105" s="68" t="inlineStr">
        <is>
          <t>觀察：R2 時排程中心顯示「fx_drift 帳戶 moomoo_my」（settings.html 未載 names.js，記號退化成 id）
假設：①所有用 api.js 的頁面都在其前載入 names.js；②只補 settings.html
排除：API detail 仍為記號「fx_drift 帳戶 {account:moomoo_my}」，畫面顯示「fx_drift 帳戶 Moomoo MY」；index、trades、dividend-inbox、cash、instruments、insights、pipeline-hub、news、data-center、settings、login 11 頁皆「names.js 在 api.js 之前」，排除②
定位：11 個 html＋api.js 缺 pdNames 時 console.error
判定：通過
變異（驗證者於本機 4655845 重做）：settings.html 拿掉 names.js → 1 failed（AssertionError: settings.html reaches the API (api.js) and never loads names.js — account tokens would degrade to raw ids），還原後通過</t>
        </is>
      </c>
      <c r="O105" s="68" t="inlineStr">
        <is>
          <t>排程中心顯示中文帳戶名；11 頁載入順序正確</t>
        </is>
      </c>
      <c r="P105" s="68" t="inlineStr">
        <is>
          <t>複驗通過 → 結案</t>
        </is>
      </c>
      <c r="Q105" s="68" t="inlineStr">
        <is>
          <t>無</t>
        </is>
      </c>
      <c r="R105" s="68" t="inlineStr">
        <is>
          <t>檢驗方 2026-09-24</t>
        </is>
      </c>
    </row>
    <row r="106" ht="219.75" customHeight="1" s="43">
      <c r="A106" s="72" t="inlineStr">
        <is>
          <t>R3</t>
        </is>
      </c>
      <c r="B106" s="72" t="inlineStr">
        <is>
          <t>DEF-045</t>
        </is>
      </c>
      <c r="C106" s="72" t="inlineStr">
        <is>
          <t>J-04／J-06</t>
        </is>
      </c>
      <c r="D106" s="72" t="inlineStr">
        <is>
          <t>2026-09-24</t>
        </is>
      </c>
      <c r="E106" s="66" t="inlineStr">
        <is>
          <t>同意驗證者。同一類問題還出現在「現金收支明細報告」表頭「帳戶 TW Broker（tw_broker）」，一併修。</t>
        </is>
      </c>
      <c r="F106" s="67" t="inlineStr">
        <is>
          <t>portfolio_dash/export/ledgers_report.py:439 `accts = {a.account_id: a.name for a in list_accounts(conn)}`；portfolio_dash/export/cash_statement.py:266 `f"帳戶 {_esc(acct_name)}（{_esc(account_id)}）",`</t>
        </is>
      </c>
      <c r="G106" s="67" t="inlineStr">
        <is>
          <t>R2 的 AST 守門（test_account_ref_seam.py）本來就掃 export/，但有兩個盲點：①只比對 f-string 插值的整個運算式，被 _esc(...) 包住就對不上；②名稱經 dict comprehension＋.get() 流到輸出，從沒出現在插值裡。修盲點：比對前先剝掉 _esc/str/escape/html.escape 包裝；新增偵測「對 list_accounts() 迭代出的列讀 .name」；允許清單附理由並加「守門會咬」測試。另補行為守門 tests/contract/test_def045_exports_never_print_account_labels.py：實際下載每一個 export 端點（zip 解開），任何檔案不得含 accounts.name，HTML 可見文字不得含原始 id，CSV 只允許在 account_id 欄與來源註腳出現 id。</t>
        </is>
      </c>
      <c r="H106" s="67" t="inlineStr">
        <is>
          <t>ledgers_report 改輸出 account_ref 記號（新增 _acct_label、移除 accts dict）；cash_statement 表頭改「帳戶 {account_ref}」、存在檢查改用 id 集合；兩份報告下載時經 web/api.js 的 _resolveBlobRefs 換成中文名並 escape（R2 建立的列印報告解析縫）。同類掃描：export 模組所有輸出帳戶的位置＋全 package AST 掃描。</t>
        </is>
      </c>
      <c r="I106" s="67" t="inlineStr">
        <is>
          <t>export 共 7／修 5／白名單 2（各 CSV 的 account_id 欄：holdings、realized、tax 與帳本原始表可重新匯入或對帳，需要鍵不是顯示名；CSV 來源註腳與檔名）。全 package 另命中 accounts／ledgers／symbol 三個 router 的 wire 欄位與 AI 輸入的帳戶名冊，附理由列入允許清單</t>
        </is>
      </c>
      <c r="J106" s="66" t="inlineStr">
        <is>
          <t>新增 tests/contract/test_def045_exports_never_print_account_labels.py（3）；改寫 AST 掃描。變異（兩個 export 檔換回 e6fd9f4）→ 3 則失敗：「ledgers-report: prints the API label 'Charles Schwab'/'TW Broker'」及 cash-statement-report 印原始 id 共 9 條；記號正向測試失敗；擴大後 AST 掃描命中 cash_statement.py:_esc(account_id)、list_accounts→a.name [97,282]、ledgers_report.py [439]。還原後全過。</t>
        </is>
      </c>
      <c r="K106" s="67" t="inlineStr">
        <is>
          <t>4655845（已部署 demo）</t>
        </is>
      </c>
      <c r="L106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6" s="68" t="inlineStr">
        <is>
          <t>真實瀏覽器：交易帳本 › ⎙匯出報告；資金管理 › 台灣券商 › ⎙匯出報告與 ⬇匯出 CSV（皆攔截下載）</t>
        </is>
      </c>
      <c r="N106" s="68" t="inlineStr">
        <is>
          <t>觀察：R2 時帳本報告帳戶欄為「TW Broker」「Charles Schwab」
假設：①後端輸出記號、下載時由 api.js 解析；②只改其中一份報告
排除：ledger-report-20260924-2128.html「台灣券商」53 次，TW Broker／Charles Schwab／{account:／原始 id 皆 0；cash-statement-tw_broker-all-…html 顯示「台灣券商」、原始 id 與英文名 0，排除②。對帳級 CSV 只有頁尾「# account=tw_broker…」機器註記（開發者白名單，屬機器可讀欄位，合理）
定位：ledgers_report.py／cash_statement.py 改 account_ref、_resolveBlobRefs
判定：通過
變異（驗證者於本機 4655845 重做）：_acct_label 回傳原始 id → 2 failed（AssertionError: /api/export/ledgers-report {}: prints the bare id 'moomoo_my'），還原後通過</t>
        </is>
      </c>
      <c r="O106" s="68" t="inlineStr">
        <is>
          <t>兩份列印報告皆為中文顯示名</t>
        </is>
      </c>
      <c r="P106" s="68" t="inlineStr">
        <is>
          <t>複驗通過 → 結案</t>
        </is>
      </c>
      <c r="Q106" s="68" t="inlineStr">
        <is>
          <t>無</t>
        </is>
      </c>
      <c r="R106" s="68" t="inlineStr">
        <is>
          <t>檢驗方 2026-09-24</t>
        </is>
      </c>
    </row>
    <row r="107" ht="219.75" customHeight="1" s="43">
      <c r="A107" s="72" t="inlineStr">
        <is>
          <t>R3</t>
        </is>
      </c>
      <c r="B107" s="72" t="inlineStr">
        <is>
          <t>DEF-046</t>
        </is>
      </c>
      <c r="C107" s="72" t="inlineStr">
        <is>
          <t>G-09</t>
        </is>
      </c>
      <c r="D107" s="72" t="inlineStr">
        <is>
          <t>2026-09-24</t>
        </is>
      </c>
      <c r="E107" s="66" t="inlineStr">
        <is>
          <t>同意，依 owner 裁定刪除。更正卡號：demo 上 symbol=moomoo_my 的錯卡是 #192（2026-09-23，「Moomoo 交易商警示」，trigger 為空）；#207 是 2884 的正常預警卡（「玉山金(2884) - RSI過熱警示」），R2 交接備註把卡號寫錯，#207 不刪。另有一張同根因的錯卡 #97（2026-08-23，「moomoo.com 交易暫停」），裁定只授權一張，列 owner 決策。</t>
        </is>
      </c>
      <c r="F107" s="66" t="inlineStr">
        <is>
          <t>（R2 前）portfolio_dash/scheduler/jobs.py:918 `conn, rule_id=alert.rule, symbol=_alert_symbol(alert), now=now,`</t>
        </is>
      </c>
      <c r="G107" s="66" t="inlineStr">
        <is>
          <t>資料殘留，沒有程式守門可攔。新守門是清理腳本自己的 9 則測試，其中「卡片 symbol 是已註冊標的就拒絕」專門擋 #207 這種卡號填錯。</t>
        </is>
      </c>
      <c r="H107" s="66" t="inlineStr">
        <is>
          <t>新增 scripts/delete_insight_cards.py：--db 必填（不存在就拒絕、絕不建檔）、--id 可重複、預設試跑、--apply 才寫、--reason 寫入操作記錄；卡片 symbol 為已註冊標的時拒絕（除非 --allow-registered-symbol）；依附表由 schema 動態找出（含 insight_id 欄的表）；單一交易內每一列先整列寫入 ledger_audit（delete）再刪，最後寫一筆 action_log；失敗整批回滾；重跑為 no-op。已於 demo 先備份再執行（見 L 欄）。</t>
        </is>
      </c>
      <c r="I107" s="66" t="inlineStr">
        <is>
          <t>含 insight_id 欄的表 共 1（insight_evaluations）／處理 1／白名單 0；不以卡片 id 參照故不刪：alert_dispatch_log、llm_usage（費用已實際發生）、job_runs</t>
        </is>
      </c>
      <c r="J107" s="66" t="inlineStr">
        <is>
          <t>新增 tests/scripts/test_delete_insight_cards.py（9，暫存 DB）。變異：拿掉已註冊標的防護 → 1 則失敗「assert 0 == 2」；不寫稽核 → 2 則「assert 0 == (0 + 3)」；不刪依附列 → 3 則「assert 3 == (3 - 2)」。還原後全過。</t>
        </is>
      </c>
      <c r="K107" s="67" t="inlineStr">
        <is>
          <t>4655845（已部署 demo）</t>
        </is>
      </c>
      <c r="L107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7" s="68" t="inlineStr">
        <is>
          <t>讀 /api/insights 全部 195 張（分頁），以 id 與 symbol 檢查</t>
        </is>
      </c>
      <c r="N107" s="68" t="inlineStr">
        <is>
          <t>觀察：R2 交接要刪的錯卡
假設：①開發者刪的是 symbol＝moomoo_my 的錯卡；②刪錯成 #207
排除：#192 已不存在；#207 仍在且為正常的 2884 預警卡「玉山金(2884) - RSI過熱警示」，排除②——R2 驗證者交接寫「#207」是驗證者的筆誤（R2 在持倉健診看到錯卡，卡號記錯），開發者更正為 #192 正確，特此更正。全部卡片中 symbol 含 moomoo 的只剩 #97（2026-08-23「moomoo.com 交易暫停」，同一根因的更早一張）
定位：scripts/delete_insight_cards.py（試跑／--apply、先備份、稽核）
判定：通過
變異（驗證者於本機 4655845 重做）：_audit 直接 return（不寫稽核） → 2 failed（assert 0 == (0 + 3)），還原後通過</t>
        </is>
      </c>
      <c r="O107" s="69" t="inlineStr">
        <is>
          <t>#192 已刪；#207 保留正確；同根因 #97 仍在（owner 本輪裁定刪除，見 DEF-054）</t>
        </is>
      </c>
      <c r="P107" s="68" t="inlineStr">
        <is>
          <t>複驗通過 → 結案</t>
        </is>
      </c>
      <c r="Q107" s="68" t="inlineStr">
        <is>
          <t>驗證者 R2 交接把錯卡記成 #207，是驗證者的錯誤，已於本輪交接紀錄更正</t>
        </is>
      </c>
      <c r="R107" s="68" t="inlineStr">
        <is>
          <t>檢驗方 2026-09-24</t>
        </is>
      </c>
    </row>
    <row r="108" ht="219.75" customHeight="1" s="43">
      <c r="A108" s="72" t="inlineStr">
        <is>
          <t>R3</t>
        </is>
      </c>
      <c r="B108" s="72" t="inlineStr">
        <is>
          <t>DEF-047</t>
        </is>
      </c>
      <c r="C108" s="72" t="inlineStr">
        <is>
          <t>C-01</t>
        </is>
      </c>
      <c r="D108" s="72" t="inlineStr">
        <is>
          <t>2026-09-24</t>
        </is>
      </c>
      <c r="E108" s="66" t="inlineStr">
        <is>
          <t>同意，依 owner 裁定實作：來源回應成功但沒有配息紀錄不算失敗。錯在來源分類，收件匣 toast、dividend_inbox_scan、dividends_daily 全都繼承了它。</t>
        </is>
      </c>
      <c r="F108" s="67" t="inlineStr">
        <is>
          <t>portfolio_dash/pricing/registry.py:144 `failed.append(ref.symbol)`（:142 空回應與 :136-138 例外同一分支）</t>
        </is>
      </c>
      <c r="G108" s="67" t="inlineStr">
        <is>
          <t>tests/api/test_def015_dividend_scan_names_failures.py 把裁定前的行為釘成規格（failed == ["AAPL","TSLA","1155"]、"TSLA": "yfinance 無配息資料"）。依 2026-09-24 裁定改寫這 3 則，並新增 tests/api/test_def047_no_dividend_is_not_a_failure.py。</t>
        </is>
      </c>
      <c r="H108" s="67" t="inlineStr">
        <is>
          <t>fetch_dividends_explained 多回傳 empty：沒有 provider 回事件但至少一個乾淨回應 → empty（空回應仍會往下一個 provider 試）；全部丟例外或該市場沒有配息來源 → failed 並附原因。RefreshSummary.empty 為新增欄位；句型改為「N 檔事件已更新，M 檔無配息紀錄（TSLA），K 檔失敗（…）」；收件匣 wire 的 refreshed 新增 empty，前端本來就依 failed 決定警告色。同類掃描：所有「抓取結果摘要」把空當失敗的地方。</t>
        </is>
      </c>
      <c r="I108" s="66" t="inlineStr">
        <is>
          <t>共 8／修 1／白名單 7（quote_latest、quote_history、fx、fx_history 4：已上市標的或匯率對，空回應就是抓取失敗；各快照 ingest 工作：只有例外才算失敗；news_daily：只報數量；基準指數：只有例外才算失敗）</t>
        </is>
      </c>
      <c r="J108" s="66" t="inlineStr">
        <is>
          <t>新增 tests/api/test_def047_no_dividend_is_not_a_failure.py（6）；改寫 test_def015_dividend_scan_names_failures.py（3）。變異（空回應改回 failed）→ 7 則失敗（新檔 5＋改寫 2：「['TSLA'] == []」「refreshed["failed"] == []」）。還原後全過。</t>
        </is>
      </c>
      <c r="K108" s="67" t="inlineStr">
        <is>
          <t>4655845（已部署 demo）</t>
        </is>
      </c>
      <c r="L108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8" s="68" t="inlineStr">
        <is>
          <t>真實瀏覽器：收件匣 › 待確認匯入 › 重新偵測（外部來源）</t>
        </is>
      </c>
      <c r="N108" s="68" t="inlineStr">
        <is>
          <t>觀察：R2 時不配息的 TSLA 被算成失敗、整次以警告色顯示
假設：①新增 empty 類、只有真失敗才警告；②只改文字
排除：GET /api/dividend-inbox?refresh=1 回 refreshed {updated 14, failed [], empty ["TSLA"], text「14 檔事件已更新，1 檔無配息紀錄（TSLA）・待確認 7 筆」}；toast class 為 toast-ok「✓ 偵測完成 …」（R2 為「! 偵測完成（部分標的失敗）」警告），狀態列同句、一般灰色，排除②。收件匣仍 7 筆
定位：pricing/registry fetch_dividends_explained 的 empty
判定：通過
變異（驗證者於本機 4655845 重做）：`if answered:` 改 `if False:`（空回應歸失敗） → 5 failed（AssertionError: assert (['TSLA'] == []），還原後通過</t>
        </is>
      </c>
      <c r="O108" s="68" t="inlineStr">
        <is>
          <t>無配息歸「無配息紀錄」、不再警告</t>
        </is>
      </c>
      <c r="P108" s="68" t="inlineStr">
        <is>
          <t>複驗通過 → 結案</t>
        </is>
      </c>
      <c r="Q108" s="69" t="inlineStr">
        <is>
          <t>owner 決策項 ⑨（一來源無資料、另一來源失敗的混合情形歸「無配息紀錄」）見本輪裁定；DEF-039 同類抽驗：收件匣每股配息已格式化（0.310、7.00、0.25）</t>
        </is>
      </c>
      <c r="R108" s="68" t="inlineStr">
        <is>
          <t>檢驗方 2026-09-24</t>
        </is>
      </c>
    </row>
    <row r="109" ht="219.75" customHeight="1" s="43">
      <c r="A109" s="72" t="inlineStr">
        <is>
          <t>R3</t>
        </is>
      </c>
      <c r="B109" s="72" t="inlineStr">
        <is>
          <t>DEF-048</t>
        </is>
      </c>
      <c r="C109" s="72" t="inlineStr">
        <is>
          <t>B-17</t>
        </is>
      </c>
      <c r="D109" s="72" t="inlineStr">
        <is>
          <t>2026-09-24</t>
        </is>
      </c>
      <c r="E109" s="66" t="inlineStr">
        <is>
          <t>同意，依 owner 裁定實作：草稿依帳本重播到交易日，顯示當時的持股與均價，與寫入後重播到該日的結果一致。</t>
        </is>
      </c>
      <c r="F109" s="67" t="inlineStr">
        <is>
          <t>portfolio_dash/api/routers/input_center.py:829 `**_old_position_fields(held),`；:729 `final = next((h for h in after.holdings if ...), None)`；:746 `if held is None and not body.short_sale:`</t>
        </is>
      </c>
      <c r="G109" s="67" t="inlineStr">
        <is>
          <t>tests/api/test_review_r1_preview_mirrors_replay.py::_mirror 以「寫入後整本帳的終點」為期望（M4-01 的設計，正是本次被推翻的讀法），test_backdated_buy… 把 1600 釘成答案。已改為比對「寫入後重播到交易日」並要求 as_of，期望改為 2100。</t>
        </is>
      </c>
      <c r="H109" s="66" t="inlineStr">
        <is>
          <t>草稿「原」＝交易日當時（草稿前）、「新」＝同日草稿後的持股與均價（均價讀取時 total/shares）；交易日部位待釐清時不給數字；賣出閘門改為「今天與交易日都沒有持股」才放棄；wire 加 as_of／backdated，補登時草稿加註「以交易日 … 當時的部位試算」；賣出提示補登時標「今日可賣／今日持有均價」。同類掃描：所有讀今日部位的日期型預覽。</t>
        </is>
      </c>
      <c r="I109" s="66" t="inlineStr">
        <is>
          <t>共 9／修 3／已同源 3（CSV／券商／AI 匯入預覽依日期＋同日 id 判賣超；股利表單與收件匣用除息日持股；validate 賣超）／白名單 3（草稿的現金列與透支＝今日現金池，補登列寫入後正落在今日池；抽屜試算沒有日期輸入＝現在；公司行動表單前後對照＝文件化的整本帳檢視，驗證已依行動日）</t>
        </is>
      </c>
      <c r="J109" s="66" t="inlineStr">
        <is>
          <t>新增 tests/api/test_def048_draft_shows_trade_date_position.py（4）、e2e 1；改寫 mirror 測試。變異：「原」改回今日持股 → 「the card showed '100'」「'1500' == '2000'」；「新」改回整本帳終點 → 7 則失敗（「preview '1600' != booked 2100」等）；閘門改回 → 「assert None is not None」。還原後全過。</t>
        </is>
      </c>
      <c r="K109" s="67" t="inlineStr">
        <is>
          <t>4655845（已部署 demo）</t>
        </is>
      </c>
      <c r="L109" s="66" t="inlineStr">
        <is>
          <t>本輪整體閘門（開發機、4655845）：ruff check portfolio_dash tests scripts 全過・mypy --strict 890 檔 0 問題（全新快取）・pytest 非 e2e 6,082 passed／5 skipped／0 failed（前景分 4 段）・e2e 72 檔 272 則全過（12 批前景；其中 test_the_rebalance_footer_total_equals_the_visible_fields 為既有時序競態：未改前連跑「失敗／通過／失敗」，試算 API 新舊版皆 10–13 ms，改為等待頁尾出現後 4／4 通過）・stress-audit phase 1 ops=128、pass=6,025、fail=0。各缺陷的定向測試與變異見 J 欄。部署：demo 備份 portfolio-pre-4655845-20260924T092906Z.db（integrity ok；交易／股利／資金／公司行動／洞察卡／評分／稽核 56／23／34／0／198／95／77）→ 部署 4655845 → /api/health commit=4655845 → 新欄位 cash_movements.rebate_period、insights.strategy_versions 與新表 strategy_prompt_versions 已建立（5 則策略回填為 v1；折讓款 #34 連結 2026-01）→ verify_live --expect-version 0.1.28 ALL PASS → 無頭瀏覽器 11 頁零主控台錯誤、names.js 皆在 api.js 之前。資料清理（先備份、先試跑再執行、重跑為 no-op）：刪除錯卡 #192（ledger_audit insights delete 1、action_log #1314）；清理 8 筆費率快照 rebate_rate→0（ledger_audit transactions update 8、action_log #1315，手續費不變）。</t>
        </is>
      </c>
      <c r="M109" s="68" t="inlineStr">
        <is>
          <t>真實瀏覽器：交易帳本 › 手動交易三個草稿——台灣券商 2884 買 100@30 日期 2025-01-02；2884 買 100@46 日期 2026-09-23；8299 賣 100@1700 日期 2026-07-18（不寫入）</t>
        </is>
      </c>
      <c r="N109" s="68" t="inlineStr">
        <is>
          <t>觀察：R2 時 2025-01-02 的草稿寫「持股 100 → 200、均價 93.20 → 61.70」（今天的部位）
假設：①草稿改依帳本重播到交易日；②只加註解、數字仍是今天
排除：2025-01-02 草稿「持股 — → 100、原始均價 — → 30.20」並加註「以交易日 2025-01-02 當時的部位試算（寫入後帳本依日期重播；該日之後的紀錄不在這幾列）」，preview position_preview.old_shares null、as_of 2025-01-02、backdated true；8299 在 07-18 賣出草稿「持股 800 → 700、均價 1,690.55」＝07-17 買進 800 股的 1,352,443÷800＝1,690.55（今天是 1,911 股、均價 1,721.33），已實現 +193，另有 trade_before_opening 警示；無更晚紀錄的 2026-09-23 草稿仍為「100 → 200、93.20 → 69.70」、backdated false，排除②
定位：input_center.py 草稿改以交易日部位試算；變異（原改回今日）→ 開發者列 3 組失敗，我方重做見 J-06 註記
判定：通過
變異（驗證者於本機 4655845 重做）：「原」持股改讀今天的 book.holdings → 2 failed（AssertionError: nothing was held on 2025-01-02, the card showed '100'），還原後通過</t>
        </is>
      </c>
      <c r="O109" s="68" t="inlineStr">
        <is>
          <t>三個草稿的持股／均價皆為交易日當時；補登加註；不寫入</t>
        </is>
      </c>
      <c r="P109" s="68" t="inlineStr">
        <is>
          <t>複驗通過 → 結案</t>
        </is>
      </c>
      <c r="Q109" s="68" t="inlineStr">
        <is>
          <t>無</t>
        </is>
      </c>
      <c r="R109" s="68" t="inlineStr">
        <is>
          <t>檢驗方 2026-09-24</t>
        </is>
      </c>
    </row>
    <row r="110" ht="15" customHeight="1" s="43">
      <c r="A110" s="72" t="inlineStr">
        <is>
          <t>R3</t>
        </is>
      </c>
      <c r="B110" s="72" t="inlineStr">
        <is>
          <t>DEF-049</t>
        </is>
      </c>
      <c r="C110" s="72" t="inlineStr">
        <is>
          <t>I-08</t>
        </is>
      </c>
      <c r="D110" s="72" t="inlineStr">
        <is>
          <t>2026-09-24</t>
        </is>
      </c>
      <c r="E110" s="66" t="inlineStr">
        <is>
          <t>—（本輪由檢驗方發現／Owner 裁定）</t>
        </is>
      </c>
      <c r="F110" s="67" t="inlineStr">
        <is>
          <t>—</t>
        </is>
      </c>
      <c r="G110" s="67" t="inlineStr">
        <is>
          <t>—</t>
        </is>
      </c>
      <c r="H110" s="67" t="inlineStr">
        <is>
          <t>—</t>
        </is>
      </c>
      <c r="I110" s="67" t="inlineStr">
        <is>
          <t>—</t>
        </is>
      </c>
      <c r="J110" s="67" t="inlineStr">
        <is>
          <t>—</t>
        </is>
      </c>
      <c r="K110" s="67" t="inlineStr">
        <is>
          <t>—</t>
        </is>
      </c>
      <c r="L110" s="67" t="inlineStr">
        <is>
          <t>—</t>
        </is>
      </c>
      <c r="M110" s="68" t="inlineStr">
        <is>
          <t>真實瀏覽器：CSV 匯入 → 手動賣出 → 復原；對照帳本逐筆刪除；測畢刪賣出並復原批次，cmp D049 same:true</t>
        </is>
      </c>
      <c r="N110" s="68" t="inlineStr">
        <is>
          <t>觀察：復原後 2884 −50 股、成本 0、XIRR null，框內無警示
假設：①批次刪除與逐筆刪除共用重播防護；②批次刪除自行 DELETE
排除：同一筆買進經帳本刪除回 422 oversell，經批次復原回 200，排除①
定位：provenance.delete_batch 的 plain DELETE
判定：FAIL（中）— 成本基礎在無提示下被捨棄</t>
        </is>
      </c>
      <c r="O110" s="68" t="inlineStr">
        <is>
          <t>批次復原 200 並造成賣超；逐筆刪除 422</t>
        </is>
      </c>
      <c r="P110" s="69" t="inlineStr">
        <is>
          <t>FAIL</t>
        </is>
      </c>
      <c r="Q110" s="68" t="inlineStr">
        <is>
          <t>開 DEF-049（owner 指示本輪附規格）</t>
        </is>
      </c>
      <c r="R110" s="68" t="inlineStr">
        <is>
          <t>檢驗方 2026-09-24</t>
        </is>
      </c>
    </row>
    <row r="111" ht="15" customHeight="1" s="43">
      <c r="A111" s="72" t="inlineStr">
        <is>
          <t>R3</t>
        </is>
      </c>
      <c r="B111" s="72" t="inlineStr">
        <is>
          <t>DEF-050</t>
        </is>
      </c>
      <c r="C111" s="72" t="inlineStr">
        <is>
          <t>J-05</t>
        </is>
      </c>
      <c r="D111" s="72" t="inlineStr">
        <is>
          <t>2026-09-24</t>
        </is>
      </c>
      <c r="E111" s="66" t="inlineStr">
        <is>
          <t>—（本輪由檢驗方發現／Owner 裁定）</t>
        </is>
      </c>
      <c r="F111" s="67" t="inlineStr">
        <is>
          <t>—</t>
        </is>
      </c>
      <c r="G111" s="67" t="inlineStr">
        <is>
          <t>—</t>
        </is>
      </c>
      <c r="H111" s="67" t="inlineStr">
        <is>
          <t>—</t>
        </is>
      </c>
      <c r="I111" s="67" t="inlineStr">
        <is>
          <t>—</t>
        </is>
      </c>
      <c r="J111" s="67" t="inlineStr">
        <is>
          <t>—</t>
        </is>
      </c>
      <c r="K111" s="67" t="inlineStr">
        <is>
          <t>—</t>
        </is>
      </c>
      <c r="L111" s="67" t="inlineStr">
        <is>
          <t>—</t>
        </is>
      </c>
      <c r="M111" s="69" t="inlineStr">
        <is>
          <t>R2 390px iframe 量測＋截圖</t>
        </is>
      </c>
      <c r="N111" s="68" t="inlineStr">
        <is>
          <t>觀察：副標題被截
定位：styles.css:1942
判定：FAIL（低）</t>
        </is>
      </c>
      <c r="O111" s="69" t="inlineStr">
        <is>
          <t>scrollWidth 849／clientWidth 349</t>
        </is>
      </c>
      <c r="P111" s="69" t="inlineStr">
        <is>
          <t>FAIL</t>
        </is>
      </c>
      <c r="Q111" s="68" t="inlineStr">
        <is>
          <t>開 DEF-050</t>
        </is>
      </c>
      <c r="R111" s="68" t="inlineStr">
        <is>
          <t>檢驗方 2026-09-24</t>
        </is>
      </c>
    </row>
    <row r="112" ht="15" customHeight="1" s="43">
      <c r="A112" s="72" t="inlineStr">
        <is>
          <t>R3</t>
        </is>
      </c>
      <c r="B112" s="72" t="inlineStr">
        <is>
          <t>DEF-051</t>
        </is>
      </c>
      <c r="C112" s="72" t="inlineStr">
        <is>
          <t>H-04</t>
        </is>
      </c>
      <c r="D112" s="72" t="inlineStr">
        <is>
          <t>2026-09-24</t>
        </is>
      </c>
      <c r="E112" s="66" t="inlineStr">
        <is>
          <t>—（本輪由檢驗方發現／Owner 裁定）</t>
        </is>
      </c>
      <c r="F112" s="67" t="inlineStr">
        <is>
          <t>—</t>
        </is>
      </c>
      <c r="G112" s="67" t="inlineStr">
        <is>
          <t>—</t>
        </is>
      </c>
      <c r="H112" s="67" t="inlineStr">
        <is>
          <t>—</t>
        </is>
      </c>
      <c r="I112" s="67" t="inlineStr">
        <is>
          <t>—</t>
        </is>
      </c>
      <c r="J112" s="67" t="inlineStr">
        <is>
          <t>—</t>
        </is>
      </c>
      <c r="K112" s="67" t="inlineStr">
        <is>
          <t>—</t>
        </is>
      </c>
      <c r="L112" s="67" t="inlineStr">
        <is>
          <t>—</t>
        </is>
      </c>
      <c r="M112" s="68" t="inlineStr">
        <is>
          <t>真實瀏覽器兩次立即執行</t>
        </is>
      </c>
      <c r="N112" s="68" t="inlineStr">
        <is>
          <t>觀察：toast 為 job id
定位：settings-scheduler.js:548
判定：FAIL（低）</t>
        </is>
      </c>
      <c r="O112" s="69" t="inlineStr">
        <is>
          <t>insight:7／alert_scan</t>
        </is>
      </c>
      <c r="P112" s="69" t="inlineStr">
        <is>
          <t>FAIL</t>
        </is>
      </c>
      <c r="Q112" s="68" t="inlineStr">
        <is>
          <t>開 DEF-051</t>
        </is>
      </c>
      <c r="R112" s="68" t="inlineStr">
        <is>
          <t>檢驗方 2026-09-24</t>
        </is>
      </c>
    </row>
    <row r="113" ht="15" customHeight="1" s="43">
      <c r="A113" s="72" t="inlineStr">
        <is>
          <t>R3</t>
        </is>
      </c>
      <c r="B113" s="72" t="inlineStr">
        <is>
          <t>DEF-052</t>
        </is>
      </c>
      <c r="C113" s="72" t="inlineStr">
        <is>
          <t>D-10</t>
        </is>
      </c>
      <c r="D113" s="72" t="inlineStr">
        <is>
          <t>2026-09-24</t>
        </is>
      </c>
      <c r="E113" s="66" t="inlineStr">
        <is>
          <t>—（本輪由檢驗方發現／Owner 裁定）</t>
        </is>
      </c>
      <c r="F113" s="67" t="inlineStr">
        <is>
          <t>—</t>
        </is>
      </c>
      <c r="G113" s="67" t="inlineStr">
        <is>
          <t>—</t>
        </is>
      </c>
      <c r="H113" s="67" t="inlineStr">
        <is>
          <t>—</t>
        </is>
      </c>
      <c r="I113" s="67" t="inlineStr">
        <is>
          <t>—</t>
        </is>
      </c>
      <c r="J113" s="67" t="inlineStr">
        <is>
          <t>—</t>
        </is>
      </c>
      <c r="K113" s="67" t="inlineStr">
        <is>
          <t>—</t>
        </is>
      </c>
      <c r="L113" s="67" t="inlineStr">
        <is>
          <t>—</t>
        </is>
      </c>
      <c r="M113" s="69" t="inlineStr">
        <is>
          <t>R2 DEF-020 複驗時的帳本列</t>
        </is>
      </c>
      <c r="N113" s="68" t="inlineStr">
        <is>
          <t>觀察：列無費用
判定：FAIL（低）</t>
        </is>
      </c>
      <c r="O113" s="69" t="inlineStr">
        <is>
          <t>API 有 reorg_fee、畫面無</t>
        </is>
      </c>
      <c r="P113" s="69" t="inlineStr">
        <is>
          <t>FAIL</t>
        </is>
      </c>
      <c r="Q113" s="68" t="inlineStr">
        <is>
          <t>開 DEF-052</t>
        </is>
      </c>
      <c r="R113" s="68" t="inlineStr">
        <is>
          <t>檢驗方 2026-09-24</t>
        </is>
      </c>
    </row>
    <row r="114" ht="15" customHeight="1" s="43">
      <c r="A114" s="72" t="inlineStr">
        <is>
          <t>R3</t>
        </is>
      </c>
      <c r="B114" s="72" t="inlineStr">
        <is>
          <t>DEF-053</t>
        </is>
      </c>
      <c r="C114" s="72" t="inlineStr">
        <is>
          <t>H-04</t>
        </is>
      </c>
      <c r="D114" s="72" t="inlineStr">
        <is>
          <t>2026-09-24</t>
        </is>
      </c>
      <c r="E114" s="66" t="inlineStr">
        <is>
          <t>—（本輪由檢驗方發現／Owner 裁定）</t>
        </is>
      </c>
      <c r="F114" s="67" t="inlineStr">
        <is>
          <t>—</t>
        </is>
      </c>
      <c r="G114" s="67" t="inlineStr">
        <is>
          <t>—</t>
        </is>
      </c>
      <c r="H114" s="67" t="inlineStr">
        <is>
          <t>—</t>
        </is>
      </c>
      <c r="I114" s="67" t="inlineStr">
        <is>
          <t>—</t>
        </is>
      </c>
      <c r="J114" s="67" t="inlineStr">
        <is>
          <t>—</t>
        </is>
      </c>
      <c r="K114" s="67" t="inlineStr">
        <is>
          <t>—</t>
        </is>
      </c>
      <c r="L114" s="67" t="inlineStr">
        <is>
          <t>—</t>
        </is>
      </c>
      <c r="M114" s="68" t="inlineStr">
        <is>
          <t>讀碼 web/pipeline-wizard.js:372-374</t>
        </is>
      </c>
      <c r="N114" s="68" t="inlineStr">
        <is>
          <t>觀察：字串含 on_alert
判定：FAIL（低）</t>
        </is>
      </c>
      <c r="O114" s="68" t="inlineStr">
        <is>
          <t>使用者可見字串含識別字</t>
        </is>
      </c>
      <c r="P114" s="69" t="inlineStr">
        <is>
          <t>FAIL</t>
        </is>
      </c>
      <c r="Q114" s="68" t="inlineStr">
        <is>
          <t>開 DEF-053</t>
        </is>
      </c>
      <c r="R114" s="68" t="inlineStr">
        <is>
          <t>檢驗方 2026-09-24</t>
        </is>
      </c>
    </row>
    <row r="115" ht="15" customHeight="1" s="43">
      <c r="A115" s="72" t="inlineStr">
        <is>
          <t>R3</t>
        </is>
      </c>
      <c r="B115" s="72" t="inlineStr">
        <is>
          <t>DEF-054</t>
        </is>
      </c>
      <c r="C115" s="72" t="inlineStr">
        <is>
          <t>G-09</t>
        </is>
      </c>
      <c r="D115" s="72" t="inlineStr">
        <is>
          <t>2026-09-24</t>
        </is>
      </c>
      <c r="E115" s="66" t="inlineStr">
        <is>
          <t>—（本輪由檢驗方發現／Owner 裁定）</t>
        </is>
      </c>
      <c r="F115" s="67" t="inlineStr">
        <is>
          <t>—</t>
        </is>
      </c>
      <c r="G115" s="67" t="inlineStr">
        <is>
          <t>—</t>
        </is>
      </c>
      <c r="H115" s="67" t="inlineStr">
        <is>
          <t>—</t>
        </is>
      </c>
      <c r="I115" s="67" t="inlineStr">
        <is>
          <t>—</t>
        </is>
      </c>
      <c r="J115" s="67" t="inlineStr">
        <is>
          <t>—</t>
        </is>
      </c>
      <c r="K115" s="67" t="inlineStr">
        <is>
          <t>—</t>
        </is>
      </c>
      <c r="L115" s="67" t="inlineStr">
        <is>
          <t>—</t>
        </is>
      </c>
      <c r="M115" s="69" t="inlineStr">
        <is>
          <t>API 全量讀取</t>
        </is>
      </c>
      <c r="N115" s="68" t="inlineStr">
        <is>
          <t>觀察：#97 仍在。分類：資料殘留（程式已正確）</t>
        </is>
      </c>
      <c r="O115" s="69" t="inlineStr">
        <is>
          <t>#97 存在</t>
        </is>
      </c>
      <c r="P115" s="68" t="inlineStr">
        <is>
          <t>待裁定</t>
        </is>
      </c>
      <c r="Q115" s="68" t="inlineStr">
        <is>
          <t>開 DEF-054，owner 已裁定刪除</t>
        </is>
      </c>
      <c r="R115" s="68" t="inlineStr">
        <is>
          <t>檢驗方 2026-09-24</t>
        </is>
      </c>
    </row>
    <row r="116" ht="15" customHeight="1" s="43">
      <c r="A116" s="72" t="inlineStr">
        <is>
          <t>R3</t>
        </is>
      </c>
      <c r="B116" s="72" t="inlineStr">
        <is>
          <t>DEF-055</t>
        </is>
      </c>
      <c r="C116" s="72" t="inlineStr">
        <is>
          <t>B-16</t>
        </is>
      </c>
      <c r="D116" s="72" t="inlineStr">
        <is>
          <t>2026-09-24</t>
        </is>
      </c>
      <c r="E116" s="66" t="inlineStr">
        <is>
          <t>—（本輪由檢驗方發現／Owner 裁定）</t>
        </is>
      </c>
      <c r="F116" s="67" t="inlineStr">
        <is>
          <t>—</t>
        </is>
      </c>
      <c r="G116" s="67" t="inlineStr">
        <is>
          <t>—</t>
        </is>
      </c>
      <c r="H116" s="67" t="inlineStr">
        <is>
          <t>—</t>
        </is>
      </c>
      <c r="I116" s="67" t="inlineStr">
        <is>
          <t>—</t>
        </is>
      </c>
      <c r="J116" s="67" t="inlineStr">
        <is>
          <t>—</t>
        </is>
      </c>
      <c r="K116" s="67" t="inlineStr">
        <is>
          <t>—</t>
        </is>
      </c>
      <c r="L116" s="67" t="inlineStr">
        <is>
          <t>—</t>
        </is>
      </c>
      <c r="M116" s="69" t="inlineStr">
        <is>
          <t>API 逐列讀快照；讀編輯框預覽回應</t>
        </is>
      </c>
      <c r="N116" s="68" t="inlineStr">
        <is>
          <t>觀察：兩筆未清；預覽仍估退款
判定：資料殘留＋低</t>
        </is>
      </c>
      <c r="O116" s="69" t="inlineStr">
        <is>
          <t>#33/#44 未清；預覽 219</t>
        </is>
      </c>
      <c r="P116" s="68" t="inlineStr">
        <is>
          <t>待裁定</t>
        </is>
      </c>
      <c r="Q116" s="68" t="inlineStr">
        <is>
          <t>開 DEF-055，owner 已裁定清理</t>
        </is>
      </c>
      <c r="R116" s="68" t="inlineStr">
        <is>
          <t>檢驗方 2026-09-24</t>
        </is>
      </c>
    </row>
    <row r="117" ht="15" customHeight="1" s="43">
      <c r="A117" s="72" t="inlineStr">
        <is>
          <t>R3</t>
        </is>
      </c>
      <c r="B117" s="72" t="inlineStr">
        <is>
          <t>DEF-056</t>
        </is>
      </c>
      <c r="C117" s="72" t="inlineStr">
        <is>
          <t>B-17</t>
        </is>
      </c>
      <c r="D117" s="72" t="inlineStr">
        <is>
          <t>2026-09-24</t>
        </is>
      </c>
      <c r="E117" s="66" t="inlineStr">
        <is>
          <t>—（本輪由檢驗方發現／Owner 裁定）</t>
        </is>
      </c>
      <c r="F117" s="67" t="inlineStr">
        <is>
          <t>—</t>
        </is>
      </c>
      <c r="G117" s="67" t="inlineStr">
        <is>
          <t>—</t>
        </is>
      </c>
      <c r="H117" s="67" t="inlineStr">
        <is>
          <t>—</t>
        </is>
      </c>
      <c r="I117" s="67" t="inlineStr">
        <is>
          <t>—</t>
        </is>
      </c>
      <c r="J117" s="67" t="inlineStr">
        <is>
          <t>—</t>
        </is>
      </c>
      <c r="K117" s="67" t="inlineStr">
        <is>
          <t>—</t>
        </is>
      </c>
      <c r="L117" s="67" t="inlineStr">
        <is>
          <t>—</t>
        </is>
      </c>
      <c r="M117" s="68" t="inlineStr">
        <is>
          <t>讀開發者交接決策項＋DEF-016 黑箱</t>
        </is>
      </c>
      <c r="N117" s="68" t="inlineStr">
        <is>
          <t>規格未定→owner 已裁定</t>
        </is>
      </c>
      <c r="O117" s="69" t="inlineStr">
        <is>
          <t>—</t>
        </is>
      </c>
      <c r="P117" s="68" t="inlineStr">
        <is>
          <t>待裁定</t>
        </is>
      </c>
      <c r="Q117" s="68" t="inlineStr">
        <is>
          <t>開 DEF-056，owner 已裁定</t>
        </is>
      </c>
      <c r="R117" s="68" t="inlineStr">
        <is>
          <t>檢驗方 2026-09-24</t>
        </is>
      </c>
    </row>
    <row r="118" ht="15" customHeight="1" s="43">
      <c r="A118" s="72" t="inlineStr">
        <is>
          <t>R3</t>
        </is>
      </c>
      <c r="B118" s="72" t="inlineStr">
        <is>
          <t>DEF-057</t>
        </is>
      </c>
      <c r="C118" s="72" t="inlineStr">
        <is>
          <t>H-03</t>
        </is>
      </c>
      <c r="D118" s="72" t="inlineStr">
        <is>
          <t>2026-09-24</t>
        </is>
      </c>
      <c r="E118" s="66" t="inlineStr">
        <is>
          <t>—（本輪由檢驗方發現／Owner 裁定）</t>
        </is>
      </c>
      <c r="F118" s="67" t="inlineStr">
        <is>
          <t>—</t>
        </is>
      </c>
      <c r="G118" s="67" t="inlineStr">
        <is>
          <t>—</t>
        </is>
      </c>
      <c r="H118" s="67" t="inlineStr">
        <is>
          <t>—</t>
        </is>
      </c>
      <c r="I118" s="67" t="inlineStr">
        <is>
          <t>—</t>
        </is>
      </c>
      <c r="J118" s="67" t="inlineStr">
        <is>
          <t>—</t>
        </is>
      </c>
      <c r="K118" s="67" t="inlineStr">
        <is>
          <t>—</t>
        </is>
      </c>
      <c r="L118" s="67" t="inlineStr">
        <is>
          <t>—</t>
        </is>
      </c>
      <c r="M118" s="68" t="inlineStr">
        <is>
          <t>讀開發者交接決策項</t>
        </is>
      </c>
      <c r="N118" s="68" t="inlineStr">
        <is>
          <t>規格未定→owner 已裁定</t>
        </is>
      </c>
      <c r="O118" s="69" t="inlineStr">
        <is>
          <t>—</t>
        </is>
      </c>
      <c r="P118" s="68" t="inlineStr">
        <is>
          <t>待裁定</t>
        </is>
      </c>
      <c r="Q118" s="68" t="inlineStr">
        <is>
          <t>開 DEF-057，owner 已裁定</t>
        </is>
      </c>
      <c r="R118" s="68" t="inlineStr">
        <is>
          <t>檢驗方 2026-09-24</t>
        </is>
      </c>
    </row>
    <row r="119" ht="15" customHeight="1" s="43">
      <c r="A119" s="72" t="inlineStr">
        <is>
          <t>R3</t>
        </is>
      </c>
      <c r="B119" s="72" t="inlineStr">
        <is>
          <t>DEF-058</t>
        </is>
      </c>
      <c r="C119" s="72" t="inlineStr">
        <is>
          <t>H-04</t>
        </is>
      </c>
      <c r="D119" s="72" t="inlineStr">
        <is>
          <t>2026-09-24</t>
        </is>
      </c>
      <c r="E119" s="66" t="inlineStr">
        <is>
          <t>—（本輪由檢驗方發現／Owner 裁定）</t>
        </is>
      </c>
      <c r="F119" s="67" t="inlineStr">
        <is>
          <t>—</t>
        </is>
      </c>
      <c r="G119" s="67" t="inlineStr">
        <is>
          <t>—</t>
        </is>
      </c>
      <c r="H119" s="67" t="inlineStr">
        <is>
          <t>—</t>
        </is>
      </c>
      <c r="I119" s="67" t="inlineStr">
        <is>
          <t>—</t>
        </is>
      </c>
      <c r="J119" s="67" t="inlineStr">
        <is>
          <t>—</t>
        </is>
      </c>
      <c r="K119" s="67" t="inlineStr">
        <is>
          <t>—</t>
        </is>
      </c>
      <c r="L119" s="67" t="inlineStr">
        <is>
          <t>—</t>
        </is>
      </c>
      <c r="M119" s="68" t="inlineStr">
        <is>
          <t>真實瀏覽器觸發預警派發後讀洞察管線頁首與 API</t>
        </is>
      </c>
      <c r="N119" s="68" t="inlineStr">
        <is>
          <t>觀察：7 卡 $0.001 vs 7 run 合計 0.0050487
假設：①批次成本為各 run 加總；②只取最後一 run
排除：last_batch.cost_usd＝#192 的 0.0005979，排除①
定位：insight_service.py:1171-1186
判定：FAIL（低）— 金額與卡數不同口徑</t>
        </is>
      </c>
      <c r="O119" s="69" t="inlineStr">
        <is>
          <t>7 卡／$0.0005979（應 $0.0050487）</t>
        </is>
      </c>
      <c r="P119" s="69" t="inlineStr">
        <is>
          <t>FAIL</t>
        </is>
      </c>
      <c r="Q119" s="68" t="inlineStr">
        <is>
          <t>開 DEF-058</t>
        </is>
      </c>
      <c r="R119" s="68" t="inlineStr">
        <is>
          <t>檢驗方 2026-09-24</t>
        </is>
      </c>
    </row>
    <row r="120" ht="15" customHeight="1" s="43">
      <c r="A120" s="72" t="inlineStr">
        <is>
          <t>R3</t>
        </is>
      </c>
      <c r="B120" s="72" t="inlineStr">
        <is>
          <t>DEF-059</t>
        </is>
      </c>
      <c r="C120" s="72" t="inlineStr">
        <is>
          <t>H-04</t>
        </is>
      </c>
      <c r="D120" s="72" t="inlineStr">
        <is>
          <t>2026-09-24</t>
        </is>
      </c>
      <c r="E120" s="66" t="inlineStr">
        <is>
          <t>—（本輪由檢驗方發現／Owner 裁定）</t>
        </is>
      </c>
      <c r="F120" s="67" t="inlineStr">
        <is>
          <t>—</t>
        </is>
      </c>
      <c r="G120" s="67" t="inlineStr">
        <is>
          <t>—</t>
        </is>
      </c>
      <c r="H120" s="67" t="inlineStr">
        <is>
          <t>—</t>
        </is>
      </c>
      <c r="I120" s="67" t="inlineStr">
        <is>
          <t>—</t>
        </is>
      </c>
      <c r="J120" s="67" t="inlineStr">
        <is>
          <t>—</t>
        </is>
      </c>
      <c r="K120" s="67" t="inlineStr">
        <is>
          <t>—</t>
        </is>
      </c>
      <c r="L120" s="67" t="inlineStr">
        <is>
          <t>—</t>
        </is>
      </c>
      <c r="M120" s="68" t="inlineStr">
        <is>
          <t>讀開發者交接決策項＋讀碼</t>
        </is>
      </c>
      <c r="N120" s="68" t="inlineStr">
        <is>
          <t>規格未定→owner 已裁定</t>
        </is>
      </c>
      <c r="O120" s="69" t="inlineStr">
        <is>
          <t>—</t>
        </is>
      </c>
      <c r="P120" s="68" t="inlineStr">
        <is>
          <t>待裁定</t>
        </is>
      </c>
      <c r="Q120" s="68" t="inlineStr">
        <is>
          <t>開 DEF-059，owner 已裁定</t>
        </is>
      </c>
      <c r="R120" s="68" t="inlineStr">
        <is>
          <t>檢驗方 2026-09-24</t>
        </is>
      </c>
    </row>
    <row r="121" ht="15" customHeight="1" s="43">
      <c r="A121" s="72" t="inlineStr">
        <is>
          <t>R3</t>
        </is>
      </c>
      <c r="B121" s="72" t="inlineStr">
        <is>
          <t>DEF-060</t>
        </is>
      </c>
      <c r="C121" s="72" t="inlineStr">
        <is>
          <t>D-10</t>
        </is>
      </c>
      <c r="D121" s="72" t="inlineStr">
        <is>
          <t>2026-09-24</t>
        </is>
      </c>
      <c r="E121" s="66" t="inlineStr">
        <is>
          <t>—（本輪由檢驗方發現／Owner 裁定）</t>
        </is>
      </c>
      <c r="F121" s="67" t="inlineStr">
        <is>
          <t>—</t>
        </is>
      </c>
      <c r="G121" s="67" t="inlineStr">
        <is>
          <t>—</t>
        </is>
      </c>
      <c r="H121" s="67" t="inlineStr">
        <is>
          <t>—</t>
        </is>
      </c>
      <c r="I121" s="67" t="inlineStr">
        <is>
          <t>—</t>
        </is>
      </c>
      <c r="J121" s="67" t="inlineStr">
        <is>
          <t>—</t>
        </is>
      </c>
      <c r="K121" s="67" t="inlineStr">
        <is>
          <t>—</t>
        </is>
      </c>
      <c r="L121" s="67" t="inlineStr">
        <is>
          <t>—</t>
        </is>
      </c>
      <c r="M121" s="68" t="inlineStr">
        <is>
          <t>讀開發者交接決策項</t>
        </is>
      </c>
      <c r="N121" s="68" t="inlineStr">
        <is>
          <t>規格未定→owner 已裁定</t>
        </is>
      </c>
      <c r="O121" s="69" t="inlineStr">
        <is>
          <t>—</t>
        </is>
      </c>
      <c r="P121" s="68" t="inlineStr">
        <is>
          <t>待裁定</t>
        </is>
      </c>
      <c r="Q121" s="68" t="inlineStr">
        <is>
          <t>開 DEF-060，owner 已裁定</t>
        </is>
      </c>
      <c r="R121" s="68" t="inlineStr">
        <is>
          <t>檢驗方 2026-09-24</t>
        </is>
      </c>
    </row>
    <row r="122" ht="15" customHeight="1" s="43">
      <c r="A122" s="72" t="inlineStr">
        <is>
          <t>R3</t>
        </is>
      </c>
      <c r="B122" s="72" t="inlineStr">
        <is>
          <t>DEF-061</t>
        </is>
      </c>
      <c r="C122" s="72" t="inlineStr">
        <is>
          <t>C-02</t>
        </is>
      </c>
      <c r="D122" s="72" t="inlineStr">
        <is>
          <t>2026-09-24</t>
        </is>
      </c>
      <c r="E122" s="66" t="inlineStr">
        <is>
          <t>—（本輪由檢驗方發現／Owner 裁定）</t>
        </is>
      </c>
      <c r="F122" s="67" t="inlineStr">
        <is>
          <t>—</t>
        </is>
      </c>
      <c r="G122" s="67" t="inlineStr">
        <is>
          <t>—</t>
        </is>
      </c>
      <c r="H122" s="67" t="inlineStr">
        <is>
          <t>—</t>
        </is>
      </c>
      <c r="I122" s="67" t="inlineStr">
        <is>
          <t>—</t>
        </is>
      </c>
      <c r="J122" s="67" t="inlineStr">
        <is>
          <t>—</t>
        </is>
      </c>
      <c r="K122" s="67" t="inlineStr">
        <is>
          <t>—</t>
        </is>
      </c>
      <c r="L122" s="67" t="inlineStr">
        <is>
          <t>—</t>
        </is>
      </c>
      <c r="M122" s="68" t="inlineStr">
        <is>
          <t>讀開發者交接決策項＋讀碼</t>
        </is>
      </c>
      <c r="N122" s="68" t="inlineStr">
        <is>
          <t>觀察：更正門與新增門規則不同
判定：FAIL（低）</t>
        </is>
      </c>
      <c r="O122" s="69" t="inlineStr">
        <is>
          <t>—</t>
        </is>
      </c>
      <c r="P122" s="68" t="inlineStr">
        <is>
          <t>待裁定</t>
        </is>
      </c>
      <c r="Q122" s="68" t="inlineStr">
        <is>
          <t>開 DEF-061，owner 已裁定</t>
        </is>
      </c>
      <c r="R122" s="68" t="inlineStr">
        <is>
          <t>檢驗方 2026-09-24</t>
        </is>
      </c>
    </row>
    <row r="123" ht="219.75" customHeight="1" s="43">
      <c r="A123" s="72" t="inlineStr">
        <is>
          <t>R4</t>
        </is>
      </c>
      <c r="B123" s="72" t="inlineStr">
        <is>
          <t>DEF-040</t>
        </is>
      </c>
      <c r="C123" s="72" t="inlineStr">
        <is>
          <t>D-10</t>
        </is>
      </c>
      <c r="D123" s="72" t="inlineStr">
        <is>
          <t>2026-09-25</t>
        </is>
      </c>
      <c r="E123" s="66" t="inlineStr">
        <is>
          <t>同意。R3 只修了正常路徑（子公司當天沒有價格）；當天已有正式報價時仍會覆蓋，列表承諾 restorable: true、刪除回 restored: true，原報價永久消失。已用驗證者附錄 A 的探測改寫成正式測試，在 4655845 上重現（存檔後 close 50.00／source manual，原為 48.70／yfinance）。</t>
        </is>
      </c>
      <c r="F123" s="67" t="inlineStr">
        <is>
          <t>portfolio_dash/pricing/seed.py:74 `upsert_prices(`（ON CONFLICT 覆蓋同日正式報價）；seed.py:116 `if not _is_seed(source, fetched_at, on):`（只看簽章）；api/routers/ledgers.py:2021 起始價寫入綁定點、:2278 still_used 只以代號＋日期判定</t>
        </is>
      </c>
      <c r="G123" s="67" t="inlineStr">
        <is>
          <t>R3 的守門 test_def040_spinoff_delete_takes_its_seed_price.py 只測兩種前置狀態：當天沒有價格、存檔「之後」才被報價覆蓋，沒有「存檔前已有報價」。它的批次復原測試還是先匯入、再用 write_seed_price 手寫一筆種子來模擬，等於把「同日任何種子都屬於這筆行動」這個錯誤假設寫進了測試。已補：新增 13 則前置狀態變體測試，全部以 SELECT * 逐欄比對價格列；原批次復原測試改為「沒有寫入紀錄的舊列才走 R3 簽章規則」。</t>
        </is>
      </c>
      <c r="H123" s="67" t="inlineStr">
        <is>
          <t>**建議 A＋寫入紀錄**：(1) 起始價只寫入完全空白的（子公司, 日）槽位。pricing/seed.py 新增 occupied_slot() 作為唯一判定，預覽、存檔、改日期搬移共用；槽位已有任何列（正式報價、孤兒種子、另一筆存檔的種子）就不寫，回 child_price_skipped{symbol, as_of, existing_close, source, reason}。(2) corporate_actions 新增可空欄位 child_seed_json，記下這次存檔實際寫了什麼，刪除時只收回紀錄上那一列（簽章完整且值相同）；欄位為 NULL 的舊列沿用 R3 簽章規則。只做純 A 不夠：R3 的改日期會留下簽章完整的孤兒種子，之後同日存檔的分拆即使沒寫入，刪除時仍會刪掉孤兒，承諾不實。(3) 沒寫入時列表 child_price_restore 為 null、刪除回 child_price_removed: null，不做任何承諾。(4) 前端：填起始價時預覽就提示「2882 在 2026-09-20 已有正式報價 112.0（來源 yfinance），起始價未寫入。存檔後沿用這筆既有價格，刪除此行動時也不會動到它」，存檔後跳 warn toast。規則已寫入 .claude/rules/data-and-pricing.md。前置狀態逐一驗證（單筆刪、整組刪、CSV 批次復原都走 _delete_actions）：無價格→寫入並收回；正式報價→不寫、逐欄不動；孤兒種子→不寫、不動；另一筆分拆的種子→同日同標的第二筆由 same_date_action_conflict 擋下；存檔後被正式報價取代→不動並說明；未填起始價→不寫、不承諾。</t>
        </is>
      </c>
      <c r="I123" s="67" t="inlineStr">
        <is>
          <t>prices 寫入點 共 13／修 1／白名單 12（grep upsert_prices／INSERT INTO prices／UPDATE prices／DELETE FROM prices＋全部 provider 的 source 名稱）：修 seed.py 的人工來源寫入；白名單 refresh.py:152、:199（source 為 provider 名稱，11 個 provider 無一用 manual，新測試以行為鎖定）、reconcile.py:120（只改 close／OHLC／split_basis，不動 source 與 fetched_at）、schema.py:89、:98（遷移補 *_raw）、seed.py 的條件式 DELETE（本修法）、scripts/seed_demo.py 4 處（合成資料）、scripts/stress_audit/common.py 2 處（測試工具）。報價頁可由使用者手打報價的門：0。</t>
        </is>
      </c>
      <c r="J123" s="66" t="inlineStr">
        <is>
          <t>新增 tests/contract/test_def040_r4_seed_never_overwrites.py（13；首寫的 11 則在 4655845 上 9 則失敗，附錄 A 探測失敗訊息「the save overwrote the provider's quote … {'close': '50.00'} != {'close': '48.70'}, {'source': 'manual'} != {'source': 'yfinance'}」）、e2e test_def040_def052_def060_flow.py::test_def040_a_quoted_child_day_is_announced_before_saving_and_never_overwritten；改寫 1 則既有測試。變異：兩層都拿掉（＝R3 行為）→ 7 則失敗（「the save overwrote the provider's quote」、孤兒被刪「assert None == {… close '30' …}」）；只拿掉寫入紀錄、一律看簽章 → 7 則失敗；只拿掉存檔前判定 → 4 則失敗；拿掉預覽提示 → e2e「Locator expected to be visible」；只拿掉 toast → e2e「expected to contain text '已有正式報價 120'」。還原後全過。</t>
        </is>
      </c>
      <c r="K123" s="67" t="inlineStr">
        <is>
          <t>1ee7771（已部署 demo）</t>
        </is>
      </c>
      <c r="L123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3" s="68" t="inlineStr">
        <is>
          <t>真實瀏覽器：重放 R3 未解情境——公司行動 › 分拆 台灣券商 2884 → 2882，日期 2026-09-22（2882 當日已有 yfinance 112.0），子公司起始價 50 → 看存檔前試算 → 登錄 → 讀 /api/symbol/2882/detail 價格序列 → 刪除；另以 2026-09-20（空白日）重做正常路徑（見 DEF-060）</t>
        </is>
      </c>
      <c r="N123" s="68" t="inlineStr">
        <is>
          <t>觀察：R3 時存檔覆蓋當日正式報價、刪除後原報價遺失
假設：①只寫入空白日期，已有報價就不寫並說明；②仍覆蓋、只是刪除時不刪
排除：存檔前試算區即顯示「⚠ 2882 在 2026-09-22 已有正式報價 112.0（來源 yfinance），起始價未寫入。存檔後沿用這筆既有價格，刪除此行動時也不會動到它」；POST 201 child_priced null、child_price_skipped {2882, 2026-09-22, existing_close 112.0, source yfinance}，另跳 toast「! 子公司起始價未寫入…」；存檔後 2882 價格序列（117 點）與登錄前逐字相同（09-22 仍 112.0／yfinance），排除②；列表 child_price_restore null（不做承諾），刪除框不提起始價，DELETE child_price_removed null，刪除後序列仍逐字相同
定位：pricing/seed.py occupied_slot＋corporate_actions.child_seed_json
判定：通過
變異（驗證者於本機 1ee7771 重做）：occupied_slot 的「該日無價格」判斷改成恆真（任何日期都視為空白） → 5 failed（assert 'CHLD' is None（已有報價的日期被寫入起始價）），還原後通過</t>
        </is>
      </c>
      <c r="O123" s="68" t="inlineStr">
        <is>
          <t>有報價的日期不寫入、存前即說明；存檔與刪除後價格列逐字不變；cmp D040R4 same:true</t>
        </is>
      </c>
      <c r="P123" s="68" t="inlineStr">
        <is>
          <t>複驗通過 → 結案</t>
        </is>
      </c>
      <c r="Q123" s="69" t="inlineStr">
        <is>
          <t>owner 2026-09-25 裁定 ④：R2／R3 留下的孤兒起始價寫清理腳本 → 開 DEF-063</t>
        </is>
      </c>
      <c r="R123" s="68" t="inlineStr">
        <is>
          <t>檢驗方 2026-09-25</t>
        </is>
      </c>
    </row>
    <row r="124" ht="219.75" customHeight="1" s="43">
      <c r="A124" s="72" t="inlineStr">
        <is>
          <t>R4</t>
        </is>
      </c>
      <c r="B124" s="72" t="inlineStr">
        <is>
          <t>DEF-049</t>
        </is>
      </c>
      <c r="C124" s="72" t="inlineStr">
        <is>
          <t>I-08</t>
        </is>
      </c>
      <c r="D124" s="72" t="inlineStr">
        <is>
          <t>2026-09-25</t>
        </is>
      </c>
      <c r="E124" s="66" t="inlineStr">
        <is>
          <t>同意。已用契約測試在 4655845 重現：批次買進＋之後的賣出，復原回 200 {"deleted":1}，該部位變成賣超、成本基礎被捨棄。類別掃描另找到同類的公司行動三道門（單筆刪除、整組刪除、更正）：分割 10:1 後賣 5000，刪除這筆分割或把比例改成 2:1 都回 200、變成賣超且不確認，本輪一併修。</t>
        </is>
      </c>
      <c r="F124" s="67" t="inlineStr">
        <is>
          <t>portfolio_dash/data_ingestion/provenance.py:296（裸 DELETE）；api/routers/input_center.py:1718（刪前無防護）；web/broker-import.js:286（無確認重送）；同類 api/routers/ledgers.py:2345、:2203、:2132；web/ledger.js:1066（刪除只處理整組的 422）、:943（更正只處理 warnings_unacknowledged）</t>
        </is>
      </c>
      <c r="G124" s="66" t="inlineStr">
        <is>
          <t>既有復原測試（test_def017_batches_follow_the_ledger.py、test_cash_import_api.py、test_provenance.py）只驗「刪得剛好是本批次的列」，每則批次都沒有別的列依賴它。重播防護是 ledgers.py 的私有函式，DEF-017 的註解寫「Every ledger DELETE door (six of them)」——批次復原是第七道門，沒被算進去；公司行動帳本則自帶 F-40／F-32／價格重算三道防線，從未接上重播防護。第一版掃描只看「裸 DELETE 沒走 store」，所以漏掉有走 store 的公司行動門——該掃的是「門」不是 SQL 句子。新守門兩層：(1) tests/architecture/test_ledger_delete_doors.py 從 FastAPI 路由表列出每一道會刪或改帳本列的 DELETE／PUT，逐一檢查處理函式有呼叫防護（附自我測試，4655845 上點名 4 道門）；另以 AST 禁止帳本表在 store 之外被 DELETE；(2) 行為面由契約測試（回應碼、訊息、列數、稽核列、操作記錄）與 e2e 把關。</t>
        </is>
      </c>
      <c r="H124" s="67" t="inlineStr">
        <is>
          <t>**一個決策函式**：重播防護原樣搬到 api/replay_guard.py（ledgers.py 以原名重新匯出），批次復原與公司行動門都呼叫同一個 _replay_block，只差訊息主詞（此復原／此刪除／此更正）。批次復原取「目前帳本扣掉本批次每一列（含本批次的公司行動）」判斷：失去持倉的股利／期初 → 422 orphan_correction（不可強制）；新產生或加重賣超 → 422 oversell，逐筆寫帳戶、日期、代號、賣出股數與當日持股及「確認後這個部位的成本基礎會被捨棄（待釐清）」，帶 ack_oversell=true 才放行；與本批次無關的既有賣超不擋。現金列比照逐筆刪除的 negative_cash（ack_negative），但只在復原讓最低餘額變更糟時才擋。分層：provenance.delete_batch 新增必填、無預設值的注入參數 guard（architecture.md 已記錄），先讀一次本批次列交防護判斷，放行後在同一交易逐列呼叫 store 的 delete_*，每列寫 ledger_audit（新增可為空欄位 ledger_audit.source 記「批次復原 #id」），另寫一筆操作記錄（批次、筆數、是否確認賣超）。公司行動單筆刪、整組刪、更正三道門同樣在寫入前呼叫 action_change_guard。前端：批次「復原」、公司行動刪除與編輯收到 422 時，跳出與帳本刪除同一款的「賣超確認」框（同一份 ackConfirm），確認後帶確認重送、取消不送；orphan_correction 只顯示原因。</t>
        </is>
      </c>
      <c r="I124" s="66" t="inlineStr">
        <is>
          <t>會刪或改帳本列的門 共 14（DELETE 8＋PUT 6）／修 4（批次復原、公司行動單筆刪除、整組刪除、更正）／白名單 0，修後 14/14 都有防護；帳本表 DELETE 句子 共 10／修 1（provenance.py:296）／白名單 9（store 6 個逐筆刪除函式共 7 句，本身即先寫稽核的正規路徑；store.delete_instrument 只刪行情與衍生表；scripts/delete_insight_cards.py 只刪洞察卡表且有 action_log）。另發現第三軸「新增門」：新增公司行動（POST）實測會讓之後的賣出變賣超（反向分割 1:10 → 201、2330 −400），公司行動 CSV 匯入推定相同——不在本缺陷的刪除／更正範圍，列為 owner 決策</t>
        </is>
      </c>
      <c r="J124" s="66" t="inlineStr">
        <is>
          <t>新增 tests/contract/test_def049_batch_undo_replay_guard.py（12；4655845 上 11 則失敗，如「assert 200 == 422」「no such column: source」，另 1 則為「無關的既有負現金不擋」反證）、tests/contract/test_def049_corporate_action_doors_replay.py（7；4655845 上 4 則失敗「{"ok":true,"id":1,…} / assert 200 == 422」，3 則反證）、tests/architecture/test_ledger_delete_doors.py（13，含逐門檢查與自我測試）、e2e test_def049_batch_undo_oversell_flow.py（1）與 test_def049_corporate_action_ack_flow.py（2：刪除與編輯各自出現賣超確認框→取消不動→確認後生效；4655845 上「Locator expected to be visible」）。變異：批次路由忽略防護 → 6 則失敗；逐列刪除改回裸 DELETE（拿掉稽核）→ 契約 5 則失敗＋類別守門點名 provenance.py；公司行動單筆／整組／更正的防護各自拿掉 → 各 2／1／1 則失敗；前端三條確認路徑拿掉 → 對應 e2e 失敗。還原後全過。</t>
        </is>
      </c>
      <c r="K124" s="67" t="inlineStr">
        <is>
          <t>1ee7771（已部署 demo）</t>
        </is>
      </c>
      <c r="L124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4" s="68" t="inlineStr">
        <is>
          <t>真實瀏覽器：重放 R3 證據——CSV 匯入 2884 買 100（2026-09-23，批次 17）→ 手動賣出 150（2026-09-24，#111）→ 按批次「復原」→ 取消；另測公司行動刪除門：補登 2884 分割 1→2（2026-09-23，#20）→ 賣出 150（#112）→ 刪除該分割 → 取消；測畢刪賣出並復原／刪除</t>
        </is>
      </c>
      <c r="N124" s="68" t="inlineStr">
        <is>
          <t>觀察：R3 時批次復原 200 直接造成賣超（2884 −50 股、成本 0、XIRR null）
假設：①批次復原與公司行動刪除都走與帳本逐筆刪除同一個重播防護；②只修批次復原
排除：批次復原 → DELETE /api/import/batches/17 422 oversell，issues [{account tw_broker, 2884, 2026-09-24, sold 150, held 100}]，畫面跳「賣超確認：此復原將造成賣超：台灣券商 2026-09-24 的 2884 賣出 150 股，超過當日持股 100 股。確認後這個部位的成本基礎會被捨棄（待釐清）…」＋「我了解，仍要復原」；取消後沒有任何寫入請求，交易 58 列、批次 17 仍在；刪除該筆賣出後再復原 → 200 直接完成（沒有賣超就不問）。公司行動刪除 → DELETE /api/ledgers/corporate-actions/20 422 oversell「此刪除將造成賣超…」，同款確認框，取消後行動仍在，排除②
定位：api/replay_guard.py 共用 _replay_block＋provenance.delete_batch 注入 guard 並逐列經 store.delete_*（寫 ledger_audit，黑箱無讀取介面，依變異證據）
判定：通過
變異（驗證者於本機 1ee7771 重做）：replay_guard._oversold_shares 恆回 {}（重播防護看不到賣超） → 7 failed（assert 200 == 422（批次復原／公司行動刪除直接成功）），還原後通過</t>
        </is>
      </c>
      <c r="O124" s="68" t="inlineStr">
        <is>
          <t>批次復原與公司行動刪除造成賣超時皆 422＋同款確認框；取消不寫；測畢 cmp D049R4 same:true</t>
        </is>
      </c>
      <c r="P124" s="68" t="inlineStr">
        <is>
          <t>複驗通過 → 結案</t>
        </is>
      </c>
      <c r="Q124" s="68" t="inlineStr">
        <is>
          <t>驗證開發者決策項 ①：補登「新增」公司行動仍不問——2412 反向分割 10→1（2026-07-10，早於既有 07-19 賣出 1000 股）→ POST 201、無任何確認框，儀表板 XIRR null、「帳本中有賣超部位待釐清」，試算區還顯示「✓ 成本不變 0 → 0」、行動後 −900 股卻無警告；已刪除還原（prices_restated 1168 往返，cmp same:true）。owner 2026-09-25 裁定 ①：維持現狀，不開單；② 現金檢查兩種口徑：維持</t>
        </is>
      </c>
      <c r="R124" s="68" t="inlineStr">
        <is>
          <t>檢驗方 2026-09-25</t>
        </is>
      </c>
    </row>
    <row r="125" ht="219.75" customHeight="1" s="43">
      <c r="A125" s="72" t="inlineStr">
        <is>
          <t>R4</t>
        </is>
      </c>
      <c r="B125" s="72" t="inlineStr">
        <is>
          <t>DEF-057</t>
        </is>
      </c>
      <c r="C125" s="72" t="inlineStr">
        <is>
          <t>H-03</t>
        </is>
      </c>
      <c r="D125" s="72" t="inlineStr">
        <is>
          <t>2026-09-25</t>
        </is>
      </c>
      <c r="E125" s="66" t="inlineStr">
        <is>
          <t>同意，依 owner 裁定只做系統提示詞與新聞整理提示詞（任務自評提示詞不做）。儲存、重置回官方版都直接覆寫；洞察卡與新聞列也都沒記錄用哪一版產生。</t>
        </is>
      </c>
      <c r="F125" s="67" t="inlineStr">
        <is>
          <t>portfolio_dash/llm_insight/system_prompt.py:68；portfolio_dash/news/organizer_prompt.py:83；api/routers/prompts.py:182、:204、:231、:240</t>
        </is>
      </c>
      <c r="G125" s="66" t="inlineStr">
        <is>
          <t>原本沒有守門（DEF-033 的裁定只涵蓋策略提示詞）。新增單元 13、契約 9 例、e2e 1。修改過程中既有的 test_api_routes_have_frontend_callers.py 攔下一次自己的回歸（共用對話框時路徑用字串拼接，策略的差異／回復路由在靜態比對中變成沒有前端呼叫者），已改為每個來源寫出完整路徑。</t>
        </is>
      </c>
      <c r="H125" s="66" t="inlineStr">
        <is>
          <t>新增 shared/prompt_versions.py：一張 prompt_versions(kind, version, body, source, restored_from, saved_at)，kind 分 system／news（放 shared/ 是因為依架構 news/ 不能 import llm_insight 的 store，兩者要寫同一份歷史；再多一個全域提示詞只需加一個 kind）。每個 store 只有一個寫入函式，在同一交易裡改內文並新增版本；內文沒變不加版；重置回官方版記為「還原官方」；回復＝另存新版並記錄來源版號；首次開機把現有內文補成 v1，之後若內文被繞過程式改掉（直接 SQL、還原備份）會補記一版。兩個提示詞各 4 條路由（清單、單版、差異、回復），設定頁兩個「版本記錄」與策略卡共用同一個對話框，差異計算與來源標籤也共用。洞察卡新增 insights.system_prompt_ref（卡片晶片「提示詞 系統 v2・v1」），新聞列新增 organized_news.prompt_version（新聞彈窗「整理提示詞 vN」）；快取指紋不動（組好的提示詞已含內文）。strategy_prompt_versions 完全不動（卡片以其 id 引用，demo 已有真實歷史，搬移只會讓 id 重編號），由測試釘住。重置確認框改為「目前內容會保留在「版本記錄」中，可隨時回復」。</t>
        </is>
      </c>
      <c r="I125" s="66" t="inlineStr">
        <is>
          <t>兩張設定表的 SQL 寫入點 共 4（2 個初始種子、2 個寫入函式）；寫入門 共 8（儲存、重置、回復各 2 道經寫入函式＋2 個種子由回填轉成 v1）／修 8／白名單 0；config_store.restore_defaults、from-template／官方包、scripts 對這兩張表皆 0 處</t>
        </is>
      </c>
      <c r="J125" s="66" t="inlineStr">
        <is>
          <t>新增 tests/llm_insight/test_def057_global_prompt_versions.py（13：已自訂的舊庫、繞過程式的寫入、內文沒變、已是官方版時重置、跨 kind 回復、策略表不受影響、關閉系統層、舊卡、只有標題的新聞列、真實新聞整理接縫）、tests/contract/test_def057_global_prompt_versions_api.py（9 例）、e2e test_def057_global_prompt_versions_flow.py（1：兩個面板的清單／差異／回復、卡片晶片、深連結）。變異：拿掉系統的版本寫入 → 4 則失敗（assert 2 == 3）；拿掉回填 → 15 則；產卡不傳系統版號 → 2 則（assert None is not None）；新聞整理版號傳 None → 1 則（assert (None == 2)）；拿掉按鈕綁定 → e2e 逾時失敗。還原後全過。</t>
        </is>
      </c>
      <c r="K125" s="67" t="inlineStr">
        <is>
          <t>1ee7771（已部署 demo）</t>
        </is>
      </c>
      <c r="L125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5" s="68" t="inlineStr">
        <is>
          <t>真實瀏覽器：系統設定 › AI 提示詞。系統提示詞末尾加一行「【QA R4 DEF-057 標記】」→ 儲存設定 → 版本記錄 → 對照前一版 → v1「回復此版」→ 確認；新聞整理提示詞加標記 → 儲存 → 重置回官方版（確認框）→ 版本記錄 → v1 回復此版 → 確認；再以排程中心立即執行 insight:7 產生新卡，到 AI 洞察看卡片晶片</t>
        </is>
      </c>
      <c r="N125" s="68" t="inlineStr">
        <is>
          <t>觀察：R3 時兩則全域提示詞儲存／重置直接覆寫，無歷史；卡片不記錄用哪一版
假設：①兩則都有版本記錄、差異、回復，卡片記錄系統提示詞版號；②只有清單、回復或晶片其中之一未接上
排除：系統提示詞儲存後 GET …/versions 由 1 版變 2 版（v2 source user_save「儲存」524 字），對話框「差異 v1 → v2：＋1 行・－0 行」且只有「+ 【QA R4 DEF-057 標記】」一行；回復 v1 的確認文字「回復至 v1：將以 v1 的內文另存為新版本；目前內容仍保留在版本記錄中，可再回復。所有 AI 呼叫下次即使用回復後的內文。」→ toast「已回復至 v1 系統提示詞：另存為 v3，下次執行生效」，v3 source restore、restored_from 1、505 字，內文與改前逐字相同。新聞整理提示詞：儲存 → v2（390 字）；重置確認框「…目前內容會保留在「版本記錄」中，可隨時回復。」→ toast「已重置 新聞整理提示詞已回到官方 v2」→ v3 source reset_official「還原官方」434 字；對照 v1→v3 顯示「＋1 行・－0 行」，自行比對兩版內文，差異正是官方多出的第 6 條一行，相符；回復 v1 → v4（restore、restored_from 1、369 字），內文與改前逐字相同。晶片：insight:7 立即執行（run #194，$0.0022367）產生 #219～#221，API system_prompt_version {used:true, version:3}，AI 洞察卡晶片「提示詞 系統 v3・v1」，tooltip「系統提示詞 v3／策略「市場週報策略」 v1」；舊卡顯示「提示詞 v1」＋「系統提示詞 生成時版本未記錄」。排除②
判定：通過
變異（驗證者於本機 1ee7771 重做）：system_prompt._write 不呼叫 pv.record_write（儲存不留版本） → 4 failed（assert (200 == 200 and 1 == 2)（版本數沒增加）），還原後通過</t>
        </is>
      </c>
      <c r="O125" s="68" t="inlineStr">
        <is>
          <t>系統 v1→v2(儲存)→v3(回復自 v1)；新聞 v1→v2(儲存)→v3(還原官方)→v4(回復自 v1)；兩則內文與測前逐字相同；新卡晶片「提示詞 系統 v3・v1」；cmp D057R4 same:true</t>
        </is>
      </c>
      <c r="P125" s="68" t="inlineStr">
        <is>
          <t>複驗通過 → 結案</t>
        </is>
      </c>
      <c r="Q125" s="68" t="inlineStr">
        <is>
          <t>不可回復的痕跡：兩則提示詞的版本記錄各多出測試版本（系統 v2、v3；新聞 v2～v4）、updated_at 變為 2026-09-25 07:18，屬設計上保留的歷史。新聞彈窗「整理提示詞 vN」未黑箱：部署後新聞管線尚未執行（前 50 則 prompt_version 皆為 null），需等下一次新聞整理。owner 2026-09-25 裁定 ⑧：重置不另存版本、策略歷史獨立表，兩項維持
e2e：驗證者跑全套 3 次——第 1 次 287 passed／1 failed（本張 e2e 在最後 errors == [] 失敗，console「status of 500」）、第 2 次 287／2 failed（test_def033_prompt_versions_flow 與驗證者加了回應記錄的副本同樣失敗，副本記到「500 GET /api/ui-prefs {code internal_error}」）、第 3 次 289 全過；單獨重跑 18 次全過。功能斷言每次都通過，失敗來自間歇性 500，另開 DEF-065</t>
        </is>
      </c>
      <c r="R125" s="68" t="inlineStr">
        <is>
          <t>檢驗方 2026-09-25</t>
        </is>
      </c>
    </row>
    <row r="126" ht="219.75" customHeight="1" s="43">
      <c r="A126" s="72" t="inlineStr">
        <is>
          <t>R4</t>
        </is>
      </c>
      <c r="B126" s="72" t="inlineStr">
        <is>
          <t>DEF-050</t>
        </is>
      </c>
      <c r="C126" s="72" t="inlineStr">
        <is>
          <t>J-05／A-16</t>
        </is>
      </c>
      <c r="D126" s="72" t="inlineStr">
        <is>
          <t>2026-09-25</t>
        </is>
      </c>
      <c r="E126" s="66" t="inlineStr">
        <is>
          <t>同意。真實 Chromium 390×844 實測 scrollWidth 849、clientWidth 333（驗證者量到 349，差在捲軸寬度）。</t>
        </is>
      </c>
      <c r="F126" s="67" t="inlineStr">
        <is>
          <t>web/styles.css:1942-1945</t>
        </is>
      </c>
      <c r="G126" s="67" t="inlineStr">
        <is>
          <t>tests/e2e/test_no_horizontal_scroll.py:88 找的是頁面層級的橫向捲動，而且刻意略過 overflow hidden 的元素；省略號是「被裁切」不是「捲動」，所以截斷對它不可見。新守門專量標題列副標題的 scrollWidth 是否大於 clientWidth。</t>
        </is>
      </c>
      <c r="H126" s="66" t="inlineStr">
        <is>
          <t>在 ≤600px 時三種標題列副標題改為獨立一行並換行（white-space: normal、overflow-wrap: anywhere、flex: 1 1 100%），交易輸入的收合列另加 flex-wrap；桌機（1440px）維持一行。規則緊接在 nowrap 基礎規則之下：兩者權重相同，靠順序生效（註解記下 KPI band 曾被較高權重壓過而失效的前例）。另加 text-spacing-trim: space-all：Chrome 預設會讓行尾全形「）」半格懸出盒外，造成量測誤判。</t>
        </is>
      </c>
      <c r="I126" s="67" t="inlineStr">
        <is>
          <t>390px 下被截斷的標題列副標題 修前 共 23（分布在 16 頁／分頁：首頁、交易、帳本、資金 2、標的、資料中心、收件匣 2、輸入、新聞，設定的帳戶、資料源 2、LLM 2、提示詞、排程 2、預警 2、通知 2）／修 23（同一條規則）／白名單 0；demo 部署後外部實測收件匣 0 個被截斷</t>
        </is>
      </c>
      <c r="J126" s="66" t="inlineStr">
        <is>
          <t>新增 e2e tests/e2e/test_def050_panel_sub_wraps_on_phones.py（3：驗證者指定的副標題全文可見、不超出視窗、關鍵句在畫面上、頁面無橫捲；1440px 仍一行；全站類別守門，至少量到 20 個副標題以確保掃描不是空的）；另跑 test_no_horizontal_scroll 390px 通過。變異：放回 nowrap → 2 則失敗（849 &lt;= 334，全站清單列出 23 處）；把規則移到基礎規則之前 → 失敗，證明順序就是防線。還原後全過。</t>
        </is>
      </c>
      <c r="K126" s="67" t="inlineStr">
        <is>
          <t>1ee7771（已部署 demo）</t>
        </is>
      </c>
      <c r="L126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6" s="68" t="inlineStr">
        <is>
          <t>真實瀏覽器 390×844（resize_window 模擬手機）：收件匣 › 待確認退款 量副標題；再以同源 iframe 390×844 逐頁量測三種標題列副標題（.panel-head／.input-toggle／.set-head 的 .panel-sub）共 20 個頁面／分頁（設定 8 個子分頁以實際 hash #accounts…#datasources…#exports 開啟，並讀取作用中分頁名稱確認不是預設頁）；最後回到桌機寬 1307 檢查仍為一行</t>
        </is>
      </c>
      <c r="N126" s="68" t="inlineStr">
        <is>
          <t>觀察：R3 時副標題 scrollWidth 849／clientWidth 349，DEF-011 的關鍵句被省略號截掉
假設：①手機寬改為換行、全文可見，桌機維持一行；②只修了收件匣這一處
排除：收件匣該副標題 white-space normal、scrollWidth 349＝clientWidth 349、scrollHeight 50＝clientHeight 50，文字最右緣 366.6px＜390，截圖可見完整句「…不改變持倉成本與資產損益，但會計入 XIRR 與含匯兌總損益」；全站掃描 20 個頁面／分頁（首頁、交易 2、收件匣、資金 3、標的、AI 洞察、管線、新聞、資料中心、設定 8）共 57 個可見副標題，被截斷 0，每頁 documentElement.scrollWidth 皆 390；桌機 1307px 收件匣兩個副標題 nowrap、高 17px（一行）、無截斷。排除②
判定：通過（註：第一次掃描誤用 #sources／#export 兩個不存在的 hash 而落到預設分頁，已以正確 hash 重掃，結果相同 0 截斷）
變異（驗證者於本機 1ee7771 重做）：styles.css ≤600px 規則的 white-space: normal 改回 nowrap → 2 failed（the refund subtitle is clipped at 390px: {'sw': 853, 'cw': 333, 'ws': 'nowrap'}），還原後通過</t>
        </is>
      </c>
      <c r="O126" s="69" t="inlineStr">
        <is>
          <t>390px：57 個副標題 0 截斷、20 頁 0 橫捲；關鍵句全文可見；桌機一行</t>
        </is>
      </c>
      <c r="P126" s="68" t="inlineStr">
        <is>
          <t>複驗通過 → 結案</t>
        </is>
      </c>
      <c r="Q126" s="68" t="inlineStr">
        <is>
          <t>無</t>
        </is>
      </c>
      <c r="R126" s="68" t="inlineStr">
        <is>
          <t>檢驗方 2026-09-25</t>
        </is>
      </c>
    </row>
    <row r="127" ht="219.75" customHeight="1" s="43">
      <c r="A127" s="72" t="inlineStr">
        <is>
          <t>R4</t>
        </is>
      </c>
      <c r="B127" s="72" t="inlineStr">
        <is>
          <t>DEF-051</t>
        </is>
      </c>
      <c r="C127" s="72" t="inlineStr">
        <is>
          <t>H-04</t>
        </is>
      </c>
      <c r="D127" s="72" t="inlineStr">
        <is>
          <t>2026-09-25</t>
        </is>
      </c>
      <c r="E127" s="66" t="inlineStr">
        <is>
          <t>同意。同頁的啟用與排程時間 toast、每日摘要卡的 toast 也是同一種寫法，一併修。</t>
        </is>
      </c>
      <c r="F127" s="67" t="inlineStr">
        <is>
          <t>web/settings-scheduler.js:548（同類 :466、:490；web/settings-digest.js:95、:135、:153）</t>
        </is>
      </c>
      <c r="G127" s="66" t="inlineStr">
        <is>
          <t>沒有任何守門檢查 toast 文字。shell.js 的 DIAG_CODE 只會把「整個副行就是錯誤碼」的情況收進提示框，「insight:7 #180」本來就不符合；反過來單獨的 digest_daily 會被它吞掉，只剩沒有主詞的「已啟用」。新增 e2e 守門。</t>
        </is>
      </c>
      <c r="H127" s="67" t="inlineStr">
        <is>
          <t>toast 一律改用該列顯示的名稱，例如「AI 洞察任務「市場週報」（#180）」「風險警示掃描＋AI 派發（#185）」；每日摘要卡改用版名（每日收盤摘要／每週行動清單），發送時間改寫成「平日 16:30」而不是印出 cron。DIAG_CODE 不放寬：它的契約是收錯誤碼，放寬仍抓不到這種字串，抓到也只是把 toast 的主詞藏起來——正確的修法在組字的地方。</t>
        </is>
      </c>
      <c r="I127" s="67" t="inlineStr">
        <is>
          <t>web 的 toast 呼叫 共 345 處，其中拼接 id 的 8 處／修 6（settings-scheduler.js 3、settings-digest.js 3）／白名單 2（cash.js「資金紀錄 #id」、input.js「（#txn_id）」：數字紀錄編號，與保留的「（#180）」同形式）</t>
        </is>
      </c>
      <c r="J127" s="66" t="inlineStr">
        <is>
          <t>新增 e2e tests/e2e/test_def051_scheduler_toasts_name_the_job_flow.py（1：攔下寫入請求、run 編號固定為驗證者的 #180／#185；依序驗證市場週報與 alert_scan 立即執行、啟用開關、排程時間編輯、摘要立即產生與啟用；斷言畫面上的 toast 文字）。變異：放回 :548 → 失敗，toast 逐字為「已排入執行 / insight:1 #180」；放回摘要卡 → 「digest_daily #12」。還原後全過。</t>
        </is>
      </c>
      <c r="K127" s="67" t="inlineStr">
        <is>
          <t>1ee7771（已部署 demo）</t>
        </is>
      </c>
      <c r="L127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7" s="68" t="inlineStr">
        <is>
          <t>真實瀏覽器：系統設定 › 排程中心，以 MutationObserver 收集所有 toast。alert_scan 列「立即執行」、insight:7 列「立即執行」；摘要與通知「每日收盤摘要」開關 關→開；backup_daily 列開關 關→開</t>
        </is>
      </c>
      <c r="N127" s="68" t="inlineStr">
        <is>
          <t>觀察：R3 時 toast 為「已排入執行 / insight:7 #180」「alert_scan #185」
假設：①各 toast 都以畫面名稱為主詞；②只修了立即執行
排除：alert_scan →「已排入執行　風險警示掃描＋AI 派發（#193）」（run #193 ok，0 dispatched，零花費）；insight:7 →「已排入執行　AI 洞察任務「市場週報」（#194）」；每日收盤摘要開關 →「已停用　每日收盤摘要」「已啟用　每日收盤摘要」（不再只剩「已啟用」）；backup_daily 開關 →「已更新　資料庫備份＋完整性檢查 已停用／已啟用」。全部沒有 job id 或 cron 字樣，排除②
判定：通過
變異（驗證者於本機 1ee7771 重做）：settings-scheduler.js:555 toast 改回 j.id + runNo(resp) → 1 failed（toast 文字比對「已排入執行」主詞不符），還原後通過</t>
        </is>
      </c>
      <c r="O127" s="69" t="inlineStr">
        <is>
          <t>4 種操作 6 則 toast 皆以名稱為主詞；兩個開關還原後 /api/scheduler/jobs（id、enabled、cron、timezone）與測前逐字相同</t>
        </is>
      </c>
      <c r="P127" s="68" t="inlineStr">
        <is>
          <t>複驗通過 → 結案</t>
        </is>
      </c>
      <c r="Q127" s="68" t="inlineStr">
        <is>
          <t>未測：摘要「立即產生」與發送時間編輯（前者會寫入摘要紀錄，後者改排程時間；開發者 e2e 已涵蓋）</t>
        </is>
      </c>
      <c r="R127" s="68" t="inlineStr">
        <is>
          <t>檢驗方 2026-09-25</t>
        </is>
      </c>
    </row>
    <row r="128" ht="219.75" customHeight="1" s="43">
      <c r="A128" s="72" t="inlineStr">
        <is>
          <t>R4</t>
        </is>
      </c>
      <c r="B128" s="72" t="inlineStr">
        <is>
          <t>DEF-052</t>
        </is>
      </c>
      <c r="C128" s="72" t="inlineStr">
        <is>
          <t>D-10</t>
        </is>
      </c>
      <c r="D128" s="72" t="inlineStr">
        <is>
          <t>2026-09-25</t>
        </is>
      </c>
      <c r="E128" s="66" t="inlineStr">
        <is>
          <t>同意。列印的帳本報告也沒有費用欄，註腳還寫「公司行動不移動現金」，但這筆行動實際上連帶了 50 TWD 出金，一併修。</t>
        </is>
      </c>
      <c r="F128" s="67" t="inlineStr">
        <is>
          <t>web/ledger.js:1119 renderActions 未讀 a.reorg_fee；portfolio_dash/export/ledgers_report.py:372（表格無費用欄）、:384（註腳）</t>
        </is>
      </c>
      <c r="G128" s="66" t="inlineStr">
        <is>
          <t>列本身沒有守門。DEF-020 的 test_corporate_action_band_restore.py 只斷言 ledger.js 原始碼裡有 "reorg_fee" 字串，刪除框有讀就滿足，正是 R2 被打回的字串守門盲點。新守門改為斷言渲染結果：e2e 檢查 DOM 的徽章文字，契約測試檢查報表 HTML 的儲存格。</t>
        </is>
      </c>
      <c r="H128" s="66" t="inlineStr">
        <is>
          <t>帳本列在備註前加徽章 .ledger-reorg-fee「重組費用 50 TWD」（金額是 wire 的 Decimal 字串，只經 f.money 格式化，前端不計算）；列印報表公司行動表新增「重組費用」欄（無費用印「—」），註腳改為「費用已記在資金收支，此欄只標示連結、不另計合計」，避免同一筆錢算兩次。</t>
        </is>
      </c>
      <c r="I128" s="66" t="inlineStr">
        <is>
          <t>公司行動列表 wire 23 個欄位中「只在對話框、不在列上」共 10／修 1（reorg_fee，唯一的金額欄）／白名單 9（band_move、band_restore、weight_move、weight_restore、child_price_restore 為刪除後果預告；ccy 已含在徽章；kind 為機器代碼，列上顯示 kind_label；ratio_from、ratio_to 以 ratio_label 顯示）。列印報表未印欄位 共 4／修 1／白名單 3（band_move、weight_move、child_seed，存檔副作用紀錄，非帳本內容）</t>
        </is>
      </c>
      <c r="J128" s="66" t="inlineStr">
        <is>
          <t>新增 tests/contract/test_def052_reorg_fee_on_the_action_row.py（2）、e2e test_def052_the_action_row_shows_its_reorganisation_fee；4655845 上皆失敗。變異（報表費用設 None、徽章條件設 false）→ 兩則都失敗：「AssertionError: [… '1 → 2', '—', …]」、「expected to have text '重組費用 50 TWD' / element(s) not found」。還原後全過。</t>
        </is>
      </c>
      <c r="K128" s="67" t="inlineStr">
        <is>
          <t>1ee7771（已部署 demo）</t>
        </is>
      </c>
      <c r="L128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8" s="68" t="inlineStr">
        <is>
          <t>真實瀏覽器：交易帳本 › 公司行動 ›「＋補登公司行動」台灣券商 2884 2026-09-24 分割 1→2、備註「QA R4 DEF-052」、重組費用 50 → 登錄（#22）→ 看帳本列 → 「下載帳本報告」（攔截 blob 不落地）解析 HTML → 刪除 #22（確認框）</t>
        </is>
      </c>
      <c r="N128" s="68" t="inlineStr">
        <is>
          <t>觀察：R2／R3 時帳本列不顯示連帶的重組費用，列印報告沒有費用欄且註腳寫「公司行動不移動現金」
假設：①列上有徽章、報告有欄位且註腳改寫；②只改了其中一處
排除：試算「✓ 成本不變 9,320 → 9,320」→ POST 201，API reorg_fee {movement_id 53, 出金 50 TWD, note「重組費用 2884 2026-09-24」}；帳本列「2026-09-24 台灣券商 分割 2884 玉山金控 — 每 1 股 → 2 股 — 重組費用 50 TWD QA R4 DEF-052」，徽章元素 .ledger-reorg-fee「重組費用 50 TWD」；報告 ledger-report-20260925-0744.html（41,993 bytes）公司行動表頭「日期／帳戶／類型／代號 / 名稱／比例（原 → 新）／成本分攤／重組費用／備註」，列「…1 → 2 — 50 TWD QA R4 DEF-052」，註腳「公司行動本身不移動現金，故本節無金額合計；連帶的重組費用已記在「資金收支」（出金），此欄僅標示連結、不另計合計」，舊句「公司行動不移動現金」已不存在；資金收支節含「2026-09-24 台灣券商 出金 -50 TWD 重組費用 2884 2026-09-24」。刪除確認框「…會一併刪除這筆行動的重組費用出金：2026-09-24 出金 50 TWD（台灣券商）」。排除②
判定：通過
變異（驗證者於本機 1ee7771 重做）：ledgers_report 公司行動表拿掉重組費用儲存格 → 2 failed（assert '' == '50 TWD'），還原後通過</t>
        </is>
      </c>
      <c r="O128" s="68" t="inlineStr">
        <is>
          <t>帳本列徽章、報告欄位與註腳皆在；刪除後 cmp R4_FX same:true（公司行動 0、資金 34）</t>
        </is>
      </c>
      <c r="P128" s="68" t="inlineStr">
        <is>
          <t>複驗通過 → 結案</t>
        </is>
      </c>
      <c r="Q128" s="68" t="inlineStr">
        <is>
          <t>無</t>
        </is>
      </c>
      <c r="R128" s="68" t="inlineStr">
        <is>
          <t>檢驗方 2026-09-25</t>
        </is>
      </c>
    </row>
    <row r="129" ht="219.75" customHeight="1" s="43">
      <c r="A129" s="72" t="inlineStr">
        <is>
          <t>R4</t>
        </is>
      </c>
      <c r="B129" s="72" t="inlineStr">
        <is>
          <t>DEF-053</t>
        </is>
      </c>
      <c r="C129" s="72" t="inlineStr">
        <is>
          <t>H-04</t>
        </is>
      </c>
      <c r="D129" s="72" t="inlineStr">
        <is>
          <t>2026-09-25</t>
        </is>
      </c>
      <c r="E129" s="66" t="inlineStr">
        <is>
          <t>同意。類別掃描另找到 6 處同類，其中 R1 閘門訊息把範圍識別字原樣插入（「per_symbol 變數 … 不可用於 portfolio 範圍組合」），一併修。</t>
        </is>
      </c>
      <c r="F129" s="67" t="inlineStr">
        <is>
          <t>web/pipeline-wizard.js:374（同類 web/pipeline.js:64、web/settings-prompts.js:975、llm_insight/gating.py:125、llm_insight/pipeline_status.py:159、llm_insight/variables.py:130、api/routers/insights.py:713）</t>
        </is>
      </c>
      <c r="G129" s="66" t="inlineStr">
        <is>
          <t>沒有守門。既有的 test_user_messages_are_zh_tw.py 只檢查訊息是否含中文，中文句子夾英文識別字照樣過關。新增行為測試，加上只看「使用者看得到的字串」的類別禁令（不會誤判程式碼裡的識別字）。</t>
        </is>
      </c>
      <c r="H129" s="66" t="inlineStr">
        <is>
          <t>精靈 toast 改為「預警觸發任務預設停用，確認監聽規則後再啟用」；同類 6 處全部改成精靈按鈕上的中文用語（「單一標的」「全組合」「預警觸發」等），R1 閘門新增範圍的中文對照表，不再插入原始識別字。</t>
        </is>
      </c>
      <c r="I129" s="67" t="inlineStr">
        <is>
          <t>web 以自寫的 JS 字面掃描（3,340 個含中文的字面）＋後端 AST 掃描非 docstring 字串，含中文且以完整單字出現 on_alert／per_symbol／per_market／portfolio／all_registered／custom 的 共 8／修 7（web 3、後端 4）／白名單 1（official_templates.py 的 PROMPT_REGISTRY 中繼資料，只被測試列舉、不會上畫面）；另 insights.py「scope 非有效值：{scope}」是回顯使用者輸入的值，保留</t>
        </is>
      </c>
      <c r="J129" s="66" t="inlineStr">
        <is>
          <t>新增 tests/contract/test_def053_no_scope_identifiers_in_user_text.py（6：掃描器會咬修前原句；不誤判程式識別字；web 與後端類別禁令；行為測試——真實草稿乾跑的 R1 訊息、已存任務的節點文字、預警觸發任務排程的 400 訊息、變數說明）、e2e test_def053_wizard_toast_flow.py（1：照驗證者路徑建立預警觸發任務，toast 與整頁文字不得出現識別字）。變異：放回精靈原句 → e2e 失敗（「風險解讀：on_alert 任務預設停用…」）＋web 禁令點名 pipeline-wizard.js；放回 R1 原句 → 後端禁令與行為測試失敗。還原後全過。</t>
        </is>
      </c>
      <c r="K129" s="67" t="inlineStr">
        <is>
          <t>1ee7771（已部署 demo）</t>
        </is>
      </c>
      <c r="L129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29" s="68" t="inlineStr">
        <is>
          <t>真實瀏覽器：洞察管線 › ＋新增洞察任務 → 觸發「預警觸發」→ 範圍 → 組裝勾「持倉週報策略」→ 確認：命名「QA R4 DEF-053 暫存任務」、取消自我校正 → 乾跑預檢並建立（#12，預設停用）→ 讀 toast 與預檢框 → 抽屜「刪除任務」→ 確認刪除</t>
        </is>
      </c>
      <c r="N129" s="68" t="inlineStr">
        <is>
          <t>觀察：R3 時 toast 為「…：on_alert 任務預設停用，確認監聽規則後再啟用」
假設：①toast 與同類訊息都用畫面上的中文用語；②只改了 toast
排除：toast「已建立洞察任務　QA R4 DEF-053 暫存任務：預警觸發任務預設停用，確認監聽規則後再啟用」；組裝步驟的範圍標示為「全組合」「單一標的」「含單一標的變數，需任務範圍為「單一標的」」；乾跑預檢框（G0～G7、R1～R6）與整頁文字以 /[a-z]+_[a-z_]+/ 掃描 0 個識別字；刪除 toast「已刪除　QA R4 DEF-053 暫存任務：排程已同步移除、校正鏈封存」。排除②
判定：通過
變異（驗證者於本機 1ee7771 重做）：R1 閘門訊息改回插入原始範圍 id → 1 failed（「…不可用於範圍為「portfolio」的任務」被攔（應為「全組合」）），還原後通過</t>
        </is>
      </c>
      <c r="O129" s="69" t="inlineStr">
        <is>
          <t>toast 與預檢無範圍識別字；任務已刪除；cmp R4_FX same:true</t>
        </is>
      </c>
      <c r="P129" s="68" t="inlineStr">
        <is>
          <t>複驗通過 → 結案</t>
        </is>
      </c>
      <c r="Q129" s="68" t="inlineStr">
        <is>
          <t>新增：同一精靈「觸發」步驟的監聽規則 15 個勾選框中有 8 個直接顯示規則 id（missing_price、drawdown_from_peak、vol_spike、rebalance_drift、consensus_change、portfolio_drawdown、currency_weight、target_cross）——web/pipeline-wizard.js:23-29 的 RULE_LABELS 只列 7 條，ruleLabel() 查不到就回傳 id；設定 › 預警規則（settings-alerts.js）15 條都有中文名。開 DEF-062（低）。本輪 DEF-053 的同類掃描只涵蓋「範圍」識別字。不可回復的痕跡：任務 #12 以封存列保留（與 R1 H-04 相同）</t>
        </is>
      </c>
      <c r="R129" s="68" t="inlineStr">
        <is>
          <t>檢驗方 2026-09-25</t>
        </is>
      </c>
    </row>
    <row r="130" ht="219.75" customHeight="1" s="43">
      <c r="A130" s="72" t="inlineStr">
        <is>
          <t>R4</t>
        </is>
      </c>
      <c r="B130" s="72" t="inlineStr">
        <is>
          <t>DEF-054</t>
        </is>
      </c>
      <c r="C130" s="72" t="inlineStr">
        <is>
          <t>G-09</t>
        </is>
      </c>
      <c r="D130" s="72" t="inlineStr">
        <is>
          <t>2026-09-25</t>
        </is>
      </c>
      <c r="E130" s="66" t="inlineStr">
        <is>
          <t>同意，依 owner 裁定刪除。刪除前先以內容（代號、標題、日期）從資料庫重新確認對象，不以編號為準。</t>
        </is>
      </c>
      <c r="F130" s="67" t="inlineStr">
        <is>
          <t>demo 資料 insights #97（依附評分列 insight_evaluations #65）</t>
        </is>
      </c>
      <c r="G130" s="66" t="inlineStr">
        <is>
          <t>資料殘留，無守門可攔；產生它的程式路徑已於 R3 修正並有守門（DEF-041 只對持倉標的產卡；DEF-046 的刪除腳本拒絕刪除代號為已註冊標的的卡）。</t>
        </is>
      </c>
      <c r="H130" s="66" t="inlineStr">
        <is>
          <t>以 R3 的 scripts/delete_insight_cards.py 刪除（先備份）：試跑確認 #97 為 symbol moomoo_my「moomoo.com 交易暫停」、依附評分 1 列（#65）→ --apply --reason "DEF-054 owner ruling 2026-09-24" → 卡與評分共 2 列刪除，ledger_audit 留存原始內容，action_log #1358 記錄；重跑為 no-op。</t>
        </is>
      </c>
      <c r="I130" s="67" t="inlineStr">
        <is>
          <t>demo 上 symbol 含 moomoo 的卡 刪除前 共 1（#97）／刪除 1／白名單 0；刪除後 0 張</t>
        </is>
      </c>
      <c r="J130" s="66" t="inlineStr">
        <is>
          <t>腳本本身的單元測試沿用 R3（tests/scripts）。demo 驗證：刪除後 insights WHERE id=97 為 0、insight_evaluations WHERE id=65 為 0、moomoo 代號卡 0 張；/api/insights 已無 #97 與 #192。</t>
        </is>
      </c>
      <c r="K130" s="67" t="inlineStr">
        <is>
          <t>1ee7771（已部署 demo）</t>
        </is>
      </c>
      <c r="L130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0" s="68" t="inlineStr">
        <is>
          <t>真實瀏覽器讀 /api/insights 全量（limit 300）、/api/ai-score；AI 洞察頁以 moomoo 搜尋卡片</t>
        </is>
      </c>
      <c r="N130" s="68" t="inlineStr">
        <is>
          <t>觀察：R3 時 #97（symbol moomoo_my）仍在持倉健診
假設：①#97 與其評分 #65 已刪、其他卡不受影響；②刪錯對象或連帶刪到其他卡
排除：全量 204 張（R4 開始 201 張＋本輪 insight:7 產生的 3 張 #219～#221），無 #97，#96、#98 仍在；symbol 或標題含 moomoo 的卡 0 張；/api/ai-score 不再含 insight_id 97，totals n 94、量化命中 30、失誤 64、平均敘事 77.63 與 R1 G-07 後相同（#97 當時為 pending_data，不計入 n），排除②
判定：通過
變異：不適用（純資料清理，無程式變更）；以 API 全量讀取確認</t>
        </is>
      </c>
      <c r="O130" s="69" t="inlineStr">
        <is>
          <t>#97 不存在、moomoo 卡 0、評分 totals 不變（n 94）</t>
        </is>
      </c>
      <c r="P130" s="68" t="inlineStr">
        <is>
          <t>複驗通過 → 結案</t>
        </is>
      </c>
      <c r="Q130" s="68" t="inlineStr">
        <is>
          <t>無</t>
        </is>
      </c>
      <c r="R130" s="68" t="inlineStr">
        <is>
          <t>檢驗方 2026-09-25</t>
        </is>
      </c>
    </row>
    <row r="131" ht="219.75" customHeight="1" s="43">
      <c r="A131" s="72" t="inlineStr">
        <is>
          <t>R4</t>
        </is>
      </c>
      <c r="B131" s="72" t="inlineStr">
        <is>
          <t>DEF-055</t>
        </is>
      </c>
      <c r="C131" s="72" t="inlineStr">
        <is>
          <t>B-16</t>
        </is>
      </c>
      <c r="D131" s="72" t="inlineStr">
        <is>
          <t>2026-09-25</t>
        </is>
      </c>
      <c r="E131" s="66" t="inlineStr">
        <is>
          <t>同意。編輯 #29（快照 discount 0.23、費用 285）時預覽依目前規則（先收後退、discount 1）預估 285×0.77＝219，違反 DEF-010「已打折不預估」；畫面雖未顯示，但 API 預覽與儲存後 /api/rebates 的答案不一致。資料面依裁定以 --scope all 清理 #33、#44。</t>
        </is>
      </c>
      <c r="F131" s="67" t="inlineStr">
        <is>
          <t>portfolio_dash/api/routers/input_center.py:957-958（預覽的 rebate_estimate 讀 rule.discount）</t>
        </is>
      </c>
      <c r="G131" s="67" t="inlineStr">
        <is>
          <t>DEF-010 的守門 test_the_manual_draft_hint_is_null_when_the_rule_discounts_at_settlement 只測「新草稿＋規則本身打折」，沒測「規則先收後退、但被取代列的快照已打折」；R3 掃描點名 3 個預估函式，卻沒逐一檢查每個呼叫點收到哪幾種輸入。新守門是鏡像測試：預覽的 rebate_estimate 必須等於同一列儲存後 /api/rebates 的預估。</t>
        </is>
      </c>
      <c r="H131" s="66" t="inlineStr">
        <is>
          <t>新增 input_center.py::_charged_discount(rule, replacing, body)，原則「折扣屬於這筆費用，不屬於帳戶或今天的規則」：新草稿用 rule.discount；更正且沿用原費用用 booked_discount(被取代列快照, fallback=rule.discount)（正是儲存後會讀到的值）；更正但由引擎重算費用用 rule.discount（PUT 會寫今天的快照）。換帳戶但沿用原費用時仍看原快照（那筆錢當初已打折，PUT 也保留原快照）。資料：scripts/clean_rebate_snapshots.py --scope all 已在 demo 清理 #33、#44（先備份，見 L 欄）。</t>
        </is>
      </c>
      <c r="I131" s="66" t="inlineStr">
        <is>
          <t>退款預估呼叫點 共 3／修 1（預覽：拆成新草稿、更正沿用原費用、更正重算 3 種輸入）／白名單 2（api/rebates.py:277-280 逐筆已存交易本就讀自身快照；strategy/rebalance.py:404 再平衡為假想交易腿、無已存費用）；只渲染伺服器值、不計算：web/input.js:629、web/rebalance.js:426、export/rebalance_report.py:283</t>
        </is>
      </c>
      <c r="J131" s="66" t="inlineStr">
        <is>
          <t>新增 tests/api/test_def055_edit_preview_reads_the_replaced_snapshot.py（6：4 種快照形態參數化驗「預覽＝儲存後 /api/rebates」、更正重算 1097＝1097、新草稿維持 219）；tests/scripts/test_clean_rebate_snapshots.py +1（--scope uncredited 不選 #33／#44 形態、--scope all 只清這兩列）。4655845 上 2 則失敗：[discounted-cleaned(#29)]、[discounted-uncleaned(#33,#44)]「assert '219' == None」。變異（_charged_discount 一律回 rule.discount）→ 同 2 則失敗。還原後全過。</t>
        </is>
      </c>
      <c r="K131" s="67" t="inlineStr">
        <is>
          <t>1ee7771（已部署 demo）</t>
        </is>
      </c>
      <c r="L131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1" s="68" t="inlineStr">
        <is>
          <t>真實瀏覽器：讀交易帳本 API 的 fee_snapshot（#29、#33、#44 與全部 56 列）與 /api/rebates；交易帳本 › #29（2026-07-21 8299 買 500）按「編輯」開框，讀 POST /api/input/manual/preview 回應後按取消</t>
        </is>
      </c>
      <c r="N131" s="68" t="inlineStr">
        <is>
          <t>觀察：R3 時 #33、#44 快照仍為 discount 0.23／rebate_rate 0.77，編輯 #29 預覽回 rebate_estimate "219"
假設：①資料已清且預覽改讀原列快照；②只清資料、預覽未改
排除：#33、#44 快照 rebate_rate "0"、rebate_rate_was "0.77"、cleaned「DEF-010（owner 裁定 2026-09-24）…（2026-09-25T04:04:10）」；全部 56 列中「discount＜1 且 rebate_rate＞0」的列 0 筆；/api/rebates 三個月（07、06、02）不含 #29（8299 07-21 285）與 2026-01 的 #33、#44；編輯 #29 開框的預覽回應 {fee "285", fee_overridden true, rebate_estimate null, issues []}（R3 為 "219"），排除②
判定：通過
變異（驗證者於本機 1ee7771 重做）：_charged_discount 的「更正沿用原費用 → 讀原列快照」分支停用 → 2 failed（assert '219' == None（正是 R3 量到的 219）），還原後通過</t>
        </is>
      </c>
      <c r="O131" s="69" t="inlineStr">
        <is>
          <t>#33／#44 已清；雙重優惠列 0；#29 編輯預覽 rebate_estimate null；取消未寫入</t>
        </is>
      </c>
      <c r="P131" s="68" t="inlineStr">
        <is>
          <t>複驗通過 → 結案</t>
        </is>
      </c>
      <c r="Q131" s="68" t="inlineStr">
        <is>
          <t>無</t>
        </is>
      </c>
      <c r="R131" s="68" t="inlineStr">
        <is>
          <t>檢驗方 2026-09-25</t>
        </is>
      </c>
    </row>
    <row r="132" ht="219.75" customHeight="1" s="43">
      <c r="A132" s="72" t="inlineStr">
        <is>
          <t>R4</t>
        </is>
      </c>
      <c r="B132" s="72" t="inlineStr">
        <is>
          <t>DEF-056</t>
        </is>
      </c>
      <c r="C132" s="72" t="inlineStr">
        <is>
          <t>B-17</t>
        </is>
      </c>
      <c r="D132" s="72" t="inlineStr">
        <is>
          <t>2026-09-25</t>
        </is>
      </c>
      <c r="E132" s="66" t="inlineStr">
        <is>
          <t>同意，依 owner 裁定（選項 A）實作；影響範圍比登記的大。在 4655845、估值日 2026-06-11 實測：2026-07-01 的 2330 買進 1,000 股讓今天持股變 2,000 股（市值 639,600 → 1,239,600、XIRR 0.5677 → 0.6577）；2026-07-01 的 AAPL 1 拆 2 讓持股加倍但價格仍是拆分前（XIRR → 0.8024、總報酬 → 151,200）；未來回換提前進稅務包已實現匯兌表；未來券商費用提前進 XIRR；未來 DRIP 讓賣出提示可賣股數 10.05（儀表板 10）——DEF-016 的殘留一併修。</t>
        </is>
      </c>
      <c r="F132" s="67" t="inlineStr">
        <is>
          <t>portfolio_dash/shared/models/ledger.py:200（只切股利）；portfolio/dashboard.py:467、:473；export/tax.py:78-79；api/routers/input_center.py:334；api/routers/symbol.py:283、:599／630／689（抽屜交易明細與對帳用全部交易）</t>
        </is>
      </c>
      <c r="G132" s="66" t="inlineStr">
        <is>
          <t>交易部分原本沒有守門（DEF-016 依裁定只切股利）。DEF-016 自己的守門有盲點：_surfaces 是手挑的欄位清單，查了 sell_hint_adjusted_avg 卻沒查 shares，而賣出提示的股數來自第二條持股路徑（所有日期），同一行出現兩個估值日；抽屜的公司行動差額也是整本帳。新守門不再挑欄位，改比對整包：整份 /api/dashboard、/api/cash 的 balances／reporting_total／negative_pools、兩檔股票抽屜的 position／交易明細／對帳、兩個帳戶的賣出提示、試算、整個稅務包 zip。</t>
        </is>
      </c>
      <c r="H132" s="67" t="inlineStr">
        <is>
          <t>**一條規則放一處**：shared/models/ledger.py 新增唯一判斷式 counts_by（&lt;=）、列表用的 pending_from、切 bundle 外換匯與資金收支的 valued_rows_as_of，以及 LedgerBundle.valued_as_of（交易、股利 effective_date、期初、公司行動全部切）；received_by 移除、所有呼叫點改讀 valued_as_of，逐日趨勢的 through 改委派同一規則。估值面：儀表板、試算、稅務包、賣出提示（股數改 shares_through(今天)）、抽屜（交易明細、對帳、公司行動差額都只到估值日）、stress-audit oracle。驗證用重播（重算、更正門防護、公司行動可達性、賣超日期防護、DEF-048 草稿）依裁定仍看整本帳；現金池（M5-06）與外幣池（X8b）本來就依 as_of 切，確認保留。列表：/api/ledgers/{transactions,dividends,fx,cash,openings,corporate-actions} 與 /api/cash 收支列帶 counts_from（伺服器時鐘），帳本各分頁、資金頁、列印帳本顯示「未來日期：YYYY-MM-DD 起計入」。規則已寫入 .claude/rules/domain-ledger.md。</t>
        </is>
      </c>
      <c r="I132" s="66" t="inlineStr">
        <is>
          <t>估值／列表呼叫點 共 102／修 40（直接改 13、加列表旗標 6、經 build_dashboard 自動套用 21）／白名單 62（已依 as_of 或逐日切 7；驗證用重播依裁定看整本帳 34；列表非估值 14；「是否持有」只用於抓價、封存、訊號範圍 6——納入即將持有的標的無害且確保生效當天已有報價；未來月份折讓款預估 1）。掃描指令：grep build_book／load_ledger_bundle／_to_models／build_dashboard／current_shares／shares_through／shares_on／list_(transactions|dividends|opening|fx_conversions|cash_movements)／cash_balances／received_by／.through( 於 portfolio_dash，146 行依呼叫點歸類。第二軸「未來日期標示」共 18（6 個帳本列表 wire、6 個列渲染、6 個列印帳本區段）／修 18；另現金收支列印報告（export/cash_statement.py:199、223、238）原以內聯 `ln.date &gt; as_of` 自行判定，語意相同但為第二份寫法，改呼叫同一個 counts_by；四種 CSV 匯出為可重新匯入格式，加標示欄會破壞 DEF-026 往返，白名單</t>
        </is>
      </c>
      <c r="J132" s="66" t="inlineStr">
        <is>
          <t>新增 tests/contract/test_def056_future_rows_count_from_their_date.py（16：8 種未來列 drip／buy／sell／opening／fx／fx_back／split／cash_fee 到期前所有估值面逐位元相同；7 則生效當天起才計入；以當天 9:00 驗證當天即計入；1 則列表旗標）、e2e tests/e2e/test_def056_future_row_badge_flow.py（2：5 個帳本分頁＋資金頁只有未來列有標示）；test_ledger_bundle.py +3、oracle 對齊測試 +1。4655845 上 8 則失敗（例：「a buy dated 2026-07-01 (after the valuation day 2026-06-11) already moved these surfaces: ['dashboard', 'drawer.2330', 'drawer.AAPL', 'sell_hints.tw_broker', 'whatif']」；旗標 KeyError: 'counts_from'）。變異 10 刀全被抓：規則退回只切股利 → 4 則；儀表板收支不切 → [cash_fee]；稅務包換匯不切 → [fx_back]；賣出提示改回所有日期股數 → 3 則；抽屜交易明細用全部 → 2 則；counts_from 恆 None → 旗標測試；抽屜公司行動差額整本帳 → [split]；oracle 只切股利 → oracle 對齊測試；ledger.js／cash.js 不渲染 → e2e「Locator expected to have text '未來日期：2099-01-02 起計入'」。補充：tests/contract/test_def056_actions_and_printed_ledger_future_marker.py（3：公司行動列表旗標；列印帳本六區段只有未來列有標記；配股依除權日列印與列表一致，防第二套日期規則）、e2e test_def040_def052_def060_flow.py::test_def056_the_action_tab_flags_its_future_row_and_only_it；4655845 上 KeyError: 'counts_from'、報告未來列無標記、e2e 找不到 .ledger-future。變異：wire／報告設 None → 3 則失敗（assert None == '2026-07-01'）；renderActions 忽略 counts_from → e2e 失敗；報告改用付款日（第二套規則）→ 2 則失敗（除權日已過的配股被標記）。還原後全過。</t>
        </is>
      </c>
      <c r="K132" s="67" t="inlineStr">
        <is>
          <t>1ee7771（已部署 demo）</t>
        </is>
      </c>
      <c r="L132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2" s="68" t="inlineStr">
        <is>
          <t>真實瀏覽器：手動交易 2884 買 100@46 日期 2026-10-15（勾「我了解」）→ 寫入 #113 → 比對六段 JSON、交易帳本列 → 刪除；資金管理 › 券商費用 100 日期 2026-10-20（#52）→ 比對、出金入金列表、帳戶現金 › 台灣券商 現金收支明細、⎙匯出報告 → 刪除</t>
        </is>
      </c>
      <c r="N132" s="68" t="inlineStr">
        <is>
          <t>觀察：R3 時未來日期交易立即計入
假設：①所有估值面依估值日切、各列有標示；②只切估值、畫面未全面標示
排除：未來買進寫入後 kpis／holdings／realized／allocation／cash 兩段共六段與寫入前逐字相同（只多 1 列交易），交易帳本列「2026-10-15 未來日期：2026-10-15 起計入」，API counts_from 2026-10-15；未來券商費用寫入後六段同樣不變，出金入金列表「2026-10-20 未來日期：2026-10-20 起計入」，列印對帳單有「以下 1 筆為未來日期（2026-09-25 之後），不計入目前餘額；其餘額欄為投影」與「券商費用（未來）」。✗ 但畫面上的「現金收支明細」（帳戶現金 › 台灣券商）表頭寫「目前餘額 TWD 6,067,595」，第一列卻是「2026-10-20 券商費用 −100 餘額 6,067,495」，沒有任何未來標示、也沒有投影說明；/api/cash/statement 該列已帶 future:true，是前端沒用。排除①
定位：web/cash.js:407 附近的明細列渲染未讀 r.future（同檔 dateCell(…counts_from) 只用在出金入金與換匯列表）；export/cash_statement.py 已處理
判定：部分通過——估值切割正確，但現金收支明細同頁出現「目前餘額」與未標示的較低投影餘額，屬互相矛盾的資訊
變異（驗證者於本機 1ee7771 重做）：dashboard 的 bundle.valued_as_of(as_of) 拿掉（不依估值日切） → 5 failed（a opening dated 2026-07-01 … already moved these surfaces: ['dashboard', 'drawer.2330', …]），還原後通過</t>
        </is>
      </c>
      <c r="O132" s="68" t="inlineStr">
        <is>
          <t>估值六段不變、兩個列表與列印報告有標示；畫面上的現金收支明細未標示未來列；測畢 cmp D056R4 same:true</t>
        </is>
      </c>
      <c r="P132" s="68" t="inlineStr">
        <is>
          <t>部分通過</t>
        </is>
      </c>
      <c r="Q132" s="68" t="inlineStr">
        <is>
          <t>修法：cash.js 的現金收支明細讀 r.future，比照列印報告在第一筆未來列前加分隔說明「以下 N 筆為未來日期（YYYY-MM-DD 之後），不計入目前餘額；其餘額欄為投影」，未來列加「未來日期：YYYY-MM-DD 起計入」標示；同類掃描所有以 /api/cash/statement 或 counts_from 渲染的畫面（owner 2026-09-25 裁定 ③：六類都依日期切、個股抽屜不列未來列，掃描結果註明即可）。補 e2e：寫一筆未來費用後，明細中該列有標示且分隔說明存在；變異（不讀 future）→ 失敗</t>
        </is>
      </c>
      <c r="R132" s="68" t="inlineStr">
        <is>
          <t>檢驗方 2026-09-25</t>
        </is>
      </c>
    </row>
    <row r="133" ht="219.75" customHeight="1" s="43">
      <c r="A133" s="72" t="inlineStr">
        <is>
          <t>R4</t>
        </is>
      </c>
      <c r="B133" s="72" t="inlineStr">
        <is>
          <t>DEF-058</t>
        </is>
      </c>
      <c r="C133" s="72" t="inlineStr">
        <is>
          <t>H-04</t>
        </is>
      </c>
      <c r="D133" s="72" t="inlineStr">
        <is>
          <t>2026-09-25</t>
        </is>
      </c>
      <c r="E133" s="66" t="inlineStr">
        <is>
          <t>同意。卡數與成本用了兩種口徑。</t>
        </is>
      </c>
      <c r="F133" s="67" t="inlineStr">
        <is>
          <t>portfolio_dash/api/insight_service.py:1174、:1185（卡數在 :1179）</t>
        </is>
      </c>
      <c r="G133" s="66" t="inlineStr">
        <is>
          <t>既有 test_pipeline_hub_api.py::test_status_last_run_and_last_batch 只種一個 run，那時「最後一個 run」和「整批」是同一集合，兩種口徑不可能不一致。新測試改種多 run 的批次。</t>
        </is>
      </c>
      <c r="H133" s="66" t="inlineStr">
        <is>
          <t>「批次」只定義一次：以最新一個已完成的非影子 insight run 的 started_at 為錨點，集合＝該時間點下所有已完成的非影子 insight run；卡數與成本都對這個集合計算（成本為 Decimal 加總的字串），另加 runs（集合大小）。執行中的 run 不計入，成本空值算 0。demo 部署後實測：last_batch＝{cards 7、cost_usd "0.0050487"、runs 7}，與驗證者的合計相符。</t>
        </is>
      </c>
      <c r="I133" s="67" t="inlineStr">
        <is>
          <t>status 與洞察管線頁上「集合配單列」的彙總 共 4／修 1／白名單 3（_last_run_for、scheduler._last_run 只回單一 run 的時間與狀態，不含計數或成本；_shadow_card_count 是單一集合的計數、不是 status 顯示）</t>
        </is>
      </c>
      <c r="J133" s="66" t="inlineStr">
        <is>
          <t>新增 tests/contract/test_def058_last_batch_is_one_set.py（3：兩 run 同 started_at 成本 0.001＋0.002 → "0.003"、cards 2、runs 2，舊批次與影子不混入；執行中與成本空值；7-run 形狀合計 "0.0050487"）。變異：放回原函式 → 3/3 失敗；只把成本改回取單一 run → 「'0.002' == '0.003'」。還原後全過。</t>
        </is>
      </c>
      <c r="K133" s="67" t="inlineStr">
        <is>
          <t>1ee7771（已部署 demo）</t>
        </is>
      </c>
      <c r="L133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3" s="68" t="inlineStr">
        <is>
          <t>真實瀏覽器：排程中心立即執行 insight:7（run #194）後，讀洞察管線頁首「最近批次」與 GET /api/insight-tasks/status 的 health.last_batch，與 run 成本、卡片 cost、額度扣減比對</t>
        </is>
      </c>
      <c r="N133" s="68" t="inlineStr">
        <is>
          <t>觀察：R3 時 7 個 run 的批次顯示「7 卡 本批成本 $0.001」（只取最後一個 run）
假設：①卡數、成本、runs 對同一集合計算；②仍只取最後一個 run
排除：本輪產生的新批次 last_batch＝{at 07:20:56, cards 3, cost_usd "0.0022367", runs 1}；3 張卡 #219～#221 cost 0.0007559＋0.0009026＋0.0005782＝0.0022367＝run #194 cost＝額度 3.2628385→3.2606018 的扣減；頁首「最近批次 2026-09-25 07:20・3 卡 本批成本 $0.002」。多 run 批次（原 7 run 情境）已被新批次取代，無法在 demo 重現而不再花一次派發費用，改以我在 repo-r4m 的變異測試確認（見變異列）
判定：通過
變異（驗證者於本機 1ee7771 重做）：_last_batch 成本改回只取最後一個 run → 3 failed（assert '0' == '0.0005979'（批次成本對不上集合加總）），還原後通過</t>
        </is>
      </c>
      <c r="O133" s="69" t="inlineStr">
        <is>
          <t>last_batch 3 卡／$0.0022367／1 run，三方相符；頁首顯示一致</t>
        </is>
      </c>
      <c r="P133" s="68" t="inlineStr">
        <is>
          <t>複驗通過 → 結案</t>
        </is>
      </c>
      <c r="Q133" s="68" t="inlineStr">
        <is>
          <t>觀察：/api/insight-tasks/status 單次約 5.6 秒，頁首要 18 秒才出現（多個請求排隊時更久）；不影響正確性，列為觀察</t>
        </is>
      </c>
      <c r="R133" s="68" t="inlineStr">
        <is>
          <t>檢驗方 2026-09-25</t>
        </is>
      </c>
    </row>
    <row r="134" ht="219.75" customHeight="1" s="43">
      <c r="A134" s="72" t="inlineStr">
        <is>
          <t>R4</t>
        </is>
      </c>
      <c r="B134" s="72" t="inlineStr">
        <is>
          <t>DEF-059</t>
        </is>
      </c>
      <c r="C134" s="72" t="inlineStr">
        <is>
          <t>H-04</t>
        </is>
      </c>
      <c r="D134" s="72" t="inlineStr">
        <is>
          <t>2026-09-25</t>
        </is>
      </c>
      <c r="E134" s="66" t="inlineStr">
        <is>
          <t>同意，依 owner 裁定排除已封存標的。後端與前端各有一份宇宙規則，兩份都含封存。</t>
        </is>
      </c>
      <c r="F134" s="67" t="inlineStr">
        <is>
          <t>portfolio_dash/api/insight_service.py:152（另 :170、:1267 兩份複本）；web/pipeline.js:176</t>
        </is>
      </c>
      <c r="G134" s="67" t="inlineStr">
        <is>
          <t>test_insight_generate.py::test_all_registered_universe_is_opt_in_expansion 只註冊未封存標的，test_def032_universe_source.py 的標的全部未封存——沒有封存的測試資料。新測試會封存一檔再量。</t>
        </is>
      </c>
      <c r="H134" s="66" t="inlineStr">
        <is>
          <t>只留一個宇宙函式（_resolve_universe 改為呼叫 _resolve_universe_raw）；all_registered＝持倉 ∪ 未封存的已註冊標的（持倉標的永不剔除，所以不會比 all 窄）；前端鏡像同步改為「持倉或（已註冊且未封存）」。狀態卡的標的數、乾跑預檢（已存任務與草稿）、實際產卡、頁面預估成本全部走同一條規則。</t>
        </is>
      </c>
      <c r="I134" s="66" t="inlineStr">
        <is>
          <t>「全部已註冊」性質的宇宙 共 8／修 2（insight_service 後端、pipeline.js 前端鏡像）／原本就排除封存 4（alert_inputs、news_service、報價刷新 scheduler/jobs.py、signals_service）／列出未修 2（pricing/ingest.py 的 tw_universe、all_universe，影響 FinMind 籌碼／估值／月營收與共識、基本面共 5 個排程——不在本單裁定範圍，列為 owner 決策）</t>
        </is>
      </c>
      <c r="J134" s="66" t="inlineStr">
        <is>
          <t>新增 tests/contract/test_def059_all_registered_excludes_archived.py（2：同一本帳上四個介面——狀態節點、已存與草稿兩個解析器、實際產卡數、pipeline.js 以 Node 在真實 payload 上執行——封存前後一致，封存 1 檔後宇宙 −1、卡 −1、還原後恢復；持倉標的即使封存仍留、custom 保留、mode:all 不受影響）。變異：後端放回 → 「'4 檔標的' == '3 檔標的'」；前端放回 → 「['2330','AAPL','NFLX','TSLA'] == ['2330','AAPL','TSLA']」。還原後全過。</t>
        </is>
      </c>
      <c r="K134" s="67" t="inlineStr">
        <is>
          <t>1ee7771（已部署 demo）</t>
        </is>
      </c>
      <c r="L134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4" s="68" t="inlineStr">
        <is>
          <t>真實瀏覽器：洞察管線 › 新增洞察任務 → 先不排程 → 單一標的，讀「含觀察標的 N 檔」與側欄預估；觀察清單把 2449 京元電子「移除（隱藏）」→ 重看精靈 → 走到步驟 4（不按建立，關閉精靈）→ 觀察清單「顯示已移除」→ 2449「還原」</t>
        </is>
      </c>
      <c r="N134" s="68" t="inlineStr">
        <is>
          <t>觀察：R3 時 all_registered 會含已封存標的
假設：①前後端同一規則，封存後數量、預估同步減少；②只改了一邊
排除：封存前精靈「含觀察標的 26 檔」；2449 隱藏後 /api/instruments archived ["2449"]，精靈「含觀察標的 25 檔」，側欄「持倉＋觀察 25 檔」「25 張洞察卡/次」「估算成本 ~$0.25/次」；還原後 archived []、清單 26。後端解析器在 demo 上沒有已存的 all_registered 任務可讀狀態卡（建立新任務會留下封存列），改以 repo-r4m 變異測試確認後端（見變異列）
判定：通過
變異（驗證者於本機 1ee7771 重做）：_all_registered_symbols 拿掉 not i.archived → 2 failed（assert '4 檔標的' == '3 檔標的'），還原後通過</t>
        </is>
      </c>
      <c r="O134" s="69" t="inlineStr">
        <is>
          <t>26 → 25（隱藏 2449）→ 26（還原）；精靈檔數與預估同步</t>
        </is>
      </c>
      <c r="P134" s="68" t="inlineStr">
        <is>
          <t>複驗通過 → 結案</t>
        </is>
      </c>
      <c r="Q134" s="68" t="inlineStr">
        <is>
          <t>還原觸發設計上的缺口補抓：2449 價格由 117 點變 122 點（新增 09-17、09-18、09-21、09-23、09-24 五筆供應商真實收盤價），既有 117 點數值不變、0 筆刪除；不影響持倉六段。owner 2026-09-25 裁定 ⑦：報價類抓取宇宙也全部排除封存 → 開 DEF-064</t>
        </is>
      </c>
      <c r="R134" s="68" t="inlineStr">
        <is>
          <t>檢驗方 2026-09-25</t>
        </is>
      </c>
    </row>
    <row r="135" ht="219.75" customHeight="1" s="43">
      <c r="A135" s="72" t="inlineStr">
        <is>
          <t>R4</t>
        </is>
      </c>
      <c r="B135" s="72" t="inlineStr">
        <is>
          <t>DEF-060</t>
        </is>
      </c>
      <c r="C135" s="72" t="inlineStr">
        <is>
          <t>D-10</t>
        </is>
      </c>
      <c r="D135" s="72" t="inlineStr">
        <is>
          <t>2026-09-25</t>
        </is>
      </c>
      <c r="E135" s="66" t="inlineStr">
        <is>
          <t>同意，依 owner 裁定實作（改日期時起始價一併搬移）。同一條 PUT 另查到三個同家族問題，一併修：帶 to_symbol_price 會被靜默丟掉；類型從分拆改成其他類型時起始價留下；改子公司代號時起始價留在舊代號。</t>
        </is>
      </c>
      <c r="F135" s="67" t="inlineStr">
        <is>
          <t>portfolio_dash/api/routers/ledgers.py:2169 `return {"ok": True, "id": action_id, "prices_restated": restated,`（edit_corporate_action :2055 起，無起始價處理）</t>
        </is>
      </c>
      <c r="G135" s="66" t="inlineStr">
        <is>
          <t>沒有守門：R3 的 DEF-040 測試只涵蓋 POST 與 DELETE，沒有 PUT。新增契約 11 則＋e2e 1 則。</t>
        </is>
      </c>
      <c r="H135" s="66" t="inlineStr">
        <is>
          <t>新增 _move_child_seed，在 commit 與 reconcile 之後執行：舊槽位用與刪除相同的 remove_seed_price 有條件移除（已被正式報價取代、或仍由其他列擁有的不動並附原因）；新槽位（新日期或新子公司代號）把搬過來的價格或 PUT 帶的 to_symbol_price 依 DEF-040 規則只寫入空槽，已有正式報價就不寫並回同一句說明；最後更新寫入紀錄。日期、代號、類型、起始價都沒變時完全不動。非分拆卻填起始價回 400（不再靜默丟掉）。回應新增 child_priced、child_price_skipped、child_price_move{from, to, moved, removed, message}；編輯框新增「子公司起始價（分拆用，選填；留空＝不變更）」，存檔後以 toast 說明結果，例如「子公司起始價 123.5 已由 SPINCO 在 2026-03-16 搬到 SPINCO 在 2026-03-20」。</t>
        </is>
      </c>
      <c r="I135" s="67" t="inlineStr">
        <is>
          <t>update_corporate_action 呼叫點 共 1；會移動起始價槽位的欄位 共 4（日期、子公司代號、類型、起始價）／修 4。存檔在同一列留下的副作用 共 4／修 1（起始價）／白名單 3（重組費用：DEF-020 已隨日期與帳戶同步；目標價帶、目標權重：更正刻意不改原紀錄，刪除時以紀錄上的目的地判定，DEF-021／F-3 的既有設計）</t>
        </is>
      </c>
      <c r="J135" s="66" t="inlineStr">
        <is>
          <t>新增 tests/contract/test_def060_spinoff_edit_moves_its_seed.py（11，4655845 上全部失敗：「the seed stayed on the old day」、KeyError 'child_price_move'、分割帶起始價的 PUT 回 200 而非 400）、e2e test_def060_editing_the_date_moves_the_seed_and_the_toast_says_where。變異：拿掉 _move_child_seed 呼叫 → 10/11 失敗（剩下 1 則是 400 拒絕，由另一道檢查負責）；拿掉寫入層的空槽判定 → 2 則「the move overwrote the new day's quote」；拿掉編輯 toast → e2e「expected to contain text '已由 SPINCO 在 2026-03-16 搬到 SPINCO 在 2026-03-20'」。還原後全過。</t>
        </is>
      </c>
      <c r="K135" s="67" t="inlineStr">
        <is>
          <t>1ee7771（已部署 demo）</t>
        </is>
      </c>
      <c r="L135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5" s="68" t="inlineStr">
        <is>
          <t>真實瀏覽器：分拆 2884 → 2882，日期 2026-09-20（空白日）起始價 30 → 登錄（#19）→ 編輯改日期 2026-09-21 → 再改 2026-09-22（已有正式報價）→ 刪除</t>
        </is>
      </c>
      <c r="N135" s="68" t="inlineStr">
        <is>
          <t>觀察：R3 前改日期時起始價留在舊日期
假設：①改日期時搬移、新日期有報價就不寫；②只改列不動價格
排除：登錄後 09-20 出現 close 30；編輯框有「子公司起始價（分拆用，選填；留空＝不變更）」與說明「分拆登錄時寫入的子公司起始價也會隨日期／子公司代號搬移（新日期已有正式報價時不寫入）」；改 09-21 → PUT 200 child_price_move {from 09-20, to 09-21, moved true, removed true}，toast「子公司起始價 30 已由 2882 在 2026-09-20 搬到 2882 在 2026-09-21」，序列 09-20 消失、09-21＝30，排除②；改 09-22 → child_price_skipped＋move {moved false, removed true}，toast「! 子公司起始價未搬移 2882 在 2026-09-22 已有正式報價 112.0…原本 2882 在 2026-09-21 的起始價已移除」，序列只剩 09-22 112.0；刪除後 117 點逐字相同
定位：ledgers.py _move_child_seed
判定：通過
變異（驗證者於本機 1ee7771 重做）：_move_child_seed 開頭無條件 return（改日期不搬起始價） → 8 failed（AssertionError: a SPLIT kept the seed of the SPINOFF it replaced），還原後通過</t>
        </is>
      </c>
      <c r="O135" s="68" t="inlineStr">
        <is>
          <t>搬移、跳過與移除皆依規則並有說明；刪除後 cmp D040R4 same:true</t>
        </is>
      </c>
      <c r="P135" s="68" t="inlineStr">
        <is>
          <t>複驗通過 → 結案</t>
        </is>
      </c>
      <c r="Q135" s="69" t="inlineStr">
        <is>
          <t>owner 決策項 ⑤（新日期已有正式報價時，舊日期起始價移除而不保留）：2026-09-25 裁定維持本輪實作，不開單</t>
        </is>
      </c>
      <c r="R135" s="68" t="inlineStr">
        <is>
          <t>檢驗方 2026-09-25</t>
        </is>
      </c>
    </row>
    <row r="136" ht="219.75" customHeight="1" s="43">
      <c r="A136" s="72" t="inlineStr">
        <is>
          <t>R4</t>
        </is>
      </c>
      <c r="B136" s="72" t="inlineStr">
        <is>
          <t>DEF-061</t>
        </is>
      </c>
      <c r="C136" s="72" t="inlineStr">
        <is>
          <t>C-02</t>
        </is>
      </c>
      <c r="D136" s="72" t="inlineStr">
        <is>
          <t>2026-09-25</t>
        </is>
      </c>
      <c r="E136" s="66" t="inlineStr">
        <is>
          <t>同意，依 owner 裁定抽出共用驗證器。缺的 4 項如上。另發現更正門把輸入原樣存入、不經股利模型推導：DRIP 只給再投資價不給股數時，新增門會推導股數，更正門存 None，之後每次重算都失敗——一併修。</t>
        </is>
      </c>
      <c r="F136" s="67" t="inlineStr">
        <is>
          <t>portfolio_dash/api/routers/ledgers.py:800（只做金額守恆）、:793（型別字串）、:770（withhold 必填）；web/ledger.js:679（空白送 '0'）</t>
        </is>
      </c>
      <c r="G136" s="66" t="inlineStr">
        <is>
          <t>沒有任何守門比對兩個門的結果；既有 test_ledgers_mutations_api、test_x1_m5_05_amount_cap 只測更正門自己那兩項。新增參數化等價測試：4 種股利型別 × 每項檢查，共 16 例，全部走真實的兩個門。</t>
        </is>
      </c>
      <c r="H136" s="67" t="inlineStr">
        <is>
          <t>data_ingestion/validate.py 新增 DividendInput 與 validate_dividend(conn, inp, *, replacing=None)（比照 DEF-042 的 validate_transaction(replacing=)），MODEL_ALLOWED_TYPES 移到 dividend_model.py 單一來源；新增門 4 道（手動、CSV、AI、券商對帳單）與更正門共用。更正門：結構檢查 → validate_dividend(replacing=原列)（原列本來就有的問題可照常更正）→ 硬性問題 400 附完整 issues → 重播防護 → 存入 apply_dividend_model 的推導值（與新增門一致）→ 200 附 issues；預扣、淨額可空。新增 POST /api/ledgers/dividends/preview（純試算、不寫入），編輯框開啟與欄位變動時即時顯示檢查結果，軟性警告逐項勾選前「儲存」停用（依 ⑪a：伺服器擋硬性、畫面把關軟性，與交易編輯框一致）。</t>
        </is>
      </c>
      <c r="I136" s="66" t="inlineStr">
        <is>
          <t>股利寫入門 共 6／修 5（新增 4 門改共用＋更正門）／白名單 1（收件匣確認：每列由帳戶模型建構，新測試以行為證明它寫入的 4 種股利經驗證器檢查皆 0 findings）；scripts/seed_demo.py 2 處合成資料另列白名單</t>
        </is>
      </c>
      <c r="J136" s="66" t="inlineStr">
        <is>
          <t>新增 tests/contract/test_def061_dividend_doors_share_one_validator.py（19：16 則參數化＋兩門存值一致、舊列自身問題可更正、收件匣各 1；前 18 則 4655845 上全部失敗，如 KeyError 'issues'、「欄位 withhold必須是數字」400）、e2e test_def061_the_dividend_edit_dialog_shows_the_entry_doors_findings_and_gates_save。變異：更正門只保留原本兩項 → 9 則失敗；存原始值不經模型 → 1 則「TypeError: conversion from NoneType to Decimal is not supported」；編輯框預覽停用 → e2e「Timeout 60000ms exceeded while waiting for event 'response'」。還原後全過。</t>
        </is>
      </c>
      <c r="K136" s="67" t="inlineStr">
        <is>
          <t>1ee7771（已部署 demo）</t>
        </is>
      </c>
      <c r="L136" s="66" t="inlineStr">
        <is>
          <t>本輪整體閘門（開發機、1ee7771）：ruff check portfolio_dash tests scripts 全過・mypy --strict 915 檔 0 問題（全新快取；首跑抓到代理改過的 e2e 檔變數重名 1 處，已修）・pytest 非 e2e 6,227 passed／5 skipped／0 failed（前景分 4 段；首跑有 1 則既有的原始碼字串守門因 DEF-049 把復原拆成 undoBatch＋runUndo 而失敗，守門改讀兩個函式後該段整段重跑全過）・e2e 80 檔 288 則全過（14 批前景）・stress-audit phase 1 ops=128、pass=6,025、fail=0（與 R3 相同）。各缺陷的定向測試與變異見 J 欄。部署：demo 備份 portfolio-pre-1ee7771-20260924T200238Z.db＋news-pre-1ee7771-20260924T200238Z.db（integrity ok；交易／股利／資金／公司行動／洞察卡／評分／稽核／匯入批次 56／23／34／0／204／95／98／2）→ 部署 1ee7771 → /api/health commit=1ee7771 → 新欄位 ledger_audit.source、corporate_actions.child_seed_json、insights.system_prompt_ref、organized_news.prompt_version 與新表 prompt_versions（系統、新聞提示詞各補 v1）皆就位 → 資料清理（DEF-054 刪 #97＋評分 #65，action_log #1358；DEF-055 清 #33、#44，action_log #1359；ledger_audit 各留原始內容；重跑為 no-op）→ verify_live ALL PASS → 外部探測 11 頁 console 0 錯誤、無識別字外露、兩個版本記錄按鈕可見、390px 收件匣副標題 0 截斷、最近批次＝7 卡／$0.0050487／7 runs。</t>
        </is>
      </c>
      <c r="M136" s="68" t="inlineStr">
        <is>
          <t>真實瀏覽器：交易帳本 › 股利 › #15（2026-07-15 台灣券商 2330 現金 100）「編輯」→ 類型改「淨額」看畫面 → 類型改「配股」（不填股數）→ 按「儲存」→ 取消；同值以新增門 POST /api/import/preview（kind dividends，純試算不寫入）比對</t>
        </is>
      </c>
      <c r="N136" s="68" t="inlineStr">
        <is>
          <t>觀察：R3 時更正門只檢查型別字串與金額守恆
假設：①更正門與新增門共用驗證器：硬性由伺服器擋、軟性由畫面逐項勾選；②只補了畫面、伺服器仍放行
排除：改「淨額」→ 編輯框即時出現「⚠ 股利類型與該市場模型不符，請確認」與「我了解，仍要儲存。」勾選框，未勾前「儲存」disabled（POST /api/ledgers/dividends/preview 200）；改「配股」不填股數 → 框內「✕ STOCK 股利必須有股數（reinvest_shares）——配股／再投資是以股數入帳，缺這個欄位重算會失敗」，按儲存 → PUT /api/ledgers/dividends/15 400 {code validation_error, issues [reinvest_shares_required]}，toast「編輯失敗 …」，股利帳本 23 列逐字不變；新增門同值：STOCK → status error、kinds [reinvest_shares_required]；NET → status warn、kinds [dividend_type_mismatch]，與更正門同判定。排除②
判定：通過
變異（驗證者於本機 1ee7771 重做）：edit_dividend 的 validate_dividend 結果清空（findings = []） → 13 failed（assert 422 == 400（硬性問題未在驗證器擋下）），還原後通過</t>
        </is>
      </c>
      <c r="O136" s="68" t="inlineStr">
        <is>
          <t>軟性 1 項需勾選才可存；硬性 1 項 PUT 400；兩道門判定相同；帳本未變</t>
        </is>
      </c>
      <c r="P136" s="68" t="inlineStr">
        <is>
          <t>複驗通過 → 結案</t>
        </is>
      </c>
      <c r="Q136" s="69" t="inlineStr">
        <is>
          <t>owner 2026-09-25 裁定 ⑥：股利新增門的市場一致性檢查維持現狀，不開單</t>
        </is>
      </c>
      <c r="R136" s="68" t="inlineStr">
        <is>
          <t>檢驗方 2026-09-25</t>
        </is>
      </c>
    </row>
    <row r="137" ht="219.75" customHeight="1" s="43">
      <c r="A137" s="72" t="inlineStr">
        <is>
          <t>R4</t>
        </is>
      </c>
      <c r="B137" s="72" t="inlineStr">
        <is>
          <t>DEF-062</t>
        </is>
      </c>
      <c r="C137" s="72" t="inlineStr">
        <is>
          <t>H-04</t>
        </is>
      </c>
      <c r="D137" s="72" t="inlineStr">
        <is>
          <t>2026-09-25</t>
        </is>
      </c>
      <c r="E137" s="66" t="inlineStr">
        <is>
          <t>—（本輪由檢驗方發現／Owner 裁定）</t>
        </is>
      </c>
      <c r="F137" s="67" t="inlineStr">
        <is>
          <t>—</t>
        </is>
      </c>
      <c r="G137" s="67" t="inlineStr">
        <is>
          <t>—</t>
        </is>
      </c>
      <c r="H137" s="67" t="inlineStr">
        <is>
          <t>—</t>
        </is>
      </c>
      <c r="I137" s="67" t="inlineStr">
        <is>
          <t>—</t>
        </is>
      </c>
      <c r="J137" s="67" t="inlineStr">
        <is>
          <t>—</t>
        </is>
      </c>
      <c r="K137" s="67" t="inlineStr">
        <is>
          <t>—</t>
        </is>
      </c>
      <c r="L137" s="67" t="inlineStr">
        <is>
          <t>—</t>
        </is>
      </c>
      <c r="M137" s="68" t="inlineStr">
        <is>
          <t>真實瀏覽器走精靈至監聽規則，讀 15 個 label 的文字與 value</t>
        </is>
      </c>
      <c r="N137" s="68" t="inlineStr">
        <is>
          <t>觀察：8 個勾選框文字＝value
假設：①前端有完整對照表；②對照表缺項
排除：settings-alerts.js 有 15 條、pipeline-wizard.js 只 7 條，排除①
定位：pipeline-wizard.js:23-29
判定：FAIL（低）— 使用者可見識別字</t>
        </is>
      </c>
      <c r="O137" s="69" t="inlineStr">
        <is>
          <t>15 條中 8 條顯示 id</t>
        </is>
      </c>
      <c r="P137" s="69" t="inlineStr">
        <is>
          <t>FAIL</t>
        </is>
      </c>
      <c r="Q137" s="68" t="inlineStr">
        <is>
          <t>開 DEF-062</t>
        </is>
      </c>
      <c r="R137" s="68" t="inlineStr">
        <is>
          <t>檢驗方 2026-09-25</t>
        </is>
      </c>
    </row>
    <row r="138" ht="219.75" customHeight="1" s="43">
      <c r="A138" s="72" t="inlineStr">
        <is>
          <t>R4</t>
        </is>
      </c>
      <c r="B138" s="72" t="inlineStr">
        <is>
          <t>DEF-063</t>
        </is>
      </c>
      <c r="C138" s="72" t="inlineStr">
        <is>
          <t>D-10</t>
        </is>
      </c>
      <c r="D138" s="72" t="inlineStr">
        <is>
          <t>2026-09-25</t>
        </is>
      </c>
      <c r="E138" s="66" t="inlineStr">
        <is>
          <t>—（本輪由檢驗方發現／Owner 裁定）</t>
        </is>
      </c>
      <c r="F138" s="67" t="inlineStr">
        <is>
          <t>—</t>
        </is>
      </c>
      <c r="G138" s="67" t="inlineStr">
        <is>
          <t>—</t>
        </is>
      </c>
      <c r="H138" s="67" t="inlineStr">
        <is>
          <t>—</t>
        </is>
      </c>
      <c r="I138" s="67" t="inlineStr">
        <is>
          <t>—</t>
        </is>
      </c>
      <c r="J138" s="67" t="inlineStr">
        <is>
          <t>—</t>
        </is>
      </c>
      <c r="K138" s="67" t="inlineStr">
        <is>
          <t>—</t>
        </is>
      </c>
      <c r="L138" s="67" t="inlineStr">
        <is>
          <t>—</t>
        </is>
      </c>
      <c r="M138" s="68" t="inlineStr">
        <is>
          <t>讀開發者交接決策項＋讀碼 pricing/seed.py</t>
        </is>
      </c>
      <c r="N138" s="68" t="inlineStr">
        <is>
          <t>規格未定→owner 已裁定（資料殘留）</t>
        </is>
      </c>
      <c r="O138" s="69" t="inlineStr">
        <is>
          <t>—</t>
        </is>
      </c>
      <c r="P138" s="68" t="inlineStr">
        <is>
          <t>待裁定</t>
        </is>
      </c>
      <c r="Q138" s="68" t="inlineStr">
        <is>
          <t>開 DEF-063，owner 已裁定寫清理腳本</t>
        </is>
      </c>
      <c r="R138" s="68" t="inlineStr">
        <is>
          <t>檢驗方 2026-09-25</t>
        </is>
      </c>
    </row>
    <row r="139" ht="219.75" customHeight="1" s="43">
      <c r="A139" s="72" t="inlineStr">
        <is>
          <t>R4</t>
        </is>
      </c>
      <c r="B139" s="72" t="inlineStr">
        <is>
          <t>DEF-064</t>
        </is>
      </c>
      <c r="C139" s="72" t="inlineStr">
        <is>
          <t>H-04</t>
        </is>
      </c>
      <c r="D139" s="72" t="inlineStr">
        <is>
          <t>2026-09-25</t>
        </is>
      </c>
      <c r="E139" s="66" t="inlineStr">
        <is>
          <t>—（本輪由檢驗方發現／Owner 裁定）</t>
        </is>
      </c>
      <c r="F139" s="67" t="inlineStr">
        <is>
          <t>—</t>
        </is>
      </c>
      <c r="G139" s="67" t="inlineStr">
        <is>
          <t>—</t>
        </is>
      </c>
      <c r="H139" s="67" t="inlineStr">
        <is>
          <t>—</t>
        </is>
      </c>
      <c r="I139" s="67" t="inlineStr">
        <is>
          <t>—</t>
        </is>
      </c>
      <c r="J139" s="67" t="inlineStr">
        <is>
          <t>—</t>
        </is>
      </c>
      <c r="K139" s="67" t="inlineStr">
        <is>
          <t>—</t>
        </is>
      </c>
      <c r="L139" s="67" t="inlineStr">
        <is>
          <t>—</t>
        </is>
      </c>
      <c r="M139" s="68" t="inlineStr">
        <is>
          <t>讀開發者交接決策項＋讀碼</t>
        </is>
      </c>
      <c r="N139" s="68" t="inlineStr">
        <is>
          <t>規格未定→owner 已裁定</t>
        </is>
      </c>
      <c r="O139" s="69" t="inlineStr">
        <is>
          <t>—</t>
        </is>
      </c>
      <c r="P139" s="68" t="inlineStr">
        <is>
          <t>待裁定</t>
        </is>
      </c>
      <c r="Q139" s="68" t="inlineStr">
        <is>
          <t>開 DEF-064，owner 已裁定全部排除</t>
        </is>
      </c>
      <c r="R139" s="68" t="inlineStr">
        <is>
          <t>檢驗方 2026-09-25</t>
        </is>
      </c>
    </row>
    <row r="140" ht="219.75" customHeight="1" s="43">
      <c r="A140" s="72" t="inlineStr">
        <is>
          <t>R4</t>
        </is>
      </c>
      <c r="B140" s="72" t="inlineStr">
        <is>
          <t>DEF-065</t>
        </is>
      </c>
      <c r="C140" s="72" t="inlineStr">
        <is>
          <t>J-06</t>
        </is>
      </c>
      <c r="D140" s="72" t="inlineStr">
        <is>
          <t>2026-09-25</t>
        </is>
      </c>
      <c r="E140" s="66" t="inlineStr">
        <is>
          <t>—（本輪由檢驗方發現／Owner 裁定）</t>
        </is>
      </c>
      <c r="F140" s="67" t="inlineStr">
        <is>
          <t>—</t>
        </is>
      </c>
      <c r="G140" s="67" t="inlineStr">
        <is>
          <t>—</t>
        </is>
      </c>
      <c r="H140" s="67" t="inlineStr">
        <is>
          <t>—</t>
        </is>
      </c>
      <c r="I140" s="67" t="inlineStr">
        <is>
          <t>—</t>
        </is>
      </c>
      <c r="J140" s="67" t="inlineStr">
        <is>
          <t>—</t>
        </is>
      </c>
      <c r="K140" s="67" t="inlineStr">
        <is>
          <t>—</t>
        </is>
      </c>
      <c r="L140" s="67" t="inlineStr">
        <is>
          <t>—</t>
        </is>
      </c>
      <c r="M140" s="69" t="inlineStr">
        <is>
          <t>repo 1ee7771 e2e 全套 ×3、單獨重跑、壓力重跑、並發探測；以 page.on("response") 記錄 5xx</t>
        </is>
      </c>
      <c r="N140" s="68" t="inlineStr">
        <is>
          <t>觀察：3 次全套中 2 次出現 console 500，副本記到 GET /api/ui-prefs 500 internal_error
假設：①測試本身不穩；②伺服器在特定時序回 500
排除：失敗的斷言只有 console errors，功能斷言全過，且 500 由應用程式錯誤處理器回應（JSON internal_error），排除①
定位：未取得 traceback；疑點為 GET 路徑內的 ensure_seeded（shared/ui_prefs.py:55、shared/config_store.py:22）
判定：FAIL（低）— 閘門不穩定，且使用者可能偶遇 500</t>
        </is>
      </c>
      <c r="O140" s="68" t="inlineStr">
        <is>
          <t>全套 287/1、287/2、289/0；5xx 1 筆（GET /api/ui-prefs）</t>
        </is>
      </c>
      <c r="P140" s="69" t="inlineStr">
        <is>
          <t>FAIL</t>
        </is>
      </c>
      <c r="Q140" s="68" t="inlineStr">
        <is>
          <t>開 DEF-065</t>
        </is>
      </c>
      <c r="R140" s="68" t="inlineStr">
        <is>
          <t>檢驗方 2026-09-25</t>
        </is>
      </c>
    </row>
    <row r="141" ht="219.75" customHeight="1" s="43">
      <c r="A141" s="42" t="inlineStr">
        <is>
          <t>R5</t>
        </is>
      </c>
      <c r="B141" s="42" t="inlineStr">
        <is>
          <t>DEF-056</t>
        </is>
      </c>
      <c r="C141" s="42" t="inlineStr">
        <is>
          <t>B-17</t>
        </is>
      </c>
      <c r="D141" s="42" t="inlineStr">
        <is>
          <t>2026-09-25</t>
        </is>
      </c>
      <c r="E141" s="70" t="inlineStr">
        <is>
          <t>同意。API（/api/cash/statement 的 future）與列印報告都對，畫面沒讀。同類掃描另找到個股抽屜「配息史」同樣列出未來股利而沒有標示（owner ③ 裁定的是抽屜「交易明細」不列未來列，配息史不在裁定內），以及兩個對帳 CSV（現金收支明細、配息史）沒有旗標欄，一併修。</t>
        </is>
      </c>
      <c r="F141" s="42" t="inlineStr">
        <is>
          <t>web/cash.js:405（明細列日期）、:395（表頭）、:416（餘額欄）；portfolio_dash/api/routers/cash.py:479（`"future": ln.date &gt; as_of`，第二份手寫的切點）；portfolio_dash/api/routers/symbol.py:593 與 web/detail.js:983（配息史）；portfolio_dash/export/cash_statement.py:54（明細 CSV 欄位）、export/symbol_detail.py（配息史 CSV 欄位）</t>
        </is>
      </c>
      <c r="G141" s="42" t="inlineStr">
        <is>
          <t>R4 的 e2e（tests/e2e/test_def056_future_row_badge_flow.py）只檢查手挑的 7 張表，明細不在清單上——守門本身的盲點與 R2 的帳戶名稱守門同型（手寫清單）。新守門反過來問：tests/e2e/test_def056_r5_future_row_sweep_flow.py 對每一種帳本各寫一筆 2099 年的未來列，打開所有列帳本列的畫面（6 個帳本分頁、資金頁兩個列表、每個資金池的明細與每個帳戶的全部幣別明細、每檔有未來列的個股抽屜），任何「印出未來日期卻沒有徽章」的列都失敗——新的表格上線當天就被涵蓋，不需要把它加進清單。</t>
        </is>
      </c>
      <c r="H141" s="42" t="inlineStr">
        <is>
          <t>**畫面（依規格 1–5）**：明細在第一筆未來列之前加分隔列，文字與列印報告逐字相同「以下 N 筆為未來日期（YYYY-MM-DD 之後），不計入目前餘額；其餘額欄為投影」；每筆未來列日期欄加「未來日期：YYYY-MM-DD 起計入」徽章（沿用同檔 dateCell）；未來列的餘額欄改斜體並加「投影」小標，最後一筆未來列下緣虛線；表頭「目前餘額」數字不變，比照列印報告加「（截至 YYYY-MM-DD，不含 N 筆未來日期）」；單一幣別與全部幣別（combined）兩種檢視相同。**API**：/api/cash/statement 每列加 counts_from（與各帳本列表同一個 pending_from），`future` 改由它推得，信封加 future_count（整個範圍、不是單頁）；_as_of_balance 也改呼叫 counts_by。**同類**：個股抽屜 dividend_events 加 counts_from（股利依生效日：配股看除權日），detail.js 配息史加同一個徽章；現金收支明細 CSV 與配息史 CSV 最後加一欄 counts_from（兩者都是對帳用、不是匯入格式，加在最後不影響既有欄位索引；四種帳本 CSV 可重新匯入，依 DEF-026 維持不加）。**一條規則放一處（順手收尾）**：R4 列為「本來就依 as_of 切」的外幣池 6 處（forex/pools.py）、已實現匯兌 1 處（forex/fx_pnl.py）、現金池 1 處（portfolio/cash.py）、趨勢淨投入 1 處（portfolio/timeseries.py）、未來日期警告 1 處（data_ingestion/validate.py）與明細 2 處，語意相同但都是手寫的日期比較，改呼叫同一個 counts_by，行為不變。規則寫入 .claude/rules/domain-ledger.md。</t>
        </is>
      </c>
      <c r="I141" s="70" t="inlineStr">
        <is>
          <t>第一軸（列出帳本列的面）共 25／修 4／白名單 6：畫面 11（6 個帳本分頁、資金頁出金入金與換匯列表 R4 已有；現金收支明細 ✗→修；抽屜配息史 ✗→修；抽屜交易明細＝白名單：owner ③ 不列未來列）＋價格圖標記 1（白名單：類別軸只有已有收盤的日期，未來日期的標記畫不出來）＋列印 7（帳本報告 6 區段、現金收支報告，R4 已有）＋CSV 6（現金收支明細 CSV ✗→修、配息史 CSV ✗→修；4 種帳本 CSV＝白名單：可重新匯入，DEF-026）。不列帳本列的面：最近匯入（批次）、股利收件匣（公告）、折讓款預估（本來就是未來）、持股與已實現匯出（估值，R4 已依日期切）。第二軸（手寫的日期切點）共 18／統一 12／白名單 6：input_center.py:613-621（DEF-048 草稿重播，股利用 &lt; 是刻意的）、validate.py:1058（公司行動同順位切點）、dashboard.py:751（除息行事曆）、dividend_inbox.py:294（收件匣視窗）、shared/corporate_actions.py:502 與 pricing/store.py（分割視窗 after &lt; d &lt;= through）。掃描指令：grep -rn "date [&lt;&gt;]=\? *as_of\|[&lt;&gt;]=\? *day\b\|[&lt;&gt;]=\? *today\b" portfolio_dash；畫面面用上述 sweep e2e 實測。</t>
        </is>
      </c>
      <c r="J141" s="70" t="inlineStr">
        <is>
          <t>新增 e2e tests/e2e/test_def056_r5_cash_statement_future_flow.py（3：單一幣別明細——分隔列文字、每筆未來列的 counts_from 徽章、投影標示、表頭目前餘額＝資金池卡片數字且不是第一列的投影、第一筆已發生列的餘額＝目前餘額；全部幣別明細同上且分隔列跨 6 欄；抽屜配息史只有未來那筆有徽章）、tests/e2e/test_def056_r5_future_row_sweep_flow.py（1：上述全頁掃描）；契約 tests/contract/test_def056_future_rows_count_from_their_date.py +1（4 個範圍的明細列 counts_from／future、future_count、current_balance＝/api/cash、明細 CSV 的 counts_from 欄；生效當天全部消失）；tests/export/test_symbol_detail_csv.py +1（配息史 CSV：現金股利依入帳日、配股依除權日）；既有 3 個 CSV 表頭斷言更新。1ee7771 上：新 e2e 全部失敗、契約 KeyError 'counts_from'。變異：①cash.js 不讀 r.future → 明細 2 則失敗「Locator expected to have class 'stmt-cut'」；②把 1ee7771 的 cash.js＋detail.js 放回 → 掃描失敗並列出 12 列明細（例「cash:statement[台灣券商・TWD]: #cash-stmt-body :: 2099-01-02券商費用（無備註）−100109,900」）與抽屜「drawer:2330: 2099-01-02現金5,0005,000—」；③detail.js 不讀 counts_from → 配息史 1 則失敗；④API 明細列 counts_from 改回 None → 契約失敗「assert (None, True) == ('2026-07-01', True)」。</t>
        </is>
      </c>
      <c r="K141" s="42" t="inlineStr">
        <is>
          <t>3be67db（已部署 demo）</t>
        </is>
      </c>
      <c r="L141" s="70" t="inlineStr">
        <is>
          <t>本輪整體閘門（開發機、3be67db；依 owner 指示一次只跑一項、不並行）：ruff check portfolio_dash tests scripts 全過・mypy --strict 925 檔 0 問題（全新快取；首跑抓到新測試檔 3 處型別註記，已修）・pytest 非 e2e 分 4 段前景 6,310 則：6,308 passed／2 skipped／0 failed（contract 前半 934、後半 1,355、api～golden 1,743、其餘 2,278）・e2e 全套連跑 3 次（最終版程式、84 檔、每批 3 檔前景）：295／295、295／295、295／295，PD_E2E_NETLOG 保留的 uvicorn 記錄三次皆為伺服器端 5xx 0、traceback 0（每次約 640 個 GET /api/ui-prefs 全部 200）；另有 2 次在 input.js 修正前的預跑：293／293，以及 1 則失敗（R4 的 test_def049_batch_undo_oversell_flow，原因是交易頁分頁競態，已修並補測試，見 DEF-065）・stress-audit phase 1 ops=128、pass=6,025、fail=0（與 R4 相同）。註：本輪第一次跑全套時，我留在背景的舊版 e2e 重現迴圈與測試同時執行，把記憶體吃光，Claude Code 因此中止該次執行（非測試失敗）；清掉殘留行程後，依 owner 指示改為逐項前景執行，上列數字皆為重跑結果。部署：demo 備份 portfolio-pre-3be67db-20260925T123452Z.db＋news-pre-3be67db-20260925T123452Z.db（integrity ok；交易／股利／資金／公司行動／洞察卡／評分／稽核／匯入批次／價格／manual 價格 56／23／34／0／206／94／117／2／35,201／0）→ 部署 3be67db（無相依、無 schema 變更）→ /api/health commit=3be67db → settings_meta 已有 ui_prefs、whatsnew（開機建立）→ verify_live ALL PASS → 真實瀏覽器探測：11 頁 console 0 錯誤、頁面載入時伺服器端 5xx 0；精靈 15 個監聽規則全為中文且與 預警規則 逐字相同；/api/alert-rules 15 條皆帶 name；/api/cash/statement 每列帶 counts_from、信封有 future_count；明細 CSV 表頭最後一欄 counts_from；GET /api/ui-prefs 連 5 次 200。</t>
        </is>
      </c>
      <c r="M141" s="70" t="inlineStr">
        <is>
          <t>真實瀏覽器：資金管理 › 出金入金 › 台灣券商 券商費用 100 TWD、日期 2026-10-20、備註「QA R5 DEF-056」→ 確認寫入（#54）→ 帳戶現金 › 點台灣券商卡片看「現金收支明細」→ 匯出 CSV／匯出報告（攔截不落地）→ 刪除 #54；另於 交易輸入 › 股利 寫一筆 2330 現金股利 100、日期 2026-10-15（#48）→ 儀表板點 2330 開抽屜看「配息史」→ 交易帳本 › 股利 刪除 #48</t>
        </is>
      </c>
      <c r="N141" s="71" t="inlineStr">
        <is>
          <t>觀察：R4 時畫面明細第一列是未標示的投影餘額 6,067,495，表頭卻寫目前餘額 6,067,595
假設：①畫面比照列印報告標示未來列；②只改了 API 或列印
排除：寫入後六段 JSON 與 R5 起點逐字相同（只有資金列數 34→35）；明細第一列為分隔列（class stmt-cut、colspan 5）「以下 1 筆為未來日期（2026-09-25 之後），不計入目前餘額；其餘額欄為投影」；第二列「2026-10-20　未來日期：2026-10-20 起計入　券商費用　QA R5 DEF-056　−100　6,067,495投影」，餘額欄 font-style italic；第三列起為已發生列，2026-08-07 股利列餘額 6,067,595＝目前餘額；表頭「台灣券商・TWD　目前餘額 6,067,595 TWD（截至 2026-09-25，不含 1 筆未來日期）」；/api/cash/statement future_count 1、current_balance 6067595.0000、該列 future:true、counts_from 2026-10-20；匯出 CSV 表頭新增 counts_from 欄、該列值 2026-10-20；匯出報告分隔句逐字相同且列標「券商費用（未來）」。同類：未來股利 2330 2026-10-15 寫入後六段不變，交易帳本股利列有徽章，抽屜「配息史」4 筆中只有 2026-10-15 那筆帶「未來日期：2026-10-15 起計入」（.ledger-future），其他 3 筆無。排除②
判定：通過
變異（驗證者於本機 3be67db 重做）：cash.py 明細列 "future" 恆為 False → 1 failed（assert ('2026-07-01', False) == ('2026-07-01', True)）；e2e：cash.js 不插入分隔列 → 2 failed（to_have_class stmt-cut 逾時），還原後通過。附註：把分隔列設為 hidden 時 e2e 仍 3 passed——測試以 to_have_text 驗文字、未驗可見，建議補 to_be_visible（不影響本張結案）</t>
        </is>
      </c>
      <c r="O141" s="70" t="inlineStr">
        <is>
          <t>分隔列、徽章、投影斜體、表頭截至說明、CSV counts_from、抽屜配息史徽章皆在；兩筆刪除後 cmp R5_START same:true（收件匣 7、批次 0 也回到原值）</t>
        </is>
      </c>
      <c r="P141" s="70" t="inlineStr">
        <is>
          <t>複驗通過 → 結案</t>
        </is>
      </c>
      <c r="Q141" s="70" t="inlineStr">
        <is>
          <t>觀察：寫入未來股利期間收件匣由 7 變 6（該筆被視為已記入），刪除後回到 7，行為一致</t>
        </is>
      </c>
      <c r="R141" s="70" t="inlineStr">
        <is>
          <t>檢驗方 2026-09-25</t>
        </is>
      </c>
    </row>
    <row r="142" ht="219.75" customHeight="1" s="43">
      <c r="A142" s="72" t="inlineStr">
        <is>
          <t>R5</t>
        </is>
      </c>
      <c r="B142" s="72" t="inlineStr">
        <is>
          <t>DEF-065</t>
        </is>
      </c>
      <c r="C142" s="72" t="inlineStr">
        <is>
          <t>J-06</t>
        </is>
      </c>
      <c r="D142" s="72" t="inlineStr">
        <is>
          <t>2026-09-25</t>
        </is>
      </c>
      <c r="E142" s="66" t="inlineStr">
        <is>
          <t>同意，根因已取得 traceback 並確認。以 3 個執行緒在全新資料庫同時呼叫 get_ui_prefs：200 輪中 5 輪拋出 `IntegrityError: UNIQUE constraint failed: settings_meta.category`（traceback 指向 config_store.py:33-34 的 INSERT）。不是鎖逾時：是「先查再寫」的競態，只發生在第一次讀取。以「GET 路由」為單位掃描後，同類遠比 ui-prefs 大：81 個 GET 中 22 個在開機後第一次呼叫就建表或寫入，15 個每次呼叫都拿寫鎖（含 /api/dashboard）。真實環境的重現沒有成功，如實交代：以 1ee7771 起真的 uvicorn、全新資料庫、每輪同時送 3 個第一次 GET，連 40 輪全部 200；驗證者失敗的兩支 e2e 以 PD_E2E_NETLOG 在 1ee7771 上單獨連跑 10 輪也沒有出現 500（真實請求的時間差很少落在「查」與「寫」之間的幾微秒內，驗證者自己單獨重跑 18 次也沒重現）。修法讓這條 GET 完全不寫、不建表，所以競態與鎖逾時兩種可能都已不存在。另外在跑規格要求的 3 次全套 e2e 時，預跑的第 2 次抓到另一個不穩定點：交易頁載入中點的分頁會被收回（見 H 欄），一併修正。</t>
        </is>
      </c>
      <c r="F142" s="67" t="inlineStr">
        <is>
          <t>portfolio_dash/shared/config_store.py:28-37（先查再寫）；portfolio_dash/shared/ui_prefs.py:57（GET 路徑 seed）；portfolio_dash/api/app.py lifespan（ui_prefs、whatsnew 等 7 項未在開機建立）；portfolio_dash/llm_insight/composer_store.py:281／:300／:307（每次 ensure_seeded 都跑兩個 INSERT … SELECT＋commit，掛在 ~20 個 GET 上）；portfolio_dash/scheduler/jobs.py:300（每次都 INSERT OR IGNORE 全部排程列）；portfolio_dash/shared/llm_config.py:403（第一次 GET /api/dashboard 才建 llm_quota_config）</t>
        </is>
      </c>
      <c r="G142" s="66" t="inlineStr">
        <is>
          <t>沒有守門。tests/contract/test_first_run_bootstrap.py 只驗 prices／fx_rates／data_sources 三張手挑的表，其餘測試走 init_golden_base（不跑真正的開機），而且 TestClient 一次只送一個請求，永遠看不到兩個第一次讀取同時發生。e2e 每個測試都開全新伺服器，才偶爾撞到。新守門：tests/contract/test_def065_get_never_writes.py 以真正的 lifespan 開機一個全新資料庫，從路由表列舉每一個 GET（新路由上線當天就被涵蓋），逐一追蹤所有連線上的每一句 SQL：不得寫入、不得改變 schema，而且在另一條連線對兩個資料庫檔都持有寫鎖時仍要回應（&lt; 500）。另加 ui-prefs 專屬測試（規格要求）與 ensure_seeded 的確定性競態測試。</t>
        </is>
      </c>
      <c r="H142" s="67" t="inlineStr">
        <is>
          <t>**原語**：config_store.ensure_seeded 的「只 seed 一次」改在寫鎖下決定——未 seed 時 BEGIN IMMEDIATE、重讀、先寫 settings_meta 佔位再 seed（有幾個 seed 會自己 commit，佔位先寫才不會在鎖放掉時仍顯示未 seed）；已 seed 的穩定狀態不變、不拿鎖。**讀取路徑不寫入（規格 2）**：get_ui_prefs 改為純讀——不建表、不 seed、不 commit；表或列不存在時回預設值；建表與 seed 移到開機與寫入路徑（set_ui_prefs）。**開機建立一切 GET 會讀的表**：lifespan 加 ui_prefs、whatsnew（同樣的 settings_meta 競態）、pending_dividend_skips、rebate_skips、portfolio_snapshots、action_log，並在開機時開一次 news.db（第一次開啟會建表與遷移）；llm_quota_config 併入 create_llm_tables（開機由 bootstrap_db 建立）。**每次都拿寫鎖的讀取**：composer_store._backfill_versions（我在 R3 DEF-033 加的）先用一句 SELECT 判斷是否真有策略缺版本，沒有就直接返回；scheduler.ensure_job_rows 先讀已有的 job_id，只補缺的。規則寫入 .claude/rules/architecture.md（api/：A GET never writes）。**閘門穩定（跑 3 次全套時發現）**：web/input.js 的 boot() 等 /api/input/context 回來後才 showTab('manual')（1ee7771 :3329），頁面載入中點的「CSV 匯入」會在資料回來那一刻被收回——R4 的 test_def049_batch_undo_oversell_flow 在預跑中因此失敗（最近匯入列「hidden」）；使用者網路慢時也會遇到。改為使用者自己選過分頁就不覆蓋。同類掃描：設定預設分頁的地方 共 3／修 1（input.js）／本來就對 2（ledger.js 在 boot 前同步設定、設定頁依網址 hash 同步設定）。</t>
        </is>
      </c>
      <c r="I142" s="67" t="inlineStr">
        <is>
          <t>GET 路由 共 81／修 22／白名單 40（其餘 19 本來就乾淨）。修 22：開機後第一次呼叫就寫入或建表 22 個，其中 15 個每次呼叫都寫（strategy_prompt_versions 回填 13 個：/api/dashboard、/api/alerts、/api/strategy-prompts、版本 2、/api/insight-types、/api/insight-tasks、status、diagnose、/api/insights、calibrations samples、/api/ai-score、/api/evolution-config；schedule_config 2 個：/api/scheduler/jobs、/status），另 7 個只在第一次（ui-prefs、whats-new、dividend-inbox、rebates、system-log、snapshots、news）。依寫入來源計：10 處（settings_meta 競態 2 類 ui_prefs／whatsnew、懶建表 5 張、news.db、策略版本回填、排程列）全修。白名單 40：這些 GET 經 ensure_* 執行 `CREATE TABLE IF NOT EXISTS`，表已存在時在 prepare 階段就解決、不寫也不拿鎖——實測：另一條連線持有 BEGIN IMMEDIATE 時照樣 0.009 秒完成；新守門正是在持有寫鎖下跑這 40 個，所以白名單本身有測試釘住。修後重掃：第一次 0／第二次 0／5xx 0。掃描方法：以真正的 lifespan 開機全新資料庫＋golden 帳本，對 sqlite3.connect 掛 trace callback，每個 GET 呼叫兩次，記錄所有寫入句與 sqlite_master 差異。</t>
        </is>
      </c>
      <c r="J142" s="66" t="inlineStr">
        <is>
          <t>新增 tests/contract/test_def065_get_never_writes.py（3）：①ui-prefs 在沒有 ui_prefs 表的資料庫、另一條連線持有寫鎖時回 200 預設值且不建表，存值後同樣在鎖下讀回；②兩個連線同時第一次 seed（A 停在 seed 內部、B 跑完整流程），兩者都成功、seed 只跑一次；③開機後每個 GET 不寫、不改 schema、在兩個資料庫檔都被鎖時仍 &lt; 500。1ee7771 上：①②③全部失敗。變異：M1 config_store 換回 1ee7771 → ②失敗「{'A': "IntegrityError('UNIQUE constraint failed: settings_meta.category')"}」（正是驗證者看到的錯誤）；M2 把 ensure_ui_prefs_seeded 放回 get_ui_prefs（規格指定的變異）→ ①失敗「sqlite3.OperationalError: database is locked」；M3 拿掉開機時新增的 7 項 → ③失敗；M4 策略版本回填不先讀 → ③失敗並列出 11 個 GET「GET routes that write: /api/dashboard: ['INSERT INTO strategy_prompt_versions …']」。既有相關測試 59 檔 758 則全過。分頁競態：新增 tests/e2e/test_r5_tab_pick_survives_boot_flow.py（2：攔住 /api/input/context、點「CSV 匯入」後放行，分頁仍在 CSV；沒點時照舊預設手動交易），變異（boot 無條件 showTab('manual')）→ 失敗「Locator expected to have class 'mode-pane active' / Actual value: mode-pane」——正是預跑失敗的症狀。**e2e 全套連跑 3 次（最終版程式、84 檔）**：295／295、295／295、295／295；PD_E2E_NETLOG 保留的 uvicorn 記錄三次都是伺服器端 5xx 0、traceback 0（每次約 640 個 GET /api/ui-prefs 全部 200）。部署後 demo：GET /api/ui-prefs 連 5 次 200，11 頁 console 0 錯誤。</t>
        </is>
      </c>
      <c r="K142" s="67" t="inlineStr">
        <is>
          <t>3be67db（已部署 demo）</t>
        </is>
      </c>
      <c r="L142" s="66" t="inlineStr">
        <is>
          <t>本輪整體閘門（開發機、3be67db；依 owner 指示一次只跑一項、不並行）：ruff check portfolio_dash tests scripts 全過・mypy --strict 925 檔 0 問題（全新快取；首跑抓到新測試檔 3 處型別註記，已修）・pytest 非 e2e 分 4 段前景 6,310 則：6,308 passed／2 skipped／0 failed（contract 前半 934、後半 1,355、api～golden 1,743、其餘 2,278）・e2e 全套連跑 3 次（最終版程式、84 檔、每批 3 檔前景）：295／295、295／295、295／295，PD_E2E_NETLOG 保留的 uvicorn 記錄三次皆為伺服器端 5xx 0、traceback 0（每次約 640 個 GET /api/ui-prefs 全部 200）；另有 2 次在 input.js 修正前的預跑：293／293，以及 1 則失敗（R4 的 test_def049_batch_undo_oversell_flow，原因是交易頁分頁競態，已修並補測試，見 DEF-065）・stress-audit phase 1 ops=128、pass=6,025、fail=0（與 R4 相同）。註：本輪第一次跑全套時，我留在背景的舊版 e2e 重現迴圈與測試同時執行，把記憶體吃光，Claude Code 因此中止該次執行（非測試失敗）；清掉殘留行程後，依 owner 指示改為逐項前景執行，上列數字皆為重跑結果。部署：demo 備份 portfolio-pre-3be67db-20260925T123452Z.db＋news-pre-3be67db-20260925T123452Z.db（integrity ok；交易／股利／資金／公司行動／洞察卡／評分／稽核／匯入批次／價格／manual 價格 56／23／34／0／206／94／117／2／35,201／0）→ 部署 3be67db（無相依、無 schema 變更）→ /api/health commit=3be67db → settings_meta 已有 ui_prefs、whatsnew（開機建立）→ verify_live ALL PASS → 真實瀏覽器探測：11 頁 console 0 錯誤、頁面載入時伺服器端 5xx 0；精靈 15 個監聽規則全為中文且與 預警規則 逐字相同；/api/alert-rules 15 條皆帶 name；/api/cash/statement 每列帶 counts_from、信封有 future_count；明細 CSV 表頭最後一欄 counts_from；GET /api/ui-prefs 連 5 次 200。</t>
        </is>
      </c>
      <c r="M142" s="69" t="inlineStr">
        <is>
          <t>repo-r5（3be67db）：pytest tests/e2e 全套連跑 3 次（PD_E2E_NETLOG 保留每個測試伺服器的記錄）；race_probe：全新 DB 上 3 個執行緒同時首讀 get_ui_prefs 各 100 輪（舊版 1ee7771 與新版各跑一次）；demo 真實瀏覽器頁面內同時送 40 個 GET /api/ui-prefs、10 個 GET /api/insight-tasks/status；J-06 非 e2e 全套</t>
        </is>
      </c>
      <c r="N142" s="68" t="inlineStr">
        <is>
          <t>觀察：R4 e2e 3 次中 2 次出現 GET /api/ui-prefs 500
假設：①首讀時 ensure_seeded「先查再寫」的競態（兩個請求都判定未播種後各自 INSERT settings_meta）；②SQLite 寫鎖逾時
排除：race_probe 舊版 300 次首讀中 5 次 IntegrityError（UNIQUE constraint failed: settings_meta.category）、新版 0/300，排除②；e2e 三次皆 295/295，三份 netlog 各 6 則瀏覽器端 5xx 且三次完全相同，逐一核對皆為測試刻意注入故障的案例（a_failed_kind…、ack_retry…、a_failed_fetch…、an_unknown_list…、whatif…on_500），伺服器記錄 0 則 traceback／IntegrityError，第 3 次 638 個 GET /api/ui-prefs 全 200；demo 40 個並發 GET 全 200、insight-tasks/status 10 個全 200（單次 812 ms）
定位：shared/ui_prefs.py:55 get_ui_prefs 改為唯讀（無 DDL／seed／commit），播種移到開機（api/app.py lifespan）
判定：通過</t>
        </is>
      </c>
      <c r="O142" s="69" t="inlineStr">
        <is>
          <t>e2e 295/295 ×3（23:47、23:54、23:42）；伺服器端 5xx 0；並發 0 錯。變異（驗證者於本機 3be67db 重做）：get_ui_prefs 開頭放回 ensure_ui_prefs_seeded(conn) → 1 failed（test_get_ui_prefs_answers_under_a_held_write_lock_without_creating_its_table），還原後 3 passed</t>
        </is>
      </c>
      <c r="P142" s="68" t="inlineStr">
        <is>
          <t>複驗通過 → 結案</t>
        </is>
      </c>
      <c r="Q142" s="68" t="inlineStr">
        <is>
          <t>同類：開發者稱 81 個 GET 中 22 個原本會寫入；驗證者抽驗 /api/insight-tasks/status 並發 10 個全 200（R4 量到約 5.6 秒，本輪 812 ms）</t>
        </is>
      </c>
      <c r="R142" s="68" t="inlineStr">
        <is>
          <t>檢驗方 2026-09-25</t>
        </is>
      </c>
    </row>
    <row r="143" ht="219.75" customHeight="1" s="43">
      <c r="A143" s="72" t="inlineStr">
        <is>
          <t>R5</t>
        </is>
      </c>
      <c r="B143" s="72" t="inlineStr">
        <is>
          <t>DEF-062</t>
        </is>
      </c>
      <c r="C143" s="72" t="inlineStr">
        <is>
          <t>H-04</t>
        </is>
      </c>
      <c r="D143" s="72" t="inlineStr">
        <is>
          <t>2026-09-25</t>
        </is>
      </c>
      <c r="E143" s="66" t="inlineStr">
        <is>
          <t>同意。同類掃描另找到：calibration_regression 事件在整個系統都沒有名稱（推播會寫「portfolio-dash · 洞察任務 5 calibration_regression」），排程中心 alert_scan 的執行明細也直接列規則 id；推播、摘要、洞察卡晶片、R7 閘門訊息與 PUT 錯誤訊息都有同樣的「查不到就印 id」寫法。</t>
        </is>
      </c>
      <c r="F143" s="67" t="inlineStr">
        <is>
          <t>web/pipeline-wizard.js:29、:223；web/settings-alerts.js:97；portfolio_dash/ops/notify.py:72（第三份名稱表）、:367（推播退回 id）；portfolio_dash/api/routers/strategy.py:42（API 不帶名稱）</t>
        </is>
      </c>
      <c r="G143" s="67" t="inlineStr">
        <is>
          <t>tests/unit/test_notify.py::test_rule_catalog_covers_backend_rule_ids 只比對推播目錄的 id 是否涵蓋註冊表，沒檢查前端兩份 JS 表、也不比用詞；test_format_event_global_and_unknown 甚至斷言 id 會出現，把「退回 id」固定成正確行為；test_pages_smoke 的預警規則測試只數「至少 8 列」不讀文字；DEF-053 的 e2e 與同類掃描只看 scope 識別字。新守門：契約以規則註冊表 RULE_IDS 為母集合逐條斷言 API 的 name（新增規則沒給名稱就失敗，名稱表多出註冊表沒有的 id 也失敗）；e2e 讀精靈、預警規則、通知中心三頁的 DOM 文字；舊的「id 會出現」斷言改為「未命名規則」且 id 不出現。</t>
        </is>
      </c>
      <c r="H143" s="67" t="inlineStr">
        <is>
          <t>**唯一來源**：新增 portfolio_dash/shared/alert_rule_names.py——ALERT_RULE_NAMES（15 條，用詞以系統設定 › 預警規則現行名稱為準）、EVENT_RULE_NAMES（3 個技術訊號事件＋calibration_regression）、rule_name()（查不到回「未命名規則」並記 log 警告，絕不回 id）。放 shared/ 是因為讀它的層彼此不能互相匯入：ops/ 只能匯入 shared/、llm_insight/（R7）不能匯入 ops/、scheduler/ 也要用；不採注入是 D39 的理由——漏註冊會安靜退化，而退化結果正是這次要消除的 id。**API**：GET／PUT /api/alert-rules 每條帶 name；PUT 的三種 400 訊息改用名稱（「「單一標的集中度」低於下限」）。**前端**：精靈刪 RULE_LABELS 改讀 r.name；settings-alerts.js 的 META 刪掉 15 個 name（保留嚴重度、說明、步進）改讀 w.name；通知中心與洞察卡晶片的後備改「未命名規則」並 console.warn。**後端顯示端**：推播目錄、推播文字、摘要（今日警示、本週警示回顧）、洞察卡觸發晶片、R7 閘門訊息、alert_scan 明細（規則清單、略過與非持有說明）全改用 rule_name()；明細分隔改全形「、」。**用詞統一**：精靈「價格過期/缺價」→「價格過期」、「即將除息」→「即將除息提醒」；推播／通知中心／摘要／晶片「即將除息」→「即將除息提醒」；calibration_regression 新名「AI 成績轉差」。既有資料：卡片 trigger_json、訂閱設定、alert_events 都在讀取時解析名稱，不需遷移；修正前寫入的 job_runs.detail 歷史列與已存週報文字保留（見 owner 決策）。複驗請在 排程中心 › alert_scan 按「立即執行」產生新的一列（舊列仍是 id）。規則寫入 .claude/rules/architecture.md（shared/ 職責）。</t>
        </is>
      </c>
      <c r="I143" s="66" t="inlineStr">
        <is>
          <t>共 19／修 15／白名單 4。修：精靈勾選框、設定頁規則名、通知中心後備、洞察卡晶片後備、API 缺 name、PUT 三種 400 訊息、notify 第三份名稱表、推播退回 id、洞察卡 rule_label 退回 id（insights.py:1162）、摘要今日警示（digest_service.py:248）、摘要本週警示回顧（:537）、R7 閘門訊息（gating.py:178）、alert_scan 明細規則清單（jobs.py:1035）、_skipped_note（:955）、_not_held_note（:963）。白名單：strategy.py:85「未知規則 {id}」（未註冊 id 本來就沒有名稱，id 是辨識送了什麼的唯一線索，UI 不會送）；official_templates.py:370「規則代碼：{rule}」（給 LLM 的輸入、明示為代碼、不顯示給 owner，改它會改提示詞與快取指紋）；web/detail.js:54-58 RULE_LABEL（技術訊號規則鍵，另一組詞、單一份且齊全）；週行動清單「再平衡漂移」（命名的是動作不是規則）。掃過但不顯示規則識別：鈴鐺面板、任務抽屜「① 觸發」、digest.js、事件標題、操作記錄、R7 原因碼。掃描指令：後端 grep -rnE "\{[a-z_.]*(rule_id|\.rule|fired_rule|rule|rid|rules_seen)[^}]*\}" --include=*.py portfolio_dash；前端 grep -rn "rule_id|\.rule\b|fired_rule|alert_rules|ruleLabel|RULE_|\.rules\b|r\.label|rule_label" web；事件 id 以 AST 找所有 record_event(rule_id="…")。</t>
        </is>
      </c>
      <c r="J143" s="66" t="inlineStr">
        <is>
          <t>新增 tests/contract/test_def062_alert_rule_names.py（7：API 每條規則都有中文 name 且以註冊表為母集合、名稱與設定頁用詞一致、PUT 回應與錯誤訊息用名稱、通知中心目錄與 API 同名、每個寫入 alert_events 的事件 id 都有名稱、名稱表無多餘條目、未知 id 顯示「未命名規則」）、tests/unit/test_def062_rule_names_everywhere.py（43：推播、摘要、洞察卡晶片、R7、alert_scan 明細）、tests/e2e/test_def062_rule_names_flow.py（1：精靈 15 個勾選框都有文字且沒有任何一個符合 /[a-z]+_[a-z_]+/；同一規則在預警規則與通知中心與精靈同名；無 DEF-062 console 警告）；修改 test_notify、test_def041、test_alert_scan 三個既有斷言。1ee7771 上：50 則中 16 則失敗，e2e 失敗訊息列出的正是驗證者看到的 8 個 id。變異 6 組全攔：刪 vol_spike 名稱 → 10 則失敗（「vol_spike: 「未命名規則」 — the name table has no entry for a registered rule」）；精靈改回本地 7 條表 → e2e 失敗（8 個 id）；精靈用完整 15 條本地表但舊用詞 → e2e「wizard vs 預警規則 name the same rule differently: {'stale_price': ('價格過期/缺價', '價格過期'), …}」；API 拿掉 name → 契約 4 則＋e2e 失敗；推播改回退回 id → 3 則失敗；排程明細改回 id → 1 則失敗「3 alert(s) [vol_spike, drawdown_from_peak, fx_drift]」。</t>
        </is>
      </c>
      <c r="K143" s="67" t="inlineStr">
        <is>
          <t>3be67db（已部署 demo）</t>
        </is>
      </c>
      <c r="L143" s="66" t="inlineStr">
        <is>
          <t>本輪整體閘門（開發機、3be67db；依 owner 指示一次只跑一項、不並行）：ruff check portfolio_dash tests scripts 全過・mypy --strict 925 檔 0 問題（全新快取；首跑抓到新測試檔 3 處型別註記，已修）・pytest 非 e2e 分 4 段前景 6,310 則：6,308 passed／2 skipped／0 failed（contract 前半 934、後半 1,355、api～golden 1,743、其餘 2,278）・e2e 全套連跑 3 次（最終版程式、84 檔、每批 3 檔前景）：295／295、295／295、295／295，PD_E2E_NETLOG 保留的 uvicorn 記錄三次皆為伺服器端 5xx 0、traceback 0（每次約 640 個 GET /api/ui-prefs 全部 200）；另有 2 次在 input.js 修正前的預跑：293／293，以及 1 則失敗（R4 的 test_def049_batch_undo_oversell_flow，原因是交易頁分頁競態，已修並補測試，見 DEF-065）・stress-audit phase 1 ops=128、pass=6,025、fail=0（與 R4 相同）。註：本輪第一次跑全套時，我留在背景的舊版 e2e 重現迴圈與測試同時執行，把記憶體吃光，Claude Code 因此中止該次執行（非測試失敗）；清掉殘留行程後，依 owner 指示改為逐項前景執行，上列數字皆為重跑結果。部署：demo 備份 portfolio-pre-3be67db-20260925T123452Z.db＋news-pre-3be67db-20260925T123452Z.db（integrity ok；交易／股利／資金／公司行動／洞察卡／評分／稽核／匯入批次／價格／manual 價格 56／23／34／0／206／94／117／2／35,201／0）→ 部署 3be67db（無相依、無 schema 變更）→ /api/health commit=3be67db → settings_meta 已有 ui_prefs、whatsnew（開機建立）→ verify_live ALL PASS → 真實瀏覽器探測：11 頁 console 0 錯誤、頁面載入時伺服器端 5xx 0；精靈 15 個監聽規則全為中文且與 預警規則 逐字相同；/api/alert-rules 15 條皆帶 name；/api/cash/statement 每列帶 counts_from、信封有 future_count；明細 CSV 表頭最後一欄 counts_from；GET /api/ui-prefs 連 5 次 200。</t>
        </is>
      </c>
      <c r="M143" s="68" t="inlineStr">
        <is>
          <t>真實瀏覽器：洞察管線 › ＋新增洞察任務 → 觸發「預警觸發」讀監聽規則 15 個勾選框（不建立，關閉）；GET /api/alert-rules；系統設定 › 預警規則 比對名稱；系統設定 › 排程中心 › alert_scan「立即執行」（依開發者指示）後讀新一列執行明細；AI 洞察頁讀卡片觸發晶片</t>
        </is>
      </c>
      <c r="N143" s="68" t="inlineStr">
        <is>
          <t>觀察：R4 時精靈 15 個勾選框中 8 個顯示規則 id
假設：①名稱單一來源、各處同名；②只補了精靈的本地表
排除：精靈 15 個勾選框全為中文，以 /[a-z]+_[a-z_]+/ 掃描 0 個；逐一與 /api/alert-rules 每條的 name 比對 15/15 相同（例 stale_price＝價格過期、exdiv_upcoming＝即將除息提醒、drawdown_from_peak＝高點回撤、target_cross＝目標價穿越）；預警規則頁 15 個名稱全部出現、0 個 id；alert_scan run #195 明細「18 alert(s) [單一標的集中度、產業集中度、價格過期、匯率漂移、高點回撤、幣別集中度], 7 dispatched；…略過 1 條非個股預警（不產個股卡）：匯率漂移 帳戶…；略過 7 條觀察標的預警（未持有，不產卡）：高點回撤 1234、…」（修正前 #193 為 id）；新卡 #222～#225 晶片「由預警「高點回撤」觸發」。名稱來自 API，排除②
判定：通過
變異（驗證者於本機 3be67db 重做）：rule_name 直接回傳規則 id → 48 failed（assert '[波動突升、高點回撤、匯率漂移]' in '3 alert(s) [vol_spike、drawdown_from_peak、fx_drift]…'），還原後通過</t>
        </is>
      </c>
      <c r="O143" s="68" t="inlineStr">
        <is>
          <t>精靈 15/15 中文且與 API／預警規則頁逐字相同；排程明細與卡片晶片皆為中文</t>
        </is>
      </c>
      <c r="P143" s="68" t="inlineStr">
        <is>
          <t>複驗通過 → 結案</t>
        </is>
      </c>
      <c r="Q143" s="68" t="inlineStr">
        <is>
          <t>附帶：依開發者指示立即執行 alert_scan，這次派發未被去重（距上次派發已逾一日），產生 insight:9 run #196～#202：4 張卡 #222～#225（$0.0028558＝額度 3.2606018→3.2577460），另 3 個 run partial——主模型 gemini-2.5-flash-lite 兩次回傳截斷的 JSON（invalid_json：EOF while parsing），備援 haiku-4.5 失敗原因為「tenacity import failed please run `pip install tenacity`. ErrorNo module named 'tenacity'」。開 DEF-066（中）</t>
        </is>
      </c>
      <c r="R143" s="68" t="inlineStr">
        <is>
          <t>檢驗方 2026-09-25</t>
        </is>
      </c>
    </row>
    <row r="144" ht="219.75" customHeight="1" s="43">
      <c r="A144" s="72" t="inlineStr">
        <is>
          <t>R5</t>
        </is>
      </c>
      <c r="B144" s="72" t="inlineStr">
        <is>
          <t>DEF-064</t>
        </is>
      </c>
      <c r="C144" s="72" t="inlineStr">
        <is>
          <t>H-04</t>
        </is>
      </c>
      <c r="D144" s="72" t="inlineStr">
        <is>
          <t>2026-09-25</t>
        </is>
      </c>
      <c r="E144" s="66" t="inlineStr">
        <is>
          <t>同意。只在宇宙加條件不夠：實測 1ee7771「全部賣出 → 封存 → 刪除賣出」後持股 1,000 股但標的仍是封存、不在報價宇宙；放空可以封存；以未來日期賣出清倉也可以封存。已封存但仍持有的標的會被新的過濾排除，違反「持倉永不排除」，所以封存守門與寫入端一起修。</t>
        </is>
      </c>
      <c r="F144" s="67" t="inlineStr">
        <is>
          <t>portfolio_dash/pricing/ingest.py:55、:68（兩個宇宙）；portfolio_dash/api/routers/instruments.py:58（封存守門 &gt; 0、全日期淨額）；portfolio_dash/data_ingestion/store.py:1636（刪除交易）與其他 8 個會改變持股的寫入函式（不重新啟用）；portfolio_dash/scheduler/jobs.py:1292（報價宇宙，原本正確但為第三份寫法）</t>
        </is>
      </c>
      <c r="G144" s="66" t="inlineStr">
        <is>
          <t>封存的守門測試是逐一範圍、在某個範圍被修時才補的（tests/contract/test_instruments_delete_archive.py:292／302／311 管報價、訊號、新聞，DEF-059 管洞察）；tests/pricing/test_ingest.py:41 的夾具沒有已封存列，只驗「全表都在」——從沒加過過濾的範圍就從沒有測試。不變式只釘了兩個新增入口（tests/data_ingestion/test_instruments_delete.py:199／209），test_archive_held_422 只測多頭。新守門把 7 個宇宙參數化逐一驗「封存後恰好少了那一檔」，5 個排程用排程器自己的 run_job 實跑並在 provider 接縫擷取實際送出的清單，不變式對每一個入口都有行為測試，最後整體驗「已封存者無一持有」。</t>
        </is>
      </c>
      <c r="H144" s="67" t="inlineStr">
        <is>
          <t>**唯一判定**：新增 portfolio_dash/shared/instrument_scope.py（TRACKED_SQL＝`COALESCE(archived, 0) = 0`、tracked_instruments、tracked_symbols；pricing 只能匯入 shared，docstring 註明借用 instruments 表）。7 處改走它：ingest.tw_universe、ingest.all_universe（本單）、jobs.build_worklist（報價，原本正確）、DEF-059 洞察宇宙、訊號、新聞、警示（原本各自寫 `not i.archived`）——全 repo 只剩一份定義。**持有的單一定義**：data_ingestion/holdings.py::holds_position＝任一帳戶在今天或之後任何一個帳本日期持股 ≠ 0（涵蓋放空、未來日期列、未釐清賣超）。兩邊用同一個判定：封存／移除路由的守門（api/routers/instruments.py::_archive_blocked），以及寫入端 store._reactivate_if_held——修改／刪除交易、股利新增／修改／刪除（配股、DRIP）、期初刪除、公司行動新增／修改／刪除，只有已封存的標的才重播帳本；批次復原經 store 的刪除函式自動涵蓋。還原後下一次排程自然回到宇宙（有測試），不需另外回補。</t>
        </is>
      </c>
      <c r="I144" s="67" t="inlineStr">
        <is>
          <t>`FROM instruments` 讀取點 共 16／修 2（ingest.py:55、:68）／改走共用 1（jobs.py:1292）／白名單 13（依名稱查市場 2、觀察清單 board_status 1、股利帳本幣別 1、帳戶合併對帳 2、get_instrument、list_instruments 註冊表本身、產業遷移、purge 稽核、ETF 旗標稽核腳本、刪卡腳本、stress-audit oracle——這些都應含封存）。list_instruments 的宇宙類 共 6／改走共用 4（洞察、訊號、新聞、警示）／白名單 2（fundamentals_service.py:33 只抓持倉；dividend_inbox.py:220 配息權利偵測，超出 ⑦ 點名的 5 個排程，見 owner 決策）；其餘 28 個呼叫點是顯示、帳本或查名。「持有 ⇒ 未封存」入口 共 13／修 11（2 個封存路由＋9 個寫入函式）／原本正確 2。掃描指令：git grep -n -i -E "from instruments|join instruments" 1ee7771 -- portfolio_dash scripts；git grep -n "list_instruments(" 1ee7771 -- portfolio_dash scripts。</t>
        </is>
      </c>
      <c r="J144" s="66" t="inlineStr">
        <is>
          <t>新增 tests/contract/test_def064_fetch_universes_exclude_archived.py（26 例）：7 個宇宙封存後各少恰好一檔、還原後回來、SQL 範圍與註冊表旗標一致、3 個 FinMind 排程＋共識＋基本面實際送出的清單不含封存標的；多頭、放空、未來日期賣出清倉、未來日期買進都拒絕封存，已清倉可封存；刪除賣出、賣出量改小、刪除換股、換股進已封存標的、配股都會重新啟用，只改價格（仍清倉）維持封存；整體不變式。1ee7771 上 23 例失敗（宇宙與排程 15、放空與未來賣出 2、重新啟用 6），另 3 例為回歸釘。變異：M-A tw_universe 放回舊 SQL → 5 則失敗「AssertionError: ingest.tw_universe: archiving must remove exactly the archived symbols (before=['2317', '2330', '2454'], after=['2317', '2330', '2454'])」（兩個宇宙都放回 → 9）；M-B 共用判定改成 1 = 1 → 15 則；M-C 守門改回 &gt; 0 → 放空與未來賣出 2 則「{"ok":true,"archived":true}」；M-D 重新啟用直接 return → 6 則。</t>
        </is>
      </c>
      <c r="K144" s="67" t="inlineStr">
        <is>
          <t>3be67db（已部署 demo）</t>
        </is>
      </c>
      <c r="L144" s="66" t="inlineStr">
        <is>
          <t>本輪整體閘門（開發機、3be67db；依 owner 指示一次只跑一項、不並行）：ruff check portfolio_dash tests scripts 全過・mypy --strict 925 檔 0 問題（全新快取；首跑抓到新測試檔 3 處型別註記，已修）・pytest 非 e2e 分 4 段前景 6,310 則：6,308 passed／2 skipped／0 failed（contract 前半 934、後半 1,355、api～golden 1,743、其餘 2,278）・e2e 全套連跑 3 次（最終版程式、84 檔、每批 3 檔前景）：295／295、295／295、295／295，PD_E2E_NETLOG 保留的 uvicorn 記錄三次皆為伺服器端 5xx 0、traceback 0（每次約 640 個 GET /api/ui-prefs 全部 200）；另有 2 次在 input.js 修正前的預跑：293／293，以及 1 則失敗（R4 的 test_def049_batch_undo_oversell_flow，原因是交易頁分頁競態，已修並補測試，見 DEF-065）・stress-audit phase 1 ops=128、pass=6,025、fail=0（與 R4 相同）。註：本輪第一次跑全套時，我留在背景的舊版 e2e 重現迴圈與測試同時執行，把記憶體吃光，Claude Code 因此中止該次執行（非測試失敗）；清掉殘留行程後，依 owner 指示改為逐項前景執行，上列數字皆為重跑結果。部署：demo 備份 portfolio-pre-3be67db-20260925T123452Z.db＋news-pre-3be67db-20260925T123452Z.db（integrity ok；交易／股利／資金／公司行動／洞察卡／評分／稽核／匯入批次／價格／manual 價格 56／23／34／0／206／94／117／2／35,201／0）→ 部署 3be67db（無相依、無 schema 變更）→ /api/health commit=3be67db → settings_meta 已有 ui_prefs、whatsnew（開機建立）→ verify_live ALL PASS → 真實瀏覽器探測：11 頁 console 0 錯誤、頁面載入時伺服器端 5xx 0；精靈 15 個監聽規則全為中文且與 預警規則 逐字相同；/api/alert-rules 15 條皆帶 name；/api/cash/statement 每列帶 counts_from、信封有 future_count；明細 CSV 表頭最後一欄 counts_from；GET /api/ui-prefs 連 5 次 200。</t>
        </is>
      </c>
      <c r="M144" s="68" t="inlineStr">
        <is>
          <t>本機專用測試環境（repo-env 3be67db、127.0.0.1:8766、Playwright Chromium 真實頁面）：觀察清單 › 移除（隱藏）依序對 VRTB（已換股清倉）、2330（多頭）、0056（另加一筆 2026-10-15 賣出 5,000 股清倉，今日仍持有）、VRTB（另加一筆放空 10 股）；VRTB 移除後到 交易帳本 › 公司行動 刪除 VRTB→VRTA 換股 #3（讓 VRTB 重新持有）；每一步後 排程 quotes_us「立即執行」讀明細失敗清單；每個情境後以測前 DB 備份還原並比對帳本雜湊</t>
        </is>
      </c>
      <c r="N144" s="68" t="inlineStr">
        <is>
          <t>觀察：R4 開單時 tw_universe／all_universe 讀 instruments 全表（含封存）；開發者驗前提時另發現放空、只靠未來日期賣出清倉的標的可被封存，封存後重新持有也不會解除
假設：①只在抓取宇宙加條件；②守門（封存）與寫入端（重新持有）改用同一個「持有」判定
排除：VRTB 已清倉 → toast「已移除 VRTB」、archived=1，quotes_us 失敗清單由 7 項（AAPL、NVDA、ORBT、USDMYR、USDTWD、VRTA、VRTB）變 6 項（VRTB 消失）；2330 多頭、0056（儀表板今日仍 5,000 股）、VRTB 放空 −10 三者皆跳「無法移除：持倉中的標的不可移除或封存」、archived 維持 0；VRTB 封存後在畫面刪除換股 #3（確認框「確定刪除 VRTB 在 2026-06-16 的換股？」）→ 儀表板 VRTB 回到 schwab 40 股、archived 自動變 0、quotes_us 清單重新含 VRTB。排除①。另於 repo-r5m 重做 3 組變異（見下）
定位：data_ingestion/holdings.py:532 holds_position（今日或之後任一帳本日 ≠ 0）、api/routers/instruments.py:65 _archive_blocked、pricing/ingest.py:53 tw_universe → shared/instrument_scope.py
判定：通過</t>
        </is>
      </c>
      <c r="O144" s="68" t="inlineStr">
        <is>
          <t>封存守門 4 情境與設計一致（清倉允許；多頭／未來清倉／放空拒絕 422）；重新持有自動解除封存；報價宇宙隨封存進出；還原後帳本雜湊 27d0aeca71456835 與測前相同。變異（驗證者於本機 3be67db 重做）：holds_position 的 ≠0 改 &gt;0 → 1 failed（放空可封存：{"ok":true,"archived":true}）；只看今日（days=[today]）→ 1 failed（未來日期買進可封存）；tw_universe 改回讀全表 → 5 failed（assert '2454' not in ['2317', '2330', '2454']），還原後 26 passed</t>
        </is>
      </c>
      <c r="P144" s="68" t="inlineStr">
        <is>
          <t>複驗通過 → 結案</t>
        </is>
      </c>
      <c r="Q144" s="69" t="inlineStr">
        <is>
          <t>FinMind 等 5 個排程實際送出的清單需要外網，本機以開發者 26 例契約測試（驗證者重跑 26 passed）＋變異 tw_universe 佐證。Owner 決策項 ①（收件匣掃描宇宙）②（觀察清單「持有」徽章仍用舊判定：放空／未來清倉不顯示持有卻移除回 422）見交接紀錄</t>
        </is>
      </c>
      <c r="R144" s="68" t="inlineStr">
        <is>
          <t>檢驗方 2026-09-25</t>
        </is>
      </c>
    </row>
    <row r="145" ht="219.75" customHeight="1" s="43">
      <c r="A145" s="72" t="inlineStr">
        <is>
          <t>R5</t>
        </is>
      </c>
      <c r="B145" s="72" t="inlineStr">
        <is>
          <t>DEF-063</t>
        </is>
      </c>
      <c r="C145" s="72" t="inlineStr">
        <is>
          <t>D-10</t>
        </is>
      </c>
      <c r="D145" s="72" t="inlineStr">
        <is>
          <t>2026-09-25</t>
        </is>
      </c>
      <c r="E145" s="66" t="inlineStr">
        <is>
          <t>同意，依 owner 裁定寫清理腳本。「誰擁有這列起始價」只保留一份判定，腳本與刪除、批次復原、編輯搬移呼叫同一個 method，兩邊不可能判得不一樣。</t>
        </is>
      </c>
      <c r="F145" s="67" t="inlineStr">
        <is>
          <t>portfolio_dash/pricing/seed.py:140；portfolio_dash/api/routers/ledgers.py:2450（_owned_slot，擁有判定原本只在路由層）、:2476；demo 資料 prices（source manual、簽章完整、無擁有者的列）</t>
        </is>
      </c>
      <c r="G145" s="67" t="inlineStr">
        <is>
          <t>R4 的 tests/contract/test_def040_r4_seed_never_overwrites.py 刻意釘住「孤兒不覆寫、不刪」（前向行為）；盲點是沒有「每一列起始價簽章都有擁有者」這條不變式，既有殘留從不被列舉。新防線：腳本的試跑就是這條不變式的檢查（清理後必須顯示 0 筆），由測試釘住；擁有判定抽成單一 method 後，拿掉舊格式規則的變異會同時打壞腳本與既有的刪除門測試。</t>
        </is>
      </c>
      <c r="H145" s="66" t="inlineStr">
        <is>
          <t>新增 scripts/clean_orphan_seed_prices.py（比照 clean_rebate_snapshots.py 與 delete_insight_cards.py）：--db 必填，檔案不存在、缺 prices／corporate_actions 表或缺 child_seed_json 欄都拒絕；預設試跑，逐列印出 symbol、日期、close、fetched_at 與判定理由，保留的列也寫原因（仍被新格式或舊格式擁有、簽章不完整）；--apply 必須搭配 --reason，先以 ops.backup.pre_write_snapshot 備份（&lt;DB 目錄&gt;/snapshots/pre_clean_orphan_seed_&lt;時間&gt;.db.gz，印出路徑），再在 BEGIN IMMEDIATE 內重新判定、逐列刪除（條件 source＝manual 且 fetched_at 等於原列），每列寫一筆 ledger_audit（table prices、action delete、source「腳本 clean_orphan_seed_prices（DEF-063）」、before_json 為完整原列）並寫一筆 action_log 摘要；--backfill 對受影響標的從最早清理日跑一次歷史回補取回正式報價，印出寫入列數，失敗只印訊息、不影響已提交的清理；重跑為 no-op。擁有判定從 api/routers/ledgers.py::_owned_slot 搬到 data_ingestion/store.py::StoredCorporateAction.owned_seed_slot()（pricing 不能匯入 shared.corporate_actions，D17 守門），簽章判定改為公開的 seed.has_seed_signature 與刪除共用。</t>
        </is>
      </c>
      <c r="I145" s="66" t="inlineStr">
        <is>
          <t>「誰擁有起始價」共 1 份定義、5 個讀者（單筆刪除、整組刪除、批次復原、編輯搬移、清理腳本）／修 1（抽出共用）／白名單 0。刪除 manual 價格列的地方共 2（seed.remove_seed_price、本腳本），同一份簽章與擁有判定。掃描指令：grep -rn "DELETE FROM prices\|SEED_SOURCE\|_owned_slot\|owned_seed_slot" portfolio_dash scripts --include=*.py。demo 執行結果見 L 欄。</t>
        </is>
      </c>
      <c r="J145" s="66" t="inlineStr">
        <is>
          <t>新增 tests/scripts/test_clean_orphan_seed_prices.py（14 例）：孤兒被刪（含記錄說沒寫入任何列的 SPINOFF）；新格式與舊格式擁有的起始價、正式報價、簽章不完整（09:15）都保留且逐位元組不變；試跑不寫入也不備份；稽核列 before_json 等於被刪的原列；第一次刪除前備份已存在且解壓後仍含孤兒；重跑 no-op；拒絕路徑不存在、缺 reason、空白 reason；回補用假 provider 寫入 2 列並取回報價，離線三種情境都 exit 0 且清理保留（回補測試一律替換 provider 接縫——曾觀察到 yfinance 的 curl 傳輸會繞過 pytest-socket）。1ee7771 沒有這支腳本，全部失敗。變異 M-E（owned_seed_slot 拿掉舊格式規則）→ 9 則失敗：腳本 5 則（「assert '孤兒起始價：2 筆' in '...孤兒起始價：3 筆 → 刪除 LEGA 2026-03-04 ...'」）＋既有刪除門 4 則（test_def040 批次復原、test_def060 舊格式搬移、test_def040_r4 舊格式簽章規則 2 則），證明兩邊判定一致。</t>
        </is>
      </c>
      <c r="K145" s="67" t="inlineStr">
        <is>
          <t>3be67db（已部署 demo）</t>
        </is>
      </c>
      <c r="L145" s="66" t="inlineStr">
        <is>
          <t>本輪整體閘門（開發機、3be67db；依 owner 指示一次只跑一項、不並行）：ruff check portfolio_dash tests scripts 全過・mypy --strict 925 檔 0 問題（全新快取；首跑抓到新測試檔 3 處型別註記，已修）・pytest 非 e2e 分 4 段前景 6,310 則：6,308 passed／2 skipped／0 failed（contract 前半 934、後半 1,355、api～golden 1,743、其餘 2,278）・e2e 全套連跑 3 次（最終版程式、84 檔、每批 3 檔前景）：295／295、295／295、295／295，PD_E2E_NETLOG 保留的 uvicorn 記錄三次皆為伺服器端 5xx 0、traceback 0（每次約 640 個 GET /api/ui-prefs 全部 200）；另有 2 次在 input.js 修正前的預跑：293／293，以及 1 則失敗（R4 的 test_def049_batch_undo_oversell_flow，原因是交易頁分頁競態，已修並補測試，見 DEF-065）・stress-audit phase 1 ops=128、pass=6,025、fail=0（與 R4 相同）。註：本輪第一次跑全套時，我留在背景的舊版 e2e 重現迴圈與測試同時執行，把記憶體吃光，Claude Code 因此中止該次執行（非測試失敗）；清掉殘留行程後，依 owner 指示改為逐項前景執行，上列數字皆為重跑結果。部署：demo 備份 portfolio-pre-3be67db-20260925T123452Z.db＋news-pre-3be67db-20260925T123452Z.db（integrity ok；交易／股利／資金／公司行動／洞察卡／評分／稽核／匯入批次／價格／manual 價格 56／23／34／0／206／94／117／2／35,201／0）→ 部署 3be67db（無相依、無 schema 變更）→ /api/health commit=3be67db → settings_meta 已有 ui_prefs、whatsnew（開機建立）→ verify_live ALL PASS → 真實瀏覽器探測：11 頁 console 0 錯誤、頁面載入時伺服器端 5xx 0；精靈 15 個監聽規則全為中文且與 預警規則 逐字相同；/api/alert-rules 15 條皆帶 name；/api/cash/statement 每列帶 counts_from、信封有 future_count；明細 CSV 表頭最後一欄 counts_from；GET /api/ui-prefs 連 5 次 200。
DEF-063 demo 執行（3be67db 部署後、備份 portfolio-pre-3be67db-20260925T123452Z.db 之後）：試跑「prices 中來源為 'manual' 的列：0 筆；孤兒起始價：0 筆」——demo 的 prices 35,201 列全部來源 yfinance，corporate_actions 中 SPINOFF 0 筆，R2／R3 的起始價已在先前各輪還原時一併移除，沒有殘留；--apply --reason「DEF-063 owner 裁定④（2026-09-25）：清理 R2／R3 遺留的孤兒起始價」→「沒有需要清理的孤兒起始價」，未刪除任何列、未寫 ledger_audit／action_log、未產生快照（腳本在 0 筆時不動資料庫）；重跑試跑仍 0 筆。無受影響標的，未執行 --backfill。</t>
        </is>
      </c>
      <c r="M145" s="68" t="inlineStr">
        <is>
          <t>本機：複製本機 DB（test.db），插入 3 列 manual 價格——VRTA 2026-06-10 簽章完整（fetched_at 當日 00:00）且無任何公司行動擁有＝孤兒；KEMG 2026-06-30 改為簽章完整、由舊格式 SPINOFF #4（child_seed_json NULL）擁有；KEMB 2026-06-11 fetched_at 09:15 簽章不完整——再依序執行 scripts/clean_orphan_seed_prices.py：不存在的 --db、試跑、--apply 無 reason、--apply 空白 reason、--apply --reason、重跑試跑、重跑 --apply；解壓備份核對</t>
        </is>
      </c>
      <c r="N145" s="68" t="inlineStr">
        <is>
          <t>觀察：R4 決策 ④——R2／R3 留下的孤兒起始價不會被任何程式移除
假設：①腳本只刪「簽章完整且無擁有者」的列；②判定過寬（刪到被擁有或簽章不完整的列）或過窄
排除：試跑列 manual 3 筆、孤兒 1 筆，逐列印理由（保留 KEMB「簽章不完整」、保留 KEMG「仍被擁有 — 公司行動 #4（舊格式分拆）」、刪除 VRTA「沒有任何公司行動的 child_seed_json 記錄…」）；不存在的路徑 rc=2「不會建立新檔」且目錄無新檔；無 reason／空白 reason rc=2 未寫入；--apply 先寫備份 snapshots/pre_clean_orphan_seed_2026-09-25T232222.db.gz（解壓後仍含 VRTA 孤兒），再刪 1 列：ledger_audit 1 列（prices／delete／source「腳本 clean_orphan_seed_prices（DEF-063）」／before_json 為原列全文）、action_log #32（SCRIPT、「孤兒起始價清理（資料清理）1 列：VRTA 2026-06-10；QA R5 DEF-063 本機複驗」）；其餘 prices 列與備份逐位元相同；重跑試跑與 --apply 皆「沒有需要清理的孤兒起始價」。demo 依開發者說明試跑 0 筆（demo 無 manual 列）。排除②
定位：scripts/clean_orphan_seed_prices.py、pricing/seed.py:151 has_seed_signature、data_ingestion/store.py owned_seed_slot
判定：通過</t>
        </is>
      </c>
      <c r="O145" s="69" t="inlineStr">
        <is>
          <t>7 個情境全數符合規格（拒絕 3、試跑 1、套用 1、重跑 2）。變異（驗證者於本機 3be67db 重做）：has_seed_signature 拿掉「00:00」條件 → 4 failed（KeyError: ('ORPH', '2026-03-06')；assert 3 == 2），還原後 14 passed</t>
        </is>
      </c>
      <c r="P145" s="68" t="inlineStr">
        <is>
          <t>複驗通過 → 結案</t>
        </is>
      </c>
      <c r="Q145" s="68" t="inlineStr">
        <is>
          <t>無</t>
        </is>
      </c>
      <c r="R145" s="68" t="inlineStr">
        <is>
          <t>檢驗方 2026-09-25</t>
        </is>
      </c>
    </row>
    <row r="146" ht="219.75" customHeight="1" s="43">
      <c r="A146" s="72" t="inlineStr">
        <is>
          <t>R5</t>
        </is>
      </c>
      <c r="B146" s="72" t="inlineStr">
        <is>
          <t>DEF-066</t>
        </is>
      </c>
      <c r="C146" s="72" t="inlineStr">
        <is>
          <t>G-09</t>
        </is>
      </c>
      <c r="D146" s="72" t="inlineStr">
        <is>
          <t>2026-09-25</t>
        </is>
      </c>
      <c r="E146" s="66" t="inlineStr">
        <is>
          <t>—（本輪由檢驗方發現）</t>
        </is>
      </c>
      <c r="F146" s="67" t="inlineStr">
        <is>
          <t>—</t>
        </is>
      </c>
      <c r="G146" s="67" t="inlineStr">
        <is>
          <t>—</t>
        </is>
      </c>
      <c r="H146" s="67" t="inlineStr">
        <is>
          <t>—</t>
        </is>
      </c>
      <c r="I146" s="67" t="inlineStr">
        <is>
          <t>—</t>
        </is>
      </c>
      <c r="J146" s="67" t="inlineStr">
        <is>
          <t>—</t>
        </is>
      </c>
      <c r="K146" s="67" t="inlineStr">
        <is>
          <t>—</t>
        </is>
      </c>
      <c r="L146" s="67" t="inlineStr">
        <is>
          <t>—</t>
        </is>
      </c>
      <c r="M146" s="69" t="inlineStr">
        <is>
          <t>demo 真實瀏覽器：排程中心 alert_scan 立即執行 → 讀 insight:9 各 run 狀態與明細；本機 venv 檢查相依</t>
        </is>
      </c>
      <c r="N146" s="68" t="inlineStr">
        <is>
          <t>觀察：7 個 run 中 3 個 partial，明細皆為 tenacity import failed
假設：①備援模型本身故障；②重試機制缺相依，原錯誤被蓋掉
排除：同一 run 內 haiku-4.5 的錯誤訊息不是 provider 回應而是 litellm 的 import 失敗；venv 確認無 tenacity、pyproject 無此相依，排除①
定位：shared/llm.py:323-329（num_retries）→ litellm 重試路徑
判定：FAIL（中）— 備援與重試在主模型出錯時才會走到，目前等於不存在</t>
        </is>
      </c>
      <c r="O146" s="69" t="inlineStr">
        <is>
          <t>3/7 run partial；明細為英文例外原文</t>
        </is>
      </c>
      <c r="P146" s="69" t="inlineStr">
        <is>
          <t>FAIL</t>
        </is>
      </c>
      <c r="Q146" s="68" t="inlineStr">
        <is>
          <t>開 DEF-066</t>
        </is>
      </c>
      <c r="R146" s="68" t="inlineStr">
        <is>
          <t>檢驗方 2026-09-25</t>
        </is>
      </c>
    </row>
    <row r="147" ht="219.75" customHeight="1" s="43">
      <c r="A147" s="72" t="inlineStr">
        <is>
          <t>R5</t>
        </is>
      </c>
      <c r="B147" s="72" t="inlineStr">
        <is>
          <t>DEF-067</t>
        </is>
      </c>
      <c r="C147" s="72" t="inlineStr">
        <is>
          <t>E-05</t>
        </is>
      </c>
      <c r="D147" s="72" t="inlineStr">
        <is>
          <t>2026-09-25</t>
        </is>
      </c>
      <c r="E147" s="66" t="inlineStr">
        <is>
          <t>—（本輪由檢驗方發現）</t>
        </is>
      </c>
      <c r="F147" s="67" t="inlineStr">
        <is>
          <t>—</t>
        </is>
      </c>
      <c r="G147" s="67" t="inlineStr">
        <is>
          <t>—</t>
        </is>
      </c>
      <c r="H147" s="67" t="inlineStr">
        <is>
          <t>—</t>
        </is>
      </c>
      <c r="I147" s="67" t="inlineStr">
        <is>
          <t>—</t>
        </is>
      </c>
      <c r="J147" s="67" t="inlineStr">
        <is>
          <t>—</t>
        </is>
      </c>
      <c r="K147" s="67" t="inlineStr">
        <is>
          <t>—</t>
        </is>
      </c>
      <c r="L147" s="67" t="inlineStr">
        <is>
          <t>—</t>
        </is>
      </c>
      <c r="M147" s="68" t="inlineStr">
        <is>
          <t>本機：排程中心畫面改 cron → 等 22:38 自然觸發 → 讀 排程中心 各列與 /api/scheduler/runs → 畫面還原 cron</t>
        </is>
      </c>
      <c r="N147" s="68" t="inlineStr">
        <is>
          <t>觀察：dividends_daily 0/10 成功卻記「成功」
假設：①provider 真的回了空結果（不算失敗）；②狀態判定只看回傳型別
排除：明細本身逐檔寫「yfinance 回應錯誤」，同一時點報價工作判為 partial，排除①
定位：scheduler/jobs.py:208-210、:620-626
判定：FAIL（中）— E-05 ③「失敗時狀態為 partial／failed」未達成</t>
        </is>
      </c>
      <c r="O147" s="69" t="inlineStr">
        <is>
          <t>dividends_daily 0/10 成功、狀態 ok</t>
        </is>
      </c>
      <c r="P147" s="69" t="inlineStr">
        <is>
          <t>FAIL</t>
        </is>
      </c>
      <c r="Q147" s="68" t="inlineStr">
        <is>
          <t>開 DEF-067</t>
        </is>
      </c>
      <c r="R147" s="68" t="inlineStr">
        <is>
          <t>檢驗方 2026-09-25</t>
        </is>
      </c>
    </row>
    <row r="148" ht="219.75" customHeight="1" s="43">
      <c r="A148" s="72" t="inlineStr">
        <is>
          <t>R5</t>
        </is>
      </c>
      <c r="B148" s="72" t="inlineStr">
        <is>
          <t>DEF-068</t>
        </is>
      </c>
      <c r="C148" s="72" t="inlineStr">
        <is>
          <t>E-11</t>
        </is>
      </c>
      <c r="D148" s="72" t="inlineStr">
        <is>
          <t>2026-09-25</t>
        </is>
      </c>
      <c r="E148" s="66" t="inlineStr">
        <is>
          <t>—（本輪由檢驗方發現）</t>
        </is>
      </c>
      <c r="F148" s="67" t="inlineStr">
        <is>
          <t>—</t>
        </is>
      </c>
      <c r="G148" s="67" t="inlineStr">
        <is>
          <t>—</t>
        </is>
      </c>
      <c r="H148" s="67" t="inlineStr">
        <is>
          <t>—</t>
        </is>
      </c>
      <c r="I148" s="67" t="inlineStr">
        <is>
          <t>—</t>
        </is>
      </c>
      <c r="J148" s="67" t="inlineStr">
        <is>
          <t>—</t>
        </is>
      </c>
      <c r="K148" s="67" t="inlineStr">
        <is>
          <t>—</t>
        </is>
      </c>
      <c r="L148" s="67" t="inlineStr">
        <is>
          <t>—</t>
        </is>
      </c>
      <c r="M148" s="68" t="inlineStr">
        <is>
          <t>本機 Playwright：儀表板 重新整理 › 更新報價，攔截 /api/actions/refresh-quotes 回應與提示文字，前後比對 prices 表</t>
        </is>
      </c>
      <c r="N148" s="68" t="inlineStr">
        <is>
          <t>觀察：0 項更新卻寫「其餘已更新」
假設：①真的有其他標的更新；②提示句型固定
排除：三個工作明細皆「0 項已更新」、prices 表前後雜湊相同，排除①
定位：web/shell.js:463-470
判定：FAIL（低）— E-11 ①② 通過（失敗標的進 held_failed 且被點名），③「不得以舊價假裝成功」在文字上被違反</t>
        </is>
      </c>
      <c r="O148" s="68" t="inlineStr">
        <is>
          <t>提示宣稱其餘已更新；實際 0 更新；匯率失敗未提</t>
        </is>
      </c>
      <c r="P148" s="69" t="inlineStr">
        <is>
          <t>FAIL</t>
        </is>
      </c>
      <c r="Q148" s="68" t="inlineStr">
        <is>
          <t>開 DEF-068</t>
        </is>
      </c>
      <c r="R148" s="68" t="inlineStr">
        <is>
          <t>檢驗方 2026-09-25</t>
        </is>
      </c>
    </row>
    <row r="149" ht="219.75" customHeight="1" s="43">
      <c r="A149" s="72" t="inlineStr">
        <is>
          <t>R5</t>
        </is>
      </c>
      <c r="B149" s="72" t="inlineStr">
        <is>
          <t>DEF-069</t>
        </is>
      </c>
      <c r="C149" s="72" t="inlineStr">
        <is>
          <t>G-08</t>
        </is>
      </c>
      <c r="D149" s="72" t="inlineStr">
        <is>
          <t>2026-09-25</t>
        </is>
      </c>
      <c r="E149" s="66" t="inlineStr">
        <is>
          <t>—（本輪由檢驗方發現）</t>
        </is>
      </c>
      <c r="F149" s="67" t="inlineStr">
        <is>
          <t>—</t>
        </is>
      </c>
      <c r="G149" s="67" t="inlineStr">
        <is>
          <t>—</t>
        </is>
      </c>
      <c r="H149" s="67" t="inlineStr">
        <is>
          <t>—</t>
        </is>
      </c>
      <c r="I149" s="67" t="inlineStr">
        <is>
          <t>—</t>
        </is>
      </c>
      <c r="J149" s="67" t="inlineStr">
        <is>
          <t>—</t>
        </is>
      </c>
      <c r="K149" s="67" t="inlineStr">
        <is>
          <t>—</t>
        </is>
      </c>
      <c r="L149" s="67" t="inlineStr">
        <is>
          <t>—</t>
        </is>
      </c>
      <c r="M149" s="68" t="inlineStr">
        <is>
          <t>本機 Playwright：AI 洞察 › 持倉健診 讀每檔標題卡；API 三種形狀計數</t>
        </is>
      </c>
      <c r="N149" s="68" t="inlineStr">
        <is>
          <t>觀察：影子卡成為 9 檔的標題卡
假設：①畫面自行挑卡；②API 沒排除影子
排除：/api/insights 三種形狀都回 is_shadow:true 的卡，畫面只是照 API 排序，排除①
定位：insights_store.list_cards 等無 is_shadow 條件
判定：FAIL（中）— spec 04 §4.6「不展示」；影子預測（偏多）與同批生效預測（偏空）互相矛盾</t>
        </is>
      </c>
      <c r="O149" s="69" t="inlineStr">
        <is>
          <t>27 張中 9 張影子進正式清單；持倉健診 9/9 標題為影子卡</t>
        </is>
      </c>
      <c r="P149" s="69" t="inlineStr">
        <is>
          <t>FAIL</t>
        </is>
      </c>
      <c r="Q149" s="68" t="inlineStr">
        <is>
          <t>開 DEF-069</t>
        </is>
      </c>
      <c r="R149" s="68" t="inlineStr">
        <is>
          <t>檢驗方 2026-09-25</t>
        </is>
      </c>
    </row>
    <row r="150" ht="219.75" customHeight="1" s="43">
      <c r="A150" s="72" t="inlineStr">
        <is>
          <t>R5</t>
        </is>
      </c>
      <c r="B150" s="72" t="inlineStr">
        <is>
          <t>DEF-070</t>
        </is>
      </c>
      <c r="C150" s="72" t="inlineStr">
        <is>
          <t>G-08</t>
        </is>
      </c>
      <c r="D150" s="72" t="inlineStr">
        <is>
          <t>2026-09-25</t>
        </is>
      </c>
      <c r="E150" s="66" t="inlineStr">
        <is>
          <t>—（本輪由檢驗方發現）</t>
        </is>
      </c>
      <c r="F150" s="67" t="inlineStr">
        <is>
          <t>—</t>
        </is>
      </c>
      <c r="G150" s="67" t="inlineStr">
        <is>
          <t>—</t>
        </is>
      </c>
      <c r="H150" s="67" t="inlineStr">
        <is>
          <t>—</t>
        </is>
      </c>
      <c r="I150" s="67" t="inlineStr">
        <is>
          <t>—</t>
        </is>
      </c>
      <c r="J150" s="67" t="inlineStr">
        <is>
          <t>—</t>
        </is>
      </c>
      <c r="K150" s="67" t="inlineStr">
        <is>
          <t>—</t>
        </is>
      </c>
      <c r="L150" s="67" t="inlineStr">
        <is>
          <t>—</t>
        </is>
      </c>
      <c r="M150" s="68" t="inlineStr">
        <is>
          <t>本機時間推進（freezegun）＋合成價格：逐日執行任務、評分、產生校正、晉升，讀 insights 表與假模型請求紀錄</t>
        </is>
      </c>
      <c r="N150" s="68" t="inlineStr">
        <is>
          <t>觀察：上限 2 卻產 9 張；之後每批 0 張，v3 永無影子
假設：①影子排隊中、稍後會補；②上限計的是永不減少的累計張數
排除：09-11、09-21 兩次執行皆 0 張且無任何排隊紀錄；晉升後影子卡仍計入，排除①
定位：insight_service.py:402-407、:436
判定：FAIL（中）— 第一次晉升後自我進化迴圈永久停止</t>
        </is>
      </c>
      <c r="O150" s="68" t="inlineStr">
        <is>
          <t>第一批 9 張（上限 2）；之後 0 張；v3 無法評估</t>
        </is>
      </c>
      <c r="P150" s="69" t="inlineStr">
        <is>
          <t>FAIL</t>
        </is>
      </c>
      <c r="Q150" s="68" t="inlineStr">
        <is>
          <t>開 DEF-070</t>
        </is>
      </c>
      <c r="R150" s="68" t="inlineStr">
        <is>
          <t>檢驗方 2026-09-25</t>
        </is>
      </c>
    </row>
    <row r="151" ht="219.75" customHeight="1" s="43">
      <c r="A151" s="72" t="inlineStr">
        <is>
          <t>R5</t>
        </is>
      </c>
      <c r="B151" s="72" t="inlineStr">
        <is>
          <t>DEF-071</t>
        </is>
      </c>
      <c r="C151" s="72" t="inlineStr">
        <is>
          <t>G-08</t>
        </is>
      </c>
      <c r="D151" s="72" t="inlineStr">
        <is>
          <t>2026-09-25</t>
        </is>
      </c>
      <c r="E151" s="66" t="inlineStr">
        <is>
          <t>—（本輪由檢驗方發現）</t>
        </is>
      </c>
      <c r="F151" s="67" t="inlineStr">
        <is>
          <t>—</t>
        </is>
      </c>
      <c r="G151" s="67" t="inlineStr">
        <is>
          <t>—</t>
        </is>
      </c>
      <c r="H151" s="67" t="inlineStr">
        <is>
          <t>—</t>
        </is>
      </c>
      <c r="I151" s="67" t="inlineStr">
        <is>
          <t>—</t>
        </is>
      </c>
      <c r="J151" s="67" t="inlineStr">
        <is>
          <t>—</t>
        </is>
      </c>
      <c r="K151" s="67" t="inlineStr">
        <is>
          <t>—</t>
        </is>
      </c>
      <c r="L151" s="67" t="inlineStr">
        <is>
          <t>—</t>
        </is>
      </c>
      <c r="M151" s="68" t="inlineStr">
        <is>
          <t>本機 Playwright：任務抽屜校正版本鏈、進化設定說明、診斷 G7；搜尋 web/ 呼叫點</t>
        </is>
      </c>
      <c r="N151" s="68" t="inlineStr">
        <is>
          <t>觀察：沒有任何控制項能設定生效版
假設：①入口在別頁（AI 戰績、診斷）；②前端未實作
排除：AI 戰績、診斷修復動作、抽屜皆無按鈕，web/ 無 active-calibration 呼叫，排除①
定位：web/pipeline.js 校正版本鏈只渲染「封存」
判定：FAIL（中）— 需人工繞道（直接打 API）</t>
        </is>
      </c>
      <c r="O151" s="68" t="inlineStr">
        <is>
          <t>版本鏈只有封存；0 個生效控制項</t>
        </is>
      </c>
      <c r="P151" s="69" t="inlineStr">
        <is>
          <t>FAIL</t>
        </is>
      </c>
      <c r="Q151" s="68" t="inlineStr">
        <is>
          <t>開 DEF-071</t>
        </is>
      </c>
      <c r="R151" s="68" t="inlineStr">
        <is>
          <t>檢驗方 2026-09-25</t>
        </is>
      </c>
    </row>
    <row r="152" ht="219.75" customHeight="1" s="43">
      <c r="A152" s="72" t="inlineStr">
        <is>
          <t>R5</t>
        </is>
      </c>
      <c r="B152" s="72" t="inlineStr">
        <is>
          <t>DEF-072</t>
        </is>
      </c>
      <c r="C152" s="72" t="inlineStr">
        <is>
          <t>D-00</t>
        </is>
      </c>
      <c r="D152" s="72" t="inlineStr">
        <is>
          <t>2026-09-25</t>
        </is>
      </c>
      <c r="E152" s="66" t="inlineStr">
        <is>
          <t>—（本輪由檢驗方發現）</t>
        </is>
      </c>
      <c r="F152" s="67" t="inlineStr">
        <is>
          <t>—</t>
        </is>
      </c>
      <c r="G152" s="67" t="inlineStr">
        <is>
          <t>—</t>
        </is>
      </c>
      <c r="H152" s="67" t="inlineStr">
        <is>
          <t>—</t>
        </is>
      </c>
      <c r="I152" s="67" t="inlineStr">
        <is>
          <t>—</t>
        </is>
      </c>
      <c r="J152" s="67" t="inlineStr">
        <is>
          <t>—</t>
        </is>
      </c>
      <c r="K152" s="67" t="inlineStr">
        <is>
          <t>—</t>
        </is>
      </c>
      <c r="L152" s="67" t="inlineStr">
        <is>
          <t>—</t>
        </is>
      </c>
      <c r="M152" s="68" t="inlineStr">
        <is>
          <t>本機 Playwright：儀表板開 2330 抽屜 → 門 2 → 讀表單欄位；另開門 1 比對欄位；前置以 SQLite 備份還原</t>
        </is>
      </c>
      <c r="N152" s="68" t="inlineStr">
        <is>
          <t>觀察：門 2 帳戶＝Moomoo MY
假設：①抽屜已篩選到 Moomoo；②空白篩選時表單落在第一個帳戶
排除：2330 只在台灣券商、抽屜篩選鈕 0 個（全部檢視），排除①
定位：web/detail.js:1272
判定：FAIL（低）— D-00 期望「門 2 帶入該標的與帳戶」，只帶入標的</t>
        </is>
      </c>
      <c r="O152" s="68" t="inlineStr">
        <is>
          <t>代號 2330 ✓、帳戶 Moomoo MY ✗（應為台灣券商）</t>
        </is>
      </c>
      <c r="P152" s="69" t="inlineStr">
        <is>
          <t>FAIL</t>
        </is>
      </c>
      <c r="Q152" s="68" t="inlineStr">
        <is>
          <t>開 DEF-072</t>
        </is>
      </c>
      <c r="R152" s="68" t="inlineStr">
        <is>
          <t>檢驗方 2026-09-25</t>
        </is>
      </c>
    </row>
    <row r="153" ht="219.75" customHeight="1" s="43">
      <c r="A153" s="72" t="inlineStr">
        <is>
          <t>R5</t>
        </is>
      </c>
      <c r="B153" s="72" t="inlineStr">
        <is>
          <t>DEF-073</t>
        </is>
      </c>
      <c r="C153" s="72" t="inlineStr">
        <is>
          <t>E-05</t>
        </is>
      </c>
      <c r="D153" s="72" t="inlineStr">
        <is>
          <t>2026-09-25</t>
        </is>
      </c>
      <c r="E153" s="66" t="inlineStr">
        <is>
          <t>—（本輪由檢驗方發現）</t>
        </is>
      </c>
      <c r="F153" s="67" t="inlineStr">
        <is>
          <t>—</t>
        </is>
      </c>
      <c r="G153" s="67" t="inlineStr">
        <is>
          <t>—</t>
        </is>
      </c>
      <c r="H153" s="67" t="inlineStr">
        <is>
          <t>—</t>
        </is>
      </c>
      <c r="I153" s="67" t="inlineStr">
        <is>
          <t>—</t>
        </is>
      </c>
      <c r="J153" s="67" t="inlineStr">
        <is>
          <t>—</t>
        </is>
      </c>
      <c r="K153" s="67" t="inlineStr">
        <is>
          <t>—</t>
        </is>
      </c>
      <c r="L153" s="67" t="inlineStr">
        <is>
          <t>—</t>
        </is>
      </c>
      <c r="M153" s="68" t="inlineStr">
        <is>
          <t>讀排程中心各列明細（demo＋本機）</t>
        </is>
      </c>
      <c r="N153" s="68" t="inlineStr">
        <is>
          <t>觀察：多個工作的明細為英文或不含結果
假設：①畫面有翻譯層；②後端寫入英文
排除：web/ 無「pass complete」對照，/api/scheduler/runs 原文即英文，排除①
定位：scheduler/jobs.py:1077、:1092、:1136
判定：FAIL（低）— 使用者無從得知校正為何沒產生</t>
        </is>
      </c>
      <c r="O153" s="69" t="inlineStr">
        <is>
          <t>5 個工作的明細含英文；校正工作 3 種結果同一句</t>
        </is>
      </c>
      <c r="P153" s="69" t="inlineStr">
        <is>
          <t>FAIL</t>
        </is>
      </c>
      <c r="Q153" s="68" t="inlineStr">
        <is>
          <t>開 DEF-073</t>
        </is>
      </c>
      <c r="R153" s="68" t="inlineStr">
        <is>
          <t>檢驗方 2026-09-25</t>
        </is>
      </c>
    </row>
    <row r="154" ht="219.75" customHeight="1" s="43">
      <c r="A154" s="72" t="inlineStr">
        <is>
          <t>R5</t>
        </is>
      </c>
      <c r="B154" s="72" t="inlineStr">
        <is>
          <t>DEF-074</t>
        </is>
      </c>
      <c r="C154" s="72" t="inlineStr">
        <is>
          <t>H-04</t>
        </is>
      </c>
      <c r="D154" s="72" t="inlineStr">
        <is>
          <t>2026-09-26</t>
        </is>
      </c>
      <c r="E154" s="66" t="inlineStr">
        <is>
          <t>—（Owner 裁定）</t>
        </is>
      </c>
      <c r="F154" s="67" t="inlineStr">
        <is>
          <t>—</t>
        </is>
      </c>
      <c r="G154" s="67" t="inlineStr">
        <is>
          <t>—</t>
        </is>
      </c>
      <c r="H154" s="67" t="inlineStr">
        <is>
          <t>—</t>
        </is>
      </c>
      <c r="I154" s="67" t="inlineStr">
        <is>
          <t>—</t>
        </is>
      </c>
      <c r="J154" s="67" t="inlineStr">
        <is>
          <t>—</t>
        </is>
      </c>
      <c r="K154" s="67" t="inlineStr">
        <is>
          <t>—</t>
        </is>
      </c>
      <c r="L154" s="67" t="inlineStr">
        <is>
          <t>—</t>
        </is>
      </c>
      <c r="M154" s="68" t="inlineStr">
        <is>
          <t>讀開發者交接決策項＋讀碼</t>
        </is>
      </c>
      <c r="N154" s="68" t="inlineStr">
        <is>
          <t>規格未定→owner 已裁定（2026-09-26）</t>
        </is>
      </c>
      <c r="O154" s="69" t="inlineStr">
        <is>
          <t>—</t>
        </is>
      </c>
      <c r="P154" s="68" t="inlineStr">
        <is>
          <t>待裁定</t>
        </is>
      </c>
      <c r="Q154" s="68" t="inlineStr">
        <is>
          <t>開 DEF-074，owner 已裁定 ① B</t>
        </is>
      </c>
      <c r="R154" s="68" t="inlineStr">
        <is>
          <t>檢驗方 2026-09-26</t>
        </is>
      </c>
    </row>
    <row r="155" ht="219.75" customHeight="1" s="43">
      <c r="A155" s="72" t="inlineStr">
        <is>
          <t>R5</t>
        </is>
      </c>
      <c r="B155" s="72" t="inlineStr">
        <is>
          <t>DEF-075</t>
        </is>
      </c>
      <c r="C155" s="72" t="inlineStr">
        <is>
          <t>H-04</t>
        </is>
      </c>
      <c r="D155" s="72" t="inlineStr">
        <is>
          <t>2026-09-26</t>
        </is>
      </c>
      <c r="E155" s="66" t="inlineStr">
        <is>
          <t>—（Owner 裁定）</t>
        </is>
      </c>
      <c r="F155" s="67" t="inlineStr">
        <is>
          <t>—</t>
        </is>
      </c>
      <c r="G155" s="67" t="inlineStr">
        <is>
          <t>—</t>
        </is>
      </c>
      <c r="H155" s="67" t="inlineStr">
        <is>
          <t>—</t>
        </is>
      </c>
      <c r="I155" s="67" t="inlineStr">
        <is>
          <t>—</t>
        </is>
      </c>
      <c r="J155" s="67" t="inlineStr">
        <is>
          <t>—</t>
        </is>
      </c>
      <c r="K155" s="67" t="inlineStr">
        <is>
          <t>—</t>
        </is>
      </c>
      <c r="L155" s="67" t="inlineStr">
        <is>
          <t>—</t>
        </is>
      </c>
      <c r="M155" s="68" t="inlineStr">
        <is>
          <t>讀開發者交接決策項＋讀碼＋本機重現（0056 未來日期賣出清倉）</t>
        </is>
      </c>
      <c r="N155" s="68" t="inlineStr">
        <is>
          <t>決策項→owner 已裁定（2026-09-26），屬程式缺陷</t>
        </is>
      </c>
      <c r="O155" s="69" t="inlineStr">
        <is>
          <t>—</t>
        </is>
      </c>
      <c r="P155" s="68" t="inlineStr">
        <is>
          <t>待裁定</t>
        </is>
      </c>
      <c r="Q155" s="68" t="inlineStr">
        <is>
          <t>開 DEF-075，owner 已裁定 ② B</t>
        </is>
      </c>
      <c r="R155" s="68" t="inlineStr">
        <is>
          <t>檢驗方 2026-09-26</t>
        </is>
      </c>
    </row>
    <row r="156" ht="219.75" customHeight="1" s="43">
      <c r="A156" s="72" t="inlineStr">
        <is>
          <t>R5</t>
        </is>
      </c>
      <c r="B156" s="72" t="inlineStr">
        <is>
          <t>DEF-076</t>
        </is>
      </c>
      <c r="C156" s="72" t="inlineStr">
        <is>
          <t>H-04</t>
        </is>
      </c>
      <c r="D156" s="72" t="inlineStr">
        <is>
          <t>2026-09-26</t>
        </is>
      </c>
      <c r="E156" s="66" t="inlineStr">
        <is>
          <t>—（Owner 裁定）</t>
        </is>
      </c>
      <c r="F156" s="67" t="inlineStr">
        <is>
          <t>—</t>
        </is>
      </c>
      <c r="G156" s="67" t="inlineStr">
        <is>
          <t>—</t>
        </is>
      </c>
      <c r="H156" s="67" t="inlineStr">
        <is>
          <t>—</t>
        </is>
      </c>
      <c r="I156" s="67" t="inlineStr">
        <is>
          <t>—</t>
        </is>
      </c>
      <c r="J156" s="67" t="inlineStr">
        <is>
          <t>—</t>
        </is>
      </c>
      <c r="K156" s="67" t="inlineStr">
        <is>
          <t>—</t>
        </is>
      </c>
      <c r="L156" s="67" t="inlineStr">
        <is>
          <t>—</t>
        </is>
      </c>
      <c r="M156" s="68" t="inlineStr">
        <is>
          <t>讀開發者交接決策項＋讀碼</t>
        </is>
      </c>
      <c r="N156" s="68" t="inlineStr">
        <is>
          <t>規格未定→owner 已裁定（2026-09-26）</t>
        </is>
      </c>
      <c r="O156" s="69" t="inlineStr">
        <is>
          <t>—</t>
        </is>
      </c>
      <c r="P156" s="68" t="inlineStr">
        <is>
          <t>待裁定</t>
        </is>
      </c>
      <c r="Q156" s="68" t="inlineStr">
        <is>
          <t>開 DEF-076，owner 已裁定 ⑤ 統一為「AI 額度偏低」</t>
        </is>
      </c>
      <c r="R156" s="68" t="inlineStr">
        <is>
          <t>檢驗方 2026-09-26</t>
        </is>
      </c>
    </row>
    <row r="157" ht="219.75" customHeight="1" s="43">
      <c r="A157" s="72" t="inlineStr">
        <is>
          <t>R5</t>
        </is>
      </c>
      <c r="B157" s="72" t="inlineStr">
        <is>
          <t>DEF-077</t>
        </is>
      </c>
      <c r="C157" s="72" t="inlineStr">
        <is>
          <t>J-01</t>
        </is>
      </c>
      <c r="D157" s="72" t="inlineStr">
        <is>
          <t>2026-09-26</t>
        </is>
      </c>
      <c r="E157" s="66" t="inlineStr">
        <is>
          <t>—（Owner 裁定）</t>
        </is>
      </c>
      <c r="F157" s="67" t="inlineStr">
        <is>
          <t>—</t>
        </is>
      </c>
      <c r="G157" s="67" t="inlineStr">
        <is>
          <t>—</t>
        </is>
      </c>
      <c r="H157" s="67" t="inlineStr">
        <is>
          <t>—</t>
        </is>
      </c>
      <c r="I157" s="67" t="inlineStr">
        <is>
          <t>—</t>
        </is>
      </c>
      <c r="J157" s="67" t="inlineStr">
        <is>
          <t>—</t>
        </is>
      </c>
      <c r="K157" s="67" t="inlineStr">
        <is>
          <t>—</t>
        </is>
      </c>
      <c r="L157" s="67" t="inlineStr">
        <is>
          <t>—</t>
        </is>
      </c>
      <c r="M157" s="68" t="inlineStr">
        <is>
          <t>讀開發者交接決策項＋讀碼</t>
        </is>
      </c>
      <c r="N157" s="68" t="inlineStr">
        <is>
          <t>決策項→owner 已裁定（2026-09-26），屬程式缺陷</t>
        </is>
      </c>
      <c r="O157" s="69" t="inlineStr">
        <is>
          <t>—</t>
        </is>
      </c>
      <c r="P157" s="68" t="inlineStr">
        <is>
          <t>待裁定</t>
        </is>
      </c>
      <c r="Q157" s="68" t="inlineStr">
        <is>
          <t>開 DEF-077，owner 已裁定 ⑥ A</t>
        </is>
      </c>
      <c r="R157" s="68" t="inlineStr">
        <is>
          <t>檢驗方 2026-09-26</t>
        </is>
      </c>
    </row>
    <row r="158" ht="219.75" customHeight="1" s="43">
      <c r="A158" s="72" t="inlineStr">
        <is>
          <t>R5</t>
        </is>
      </c>
      <c r="B158" s="72" t="inlineStr">
        <is>
          <t>DEF-078</t>
        </is>
      </c>
      <c r="C158" s="72" t="inlineStr">
        <is>
          <t>H-01</t>
        </is>
      </c>
      <c r="D158" s="72" t="inlineStr">
        <is>
          <t>2026-09-26</t>
        </is>
      </c>
      <c r="E158" s="66" t="inlineStr">
        <is>
          <t>—（Owner 裁定）</t>
        </is>
      </c>
      <c r="F158" s="67" t="inlineStr">
        <is>
          <t>—</t>
        </is>
      </c>
      <c r="G158" s="67" t="inlineStr">
        <is>
          <t>—</t>
        </is>
      </c>
      <c r="H158" s="67" t="inlineStr">
        <is>
          <t>—</t>
        </is>
      </c>
      <c r="I158" s="67" t="inlineStr">
        <is>
          <t>—</t>
        </is>
      </c>
      <c r="J158" s="67" t="inlineStr">
        <is>
          <t>—</t>
        </is>
      </c>
      <c r="K158" s="67" t="inlineStr">
        <is>
          <t>—</t>
        </is>
      </c>
      <c r="L158" s="67" t="inlineStr">
        <is>
          <t>—</t>
        </is>
      </c>
      <c r="M158" s="68" t="inlineStr">
        <is>
          <t>讀開發者交接決策項＋讀碼</t>
        </is>
      </c>
      <c r="N158" s="68" t="inlineStr">
        <is>
          <t>規格未定→owner 已裁定（2026-09-26）</t>
        </is>
      </c>
      <c r="O158" s="69" t="inlineStr">
        <is>
          <t>—</t>
        </is>
      </c>
      <c r="P158" s="68" t="inlineStr">
        <is>
          <t>待裁定</t>
        </is>
      </c>
      <c r="Q158" s="68" t="inlineStr">
        <is>
          <t>開 DEF-078，owner 已裁定 ⑦ A＋前後 6 字元明文</t>
        </is>
      </c>
      <c r="R158" s="68" t="inlineStr">
        <is>
          <t>檢驗方 2026-09-26</t>
        </is>
      </c>
    </row>
    <row r="159" ht="219.75" customHeight="1" s="43">
      <c r="A159" s="42" t="inlineStr">
        <is>
          <t>R6</t>
        </is>
      </c>
      <c r="B159" s="42" t="inlineStr">
        <is>
          <t>DEF-066</t>
        </is>
      </c>
      <c r="C159" s="42" t="inlineStr">
        <is>
          <t>G-09（附帶）；DEF-062 複驗（demo alert_scan #195 → insight:9 #196～#202）；H-01 測試連線</t>
        </is>
      </c>
      <c r="D159" s="42" t="inlineStr">
        <is>
          <t>2026-09-26</t>
        </is>
      </c>
      <c r="E159" s="70" t="inlineStr">
        <is>
          <t>同意。另外三點：litellm 這條路徑會把全程序的 litellm.num_retries 改寫成 None；num_retries=0 是 falsy，litellm 讀的是 `0 or litellm.num_retries`，任何地方設了全域值都會重新走進 tenacity 路徑；容錯切換只保留最後一個例外，明細只說備援為何失敗，主模型的失敗原因（通常才是重點）遺失。</t>
        </is>
      </c>
      <c r="F159" s="42" t="inlineStr">
        <is>
          <t>portfolio_dash/shared/llm.py:329、:530（兩個 litellm.completion 呼叫點）；portfolio_dash/llm_insight/generate.py:434（明細寫入英文原文）；portfolio_dash/api/routers/llm_settings.py:419（設定頁測試連線，第三個呼叫點）</t>
        </is>
      </c>
      <c r="G159" s="70" t="inlineStr">
        <is>
          <t>所有 LLM 測試都把 litellm.completion 整個換掉，litellm 自己的例外分支——缺套件唯一會走到的地方——從未在程序內執行過：相依缺在「只有出錯才會走到」的路徑。攔這一類的防線：新測試用 litellm 支援的 mock_response=&lt;例外物件&gt; 驅動**真實的** litellm.completion 包裝層（不連網），舊碼上直接失敗於 tenacity 訊息；再加一支靜態守門，確認每個 litellm.completion 呼叫都帶常數 num_retries=0，且沒有任何地方設定 litellm.num_retries 或引用 completion_with_retries。</t>
        </is>
      </c>
      <c r="H159" s="70" t="inlineStr">
        <is>
          <t>採「自己持有重試」，不加 tenacity 相依：shared/llm.py 新增唯一的供應商呼叫點 _call_provider，一律傳 num_retries=0；只重試暫時性失敗（逾時、連線錯誤、HTTP 408／425／429、5xx），4xx（金鑰無效、請求錯誤、找不到模型）與非供應商例外一律不重試；次數上限＝模型的 max_retries，退避 0.5 秒·2ⁿ、上限 4 秒。主模型與備援都失敗時，LLMUnavailable 的訊息改為中文、逐一列出每個候選的失敗分類，例如「主模型 X：回應不是完整 JSON（2 次）；備援 Y：供應商服務異常（HTTP 500，已重試 2 次）」；類別與 kind（llm_unavailable）不變，API 的錯誤對應照舊。供應商英文原文只進會遮蔽金鑰的 AI 失敗記錄（fail log），不進運行紀錄明細與 API 訊息（owner 2026-09-26 在對話中確認）。設定頁「測試連線」明確 num_retries=0、刻意不重試（連線測試要回報第一次失敗；重試會掩蓋不穩並把等待拉長三倍），錯誤改為同一分類器的中文名＋遮蔽、截斷 160 字的供應商原文。不採用：把 tenacity 加為相依（stack.md 預設答案是否；它照樣會重試 401／400 這種不可能成功的請求，也持續依賴 litellm 的全域副作用）。規則寫入 .claude/rules/llm-insight.md。</t>
        </is>
      </c>
      <c r="I159" s="42" t="inlineStr">
        <is>
          <t>litellm.completion 呼叫點 共 3／修 3（llm.py 兩處合併成 _call_provider 一處＋設定頁測試連線）／白名單 0。「把例外字串寫進 job_runs.detail」的寫入點：generate.py:434 修（併入 DEF-073 的中文化）；jobs.failure_detail 白名單（DEF-030 決定保留例外類別名與原文供查 log）。掃描指令：grep -rn "litellm\.\(a\)\?completion" portfolio_dash；運行紀錄寫入點見 DEF-073。</t>
        </is>
      </c>
      <c r="J159" s="70" t="inlineStr">
        <is>
          <t>新增 tests/shared/test_def066_llm_retry.py（16 則：暫時性錯誤重試後成功；401／400／404／非供應商例外不重試；主模型一直失敗 → 用備援；兩者皆失敗 → 中文明細列出兩者各自原因；真實 litellm 包裝層以 mock_response 走例外分支；靜態守門）與 tests/llm_insight/test_def073_insight_run_detail.py（4 則，涵蓋洞察運行明細）。3be67db 上 10/16 失敗，真實 litellm 那則：「Exception: tenacity import failed please run `pip install tenacity`. ErrorNo module named 'tenacity'」→「LLMUnavailable: provider error (primary-m): tenacity import failed…」。變異：M1 num_retries 改回舊行 → 4 則失敗（含同一句 tenacity 訊息與靜態守門）；M2 4xx 也重試 → 7 則失敗（test_permanent_errors_are_not_retried[401/400/404/non-provider] 等）；M3 容錯鏈只丟最後一個例外 → 3 則失敗（兩個模型各自原因的斷言、洞察明細）。</t>
        </is>
      </c>
      <c r="K159" s="42" t="inlineStr">
        <is>
          <t>696934e（已部署 demo）</t>
        </is>
      </c>
      <c r="L159" s="42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59" s="70" t="inlineStr">
        <is>
          <t>本機專用測試環境（repo-env 696934e、排程器開啟、假 LLM；§9）：兩個模型（主 local-fake／備援 local-fake-b，max_retries 2）指向假服務，以模式切換重放：S1 主模型回傳截斷 JSON、備援回 HTTP 500 → 執行個股健檢；S2 主模型第一次 503 之後正常；S3 主模型 401、備援正常 → 執行持倉建議與提點；另於 AI 與額度按測試連線（假服務 500）；讀運行紀錄明細、假服務請求計數、GET /api/llm-fail-log</t>
        </is>
      </c>
      <c r="N159" s="71" t="inlineStr">
        <is>
          <t>觀察：R5 demo 明細為「provider error (haiku-4.5): tenacity import failed…」，備援失效
假設：①改為自有重試後重試與備援都能動；②只換了訊息、重試仍依賴 litellm
排除：S1 run #10 partial，明細「AI 呼叫失敗，本次停止（尚未產出卡片）：主模型 local-fake：回應不是完整 JSON（2 次）；備援 local-fake-b：供應商服務異常（HTTP 500，已重試 2 次）」，假服務計數主模型 200×2、備援 500×3（1＋重試 2），無 tenacity 字樣；供應商英文原文只在 AI 失敗記錄（error_reason「litellm.InternalServerError…upstream exploded」×3）；S2 run #11 ok「產生 9 張卡」，主模型 503×1＋200×9（重試成功）；S3 主模型 401 每張卡只呼叫 1 次（9 次、未重試），改走備援 9 張卡（model local-fake-b），run #13 ok；測試連線 500 時只送 1 次，回「供應商服務異常（HTTP 500）；供應商原文：…」。排除②
定位：shared/llm.py:345 _call_provider（num_retries=0、只重試暫時性錯誤）、:278 _TRANSIENT_STATUS
判定：通過</t>
        </is>
      </c>
      <c r="O159" s="42" t="inlineStr">
        <is>
          <t>3 個情境與規格一致（兩者皆失敗時明細分列兩者原因、重試只針對暫時性錯誤、401 不重試改走備援）。變異（驗證者於本機 696934e 重做）：retries 改為 0 → 8 failed（test_real_litellm_transient_failure_is_retried_then_succeeds 等），還原後 16 passed</t>
        </is>
      </c>
      <c r="P159" s="70" t="inlineStr">
        <is>
          <t>複驗通過 → 結案</t>
        </is>
      </c>
      <c r="Q159" s="70" t="inlineStr">
        <is>
          <t>附註：備援模型名稱不在 litellm 的 schema 支援清單時以提示詞要求 JSON（不帶 response_format），驗證者假服務需回 JSON 才能模擬成功，屬測試夾具差異，非產品問題</t>
        </is>
      </c>
      <c r="R159" s="70" t="inlineStr">
        <is>
          <t>檢驗方 2026-09-26</t>
        </is>
      </c>
    </row>
    <row r="160" ht="219.75" customHeight="1" s="43">
      <c r="A160" s="72" t="inlineStr">
        <is>
          <t>R6</t>
        </is>
      </c>
      <c r="B160" s="72" t="inlineStr">
        <is>
          <t>DEF-067</t>
        </is>
      </c>
      <c r="C160" s="72" t="inlineStr">
        <is>
          <t>E-05</t>
        </is>
      </c>
      <c r="D160" s="72" t="inlineStr">
        <is>
          <t>2026-09-26</t>
        </is>
      </c>
      <c r="E160" s="66" t="inlineStr">
        <is>
          <t>同意。依規格掃描所有回傳字串的排程工作，另有 8 個工作同樣可能「有失敗卻記成功」。規格寫「與報價工作同一口徑」，但報價工作實際上全部失敗也記「部分」（2026-09-06 的門檻）；owner 2026-09-26 在對話中裁定：報價工作全部失敗也改為「失敗」，與其他工作一致。另外 owner 同日裁定：歷史 K 棒回補只把「供應商出錯」算失敗——供應商有回應但 7 天窗內沒有 K 棒（長假休市、已下市）不算。</t>
        </is>
      </c>
      <c r="F160" s="67" t="inlineStr">
        <is>
          <t>portfolio_dash/scheduler/jobs.py:626（dividends_daily）、:210（字串一律包成 ok）；同型 :617 history_daily、:719 dividend_inbox_scan、:771 _run_ingest、:1048 alert_scan；報價 _quote_outcome（全部失敗仍 partial）；pricing/registry.py fetch_quote_history（例外與空回應不分）</t>
        </is>
      </c>
      <c r="G160" s="67" t="inlineStr">
        <is>
          <t>M10-02 只替報價工作引入 JobOutcome 並只測報價；其他回傳字串的工作沒有任何狀態斷言，_outcome_of 的「字串＝成功」預設沒有測試盯著。</t>
        </is>
      </c>
      <c r="H160" s="66" t="inlineStr">
        <is>
          <t>新增 jobs.sweep_outcome(detail, total, failed)：每一項都失敗 → error（job_runs 既有用字，排程中心顯示「失敗」，未新增狀態）、部分失敗 → partial、無失敗 → ok，明細不變。套用：dividends_daily、收件匣掃描（排程 runner 與後備路徑共用 dividend_sweep_outcome；「無配息紀錄」〔DEF-047〕不算失敗）、history_daily（只以標的計數，基準指數失敗仍不影響判定〔FU-D27〕）、sentiment_daily 與 index_quotes_daily（_run_ingest(expected=)：不足 → partial、0 筆 → error）、news_daily（額度提前結束 → partial）、alert_scan（推播路徑崩潰 → partial，預警已記錄）、digest_daily／weekly（區塊以空值代替或推播未送達全部通道 → partial）。報價工作（owner 裁定）：該市場有標的而一檔都沒更新 → error；有持倉失敗但非全滅 → partial（不變）；只有觀察標的或只有匯率失敗 → ok；/api/actions/refresh-quotes 仍回 HTTP 200。歷史 K 棒（owner 裁定）：pricing/registry.py 新增 fetch_quote_history_explained 回傳 (rows, sources, failed, empty)，refresh_history 把空回應放進 RefreshSummary.empty；history_daily 的失敗數＝工作清單 − 成功 − 可信的空回應，明細加「N 項區間內無 K 棒（休市或已下市）：…」。⚠ 超出規格的一點：yfinance（每條歷史鏈的第一順位）遇到網路失敗不拋例外、只回空資料（1.4.1 原始碼確認），若照字面「沒拋例外＝有回應」，全斷網時 history_daily 會重新記成「成功」；所以空回應只在同一輪能證明該市場的來源確實有回應（對任一標的或基準指數回傳了 K 棒）時才採信，否則視為失敗，原因寫「來源回應空白，且本輪沒有任何標的從同一來源取得資料，視為無法連線」。多年期的深度／批次回補把空回應併回失敗，行為與過去相同。不採用：解析明細句子判斷失敗（M10-02 明令禁止從句子反推）；改 yfinance provider 加 raise_errors（1.4.1 已標為 deprecated）。規則寫入 .claude/rules/architecture.md。</t>
        </is>
      </c>
      <c r="I160" s="66" t="inlineStr">
        <is>
          <t>排程工作（AST 掃 3be67db 的 JOBS：23 個工作、20 個回傳字串）共 20／修 9（history_daily、dividends_daily、dividend_inbox_scan〔含 runner〕、sentiment_daily、index_quotes_daily、news_daily、alert_scan、digest_daily、digest_weekly）／白名單 9（finmind_chips_daily、finmind_valuation_daily、finmind_fundamentals_monthly：抓取錯誤直接 raise → error，空資料是無資料；consensus_daily、fundamentals_daily、fundamentals_av_weekly：pricing/ingest.py 在逐標的層吞例外並與「無覆蓋」混成同一計數，不改該檔無法分辨，建議日後由 ingest 回傳 (written, failed)；snapshot_monthly：寫入或 raise；signal_scan：無逐標的容錯，失敗即 raise；backup_daily：失敗即 raise）；另 evaluate_insights、generate_calibrations 見 DEF-073。報價工作 3／修 3（共用 _quote_outcome）。refresh_history／fetch_quote_history 呼叫端 共 7：採新語意 2（history_daily 的標的與基準指數）／維持舊語意 2（兩個多年期回補）／不受影響 2（instrument_service 兩處只讀 .ok 或不讀結果）／文字差異 1（scripts/clean_orphan_seed_prices.py 回補空回應時由「失敗：SYM」變「失敗：無資料」）。掃描指令：AST 解析 git show 3be67db:portfolio_dash/scheduler/jobs.py 的 JOBS 與各函式回傳註記；grep -rn "refresh_history\|fetch_quote_history" portfolio_dash scripts</t>
        </is>
      </c>
      <c r="J160" s="66" t="inlineStr">
        <is>
          <t>新增 tests/scheduler/test_def067_sweep_verdicts.py（16 則）：3be67db 上 12/16 失敗「AssertionError: assert 'ok' == 'error'」（其餘 4 則為必須維持 ok 的對照組）。新增 tests/scheduler/test_def067_quote_and_history_rulings.py（11 則）：裁定前的程式上 6/11 失敗，例「quotes_tw  assert 'partial' == 'error'」、「AttributeError: 'Registry' object has no attribute 'fetch_quote_history_explained'」、「assert (['X', 'Y'], []) == (['X'], ['Y'])」、長假案例「assert 'partial' == 'ok'」。變異：M4 dividends_daily 改回回傳字串 → 2 則失敗（test_dividends_daily_every_symbol_failed_is_error、…some_failed_is_partial）；M5 拿掉「全部失敗 → error」→ 5 則失敗；報價判定改回 "partial" if held_failed else "ok" → 2 則失敗（含 m10_02 契約）；registry 把空回應放回 failed → 5 則失敗；_trust_empty 無條件採信空回應 → 1 則失敗 test_an_outage_that_looks_empty_is_still_lost「assert 'ok' == 'error'」（明細為「0 項已更新；2 項區間內無 K 棒…」——正是 yfinance 陷阱的防線）。</t>
        </is>
      </c>
      <c r="K160" s="67" t="inlineStr">
        <is>
          <t>696934e（已部署 demo）</t>
        </is>
      </c>
      <c r="L160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0" s="68" t="inlineStr">
        <is>
          <t>本機專用測試環境（repo-env 696934e、排程器開啟、假 LLM；§9）：排程中心畫面把 quotes_tw／quotes_us（紐約時區 01:24）／quotes_my／dividends_daily／digest_daily 的 cron 改為台北 13:24 自然觸發（外網封鎖使供應商全失敗），事後以畫面還原；另以「立即執行」跑 history_daily、dividend_inbox_scan、sentiment_daily、index_quotes_daily</t>
        </is>
      </c>
      <c r="N160" s="68" t="inlineStr">
        <is>
          <t>觀察：R5 dividends_daily 0/10 成功卻記「成功」
假設：①所有逐標的工作改為「全部失敗→失敗、部分→部分」；②只修 dividends_daily
排除：13:24:00 五個工作同時觸發：quotes_tw／quotes_us／quotes_my／dividends_daily 皆 error（排程中心顯示「失敗」，明細不變「0 項已更新，4／7／5 項失敗…」「0 檔事件已更新，10 檔失敗…」），digest_daily 成功；history_daily error「0 項已更新，10 項失敗；…來源回應空白，且本輪沒有任何標的從同一來源取得資料，視為無法連線」（owner 裁定：空回應在無任何來源回應時視為無法連線）；dividend_inbox_scan error；sentiment_daily／index_quotes_daily error「寫入 0 筆外部快照（應有 2／1 筆）」。排除②
定位：scheduler/jobs.py:225 sweep_outcome、_quote_outcome、pricing/registry.py fetch_quote_history_explained
判定：通過</t>
        </is>
      </c>
      <c r="O160" s="69" t="inlineStr">
        <is>
          <t>4 個逐標的工作全失敗 → 失敗；history_daily 空回應視為無法連線；cron 觸發時間 13:24:00.002～.007。變異（驗證者於本機 696934e 重做）：sweep_outcome 拿掉「全部失敗→error」→ 6 failed（assert 'partial' == 'error'），還原後 27 passed</t>
        </is>
      </c>
      <c r="P160" s="68" t="inlineStr">
        <is>
          <t>複驗通過 → 結案</t>
        </is>
      </c>
      <c r="Q160" s="68" t="inlineStr">
        <is>
          <t>無</t>
        </is>
      </c>
      <c r="R160" s="68" t="inlineStr">
        <is>
          <t>檢驗方 2026-09-26</t>
        </is>
      </c>
    </row>
    <row r="161" ht="219.75" customHeight="1" s="43">
      <c r="A161" s="72" t="inlineStr">
        <is>
          <t>R6</t>
        </is>
      </c>
      <c r="B161" s="72" t="inlineStr">
        <is>
          <t>DEF-069</t>
        </is>
      </c>
      <c r="C161" s="72" t="inlineStr">
        <is>
          <t>G-08</t>
        </is>
      </c>
      <c r="D161" s="72" t="inlineStr">
        <is>
          <t>2026-09-26</t>
        </is>
      </c>
      <c r="E161" s="66" t="inlineStr">
        <is>
          <t>同意。另外發現 tests/scheduler/test_shadow_promote.py 靠 list_cards 取出影子卡來斷言，等於把洩漏當成功能；修正後其中兩則「沒有影子卡」的斷言會變成永遠成立，已一併改為明確要求含影子卡。</t>
        </is>
      </c>
      <c r="F161" s="67" t="inlineStr">
        <is>
          <t>portfolio_dash/llm_insight/insights_store.py:553（_filters）；使用點 list_cards :599、count_cards :618、list_symbol_groups :643／:647；api/routers/insights.py:1230 list_insights</t>
        </is>
      </c>
      <c r="G161" s="66" t="inlineStr">
        <is>
          <t>清單的契約測試（test_insight_run_api）從未存入影子卡；唯一有影子卡的 test_insights_store 只測儀表板的 latest_cards；影子評估的測試反而依賴清單回傳影子卡。</t>
        </is>
      </c>
      <c r="H161" s="67" t="inlineStr">
        <is>
          <t>_filters 預設排除影子卡，要看影子卡必須明確傳 include_shadow=True（list_cards、count_cards、list_symbol_groups 都加這個參數）——一處修好三個讀取點。前端不改：個股抽屜 AI 建議（detail.js:753）、洞察卡分頁、持倉健診都由伺服器端修正。AI 戰績的預測明細與 ai_predictions 匯出照樣保留影子列（已標「影子」），屬比較用途。不採用：在 router 三個呼叫點各加條件（三份各自的規則）；在前端過濾（前端不做判斷）。規則寫入 .claude/rules/llm-insight.md。</t>
        </is>
      </c>
      <c r="I161" s="67" t="inlineStr">
        <is>
          <t>`FROM|JOIN insights` 讀取點 共 17／修 4／白名單 13。使用者可見 7：insight_service:1203 最近批次、evaluations_store:614 信心上限違規、insights_store:675 儀表板（3 處原本已過濾）；insights_store:599／:618／:643／:647（修）。戰績 3：evaluations_store:67、:74（只取卡片 id 當條件，影子與否由外層評分查詢決定）、:649（某版本的失誤樣本，刻意兩種都含）。內部 7：insight_service:405（由 DEF-070 移除）、:804、:813（評分讀卡片內文，刻意兩種都含）、evaluations_store:317 到期卡片（兩種都要評分）、insights_store:494 依 id、:511 快取本來就分影子與否、scripts/delete_insight_cards.py:152 維運依 id。另 insight_evaluations 餵使用者清單的 7 處：6 處已過濾影子，ai_score 明細（:803）依規格保留影子並標示。掃描指令：git grep -nE "(FROM|JOIN)\s+insights(\s|\"|$|\)|\{)" 3be67db -- portfolio_dash scripts</t>
        </is>
      </c>
      <c r="J161" s="66" t="inlineStr">
        <is>
          <t>新增 tests/contract/test_def069_shadow_cards_never_listed.py（4 則：1 生效＋1 影子卡 → 平面、group=symbol、symbol= 三種形狀都只回生效卡；第 4 則「戰績保留影子列」為回歸釘）。3be67db 上 3 則失敗，例「assert [2, 1] == [1]」、「{'groups': [...AAPL...]} != {'groups': []}」。新增 e2e tests/e2e/test_def069_def071_shadow_ui_flow.py 前半：持倉健診的標題卡不是影子卡。變異：拿掉條件 → 契約 3/4 失敗（同上訊息）；e2e 失敗「strict mode violation … resolved to 2 elements: … 2330 影子卡（已套校正）」（影子卡成為標題卡）。</t>
        </is>
      </c>
      <c r="K161" s="67" t="inlineStr">
        <is>
          <t>696934e（已部署 demo）</t>
        </is>
      </c>
      <c r="L161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1" s="68" t="inlineStr">
        <is>
          <t>本機專用測試環境（repo-env 696934e、排程器開啟、假 LLM；§9），G-08 時間推進流程（09-01→09-10→09-18→09-21→09-29）：每批後讀 /api/insights 平面、group=symbol、symbol=2330 三種形狀並比對 insights 表 is_shadow；09-29 以 Playwright 開 AI 洞察 › 持倉健診 與 2330 個股抽屜</t>
        </is>
      </c>
      <c r="N161" s="68" t="inlineStr">
        <is>
          <t>觀察：R5 影子卡成為持倉健診 9/9 標題卡
假設：①伺服器端清單預設排除影子；②只改畫面
排除：09-18（生效 v1 9＋影子 v2 9）平面 total 27、影子 0；09-21 total 36、影子 0（資料表影子 18）；09-29（生效 v2 9＋影子 v3 9）total 45、group 45、影子皆 0，symbol=2330 前 4 張皆非影子；持倉健診「校正 v2」9 處、「校正 v3」（影子）0 處；AI 戰績預測明細仍保留影子列（標「影子」）供比較。排除②
定位：llm_insight/insights_store.py:551 _filters（include_shadow 預設 False）
判定：通過</t>
        </is>
      </c>
      <c r="O161" s="68" t="inlineStr">
        <is>
          <t>三次檢查影子卡 0 張進入任何使用者清單（資料表影子 9／18／27 張）。變異（驗證者於本機 696934e 重做）：_filters 不加 is_shadow = 0 → 3 failed（At index 0 diff: 2 != 1），還原後 4 passed</t>
        </is>
      </c>
      <c r="P161" s="68" t="inlineStr">
        <is>
          <t>複驗通過 → 結案</t>
        </is>
      </c>
      <c r="Q161" s="68" t="inlineStr">
        <is>
          <t>無</t>
        </is>
      </c>
      <c r="R161" s="68" t="inlineStr">
        <is>
          <t>檢驗方 2026-09-26</t>
        </is>
      </c>
    </row>
    <row r="162" ht="219.75" customHeight="1" s="43">
      <c r="A162" s="72" t="inlineStr">
        <is>
          <t>R6</t>
        </is>
      </c>
      <c r="B162" s="72" t="inlineStr">
        <is>
          <t>DEF-070</t>
        </is>
      </c>
      <c r="C162" s="72" t="inlineStr">
        <is>
          <t>G-08</t>
        </is>
      </c>
      <c r="D162" s="72" t="inlineStr">
        <is>
          <t>2026-09-26</t>
        </is>
      </c>
      <c r="E162" s="66" t="inlineStr">
        <is>
          <t>同意，並依 owner ⑧ A 實作。另補一項：評分端也要按版本算，否則 v3 剛產生就能拿 v2 的影子評分晉升（測試 (a) 已釘住：舊碼會直接晉升 v3）；晉升比較的「生效方」原本也混入全部歷史，改為兩邊都只看該版本自己的紀錄。owner 2026-09-26 在對話中確認三項設計：shadow_batches 計「評分筆數」；晉升比較用各版本自己的紀錄；只有 v1、沒有生效版時由使用者按「設為生效」採用，不自動影子。</t>
        </is>
      </c>
      <c r="F162" s="67" t="inlineStr">
        <is>
          <t>portfolio_dash/api/insight_service.py:402-407（_shadow_card_count）、:436（上限判斷）、:1004-1005（晉升成績混算）</t>
        </is>
      </c>
      <c r="G162" s="67" t="inlineStr">
        <is>
          <t>tests/scheduler/test_shadow_promote.py 每則只跑一批；晉升測試直接寫入評分列（insight_id 10–22 沒有對應的真實卡片）；整個檔案只有一個影子版本——從未測到第二批、第二個版本或第二個任務。</t>
        </is>
      </c>
      <c r="H162" s="66" t="inlineStr">
        <is>
          <t>新增純函式 promote.shadow_phase，影子期分成 none／waiting／queued／running／won／lost；insight_service.shadow_states 算出全部任務的狀態，只有「啟用中且 running」的任務佔名額（running＝該版已有影子卡且該版自己的評分數 &lt; shadow_batches）。waiting（有空位）與 running 每一批都整批產影子卡（per_symbol 一批 N 張算一個名額）；queued 本批不產，診斷 G7 與校正版本鏈顯示「影子排隊中（目前 N／上限 M）」。評分達門檻即判定：won 或 lost 都結束影子期、釋出名額（輸掉的版本不再花影子成本）；晉升、封存影子版本、生效版追上最新版也結束。evaluations_store.version_score 取某版本自己的評分，晉升判定與畫面共用；同一份狀態供執行、晉升、G7 診斷與校正版本鏈使用。不採用：改成「近期影子卡張數」（仍是張數不是任務數）；把狀態存成資料表（可由評分推出，免同步問題）。規則寫入 .claude/rules/llm-insight.md。</t>
        </is>
      </c>
      <c r="I162" s="66" t="inlineStr">
        <is>
          <t>跨版本／跨全部歷史彙總的計數與成績讀取點 共 7／修 3（:405／:436 張數上限、:1005 影子成績混各版、:1004 生效成績混全部歷史）／白名單 4（_generate_one 的觸發條件 3 個讀取點另由 DEF-080 處理；_check_regression 的 8 筆滾動量的是使用者看到的卡，跨版本切換後新版變差正是要發的預警；ai_score by_combo 是任務整體戰績，刻意跨版本）。</t>
        </is>
      </c>
      <c r="J162" s="66" t="inlineStr">
        <is>
          <t>新增 tests/scheduler/test_def070_shadow_period.py（7 則，真實 schema＋驗證者 §9 的假模型〔提示詞含校正層 → 預測上漲，否則下跌〕＋以 now= 推進時間）：(a) 晉升後產生新版本，下一批有新版影子卡（依 §9 的 G-08 流程：兩批 → 評分 → 自動晉升 v2 → 產生 v3 → 下一批影子 v3）；(b) 兩個任務、上限 1 → 第二個排隊、第一個結束後輪到它；(c) portfolio 任務可累積到 shadow_batches 並晉升；封存影子版本、生效版追上各釋出名額；輸掉即釋出名額；停用任務不佔名額。3be67db 上 6/7 失敗：(a)「assert 2 == 4」（第二批 0 張影子卡）、(b)「assert 1 == 0」、釋出名額 2 則「(1, 1) == (1, 0)」、(c)「assert 2 == 3」（portfolio 任務停在 2 張）、輸掉即釋出「(1, 1) == (3, 0)」；第 7 則為新設計的守門。變異 M2 改回全歷史張數 → 同 6 則失敗；M3 影子成績改回各版混算 → (a) 失敗「assert 1 not in [1]」（v3 靠 v2 的評分晉升）。</t>
        </is>
      </c>
      <c r="K162" s="67" t="inlineStr">
        <is>
          <t>696934e（已部署 demo）</t>
        </is>
      </c>
      <c r="L162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2" s="68" t="inlineStr">
        <is>
          <t>本機專用測試環境（repo-env 696934e、排程器開啟、假 LLM；§9），G-08 時間推進流程（同 DEF-069）：v1 以畫面「設為生效」採用 → 09-18 產生 v2 → 09-18、09-21 各跑一批 → 09-29 影子評估批次數 20＋自動晉升 → 改 3 → 產生 v3 → 再跑一批；讀 insights 表、假模型請求與版本鏈狀態</t>
        </is>
      </c>
      <c r="N162" s="68" t="inlineStr">
        <is>
          <t>觀察：R5 上限以累計影子卡計，第一批 9 張之後永無影子、v3 無法評估
假設：①上限改計任務數、影子期每批都產；②只放寬張數
排除：09-18 生效 v1 9 張＋影子 v2 9 張（假模型帶校正層 18 次）；09-21 再產影子 9 張（版本鏈「影子評估中 0／3」）；09-29 影子 v2 18 筆評分、批次數 20 時不晉升（版本鏈「影子評估中 18／20」、生效仍 v1），改 3 後評分工作「晉升：個股健檢 v2」、生效版 2；隨後產生 v3，下一批生效 v2 9 張＋影子 v3 9 張。晉升比較依各版本自己的紀錄（v1 27 筆失誤 6、v2 18 筆失誤 4）。排除②
定位：llm_insight/promote.py:109 shadow_phase、api/insight_service.py shadow_states
判定：通過</t>
        </is>
      </c>
      <c r="O162" s="68" t="inlineStr">
        <is>
          <t>影子每批 9 張持續產生；v2 晉升後 v3 下一批即有影子卡；門檻 20 時暫緩、3 時晉升。變異（驗證者於本機 696934e 重做）：排隊條件拿掉（恆 waiting）→ 4 failed（assert (1, 1) == (1, 0)），還原後 7 passed。max_shadows 排隊情境未黑箱重現，以契約測試與變異佐證</t>
        </is>
      </c>
      <c r="P162" s="68" t="inlineStr">
        <is>
          <t>複驗通過 → 結案</t>
        </is>
      </c>
      <c r="Q162" s="68" t="inlineStr">
        <is>
          <t>無</t>
        </is>
      </c>
      <c r="R162" s="68" t="inlineStr">
        <is>
          <t>檢驗方 2026-09-26</t>
        </is>
      </c>
    </row>
    <row r="163" ht="219.75" customHeight="1" s="43">
      <c r="A163" s="72" t="inlineStr">
        <is>
          <t>R6</t>
        </is>
      </c>
      <c r="B163" s="72" t="inlineStr">
        <is>
          <t>DEF-071</t>
        </is>
      </c>
      <c r="C163" s="72" t="inlineStr">
        <is>
          <t>G-08</t>
        </is>
      </c>
      <c r="D163" s="72" t="inlineStr">
        <is>
          <t>2026-09-26</t>
        </is>
      </c>
      <c r="E163" s="66" t="inlineStr">
        <is>
          <t>同意。API 原本就接受 version: null（取消生效），不必新增。另外：選到已封存版本原本回「該洞察組合無校正版本 N」，改為「校正版本 vN 已封存，不能設為生效」。</t>
        </is>
      </c>
      <c r="F163" s="67" t="inlineStr">
        <is>
          <t>web/pipeline.js:780-830（loadCalibrations）、:56（FIX_KINDS）；tests/contract/test_api_routes_have_frontend_callers.py:59-63（白名單）</t>
        </is>
      </c>
      <c r="G163" s="66" t="inlineStr">
        <is>
          <t>「每條路由都要有前端呼叫點」的守門測試有白名單，這個路由的白名單理由寫「the newest live one is active by default」——從來不是事實（沒有生效版時卡片不附加任何校正層），讓缺按鈕看起來像刻意設計；任務抽屜的 e2e 從未打開 ④。已刪除兩條相關白名單，守門測試因此會攔下「按鈕不呼叫 API」。</t>
        </is>
      </c>
      <c r="H163" s="66" t="inlineStr">
        <is>
          <t>每個未封存、非生效的版本加「設為生效」，生效版加「取消生效」（回到不附加校正層）；兩者都先跳站內確認框「之後產生的卡片改用校正 vN；已產生的卡片不變」。影子版本顯示狀態標籤：影子評估中 k／N、影子：下一批開始評估、影子排隊中（目前／上限）、影子勝出・可設為生效、影子未勝出，並列出本版與生效版各自的評分數與失誤數（數字由 API 給）。沒有生效版時提示「目前未設生效版 — 卡片不附加校正層」。G7 修復鈕改名「前往設為生效」，抽屜打開後聚焦推薦按鈕（勝出的影子 &gt; 影子 &gt; 最新版，以外框標示）。GET /api/calibrations 每版多 is_active 與 shadow 兩欄（只增欄位，唯讀）。自我進化設定說明改為「關閉時需到「洞察管線 › 任務抽屜 › ④ 校正版本鏈」按「設為生效」」，另兩段說明改為如實描述（上限計任務數、批次數實計評分筆數）。</t>
        </is>
      </c>
      <c r="I163" s="66" t="inlineStr">
        <is>
          <t>界面文字叫使用者「按／點「X」」但 X 沒有對應控制項：掃 3be67db 全部 web/*.js|html 的 (按|點|點選|按下|點擊)「…」→ 共 15／修 1（settings-prompts.js:1100「設為生效」）／白名單 1（誤判：instruments.js:277「顯示已移除／封存」按鈕在 :110，標籤後帶數量）／其餘 13 有對應控制項。「無前端呼叫」白名單剩 5 條，理由逐條確認屬實，也沒有界面文字承諾這些按鈕。</t>
        </is>
      </c>
      <c r="J163" s="66" t="inlineStr">
        <is>
          <t>新增 e2e tests/e2e/test_def069_def071_shadow_ui_flow.py 後半：乾跑預檢 G7「前往設為生效」→ 抽屜聚焦 v2 的按鈕 → 按 v1「設為生效」→ 站內確認框 → PUT → v1 顯示「生效中」、API active_calibration_version=1 → 按「取消生效」→ API 變回 null。以 3be67db 的 pipeline.js 執行失敗「Locator expected to have count '1' Actual value: 0 … .pf-row button:has-text('前往設為生效')」。新增 tests/contract/test_def071_set_active_calibration.py（3 則：版本鏈的生效／影子標示與勝出紀錄〔舊碼 KeyError 'is_active'〕；已封存版本回中文 400；設 v1 後下一批卡片 calibration_version=1 且提示詞只含 v1、取消後為 None〔回歸釘，API 原本存在〕）。變異 M4 按鈕不呼叫 API → 2 則失敗：路由守門「routes no browser code reaches …: [('PUT', '/api/insight-tasks/{insight_type_id}/active-calibration'), ('PUT', '/api/insight-types/…')]」與 e2e「TimeoutError: Timeout 60000ms exceeded while waiting for event "response"」。</t>
        </is>
      </c>
      <c r="K163" s="67" t="inlineStr">
        <is>
          <t>696934e（已部署 demo）</t>
        </is>
      </c>
      <c r="L163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3" s="68" t="inlineStr">
        <is>
          <t>本機專用測試環境（repo-env 696934e、排程器開啟、假 LLM；§9），G-08 流程中以 Playwright 操作 洞察管線 › 個股健檢 抽屜 ④ 校正版本鏈：09-10 對 v1 按「設為生效」；09-29 對 v2 按「取消生效」再按「設為生效」；讀確認框、PUT、toast 與版本鏈</t>
        </is>
      </c>
      <c r="N163" s="68" t="inlineStr">
        <is>
          <t>觀察：R5 版本鏈只有「封存」
假設：①每版有設為生效／取消生效且走 API；②只加了按鈕外觀
排除：09-10 只有 v1 時提示「目前未設生效版 — 卡片不附加校正層；按「設為生效」採用某一版」，v1 列「最新版 設為生效 封存」；按下 → 確認框「設為生效 v1 — 個股健檢：之後產生的卡片改用校正 v1；已產生的卡片不變」→ PUT {"version":1} 200、toast「已設為生效」、v1「生效中 取消生效」，之後卡片 calibration_version=1；09-29 v2「取消生效」→ PUT {"version":null} 200、「已取消生效　之後的卡片不附加校正層」、API 為 null；再「設為生效」→ 2。診斷 G7「有未套用的校正版本（不會進行影子評估，需手動設為生效）」。排除②
定位：web/pipeline.js:796 putActive、:853-869
判定：通過</t>
        </is>
      </c>
      <c r="O163" s="68" t="inlineStr">
        <is>
          <t>設為生效／取消生效各實測 1～2 次，API 與版本鏈一致。變異（驗證者於本機 696934e 重做）：版本 is_active 恆 False → 1 failed；前端改打不存在的路由 → 路由守門 1 failed（routes no browser code reaches…active-calibration）；e2e——前端 PUT 改打不存在的 /active-calibration-x → 1 failed（PUT /api/insight-tasks/1/active-calibration-x 回應非 ok）；還原後同一支 e2e 在全套 304／304 ×3 中通過</t>
        </is>
      </c>
      <c r="P163" s="68" t="inlineStr">
        <is>
          <t>複驗通過 → 結案</t>
        </is>
      </c>
      <c r="Q163" s="68" t="inlineStr">
        <is>
          <t>無</t>
        </is>
      </c>
      <c r="R163" s="68" t="inlineStr">
        <is>
          <t>檢驗方 2026-09-26</t>
        </is>
      </c>
    </row>
    <row r="164" ht="219.75" customHeight="1" s="43">
      <c r="A164" s="72" t="inlineStr">
        <is>
          <t>R6</t>
        </is>
      </c>
      <c r="B164" s="72" t="inlineStr">
        <is>
          <t>DEF-079</t>
        </is>
      </c>
      <c r="C164" s="72" t="inlineStr">
        <is>
          <t>G-08（附帶）</t>
        </is>
      </c>
      <c r="D164" s="72" t="inlineStr">
        <is>
          <t>2026-09-26</t>
        </is>
      </c>
      <c r="E164" s="66" t="inlineStr">
        <is>
          <t>開發者 R6 發現（修 DEF-070 時），owner 2026-09-26 在對話中裁定本輪一起修。樣本改為「觸發這次產版的那一批失誤」，觸發用的證據與交給大師模型的證據是同一組（與 DEF-080 共用時間窗）。</t>
        </is>
      </c>
      <c r="F164" s="67" t="inlineStr">
        <is>
          <t>portfolio_dash/api/insight_service.py:900-905（_generate_one）</t>
        </is>
      </c>
      <c r="G164" s="67" t="inlineStr">
        <is>
          <t>tests/scheduler/test_generate_calibrations.py::_seed_misses 在一個還沒有任何校正版本的任務上把評分標成 calibration_version=1——真實資料不會長這樣，所以按 v1 取樣本「剛好」取得到；也沒有任何測試檢查大師模型實際收到什麼。已改 fixture 為 NULL（與 Loop 2 實際寫入一致），並補斷言提示詞含 8 筆失誤。</t>
        </is>
      </c>
      <c r="H164" s="66" t="inlineStr">
        <is>
          <t>新增 evaluations_store.calibration_window（見 DEF-080）與 miss_samples_by_ids；_generate_one 只把時間窗內的失誤交給大師模型，底稿取生效版的內文（無生效版時為空白）。miss_samples_for_version 保留給 /api/calibrations/{id}/samples，與新函式共用同一段 SQL。排程明細改為「產生 1 版（個股健檢 v1・失誤樣本 8 筆）」，可直接從明細看到依據筆數。不採用：改用 IS NULL 查整段歷史的失誤（會重複使用已拿來產版的舊失誤，即 DEF-080）。附記（未修）：spec 4.7 說 samples 路由回傳「驅動該版的失誤樣本」，實作回傳的是「該版本身卡片的失誤」；要正確回答需在版本上記錄依據（加欄位），此路由沒有前端呼叫點，列為後續項。</t>
        </is>
      </c>
      <c r="I164" s="66" t="inlineStr">
        <is>
          <t>「以最新版或 v1 代替生效版」的讀取點 共 7／修 2（insight_service:901 底稿、:902 取樣本的版本）／白名單 5（:430 影子版本本來就是最新版；:998 晉升比較的就是最新版；:1064 _unapplied_calibration 本來就在比「生效版 ≠ 最新版」；composer_store:791 是寫入、NULL 合法；evaluations_store:650 miss_samples_for_version 的唯一呼叫者 samples 路由一定傳真實版本號，Loop 3 已不再用它）。掃描指令：git grep -nE "\[-1\]\.(version|body)|if active else 1|calibration_version = \?" 3be67db -- portfolio_dash</t>
        </is>
      </c>
      <c r="J164" s="66" t="inlineStr">
        <is>
          <t>新增 tests/scheduler/test_def079_calibration_basis.py（2 則，資料形狀比照真實：真卡片＋Loop 2 同版本、同 lane 的評分）。舊邏輯 2/2 失敗：「sample 0 never reached the master assert '「未校正失誤0」' in …」、「assert ('BASE-ONE' in …」（底稿是 v2 的內文）。test_generate_calibrations 補斷言「prompts[0].count("評語：高估") == 8」，舊邏輯失敗「assert 0 == 8」。變異 M7 樣本改回取最新版或 v1 → 3 則失敗（含 assert 0 == 8）；M8 底稿改回最新版 → 1 則失敗「assert ('BASE-ONE' in …」。</t>
        </is>
      </c>
      <c r="K164" s="67" t="inlineStr">
        <is>
          <t>696934e（已部署 demo）</t>
        </is>
      </c>
      <c r="L164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4" s="68" t="inlineStr">
        <is>
          <t>本機專用測試環境（repo-env 696934e、排程器開啟、假 LLM；§9），G-08 流程：09-10 評分 9 筆（失誤 7）後產生校正；09-18 以 v1 的 9 筆評分（失誤 2）產生 v2；09-29 以 v2 影子期的 18 筆評分（失誤 4）產生 v3；讀校正工作明細與版本內容</t>
        </is>
      </c>
      <c r="N164" s="68" t="inlineStr">
        <is>
          <t>觀察：開發者 R6 發現：無生效版時第一版失誤樣本 0 筆、之後版本以最新版而非生效版為底
假設：①樣本改為觸發本次產版的那批失誤、底稿取生效版；②只改明細文字
排除：明細依序「產生 1 版（個股健檢 v1・失誤樣本 7 筆）」（生效版空、未校正卡 9 筆中失誤 7）、「產生 1 版（個股健檢 v2・失誤樣本 2 筆）」（生效 v1 自己的 9 筆中失誤 2）、「產生 1 版（個股健檢 v3・失誤樣本 4 筆）」（v2 的 18 筆中失誤 4），樣本數＝觸發窗內失誤數。排除②
定位：api/insight_service.py:1188 active_body 取生效版、:1193 miss_samples_by_ids
判定：通過</t>
        </is>
      </c>
      <c r="O164" s="68" t="inlineStr">
        <is>
          <t>三次產版的樣本數與各自觸發窗的失誤數一致。變異（驗證者於本機 696934e 重做）：底稿改取最新未封存版 → 1 failed（assert 'BASE-ONE' in …），還原後 2 passed</t>
        </is>
      </c>
      <c r="P164" s="68" t="inlineStr">
        <is>
          <t>複驗通過 → 結案</t>
        </is>
      </c>
      <c r="Q164" s="68" t="inlineStr">
        <is>
          <t>無</t>
        </is>
      </c>
      <c r="R164" s="68" t="inlineStr">
        <is>
          <t>檢驗方 2026-09-26</t>
        </is>
      </c>
    </row>
    <row r="165" ht="219.75" customHeight="1" s="43">
      <c r="A165" s="72" t="inlineStr">
        <is>
          <t>R6</t>
        </is>
      </c>
      <c r="B165" s="72" t="inlineStr">
        <is>
          <t>DEF-080</t>
        </is>
      </c>
      <c r="C165" s="72" t="inlineStr">
        <is>
          <t>G-08（附帶）</t>
        </is>
      </c>
      <c r="D165" s="72" t="inlineStr">
        <is>
          <t>2026-09-26</t>
        </is>
      </c>
      <c r="E165" s="66" t="inlineStr">
        <is>
          <t>開發者 R6 發現（修 DEF-070 時），owner 2026-09-26 在對話中裁定本輪一起修。另加一道防線：最新版還在影子評估中、或已勝出等待「設為生效」時不產生新版，否則新版會取代它成為影子、舊候選永遠不會被判定。</t>
        </is>
      </c>
      <c r="F165" s="67" t="inlineStr">
        <is>
          <t>portfolio_dash/api/insight_service.py:891-893（_generate_one 的觸發條件）</t>
        </is>
      </c>
      <c r="G165" s="66" t="inlineStr">
        <is>
          <t>唯一跑兩次產版的測試 test_second_run_appends_version 在同一時刻、以 v1 標記塞入第二批評分，然後斷言會出現 v2——把重複觸發當成預期行為釘住。已改成真實形狀：第二批為 NULL，且在 v1 產生後一天才評分。</t>
        </is>
      </c>
      <c r="H165" s="67" t="inlineStr">
        <is>
          <t>evaluations_store.calibration_window(version=生效版, since=任務最新一個校正版本〔含已封存〕的建立時間)：計入 calibration_version 為生效版的評分（沒有生效版時＝未附加校正層的卡片；版本只由它自己的卡片衡量，影子期也算它的紀錄），且評分時間晚於任務最新一個校正版本的建立時間——那一刻之前的評分就是那一版的依據，已經用過，不論該版後來被採用、輸掉或被封存。以「評分時間」而非「卡片建立時間」判斷：卡片在上一版之前產生、之後才評分，上一版沒看過，算新證據。樣本數、失誤數、連續失誤都在時間窗內計算。明細：「略過 1 個任務（名 新樣本 k／門檻 8）」、「暫不產生 1 個任務（名 v2 影子評估中｜名 v2 勝出待設為生效）」；設定頁「校正產生最低樣本數」說明同步更新。不採用：用卡片建立時間（漏掉晚到的評分）；新增 active_since 欄位（評分本身已帶版本，不必改 schema）。規則寫入 .claude/rules/llm-insight.md。</t>
        </is>
      </c>
      <c r="I165" s="66" t="inlineStr">
        <is>
          <t>以全部歷史作為產生動作或判定依據的讀取點 共 8／修 3（insight_service:891、:892、:893）／白名單 5（calibration_gap :110 全域校準誤差預警衡量目前狀態、不產出新東西；戰績頁 totals.gate_open〔routers/insights.py:885〕與 by_combo.gate_open〔evaluations_store:767〕只決定顯示比率時標不標「資料不足」；scoring.trust_tier 顯示用分級；_check_regression 8 筆滾動跨版本，切換版本後變差本來就要發預警）。DEF-070 已修的兩處晉升讀取不重複計。掃描指令：git grep -nE "resolved_sample_count\(|consecutive_misses\(|combo_score\(|min_samples" 3be67db -- portfolio_dash/api portfolio_dash/llm_insight</t>
        </is>
      </c>
      <c r="J165" s="66" t="inlineStr">
        <is>
          <t>新增 tests/scheduler/test_def080_calibration_window.py（6 則）。舊邏輯 6/6 失敗：同一批舊失誤不再每週產版「assert [1, 2] == [1]」；上一版之後的新失誤仍會觸發（舊邏輯樣本為 0，'第二週失誤' in prompt 失敗）；採用後只計生效版自己的卡片「[1, 2] == [1]」；封存的版本仍消耗其依據「[1, 2] == [1]」；影子評估中不產版與勝出待採用不產版皆「[1, 2, 3] == [1, 2]」。變異 M9 時間窗改回全部歷史 → 3 則失敗「assert [1, 2] == [1]」；M10 不限版本 → 1 則；M11 拿掉影子評估中的防線 → 1 則「[1, 2, 3] == [1, 2]」。</t>
        </is>
      </c>
      <c r="K165" s="67" t="inlineStr">
        <is>
          <t>696934e（已部署 demo）</t>
        </is>
      </c>
      <c r="L165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5" s="68" t="inlineStr">
        <is>
          <t>本機專用測試環境（repo-env 696934e、排程器開啟、假 LLM；§9），G-08 流程：09-10 產生 v1 後立即再跑一次校正；09-18 產生 v2 後再跑一次（v2 影子評估中）；讀明細與版本數</t>
        </is>
      </c>
      <c r="N165" s="68" t="inlineStr">
        <is>
          <t>觀察：開發者 R6 發現：觸發條件讀全部歷史，同一批舊失誤每週重複產版（驗證者 R5 的 v1、v2 連續產生即此）
假設：①時間窗只算上一版之後的新評分、影子評估中暫停；②只擋同日重跑
排除：09-10 產生 v1 後立刻再跑 → 「產生 0 版；略過 2 個任務（個股健檢 新樣本 0／門檻 8…）」，版本仍 1 個；v1 生效後累積 9 筆新評分才於 09-18 產生 v2；v2 影子評估中再跑 → 「暫不產生 1 個任務（個股健檢 v2 影子評估中）」；v2 晉升後以其影子期 18 筆評分產生 v3。排除②
定位：llm_insight/evaluations_store.py:686 calibration_window
判定：通過</t>
        </is>
      </c>
      <c r="O165" s="69" t="inlineStr">
        <is>
          <t>R5 同批失誤連產 v1、v2 的情形不再發生；影子評估中暫停產版。變異（驗證者於本機 696934e 重做）：時間窗改回全部歷史 → 3 failed（assert '第二週失誤' in …），還原後 6 passed</t>
        </is>
      </c>
      <c r="P165" s="68" t="inlineStr">
        <is>
          <t>複驗通過 → 結案</t>
        </is>
      </c>
      <c r="Q165" s="68" t="inlineStr">
        <is>
          <t>無</t>
        </is>
      </c>
      <c r="R165" s="68" t="inlineStr">
        <is>
          <t>檢驗方 2026-09-26</t>
        </is>
      </c>
    </row>
    <row r="166" ht="219.75" customHeight="1" s="43">
      <c r="A166" s="72" t="inlineStr">
        <is>
          <t>R6</t>
        </is>
      </c>
      <c r="B166" s="72" t="inlineStr">
        <is>
          <t>DEF-068</t>
        </is>
      </c>
      <c r="C166" s="72" t="inlineStr">
        <is>
          <t>E-11</t>
        </is>
      </c>
      <c r="D166" s="72" t="inlineStr">
        <is>
          <t>2026-09-26</t>
        </is>
      </c>
      <c r="E166" s="66" t="inlineStr">
        <is>
          <t>同意。另外 API 原本就缺「已更新數」，前端要說「N 檔已更新」只能自己算，所以一併由 API 補上計數。</t>
        </is>
      </c>
      <c r="F166" s="67" t="inlineStr">
        <is>
          <t>web/shell.js:467-470；portfolio_dash/scheduler/jobs.py _quote_outcome（results 缺已更新數）</t>
        </is>
      </c>
      <c r="G166" s="67" t="inlineStr">
        <is>
          <t>M10-02 只測 API 的 results 區塊（test_m10_02_refresh_quotes_results），沒有任何測試實際渲染這則提示——使用者讀到的句子從未被斷言。新 e2e 以程序內真實路由產生的回應驅動提示，斷言的是使用者看到的句子。</t>
        </is>
      </c>
      <c r="H166" s="67" t="inlineStr">
        <is>
          <t>_quote_outcome 的 results 新增 instruments_updated 與 fx_pairs；新增 jobs.combine_quote_results()，對整次請求合計 instruments／instruments_updated／instruments_not_updated／instruments_failed／held_failed／fx_failed／all_failed（同一組匯率只要任一市場的工作更新成功就不算失敗；工作清單為空不算全部失敗）；/api/actions/refresh-quotes 回應新增 summary 區塊（只增不改）。shell.js 只負責排版：全部失敗 → 失敗語氣「報價更新失敗：N 檔報價都沒有更新：…；匯率未更新：USDMYR、USDTWD。仍顯示上次取得的價格…」；部分失敗 → 「N 檔已更新、M 檔未更新：…；匯率未更新：…」；成功但有觀察標的或匯率沒更新 → 警示語氣「報價更新完成，部分項目未更新」且不自動重新整理（比照 M10-02 的理由：重新整理會把唯一的說明洗掉）。本輪 DEF-067 起報價工作全部失敗記為「失敗」，提示讀的是 summary.all_failed，兩者一致。</t>
        </is>
      </c>
      <c r="I166" s="66" t="inlineStr">
        <is>
          <t>讀 refresh 結果 results 的提示 共 1（shell.js）／修 1／白名單 0；同類的其他提示——背景回補（instruments.js，/actions/backfill-history 只回 detail）與單檔更新（新增標的後的更新，只回 detail 字串）——都不讀 results，0 處。掃描指令：grep -n "results\[" web/*.js；grep -rn "refresh-quotes\|backfill-history" web/*.js</t>
        </is>
      </c>
      <c r="J166" s="66" t="inlineStr">
        <is>
          <t>新增 tests/contract/test_def068_refresh_quotes_summary.py（4 則，真實路由＋不連網的假供應商）：3be67db 上 4/4 無法執行（ImportError：combine_quote_results 不存在）。新增 e2e tests/e2e/test_def068_refresh_toast_flow.py（2 則，瀏覽器的 POST 以「真實路由在程序內產生的回應」回覆，所以提示是對著 API 實際形狀測的）：shell.js 換回 3be67db 版 → 2/2 失敗「Locator expected to contain text '報價更新失敗' … waiting for locator(".toast.toast-fail")」，部分完成那則實際提示為「1 檔持倉未更新：AAPL。其餘已更新，重新整理頁面即可看到新價。」。變異：M9 fx_failed 改成任一工作失敗即算 → 2 則失敗；M10 拿掉 instruments_updated → 2 則失敗。</t>
        </is>
      </c>
      <c r="K166" s="67" t="inlineStr">
        <is>
          <t>696934e（已部署 demo）</t>
        </is>
      </c>
      <c r="L166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6" s="68" t="inlineStr">
        <is>
          <t>本機專用測試環境（repo-env 696934e、排程器開啟、假 LLM；§9）（外網封鎖）：儀表板 ⟳ 重新整理 › 更新報價，攔截 /api/actions/refresh-quotes 回應與提示，前後比對 prices 表雜湊</t>
        </is>
      </c>
      <c r="N166" s="68" t="inlineStr">
        <is>
          <t>觀察：R5 全部失敗卻提示「其餘已更新」、不提匯率
假設：①API 補計數、前端依計數選句；②前端只換句子
排除：回應新增 summary（instruments 10、instruments_updated 0、all_failed true、fx_failed [USDMYR, USDTWD]），三個工作 status error；提示為失敗語氣（toast-fail）「報價更新失敗　10 檔報價都沒有更新：0056、1155、2330、AAPL、KEMB、KEMG、NVDA、ORBT、VRTA、VRTB；匯率未更新：USDMYR、USDTWD。仍顯示上次取得的價格，請稍後再試或檢查資料來源。」；prices 雜湊 58461362c1db692f 前後相同。排除②
定位：scheduler/jobs.py combine_quote_results、web/shell.js
判定：通過（部分失敗句型離線無法製造，由開發者 e2e 覆蓋）</t>
        </is>
      </c>
      <c r="O166" s="68" t="inlineStr">
        <is>
          <t>失敗語氣、點名 10 檔與 2 組匯率、不宣稱已更新。變異（驗證者於本機 696934e 重做）：all_failed 恆 False → 1 failed（assert False is True），還原後 4 passed</t>
        </is>
      </c>
      <c r="P166" s="68" t="inlineStr">
        <is>
          <t>複驗通過 → 結案</t>
        </is>
      </c>
      <c r="Q166" s="68" t="inlineStr">
        <is>
          <t>無</t>
        </is>
      </c>
      <c r="R166" s="68" t="inlineStr">
        <is>
          <t>檢驗方 2026-09-26</t>
        </is>
      </c>
    </row>
    <row r="167" ht="219.75" customHeight="1" s="43">
      <c r="A167" s="72" t="inlineStr">
        <is>
          <t>R6</t>
        </is>
      </c>
      <c r="B167" s="72" t="inlineStr">
        <is>
          <t>DEF-073</t>
        </is>
      </c>
      <c r="C167" s="72" t="inlineStr">
        <is>
          <t>E-05、G-08（附帶）</t>
        </is>
      </c>
      <c r="D167" s="72" t="inlineStr">
        <is>
          <t>2026-09-26</t>
        </is>
      </c>
      <c r="E167" s="66" t="inlineStr">
        <is>
          <t>同意。另外：洞察 run 的明細在成功時就是字面「ok」、略過時是列舉碼，而 web/pipeline.js:847 用 `r.detail || ppSkipReason(r.reason)`，明細非空就會繞過中文對照表；評分與校正的「無 runner」分支也是英文。</t>
        </is>
      </c>
      <c r="F167" s="67" t="inlineStr">
        <is>
          <t>portfolio_dash/scheduler/jobs.py:1051、:1077、:1092、:771、:1132／:1136、:1168、:142／151／661／696／885／1122、:1541、:1926；api/digest_service.py:512、:684；api/signals_service.py:484；llm_insight/generate.py:250、:286、:434；ops/notify_dispatch.py:68、:70、:117-121；api/routers/news.py:130-137；api/insight_service.py:840-940（評分／校正 runner 回傳型別）</t>
        </is>
      </c>
      <c r="G167" s="66" t="inlineStr">
        <is>
          <t>既有 tests/contract/test_zh_punctuation_fullwidth.py 只檢查「半形標點緊鄰中文」——純英文句沒有中文可以緊鄰，因此被判乾淨；該檔甚至把「3 alert(s) [a, b], 2 dispatched; notify：無啟用通道」列為偵測器「不可標記」的範例：它檢查的是標點，從來不是語言。評分與校正工作的測試只斷言 isinstance(detail, str)，任何字串都會通過。</t>
        </is>
      </c>
      <c r="H167" s="66" t="inlineStr">
        <is>
          <t>所有明細改為中文句、全形標點，機器列舉碼留在 job_runs.reason：預警掃描「預警 N 條（規則名…），派發 AI 預警卡 M 張；推播：送出 1 則／待送 2 則（通道異常：Telegram）」、推播崩潰「推播失敗（預警已記錄）」；摘要「每日摘要 日期：…」／「每週行動清單 日期：N 項；…」；新聞「AI 整理 N 則，僅存標題 M 則，已收錄略過 K 則…」（排程與手動抓新聞共用 jobs.news_run_outcome）；備份「備份完成：檔名」；外部快照「寫入 N 筆外部快照（應有 M 筆）」；訊號掃描「掃描 N 檔：首次建立狀態…」；無執行器「XX執行器未接線，未執行」；洞察 run「產生 N 張卡（M 張沿用當日快取）」、閘門略過「未執行：&lt;閘門中文原因&gt;」、AI 呼叫失敗見 DEF-066。評分／校正（agent U）：runner 改回傳摘要物件（EvaluateSummary、CalibrationSummary，str() 即中文明細），scheduler 仍不 import api——評分「評分 N 張、延後 M 張[、無法判定 U 張][、失敗 F 張]；晉升：無｜晉升：甲 v2｜勝出待設為生效：乙 v3」；校正「產生 N 版（名 vK・失誤樣本 k 筆）[；略過 M 個任務（名 新樣本 k／門檻 8）][；暫不產生 1 個任務（名 v2 影子評估中）][；驗證器拒絕 J 版（名：原因）][；未設定 AI 大師模型｜AI 額度用罄…]」；沒有自我校正任務「沒有開啟自我校正的任務，未產生校正版本」。規則寫入 .claude/rules/architecture.md。</t>
        </is>
      </c>
      <c r="I167" s="67" t="inlineStr">
        <is>
          <t>job_runs.detail 所有寫入點（grep "INSERT INTO job_runs\|UPDATE job_runs\|finish_job_run(\|_write_job_run(\|run_job_outcome(" 並逐一追 JOBS 回傳）共 39／修 30（排程與洞察 26：預警掃描主句與推播崩潰、每日／每週摘要、新聞結果與非 dict、手動抓新聞、推播句、備份成功與完整性、外部快照〔8 個工作共用〕、訊號掃描、無執行器 ×5、洞察 runner 未接線、重疊略過、洞察未知任務、閘門略過、中途停止、額度中途停止、正常完成、_write_job_run 預設值、收件匣後備；評分／校正 4：兩個成功句＋兩個無 runner）／原本已是中文 6（報價／歷史／回補的 _summarize、describe_refresh、write_snapshot、unknown_job_message、insight_service 略過、scan_sentence）／白名單 1（failure_detail 的例外類別名＋原文，DEF-030 決定保留供查 log）。</t>
        </is>
      </c>
      <c r="J167" s="66" t="inlineStr">
        <is>
          <t>新增守門 tests/contract/test_def073_job_details_speak_chinese.py（對 JOBS 全部 23 個工作 × 成功／失敗兩條分支用 run_job_outcome 實跑，runner 盡量接真實的 api 端，只打樁會連網的部分；掃描寫入的明細，兩個字母以上的 ASCII 詞除識別字〔代號、幣對、AI／JSON／HTTP、供應商 id、例外類別名、備份檔名、通道產品名〕外一律算英文；另含無執行器分支、wrapper 句、推播句每個分支、偵測器正向對照）：3be67db 上 34/50 失敗，例「AssertionError: alert_scan (success) wrote English into job_runs.detail: '4 alert(s) [單一標的集中度、…], 0 dispatched; notify：無啟用通道'」、「… digest_daily (success) … 'daily digest 2026-06-11：組合 —，…'」。已知盲點：只檢查有驅動到的分支；全大寫英文字會被當識別字放過；raise 出來的例外原文依 DEF-030 不檢查。新增 tests/llm_insight/test_def073_insight_run_detail.py（4 則，舊碼 4/4 失敗）、tests/contract/test_def073_manual_news_detail.py（2 則，舊碼 2/2 失敗「assert ('ok', 'manua… 2 symbol(s)') == ('ok', '2 檔標的：AI 整理 2 則…')」）、tests/scheduler/test_def073_evolution_job_details.py（9 則，以真 runner 經 jobs.* 驅動，舊碼 9/9 失敗，例「'calibration pass complete' == '產生 0 版；略過 1 個任務（個股健檢 樣本 3／門檻 8）'」「'evaluate pass complete' == '評分 1 張、延後 1 張；晉升：無'」）。變異：預警掃描改回英文 → 2 則「assert not ['alert']」；推播句改回「notify：…」→ 2 則；外部快照改回「snapshot(s) written」→ 16 則；洞察停止明細改回 3be67db 那行 → 1 則；手動新聞改回 manual: 前綴 → 2 則；評分改回常數 → 3 則；校正改回常數 → 5 則。</t>
        </is>
      </c>
      <c r="K167" s="67" t="inlineStr">
        <is>
          <t>696934e（已部署 demo）</t>
        </is>
      </c>
      <c r="L167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7" s="68" t="inlineStr">
        <is>
          <t>本機專用測試環境（repo-env 696934e、排程器開啟、假 LLM；§9）：以「立即執行」跑 13 個工作並讀明細，另讀 cron 觸發的 5 個工作與 G-08 流程中評分／校正工作的明細；以正規式掃描明細中的英文詞（排除代號、幣對、AI／JSON／HTTP、供應商名）</t>
        </is>
      </c>
      <c r="N167" s="68" t="inlineStr">
        <is>
          <t>觀察：R5 明細有「alert(s)…dispatched」「daily digest」「evaluate／calibration pass complete」
假設：①全部改為中文且校正說明結果；②只改被點名的句子
排除：預警掃描「預警 3 條（單一標的集中度、產業集中度、幣別集中度），派發 AI 預警卡 1 張；推播：無啟用通道」、每日摘要「每日摘要 2026-09-26：…」、每週「每週行動清單 2026-09-26：2 項…」、新聞「AI 整理 0 則，僅存標題 0 則，已收錄略過 0 則」、訊號「掃描 10 檔：首次建立狀態 10 檔…」、備份「備份完成：portfolio_2026-09-26.db.gz」、外部快照「寫入 0 筆外部快照（應有 2 筆）」；校正三種結果各不同：「產生 0 版；略過 2 個任務（個股健檢 新樣本 9／門檻 20…）」「…驗證器拒絕 1 版（個股健檢：越權/幣別混算關鍵字：加碼）」「產生 1 版（個股健檢 v1・失誤樣本 7 筆）」「暫不產生 1 個任務（個股健檢 v2 影子評估中）」；評分「評分 36 張、延後 0 張；晉升：無」「…晉升：個股健檢 v2」。13 個工作明細英文詞 0（備份檔名除外）；finmind_chips_daily 因未設金鑰 raise，明細「執行失敗：MissingTokenError：FinMind API key is not configured」屬 DEF-030 保留例外原文的白名單。排除②
定位：scheduler/jobs.py 各工作回傳、api/insight_service.py EvaluateSummary／CalibrationSummary
判定：通過</t>
        </is>
      </c>
      <c r="O167" s="69" t="inlineStr">
        <is>
          <t>18 個工作明細皆中文、全形標點；校正與評分明細說明做了什麼。變異（驗證者於本機 696934e 重做）：評分明細「晉升：無」改英文 → 1 failed（assert '評分 1 張、延後 1 張；promote: none' == …），還原後 60 passed</t>
        </is>
      </c>
      <c r="P167" s="68" t="inlineStr">
        <is>
          <t>複驗通過 → 結案</t>
        </is>
      </c>
      <c r="Q167" s="68" t="inlineStr">
        <is>
          <t>附註：失敗時的例外原文（failure_detail）依 DEF-030 保留英文類別名與原文，未列入本張</t>
        </is>
      </c>
      <c r="R167" s="68" t="inlineStr">
        <is>
          <t>檢驗方 2026-09-26</t>
        </is>
      </c>
    </row>
    <row r="168" ht="219.75" customHeight="1" s="43">
      <c r="A168" s="72" t="inlineStr">
        <is>
          <t>R6</t>
        </is>
      </c>
      <c r="B168" s="72" t="inlineStr">
        <is>
          <t>DEF-072</t>
        </is>
      </c>
      <c r="C168" s="72" t="inlineStr">
        <is>
          <t>D-00</t>
        </is>
      </c>
      <c r="D168" s="72" t="inlineStr">
        <is>
          <t>2026-09-26</t>
        </is>
      </c>
      <c r="E168" s="66" t="inlineStr">
        <is>
          <t>同意。依「門」掃描另找到同類門 3：帳本頁 公司行動 分頁已選帳戶籤時按新增（web/ledger.js:1294 `window.pdCorpActionForm.open({ onSaved: () =&gt; boot() })`），一樣落在第一個帳戶。</t>
        </is>
      </c>
      <c r="F168" s="67" t="inlineStr">
        <is>
          <t>web/detail.js:1272（門 2 預填）；web/corp-action-form.js:798（空字串時由瀏覽器預設第一個）；同類 web/ledger.js:1294（門 3 不帶帳戶籤）</t>
        </is>
      </c>
      <c r="G168" s="66" t="inlineStr">
        <is>
          <t>既有 e2e tests/e2e/test_corporate_actions_flow.py 的 test_door2_offers_the_repair…（:1058-1062）在註解裡記下「帳戶落在 Moomoo」，接著用 select_option("tw_broker") 手動改回——測試把缺陷寫成了操作步驟，而不是斷言。已改為 to_have_value("tw_broker")，並新增一紅一綠、兩紅、已篩選三種情境。</t>
        </is>
      </c>
      <c r="H168" s="67" t="inlineStr">
        <is>
          <t>detail.js 新增 repairTarget()：抽屜已篩選帳戶 → 帶入篩選帳戶；未篩選 → 讀伺服器的 activity_reconcile.by_account[帳戶].balances === false（前端不做股數運算）：恰好 1 個帳戶不一致 → 帶入該帳戶；多個 → 不預選，傳 require_account: true，原因列改為「此標的在 A、B 的對帳結果都是 ⚠ 對帳不一致，請先選擇要補登的帳戶」。共用表單新增 require_account 選項：第一項為不可選的「請選擇帳戶」（value 空），表單原本的 ready() 就拒絕空帳戶，所以選擇前不試算、不能儲存；門 1 與未帶旗標的呼叫端行為不變。門 3：帳本頁有帳戶籤時帶入該帳戶，「全部」維持原預設。不採用：每個不一致帳戶各放一顆按鈕（偏離規格）；用假帳戶值當佔位（非空值會通過 ready() 送到伺服器）；表單開啟後再改下拉（帳戶清單非同步載入，有競態）。</t>
        </is>
      </c>
      <c r="I168" s="66" t="inlineStr">
        <is>
          <t>開啟公司行動表單的門 共 3／修 2（門 2 抽屜補登、門 3 帳本頁新增）／原本正確 1（門 1 賣超修復帶入該筆賣出的帳戶）。另查「依篩選帶入帳戶」的地方：只有 detail.js、ledger.js 持有帳戶篩選狀態；detail.js:1314、app.js:140 是連到公司行動帳本的連結，帶該列自己的 account_id，白名單 2。掃描指令：git grep -n -E "\.open\(\{" 3be67db -- web；grep -n -E "state\.account|filterAcct|acctFilter|selectedAccount" web/*.js</t>
        </is>
      </c>
      <c r="J168" s="67" t="inlineStr">
        <is>
          <t>tests/e2e/test_corporate_actions_flow.py：改 1 則（door2 斷言帶入 tw_broker）＋新增 2 則——test_door2_prefills_the_account_whose_footer_is_red（MSFT 一紅一綠 → 帶入 schwab；AAPL 兩帳戶皆紅 → 「請選擇帳戶」、選擇前無法儲存也不試算；抽屜篩選 Moomoo → moomoo_my）、test_door3_prefills_the_ledger_account_chip；新夾具 _seed_red_in_two_accounts。3 個 web 檔還原成 3be67db → 3/3 失敗「Locator expected to have Value 'tw_broker' / Actual value: moomoo_my」（另兩則為 'schwab' vs moomoo_my）。變異：門 2 改回 filterAcct || '' → 2 則失敗（同訊息）；門 3 不帶帳戶籤 → 1 則失敗「expected 'schwab'… Actual value: moomoo_my」。</t>
        </is>
      </c>
      <c r="K168" s="67" t="inlineStr">
        <is>
          <t>696934e（已部署 demo）</t>
        </is>
      </c>
      <c r="L168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8" s="68" t="inlineStr">
        <is>
          <t>本機專用測試環境（repo-env 696934e、排程器開啟、假 LLM；§9），前置與開發者 _seed_red_footer 同形：T1 2330 台灣券商 01-05 賣 100（首筆買進前）＋04-01 分割；T2 AAPL 在嘉信與 Moomoo 各一筆早於買進的賣出＋分割（兩帳戶皆不一致）；T3 交易帳本 › 公司行動 分頁選「嘉信」帳戶籤後按新增；每段以 SQLite 備份還原</t>
        </is>
      </c>
      <c r="N168" s="68" t="inlineStr">
        <is>
          <t>觀察：R5 門 2 預填清單第一個帳戶 Moomoo MY
假設：①依伺服器對帳結果帶入不一致帳戶；②只改預設順序
排除：T1 單一帳戶不一致 → 帳戶下拉＝台灣券商；T2 兩帳戶不一致 → 下拉首項「請選擇帳戶」（空值）、原因「此標的在 Moomoo MY、嘉信 Schwab 的對帳結果都是 ⚠ 對帳不一致，請先選擇要補登的帳戶」、登錄鍵 disabled；T3 門 3 帶入嘉信 Schwab。排除②
定位：web/detail.js:1272 repairTarget、web/ledger.js 門 3
判定：通過</t>
        </is>
      </c>
      <c r="O168" s="69" t="inlineStr">
        <is>
          <t>3 情境預填正確；帳本雜湊 27d0aeca71456835 還原後與測前相同。變異（驗證者於本機 696934e 重做）：e2e——detail.js repairTarget 恆回空帳戶 → 2 failed（AssertionError: Locator expected to have Value 'tw_broker'）；還原後同一支 e2e 在全套 304／304 ×3 中通過</t>
        </is>
      </c>
      <c r="P168" s="68" t="inlineStr">
        <is>
          <t>複驗通過 → 結案</t>
        </is>
      </c>
      <c r="Q168" s="68" t="inlineStr">
        <is>
          <t>無</t>
        </is>
      </c>
      <c r="R168" s="68" t="inlineStr">
        <is>
          <t>檢驗方 2026-09-26</t>
        </is>
      </c>
    </row>
    <row r="169" ht="219.75" customHeight="1" s="43">
      <c r="A169" s="72" t="inlineStr">
        <is>
          <t>R6</t>
        </is>
      </c>
      <c r="B169" s="72" t="inlineStr">
        <is>
          <t>DEF-075</t>
        </is>
      </c>
      <c r="C169" s="72" t="inlineStr">
        <is>
          <t>H-04（附帶）</t>
        </is>
      </c>
      <c r="D169" s="72" t="inlineStr">
        <is>
          <t>2026-09-26</t>
        </is>
      </c>
      <c r="E169" s="66" t="inlineStr">
        <is>
          <t>同意，依 owner ② B（未來日期的賣出尚未到期，所以還算持有）。依「持有」判定的讀取者掃描，同一個 current_shares &gt; 0 另有 4 處：預警規則 › 目標配置的持有／觀察徽章（與本缺陷同一個可見症狀）、訊號的 held 旗標（也餵給 LLM 的 rule_signals_json）、報價排程判定「部分」的持倉門檻、Alpha Vantage 基本面的持倉宇宙——本輪一併改走同一判定。徽章也經 /api/instruments 影響全站搜尋的「持倉／觀察」，同步修好。</t>
        </is>
      </c>
      <c r="F169" s="67" t="inlineStr">
        <is>
          <t>portfolio_dash/api/routers/instruments.py:62（用於 :118、:745）；同類 api/routers/strategy.py:179 _held_set、api/signals_service.py:186 _is_held、api/routers/actions.py:32 held_symbols、api/fundamentals_service.py:27 _held_refs</t>
        </is>
      </c>
      <c r="G169" s="67" t="inlineStr">
        <is>
          <t>DEF-064 在 _archive_blocked 的註解明寫「_held 保留為觀察清單的顯示旗標」，刻意留了兩個判定；DEF-064 只測守門，沒有測試比對徽章與守門。另外 tests/data_ingestion/test_holdings_containment.py 的呼叫點普查正則只找 current_shares 等 4 個包裝函式，DEF-064 新增的兩處 holds_position 呼叫它完全看不到。新增：徽章＝守門的全標的比對、6 個登錄類讀取者對 holds_position 的參數化一致性測試；普查正則加入 holds_position／held_among。</t>
        </is>
      </c>
      <c r="H169" s="66" t="inlineStr">
        <is>
          <t>「持有」分成兩個問題，各只有一個判定（規則寫入 .claude/rules/domain-ledger.md）：**登錄類**（徽章、封存、移除、永久移除、目標配置徽章、訊號 held、報價排程的持倉門檻、Alpha Vantage 持倉宇宙）一律走 data_ingestion/holdings.py::holds_position（任一帳戶今天或之後任一帳本日期持股 ≠ 0）；新增清單版 held_among（每次呼叫只載一次 action index）。instruments.py 的 _held 與 _archive_blocked 合併為同一函式，四個門共用；strategy／signals／actions／fundamentals 四處改用 held_among（GET /api/target-weights 加 now 依賴；排程接縫只給 conn，actions.held_symbols 用 shared.clock.app_now，與 get_now、cron 同一時鐘）。**估值類**（預警與洞察的持有宇宙、週報、可賣股數）讀估值日帳本：未來日期的賣出尚未計入所以仍算持有、放空也算，與 owner 理由一致，維持不動。放空也顯示「持有」：徽章只回答「有沒有部位」，放空的區分在抽屜與儀表板既有的 short_open 標示；只有未來日期買入的標的也顯示「持有」，因為移除會被擋，徽章不應邀請一個會被拒絕的操作。不採用：另加「放空」字樣（需新 wire 欄位，裁定未要求）。</t>
        </is>
      </c>
      <c r="I169" s="66" t="inlineStr">
        <is>
          <t>「持有」判定 共 14／修 6（instruments 徽章含全站搜尋與永久移除、封存守門併入；strategy.py:179、signals_service.py:186、actions.py:32、fundamentals_service.py:27）／原本正確 1（store._reactivate_if_held）／白名單 7（估值日帳本類：insight_service.held_in_book／held_symbols_for_alerts——預警「未持有，不產卡」與洞察持有宇宙；digest _held_symbols_and_names 週報漲跌榜；/api/input/holdings 可賣股數；input_center ctx.holdings 股數表；validate.py:789 賣超守門與 ledgers.py:1103／1119 E13 為驗證用）。修後以 current_shares &gt; 0 判定「持有」的程式呼叫 0 處。前端：instruments.js 徽章、shell.js 全站搜尋、settings-alerts.js 目標配置徽章讀同一 API 已修；pipeline.js／pipeline-wizard.js（儀表板帳本）、input.js／sym-picker.js（可賣股數）白名單。掃描指令：git grep -n -E "current_shares\(|holds_position\(|held_among\(|def [a-z_]*held[a-z_]*\(" -- portfolio_dash；git grep -n -E "\.held\b|\bheld:" 3be67db -- web/*.js</t>
        </is>
      </c>
      <c r="J169" s="66" t="inlineStr">
        <is>
          <t>新增 tests/contract/test_def075_watchlist_held_is_holds_position.py（6 則：未來賣出 → 持有、移除 422、永久移除 422 held；刪掉該筆賣出 → 5,000 股持有；賣出改到過去 → 觀察、移除 200；已清倉 → 觀察；放空 → 持有、永久移除 422；全部標的徽章＝守門），3be67db 上 3/6 失敗「a sale that has not happened yet leaves the position held — the badge must say 持有 / assert False is True」。新增 tests/contract/test_def075_registry_held_readers_agree.py（參數化 6 則，各讀取者走自己的公開入口：/api/instruments 徽章、/api/target-weights 徽章、/api/signals、/api/signals/{s}、報價排程持倉門檻、Alpha Vantage 實際送出的宇宙；夾具 0056 只因 2026-10-15 賣出清倉、2303 宣告放空、2454 已清倉、2330 持有），3be67db 上 6/6 失敗，例「target-weights badge: held=['2330'] but holds_position says ['0056', '2303', '2330'] — missing ['0056', '2303'], extra []」。變異：instruments._held 改回 &gt; 0 → 3 則失敗（同上訊息）；四處各自改回 current_shares &gt; 0 → 各恰 1 則失敗（「target-weights badge…」「signal drawer…」「quote-job threshold…」「alpha-vantage universe: …missing ['0056', '2303']」）。containment 普查 8/8。</t>
        </is>
      </c>
      <c r="K169" s="67" t="inlineStr">
        <is>
          <t>696934e（已部署 demo）</t>
        </is>
      </c>
      <c r="L169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69" s="69" t="inlineStr">
        <is>
          <t>demo 真實瀏覽器（QA 基準 R6_START 後）：交易輸入 0056 台灣券商 賣出 5,000 股、日期 2026-10-15（勾「我了解，仍要寫入」，#118）→ 觀察清單讀 0056 列並按 移除 › 移除（隱藏）→ 系統設定 › 預警規則 › 目標配置 讀 0056 徽章 → 交易帳本 刪除 #118 → cmp R6_START</t>
        </is>
      </c>
      <c r="N169" s="68" t="inlineStr">
        <is>
          <t>觀察：R5 本機 0056 只靠未來日期賣出清倉時徽章變「觀察」、移除卻 422
假設：①登錄類「持有」統一為 holds_position；②只改觀察清單
排除：寫入 #118 後觀察清單「0056 元大高股息 … 持有」；移除 → DELETE /api/instruments/0056 422、對話框「無法移除：持倉中的標的不可移除或封存」；目標配置「0056 持有 元大高股息」，/api/target-weights held:true；刪除 #118 後 cmp R6_START 六段 JSON 與全部計數逐字相同。排除②
定位：api/routers/instruments.py:56 _held → holds_position，strategy／signals／actions／fundamentals 改用 held_among
判定：通過</t>
        </is>
      </c>
      <c r="O169" s="68" t="inlineStr">
        <is>
          <t>觀察清單與目標配置皆「持有」、移除 422；demo 已還原。變異（驗證者於本機 696934e 重做）：_held 以十年後為今日 → 3 failed（assert False is True），還原後 12 passed</t>
        </is>
      </c>
      <c r="P169" s="68" t="inlineStr">
        <is>
          <t>複驗通過 → 結案</t>
        </is>
      </c>
      <c r="Q169" s="68" t="inlineStr">
        <is>
          <t>無</t>
        </is>
      </c>
      <c r="R169" s="68" t="inlineStr">
        <is>
          <t>檢驗方 2026-09-26</t>
        </is>
      </c>
    </row>
    <row r="170" ht="219.75" customHeight="1" s="43">
      <c r="A170" s="72" t="inlineStr">
        <is>
          <t>R6</t>
        </is>
      </c>
      <c r="B170" s="72" t="inlineStr">
        <is>
          <t>DEF-074</t>
        </is>
      </c>
      <c r="C170" s="72" t="inlineStr">
        <is>
          <t>H-04（附帶）</t>
        </is>
      </c>
      <c r="D170" s="72" t="inlineStr">
        <is>
          <t>2026-09-26</t>
        </is>
      </c>
      <c r="E170" s="66" t="inlineStr">
        <is>
          <t>同意，依 owner ① B 改走共用判定。detect()（dividend_inbox.py:267）讀的是已存的事件、不是抓取宇宙，列白名單（理由見 I）。</t>
        </is>
      </c>
      <c r="F170" s="67" t="inlineStr">
        <is>
          <t>portfolio_dash/api/dividend_inbox.py:220</t>
        </is>
      </c>
      <c r="G170" s="67" t="inlineStr">
        <is>
          <t>DEF-064 的測試只釘後備路徑 jobs.build_worklist，這條 runner 路徑當時列為白名單等待裁定；沒有任何測試比對「同一個排程的兩條路徑要求同一組標的」。新測試直接比對兩條路徑。</t>
        </is>
      </c>
      <c r="H170" s="66" t="inlineStr">
        <is>
          <t>改用 shared/instrument_scope.tracked_instruments(conn)，與後備路徑同一判定、同一 board 預設（全 repo 仍只有一份「未封存」定義）。持有中的標的不可能被封存（DEF-064 守門，本輪 DEF-075 起徽章也用同一判定），所以不會漏掉持倉的配息。</t>
        </is>
      </c>
      <c r="I170" s="67" t="inlineStr">
        <is>
          <t>DEF-064 白名單逐一重新確認：`from instruments|join instruments`（3be67db）共 17 行扣除 1 行 DELETE（store.py:754）＝16 處讀取：須加封存過濾 0；原白名單 13 仍成立（依名稱查市場 2 insight_service:495、prompts:611；觀察清單 board_status 1 instruments:80；股利帳本幣別 1 prompts:441；帳戶合併對帳 2 moomoo_merge:138／147；get_instrument store:579；list_instruments 註冊表本身 store:592；產業遷移 store:614；purge 稽核擷取 store:724；ETF 稽核腳本；刪卡腳本；stress-audit oracle）；DEF-064 之後新增 3 處皆白名單（instrument_scope.py:57 判定本身；store.py:794 _reactivate_if_held 刻意讀 archived；clean_orphan_seed_prices.py:198 單一代號查 market／board）。`list_instruments(` 宇宙類 共 8／已走共用 1（alert_inputs:159）／本次修 1（dividend_inbox:220，移出白名單）／白名單 6：dividend_inbox:267 detect 讀已存事件（封存是停止抓取，不是隱藏持有期間未入帳的配息，且收件匣本來就「絕不自動入帳、可略過」）；fundamentals_service:33、actions.py:44、strategy.py:184 是持倉集合（持有 ⇒ 未封存，本輪 DEF-075 已改走 holds_position）；strategy.py:196 目標權重設定表（與觀察清單一樣列出含封存的註冊標的）；news_service:165 單一代號查詢（「all」已走共用判定）。其餘 24 處是顯示或查名。掃描指令：git grep -n -i -E "from instruments|join instruments" 3be67db -- portfolio_dash scripts；git grep -n "list_instruments(" 3be67db -- portfolio_dash scripts</t>
        </is>
      </c>
      <c r="J170" s="66" t="inlineStr">
        <is>
          <t>新增 tests/contract/test_def074_dividend_scan_excludes_archived.py（3 則）：runner 與後備路徑各一則（有買入歷史、已清倉的標的封存後不掃、還原後回來、持有中不受影響），另一則比對兩條路徑要求同一組標的。3be67db 上 2/3 失敗：「runner: archiving must remove exactly the archived symbol (before=['2330','2454','AAPL'], after=['2330','2454','AAPL'])」與「runner=['2330','2454','AAPL'] fallback=['2330','AAPL']」。變異：改回 list_instruments → 同 2 則失敗。</t>
        </is>
      </c>
      <c r="K170" s="67" t="inlineStr">
        <is>
          <t>696934e（已部署 demo）</t>
        </is>
      </c>
      <c r="L170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70" s="68" t="inlineStr">
        <is>
          <t>本機專用測試環境（repo-env 696934e、排程器開啟、假 LLM；§9）：以 SQLite 備份後，觀察清單 › 移除（隱藏）已換股清倉的 VRTB → 排程中心 dividend_inbox_scan「立即執行」讀明細逐檔清單 → 以 API 還原 VRTB → 再掃一次 → 還原 DB</t>
        </is>
      </c>
      <c r="N170" s="68" t="inlineStr">
        <is>
          <t>觀察：R5 裁定①：收件匣掃描宇宙含已封存標的
假設：①收件匣改走共用判定；②只改後備路徑
排除：封存前明細 8 檔（0056、1155、2330、AAPL、KEMB、NVDA、ORBT、VRTB）；VRTB 封存後 7 檔（VRTB 消失，持有中的 2330、0056、AAPL 仍在）；還原後回到 8 檔。排除②
定位：api/dividend_inbox.py:235 tracked_instruments
判定：通過</t>
        </is>
      </c>
      <c r="O170" s="69" t="inlineStr">
        <is>
          <t>8 → 7 → 8 檔；帳本雜湊還原後相同。變異（驗證者於本機 696934e 重做）：改回 list_instruments → 2 failed（runner: archiving must remove exactly the archived symbol），還原後 3 passed</t>
        </is>
      </c>
      <c r="P170" s="68" t="inlineStr">
        <is>
          <t>複驗通過 → 結案</t>
        </is>
      </c>
      <c r="Q170" s="68" t="inlineStr">
        <is>
          <t>無</t>
        </is>
      </c>
      <c r="R170" s="68" t="inlineStr">
        <is>
          <t>檢驗方 2026-09-26</t>
        </is>
      </c>
    </row>
    <row r="171" ht="219.75" customHeight="1" s="43">
      <c r="A171" s="72" t="inlineStr">
        <is>
          <t>R6</t>
        </is>
      </c>
      <c r="B171" s="72" t="inlineStr">
        <is>
          <t>DEF-078</t>
        </is>
      </c>
      <c r="C171" s="72" t="inlineStr">
        <is>
          <t>H-01（附帶）</t>
        </is>
      </c>
      <c r="D171" s="72" t="inlineStr">
        <is>
          <t>2026-09-26</t>
        </is>
      </c>
      <c r="E171" s="66" t="inlineStr">
        <is>
          <t>同意改為密碼欄位。遮罩部分：**owner 2026-09-26 已在對話中直接裁定「所有金鑰一律前後 3 個字元」**，取代規格 §15 的「API Key 前後各 6 個字元」解讀（請驗證者知悉）。起因：§15 的短金鑰規則在 20～24 字元會露出一半以上（Finnhub 金鑰 20 字元、Alpha Vantage 16 字元剛好落在這一段），開發者提出後由 owner 直接裁定維持 3＋3。本張因此沒有待 owner 決定的事項。</t>
        </is>
      </c>
      <c r="F171" s="67" t="inlineStr">
        <is>
          <t>web/settings.html:533、:550、:631；web/settings-datasources.js:218</t>
        </is>
      </c>
      <c r="G171" s="66" t="inlineStr">
        <is>
          <t>遮罩只在 API 回應上測過（test_llm_settings_api、test_datasources_api、test_notify_api）；前端輸入欄的 type 沒有任何守門。新增：由掃描衍生祕密輸入欄集合的靜態守門，加上 e2e。</t>
        </is>
      </c>
      <c r="H171" s="67" t="inlineStr">
        <is>
          <t>4 個輸入欄改為 type="password"＋autocomplete="new-password"（避免瀏覽器把登入密碼自動填進金鑰欄）。shared/masking.py::mask_secret 未修改：模型金鑰、資料來源金鑰、ntfy 權杖、Telegram 權杖、Email 密碼全部維持前 3＋•••＋後 3（owner 裁定）。為了在密碼欄位下仍看得出目前是哪一把金鑰，伺服器產生的遮罩以文字顯示在欄位旁「目前：abc•••xyz」／「目前：尚未設定」（模型抽屜與通知中心三欄；資料來源的遮罩原本就顯示在該列）。保留遮罩的寫入路徑逐條確認照舊：通知欄位值仍是遮罩字串，含 ••• 即沿用；模型 #dr-key 在按「重設」前空白唯讀、只有動過才送 api_key；資料來源對話框留空代表清除，語意未變。不採用：把遮罩字串放進密碼欄（只會顯示成一串圓點）。</t>
        </is>
      </c>
      <c r="I171" s="66" t="inlineStr">
        <is>
          <t>祕密輸入欄：掃描 web/*.html 的 72 個 &lt;input&gt; 與 web/*.js 動態建立的 55 個，共 127 個，依 id／placeholder／label 比對 key|token|password|secret|金鑰|權杖|密碼 → 候選 12，排除非祕密 4（dr-maxout 為 token 數量、input.js:867 與 ledger.js:466 為 checkbox、settings-fees.js:107 為 number）→ 祕密欄 共 8／修 4（dr-key、資料來源重設對話框、nt-ntfy-token、nt-tg-token）／原本正確 3（login-pass、nu-pass、nt-em-pass）／白名單 1（nt-ntfy-topic：唯讀、由伺服器產生、要複製到手機 app，F1 裁定刻意顯示）。遮罩：mask_secret 的 5 處呼叫（llm_settings:79、datasources_store:398、notify:63／67／75／85）全部 3＋3，本次不改。</t>
        </is>
      </c>
      <c r="J171" s="66" t="inlineStr">
        <is>
          <t>新增 tests/contract/test_def078_secret_inputs_and_masks.py（11 則：40 字元模型金鑰與資料來源金鑰 → 前 3＋•••＋後 3、5 字元 → •••；ntfy 權杖、Telegram 權杖、Email 密碼皆 3＋3；回應不含完整祕密；掃描衍生的祕密欄全部必須是 password；白名單項目仍存在；4 欄有 new-password）；新增 e2e tests/e2e/test_def078_secret_inputs_flow.py（受保護模式登入後：4 欄 type=password、按重設後也是；「目前：」遮罩正確；DOM 與 input.value 都不含完整祕密；/api/llm/config、/api/datasources、/api/notify/config 回應都不含）。3be67db 上：契約 2 則失敗（「secret inputs that echo what is typed: settings.html:533#nt-ntfy-token (type=None) / :550#nt-tg-token / :631#dr-key / settings-datasources.js:217 (type='text')」與 autocomplete）；e2e 失敗「Locator expected to have attribute 'password' / Actual value: None」。遮罩各則在舊碼也通過——那是依 owner 3＋3 裁定設的釘子。變異：遮罩放寬為 6＋6 → 3 則失敗「assert 'sk-or-•••pqrstu' == 'sk-•••stu'」；dr-key 改回 text → 2 則；資料來源對話框改回 'text' → 1 則；nt-tg-token 改回 text → 1 則。</t>
        </is>
      </c>
      <c r="K171" s="67" t="inlineStr">
        <is>
          <t>696934e（已部署 demo）</t>
        </is>
      </c>
      <c r="L171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71" s="69" t="inlineStr">
        <is>
          <t>demo 真實瀏覽器（不在任何祕密欄位輸入）：系統設定 › AI 與額度 開模型抽屜（按「重設」後讀欄位、關閉不儲存）；資料來源 按「設定金鑰」開對話框讀欄位後取消；通知中心讀 ntfy／Telegram／Email 欄位；讀 /api/llm/config、/api/datasources、/api/notify/config 的遮罩</t>
        </is>
      </c>
      <c r="N171" s="68" t="inlineStr">
        <is>
          <t>觀察：R5 #dr-key 等 4 欄為 type=text
假設：①4 欄皆改密碼欄、遮罩依 owner 前後 3 字元；②只改模型金鑰欄
排除：#dr-key type=password、autocomplete=new-password（重設後仍是 password、value 空），欄旁「目前：sk-•••815」；資料來源對話框 type=password、autocomplete=new-password；nt-ntfy-token、nt-tg-token、nt-em-pass 皆 password＋new-password（demo 防護 disabled）；遮罩 sk-•••815（4 個模型）、finmind eyJ•••YMY、ntfy 主題 pd-•••c0b，皆前後 3；頁面 DOM 無完整金鑰。排除②
定位：web/settings.html:533、:550、:631、web/settings-datasources.js:218
判定：通過（owner 2026-09-26 對話裁定前後 3 字元，取代規格 §15 的 6＋6）</t>
        </is>
      </c>
      <c r="O171" s="69" t="inlineStr">
        <is>
          <t>4 個祕密欄皆密碼欄位、遮罩前後 3 字元；未修改任何設定（抽屜以 ✕ 關閉，遮罩前後相同）。變異（驗證者於本機 696934e 重做）：#dr-key 改回 type="text" → 2 failed（secret inputs that echo what is typed: settings.html:631#dr-key），還原後 11 passed；e2e——#dr-key 改回 type="text" → 1 failed（AssertionError: Locator expected to have attribute 'password'）；還原後同一支 e2e 在全套 304／304 ×3 中通過</t>
        </is>
      </c>
      <c r="P171" s="68" t="inlineStr">
        <is>
          <t>複驗通過 → 結案</t>
        </is>
      </c>
      <c r="Q171" s="68" t="inlineStr">
        <is>
          <t>無</t>
        </is>
      </c>
      <c r="R171" s="68" t="inlineStr">
        <is>
          <t>檢驗方 2026-09-26</t>
        </is>
      </c>
    </row>
    <row r="172" ht="219.75" customHeight="1" s="43">
      <c r="A172" s="72" t="inlineStr">
        <is>
          <t>R6</t>
        </is>
      </c>
      <c r="B172" s="72" t="inlineStr">
        <is>
          <t>DEF-077</t>
        </is>
      </c>
      <c r="C172" s="72" t="inlineStr">
        <is>
          <t>J-01（附帶）</t>
        </is>
      </c>
      <c r="D172" s="72" t="inlineStr">
        <is>
          <t>2026-09-26</t>
        </is>
      </c>
      <c r="E172" s="66" t="inlineStr">
        <is>
          <t>同意，依 owner ⑥ A。</t>
        </is>
      </c>
      <c r="F172" s="67" t="inlineStr">
        <is>
          <t>portfolio_dash/portfolio/dashboard.py:196-197、:210、:982</t>
        </is>
      </c>
      <c r="G172" s="67" t="inlineStr">
        <is>
          <t>tests/portfolio/test_m1_fx_triangulation.py 的夾具三條腿都放在同一日；唯一改過一條腿日期的 stale 測試只斷言 stale 與 as_of、不斷言判定；golden 也是三腿同日——沒有任何案例在三腿日期不同時斷言判定結果。</t>
        </is>
      </c>
      <c r="H172" s="67" t="inlineStr">
        <is>
          <t>RateResolver 記錄每對匯率是正向或反向取得，新增 history(base, quote, start, end)（與 rate 同方向，反向用 1/rate 全精度，方向判定只有一個來源）。_fx_triangulation(reads, *, history, valued_on) 兩個參數必填：三腿最新日期相同且不晚於估值日 → 直接比；否則在「最舊那條腿的最新日期」往前 30 天內找三腿都有值的最新共同日期比較。容忍度語意不變（量化後 |gap| ≤ 0.05%；MYR/TWD 由 USD 推導，共同日期上 gap 約為 0，超過即代表有列不是經 cross.py 寫入）。API 新增欄位（只增不改）：compared_on、dates_differ、leg_dates、reason；無共同日期 → ok: null、implied／direct／gap_pct 為 null、reason「最近 30 天內三組匯率沒有共同日期，無法比較」（不是 false）；as_of 語意不變。畫面（首頁鮮度面板）：只有 ok === false 顯示琥珀色；日期不同附「・日期不同（各組最新：…），以共同日期 X 比較」；ok === null 顯示「無法比較（原因）」中性色。不採用：在估值日讀取時推導一組一致的匯率（data-and-pricing 否決過：儲存值與使用值會變成兩個事實）；回看期不設上限（一條腿停更一年仍在一年前比較沒有意義，且鮮度清單已標示過期）。</t>
        </is>
      </c>
      <c r="I172" s="66" t="inlineStr">
        <is>
          <t>讀取這個結果的地方 共 5／改 3（web/app.js 鮮度面板、golden 快照重生、單元測試）／自動帶出 1（LLM 變數 freshness_json 以 model_dump 帶出新欄位，帶此變數的提示詞當日快取一次性未命中）／既有測試更新 1；scripts/verify_live.py、stress-audit、週報、匯出、預警皆 0 處讀取。掃描指令：git grep -n "fx_triangulation\|FxTriangle" 3be67db -- . ':!docs'</t>
        </is>
      </c>
      <c r="J172" s="66" t="inlineStr">
        <is>
          <t>新增 tests/portfolio/test_def077_fx_triangulation_common_date.py（9 則：規格四案 (a) 同日一致 → ok、(b) 同日不一致 → false、(c) 日期不同共同日一致 → ok＋dates_differ、共同日確實不一致 → false、(d) 無共同日 → ok None＋reason；另不晚於估值日、wire 形狀、經 build_dashboard 的真實路徑、反向匯率歷史方向）；新增 e2e tests/e2e/test_def077_fx_triangle_note_flow.py（2 則：日期不同但一致 → 「日期不同」「以共同日期 2026-06-09 比較」「（一致）」非琥珀；無共同日期 → 「無法比較」）。3be67db 上：單元 9/9 失敗（8 則為新介面不存在；經 build_dashboard 那則為語意失敗「ok=False gap_pct=-2.2222」，正是 J-01 的形狀）；e2e 2/2 失敗「missing 「日期不同」 in: 匯率三角一致性 USD/TWD：…推得 30.800000，直接報價 31.500000，落差 -2.2222%（超過 0.05% …）」。變異：改回永遠比最新一筆 → 6 則失敗，含 (c)「judged on the common date 2026-09-24, the triangle closes: … direct=32.500000 gap_pct=-1.5385 ok=False」。golden 以 scripts/regen_golden_full.py 重生，差異只有新增 4 個鍵。</t>
        </is>
      </c>
      <c r="K172" s="67" t="inlineStr">
        <is>
          <t>696934e（已部署 demo）</t>
        </is>
      </c>
      <c r="L172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72" s="69" t="inlineStr">
        <is>
          <t>demo 真實瀏覽器：首頁 資料新鮮度 面板（點「部分過期」徽章）讀匯率三角提示文字與 getComputedStyle；GET /api/dashboard freshness.fx_triangulation；J-01 重跑；讀 web/app.js、web/styles.css 與開發者 e2e</t>
        </is>
      </c>
      <c r="N172" s="68" t="inlineStr">
        <is>
          <t>觀察：API ok:true、compared_on 2026-09-22、dates_differ true、leg_dates USD/MYR 09-24／MYR/TWD 09-22／USD/TWD 09-25；提示文字「匯率三角一致性 USD/TWD：USD/MYR × MYR/TWD 推得 31.663000，直接報價 31.663000，落差 0.0000%（一致）・日期不同（各組最新：…），以共同日期 2026-09-22 比較」✓；但這則「一致」提示的計算樣式為 color rgb(217,161,63)、背景 rgba(217,161,63,0.14)——與「排程器未啟動」警示同一個琥珀色警示框
假設：①ok:true 本應中性、樣式沒生效；②所有提示本來就是琥珀色
排除：app.js:1395 註解與開發者說明皆寫「只有 ok === false 顯示琥珀色、ok === null 中性」，程式只在 false 時設 inline 琥珀；styles.css:1240-1247 .fresh-note 預設 color: var(--amber)、background: var(--amber-soft)，所以 true／null 仍是琥珀；開發者 e2e（test_def077_fx_triangle_note_flow.py:65、:93）讀的是 n.style.color（inline）＝""，未驗計算後顏色，因而通過。排除②（設計意圖明寫非琥珀）
定位：web/styles.css:1240 .fresh-note 預設琥珀、web/app.js:1393-1420 未替 true／null 換成中性樣式
判定：部分通過——比較日期與判定正確（J-01 tri ok:true），畫面仍以警示色呈現「一致」與「無法比較」，與規格「日期不同而不是紅燈」及開發者自述的設計不符</t>
        </is>
      </c>
      <c r="O172" s="68" t="inlineStr">
        <is>
          <t>文字與判定正確；「一致」提示為琥珀色警示框（計算樣式 rgb(217,161,63)）。變異（驗證者於本機 696934e 重做）：dates_differ 恆 False → 5 failed，還原後 9 passed（判定邏輯的測試有效；樣式測試有盲點）</t>
        </is>
      </c>
      <c r="P172" s="68" t="inlineStr">
        <is>
          <t>複驗未過</t>
        </is>
      </c>
      <c r="Q172" s="68" t="inlineStr">
        <is>
          <t>還差：①匯率三角提示在 ok === true 與 ok === null 時改為中性樣式（例如另設 class 覆寫 .fresh-note 的琥珀色與琥珀底，或把三角提示移出 .fresh-note），只有 ok === false 維持琥珀；②e2e 改以 getComputedStyle 驗 color／background（現行 n.style.color 只看 inline，CSS 預設琥珀時仍通過）；③同類掃描：其他以 inline style 判斷顏色、但容器 class 已有預設警示色的提示</t>
        </is>
      </c>
      <c r="R172" s="68" t="inlineStr">
        <is>
          <t>檢驗方 2026-09-26</t>
        </is>
      </c>
    </row>
    <row r="173" ht="219.75" customHeight="1" s="43">
      <c r="A173" s="72" t="inlineStr">
        <is>
          <t>R6</t>
        </is>
      </c>
      <c r="B173" s="72" t="inlineStr">
        <is>
          <t>DEF-076</t>
        </is>
      </c>
      <c r="C173" s="72" t="inlineStr">
        <is>
          <t>H-04（附帶）</t>
        </is>
      </c>
      <c r="D173" s="72" t="inlineStr">
        <is>
          <t>2026-09-26</t>
        </is>
      </c>
      <c r="E173" s="66" t="inlineStr">
        <is>
          <t>同意，依 owner ⑤ b 統一為「AI 額度偏低」。另外 shared/whatsnew.py:1317 的更新說明也寫「LLM 額度偏低預警」；owner 2026-09-26 另在對話中裁定：畫面上其他「LLM 額度」字樣本輪一併統一為「AI 額度」（見 H、I）。</t>
        </is>
      </c>
      <c r="F173" s="67" t="inlineStr">
        <is>
          <t>portfolio_dash/strategy/alerts.py:357；portfolio_dash/shared/whatsnew.py:1317</t>
        </is>
      </c>
      <c r="G173" s="67" t="inlineStr">
        <is>
          <t>DEF-062 的守門只比對各處的規則「名稱」（設定頁、推播、精靈），沒有比對規則引擎產生的事件「標題」——標題是 alerts.py 裡另一組字串，沒有任何測試觸及。新守門由程式碼衍生（規則, 標題）配對，不是手寫清單。</t>
        </is>
      </c>
      <c r="H173" s="66" t="inlineStr">
        <is>
          <t>標題改為「AI 額度偏低」；推播與洞察觸發晶片原本就讀規則名，預警鈴列表與 on_alert 提示詞讀標題，一併變成「AI 額度偏低」（當日洞察快取一次性未命中，owner 已接受）。whatsnew.py:1317 改寫為「不再誤報 AI 額度偏低預警」：它是指向現行功能的更新目錄項目，不是當時實際推播或寫入的紀錄（owner ④ 保留原樣的是 job_runs 明細與週報那一類），讀者會拿這個詞去找目前的預警。標題保留字面值，由守門測試與規則名綁住。另依 owner 2026-09-26 在對話中的裁定，使用者看得到的其他「LLM」字樣一律改稱「AI」：洞察管線「AI 額度」卡與跳過原因、乾跑預檢 R6 閘門「AI 額度」、資料庫統計「AI 模型註冊表／AI 角色預設／AI 額度設定」、系統紀錄動作標籤「AI 設定變更／AI 操作／AI 設定刪除」、AI 輸入降級卡、洞察頁與數據變數庫說明；程式碼、註解、識別字維持 LLM；「LiteLLM」是閘道產品名，與同頁的 FinMind、yfinance 一樣保留。系統紀錄既有的舊資料列保留寫入當時的「LLM …」字樣（比照裁定 ④ a）。規則寫入 .claude/rules/llm-insight.md。</t>
        </is>
      </c>
      <c r="I173" s="67" t="inlineStr">
        <is>
          <t>AST 掃描所有同時帶字面 title= 與 rule=／rule_id= 的呼叫：共 16 個標題、15 條規則（另 4 個事件 signal_trend／cross／momentum、calibration_regression 不寫標題，畫面讀規則名）。修前同詞 5、不同詞 11 → 修 1（quota_low）／白名單 10，理由寫在測試的 _REVIEWED 表：single／sector／currency_weight「權重偏高」描述觸發條件；fx_drift「匯率偏離成本」、rebalance_drift「偏離目標配置」說明偏離了什麼；target_cross 跌破／突破是方向；portfolio_drawdown「組合自高點回撤」保留「組合」以免與個股回撤混淆；stale_price「報價過期」與 missing_price「無報價」為同義字（owner 採維持）。另「LLM」使用者可見字樣 共 32／修 28（web 18：pipeline.js 7、pipeline-preflight.js 1、insights.html 2、settings-llm.js 1、settings-prompts.js 4、settings.html 1、trades.html 2；後端中文訊息 10：action_log.py 動作標籤 3、insight_service R6 閘門名 1、db_stats.py 3、llm_insight/variables.py 數據變數庫描述 3——只經 /api/prompt-vars 顯示、不進提示詞、不影響快取）／白名單 4（「LiteLLM」產品名：settings.html:301、settings-prompts.js:254／258／622）。web 掃描以分詞器去掉 JS／CSS／HTML 註解，只看字串、模板字串、HTML 文字與屬性；後端以 AST 取非 docstring、含中文的字串常數。</t>
        </is>
      </c>
      <c r="J173" s="66" t="inlineStr">
        <is>
          <t>新增 tests/contract/test_def076_alert_titles_use_rule_vocabulary.py（5 則：掃描看得到每條註冊規則；標題不得用規則名以外的詞，除非列在 _REVIEWED；_REVIEWED 每筆仍存在且仍不同，避免白名單腐爛；標題不得含「LLM」；經 compute_alerts_from 實際產生的 quota_low 標題＝rule_name＝「AI 額度偏低」）。3be67db 上 3/5 失敗：「alerts.py:356: rule quota_low 「AI 額度偏低」 vs title predicate 「LLM 額度偏低」」、「assert 'LLM 額度偏低' == 'AI 額度偏低'」。變異：改回 LLM → 同 3 則失敗。另新增 tests/contract/test_def076_ai_wording_not_llm.py（3 則：web 掃描、後端掃描、掃描器自我測試）：3be67db 上 2/3 失敗，逐行列出 web 18 處與後端 10 處，例「web/pipeline.js:456: LLM 額度」「portfolio_dash/api/routers/db_stats.py:86: LLM 額度設定」；自我測試確認註解與 LiteLLM 不被當成違規、字串／模板／HTML 文字與屬性都看得到。變異 M12 pipeline.js 卡片改回「LLM 額度」→「user-visible 「LLM」 in web/ … web/pipeline.js:456: LLM 額度」；M13 db_stats 改回「LLM 額度設定」→「a Chinese message says 「LLM」 … db_stats.py:86: LLM 額度設定」。</t>
        </is>
      </c>
      <c r="K173" s="67" t="inlineStr">
        <is>
          <t>696934e（已部署 demo）</t>
        </is>
      </c>
      <c r="L173" s="67" t="inlineStr">
        <is>
          <t>ruff 全過（portfolio_dash／tests／scripts）・mypy --strict 950 檔 0 問題・pytest 6,488 則（6,486 通過、2 略過、0 失敗；本機記憶體不足，以 9 小批逐段前景執行）・e2e 88 檔 304／304 全過（伺服器端 5xx 0、traceback 0）・stress-audit ops=128 pass=6,025 fail=0・demo 部署 696934e 後 verify_live ALL PASS；唯讀探測 11 頁 console 錯誤 0、5xx 0</t>
        </is>
      </c>
      <c r="M173" s="69" t="inlineStr">
        <is>
          <t>demo 真實瀏覽器：以隱藏 iframe 逐頁載入 10 個分頁＋設定 8 個子分頁＋交易輸入，掃描可見文字與 title／placeholder／aria-label 中的「LLM」（排除 LiteLLM）；AI 與額度 把低額度警示門檻由 1.00 改為 4.00（高於剩餘 3.26）→ 開預警鈴讀清單與 /api/alerts → 改回 1.00；讀 /api/system-log 最新兩列動作標籤</t>
        </is>
      </c>
      <c r="N173" s="68" t="inlineStr">
        <is>
          <t>觀察：R5 quota_low 事件標題「LLM 額度偏低」
假設：①事件標題改用規則名、畫面 LLM 全改 AI；②只改標題
排除：19 個頁面「LLM」0 處（僅 LiteLLM 產品名）；門檻 4.00 時預警鈴列「AI 額度偏低　剩餘額度 $3.26＜警戒值 $4.00」、/api/alerts title 同；系統紀錄動作「AI 設定變更」；門檻改回 1.00 後 quota_low 0 條。排除②
定位：strategy/alerts.py:361、api/action_log.py:96
判定：通過</t>
        </is>
      </c>
      <c r="O173" s="69" t="inlineStr">
        <is>
          <t>19 頁 0 處 LLM；預警標題與規則名一致。變異（驗證者於本機 696934e 重做）：系統紀錄標籤改回「LLM 設定變更」→ 1 failed（a Chinese message says 「LLM」… action_log.py:96），還原後 8 passed</t>
        </is>
      </c>
      <c r="P173" s="68" t="inlineStr">
        <is>
          <t>複驗通過 → 結案</t>
        </is>
      </c>
      <c r="Q173" s="68" t="inlineStr">
        <is>
          <t>門檻 1.00 → 4.00 → 1.00 為設定頁操作（系統紀錄留 2 列「AI 設定變更」），已還原。觀察：排程中心 › 系統操作紀錄 中修正前寫入的舊列仍顯示「LLM 設定變更／LLM 操作」（本機環境 2026-09-25 的列），開發者比照裁定 ④ a 保留；如 owner 希望舊列也改稱，可由讀取時對照動作標籤處理，不影響本張結案</t>
        </is>
      </c>
      <c r="R173" s="68" t="inlineStr">
        <is>
          <t>檢驗方 2026-09-26</t>
        </is>
      </c>
    </row>
    <row r="174" ht="219.75" customHeight="1" s="43">
      <c r="A174" s="72" t="inlineStr">
        <is>
          <t>R7</t>
        </is>
      </c>
      <c r="B174" s="72" t="inlineStr">
        <is>
          <t>DEF-077</t>
        </is>
      </c>
      <c r="C174" s="72" t="inlineStr">
        <is>
          <t>J-01（附帶）</t>
        </is>
      </c>
      <c r="D174" s="72" t="inlineStr">
        <is>
          <t>2026-09-26</t>
        </is>
      </c>
      <c r="E174" s="66" t="inlineStr">
        <is>
          <t>同意驗證者的判定與根因。同類掃描另找到 2 處同形狀：AI 與額度 狀態徽章（偏低的 inline 琥珀在重繪後殘留）、資料新鮮度「推導」標籤用過期的琥珀徽章；後者 owner 2026-09-26 在對話中裁定改為中性灰，兩處都併入本張一起修。</t>
        </is>
      </c>
      <c r="F174" s="67" t="inlineStr">
        <is>
          <t>web/styles.css:1240（.fresh-note 預設琥珀）、web/app.js:1393／:1399（696934e）；同類 web/settings-llm.js:71-74、:81-83，web/app.js:1360</t>
        </is>
      </c>
      <c r="G174" s="67" t="inlineStr">
        <is>
          <t>①R6 e2e（test_def077_fx_triangle_note_flow.py:65／:93）讀 n.style.color——只有 inline 值，CSS 預設色永遠不會出現在那裡，「等於空字串」對任何靠樣式表上色的元素都成立；也沒測 ok === false 那一態，「三態全中性」同樣會通過。②M10-02 已寫下「警示色是 class，不是 inline style」，但守門 test_m10_02_warn_colour_lives_in_css.py 只點名兩個函式（toast、部分執行的點），其他 13 支檔案沒人看——手寫範圍的盲點。</t>
        </is>
      </c>
      <c r="H174" s="66" t="inlineStr">
        <is>
          <t>類別修法：狀態色一律用 class。①匯率三角提示：ok === false 維持 .fresh-note（琥珀）；ok === true／null 加 .fresh-note-info（一般文字色 --text-2、面板底色、淡邊框），移除 inline 顏色；文字（含「日期不同…以共同日期 X 比較」）不變。②AI 與額度 狀態徽章：額度偏低改用既有 .pill-warn，刪除 6 行 inline 顏色，已關閉分支補清 title。③「推導」標籤改 .badge-info-mini（.badge 預設中性＋小尺寸）。④新守門 tests/contract/test_def077_state_colour_is_a_class.py 把 M10-02 的規則擴及 web/ 全部檔案：inline 設定狀態色（--amber／--up／--down／--ok 或其 rgba）的位置都必須列在 _REVIEWED 並寫理由，否則失敗；清單項目已不存在也失敗（防腐爛）。規則寫進 .claude/rules/architecture.md（web/）。掃描方式：web/*.js 與 *.html（排除 vendored echarts.min.js）逐行找 .style.color／background／borderColor／cssText／setProperty／setAttribute('style') 的賦值，再與 CSS 中預設為警示色的 class（琥珀 73 個選擇器、紅 35 個）比對。</t>
        </is>
      </c>
      <c r="I174" s="67" t="inlineStr">
        <is>
          <t>inline style 賦值 共 71 處（13 檔）；其中設定狀態色 12 處 → 修 4（app.js:1399 三角提示 1、settings-llm.js:72-74 狀態徽章 3）／白名單 8（7 個位置，detail.js 同一行出現 2 次）：broker-import.js:720、:726，cash.js:437，detail.js:1245、:1326、:1350，instruments.js:347，settings-llm.js:365——皆為「元素只為單一狀態建立」或「每個分支都寫入顏色」，理由寫在 _REVIEWED。「容器 class 預設警示色＋inline 判斷顏色」這個精確形狀：1 處（即本張）；inline 狀態色在分支間殘留：1 處（AI 狀態徽章，已修）；警示色 class 用在非警示內容：1 處（推導，owner 裁定改）。修後 inline 賦值 64 處、狀態色 8 處。掃描指令：git grep -nE "style\.(color|background|backgroundColor|borderColor|cssText)\s*=" -- web/</t>
        </is>
      </c>
      <c r="J174" s="66" t="inlineStr">
        <is>
          <t>改寫 tests/e2e/test_def077_fx_triangle_note_flow.py（6 則）：三態各一——日期不同但共同日一致、無共同日、共同日確實不一致（golden：推得 30.800000 vs 直接 33.000000）——一律以 getComputedStyle 讀 color 與 background-color，並與同頁解析出的 --amber／--amber-soft 比對（換主題時兩邊一起變）：前兩態不得是琥珀、第三態必須是琥珀；「推導」標籤不得是琥珀；AI 狀態徽章 偏低 → 已關閉、偏低 → 歸零（真實存檔門檻觸發 boot() 重繪）不得殘留琥珀，且分別等於 --text-3／--up。新增 tests/contract/test_def077_state_colour_is_a_class.py（4 則）。變異（每組還原後皆 6／6、4／4 通過）：①三個前端檔換回 696934e → 5 failed（一致、無法比較、推導、兩種徽章轉換；ok:false 那則照常通過）；②只拿掉 app.js 的 .fresh-note-info → 2 failed；③只刪 styles.css 的 .fresh-note.fresh-note-info 規則 → 2 failed；④三態全改中性 → 1 failed（共同日不一致那則：color rgb(154,166,181)）；⑤推導改回 .badge-stale-mini → 1 failed；⑥只把 settings-llm.js 換回 696934e → 2 failed；⑦守門：把 R6 的 inline 琥珀放回 app.js → 2 failed（未審的狀態色＋三角提示未用 class），settings-llm.js 換回 → 2 failed。</t>
        </is>
      </c>
      <c r="K174" s="67" t="inlineStr">
        <is>
          <t>a16210a（已部署 demo）</t>
        </is>
      </c>
      <c r="L174" s="67" t="inlineStr">
        <is>
          <t>ruff 全過（portfolio_dash／tests／scripts）・mypy --strict 953 檔 0 問題（以全新快取重跑）・pytest 6,494 則（6,492 通過、2 略過、0 失敗；8 小批逐段前景執行）・e2e 89 檔 309／309 全過（19 組逐組前景執行；伺服器端 5xx 0、traceback 0）・stress-audit ops=128 pass=6,025 fail=0・demo 部署 a16210a 後 verify_live ALL PASS
demo 唯讀探測（真實瀏覽器，getComputedStyle）：三角提示 class「fresh-note fresh-note-info」、color rgb(154,166,181)、background rgb(24,32,43)（同頁琥珀 token 為 rgb(217,161,63)／rgba(217,161,63,0.14)）；同區「排程器未啟動」仍為琥珀；推導標籤 rgb(154,166,181)／rgb(24,32,43)；API ok:true、compared_on 2026-09-22；console 錯誤 0</t>
        </is>
      </c>
      <c r="M174" s="69" t="inlineStr">
        <is>
          <t>demo 真實瀏覽器：首頁 資料新鮮度 面板讀匯率三角提示、「排程器未啟動」與「推導」徽章的 getComputedStyle（深色主題，另以 data-theme 切淺色重讀、再切回）；本機專用測試環境（同一 commit a16210a；手冊 §9）：golden 帳本（三腿同在 06-09，ok:false）、驗證者自製兩種狀態（USD/MYR 移到 06-08 → 無共同日期；USD/TWD 06-09 改 30.8 → 同日一致），Playwright 讀兩種主題的計算樣式；AI 與額度 狀態徽章以 Playwright 走 啟用中 → 門檻 5.00（偏低）→ 逐一清空已設角色（已關閉）→ 還原角色（偏低）→ 門檻還原（啟用中），並在 696934e 以同一腳本對照；git grep 兩個 commit 重算開發者的掃描數字</t>
        </is>
      </c>
      <c r="N174" s="68" t="inlineStr">
        <is>
          <t>觀察：R6 「（一致）」提示的計算樣式是琥珀色警示框 rgb(217,161,63)／rgba(217,161,63,0.14)
假設：①狀態改用 class，三態、推導徽章與 AI 狀態徽章的實際顯示都依狀態；②只修了 ok:true 那一態，「無法比較」或徽章仍殘留琥珀
排除：demo（ok:true、日期不同、以共同日期 2026-09-22 比較）三角提示 class「fresh-note fresh-note-info」、無 inline，color rgb(154,166,181)＝--text-2、background rgb(24,32,43)＝--panel-2；同區「排程器未啟動」仍 rgb(217,161,63)／rgba(217,161,63,0.14)；MYR/TWD「推導」為 badge-info-mini rgb(154,166,181)（同欄「過期」徽章仍琥珀）；淺色主題三角提示 rgb(78,93,110)／rgb(243,246,250)、排程器提示為淺色琥珀 rgb(168,123,31)。本機：golden 推得 30.800000、直接 33.000000、落差 -6.6667% → 只有這一態是琥珀（class 僅 fresh-note）；驗證者自製無共同日期 →「無法比較（最近 30 天內三組匯率沒有共同日期，無法比較）・日期不同（…USD/MYR 2026-06-08…）」中性；同日一致 →「落差 0.0000%（一致）」中性；兩種主題結果相同。AI 狀態徽章：門檻 5.00 →「AI：額度偏低 $1.99」pill-warn 琥珀；清空 default、default 後備、AI 大師 3 個已設角色（PUT /api/llm/roles 各 200）→「AI：已關閉」pill-off，color rgb(94,107,124)＝--text-3、背景透明、無 inline；還原後回偏低、再回「AI：啟用中」綠。同一腳本在 696934e：「已關閉」仍帶 inline「color: var(--amber)…」、計算樣式琥珀——重現原缺陷。掃描：兩個 commit 的 inline 顏色賦值 71 → 64 處，狀態色 12 處（修 4、白名單 8）與開發者數字相符；抽看白名單 detail.js 對帳徽章與 settings-llm.js #quota-value 皆每個分支都寫顏色。排除②
定位：web/app.js:1403 以 class 表達狀態、web/styles.css .fresh-note.fresh-note-info／.badge-info-mini、web/settings-llm.js:76 pill-warn
判定：通過</t>
        </is>
      </c>
      <c r="O174" s="68" t="inlineStr">
        <is>
          <t>三態只有 ok:false 為琥珀，一致與無法比較皆中性（深淺主題皆同）；推導徽章中性；AI 狀態徽章 偏低 → 已關閉 不殘留琥珀（696934e 會殘留）。變異（驗證者於本機 a16210a 自做，與開發者 7 組不同）：①.fresh-note-info 只把文字色改回琥珀（底色不動）→ e2e 2 failed；②「無法比較」（ok === null）改回琥珀 class → e2e 1 failed；③「推導」徽章 CSS 加琥珀文字 → e2e 1 failed；④偏低分支再加一行 inline 琥珀（殘留形狀）→ e2e＋守門 4 failed；⑤在未列管的 news.js 新增 inline 狀態色 → 守門 1 failed（點名 news.js）。還原後各測試照常通過（e2e 全套 309／309 ×3）</t>
        </is>
      </c>
      <c r="P174" s="68" t="inlineStr">
        <is>
          <t>複驗通過 → 結案</t>
        </is>
      </c>
      <c r="Q174" s="68" t="inlineStr">
        <is>
          <t>無。附註：「推導」改中性、AI 狀態徽章改 class 依 owner 2026-09-26 對話裁定併入本張驗收</t>
        </is>
      </c>
      <c r="R174" s="68" t="inlineStr">
        <is>
          <t>檢驗方 2026-09-27</t>
        </is>
      </c>
    </row>
    <row r="175" ht="219.75" customHeight="1" s="43">
      <c r="A175" s="72" t="inlineStr">
        <is>
          <t>R7</t>
        </is>
      </c>
      <c r="B175" s="72" t="inlineStr">
        <is>
          <t>DEF-081</t>
        </is>
      </c>
      <c r="C175" s="72" t="inlineStr">
        <is>
          <t>H-07（附帶）</t>
        </is>
      </c>
      <c r="D175" s="72" t="inlineStr">
        <is>
          <t>2026-09-26</t>
        </is>
      </c>
      <c r="E175" s="66" t="inlineStr">
        <is>
          <t>新開，owner 2026-09-26 在對話中裁定本輪改顯示名稱（驗證者 R5 觀察 5、R6 規格 §2 觀察 3）。</t>
        </is>
      </c>
      <c r="F175" s="67" t="inlineStr">
        <is>
          <t>web/insights.html:688、:725；portfolio_dash/api/routers/insights.py:914（696934e）</t>
        </is>
      </c>
      <c r="G175" s="66" t="inlineStr">
        <is>
          <t>沒有任何測試斷言戰績頁如何稱呼任務：唯一的戰績 e2e（test_ai_score_status_flow.py）以 stub 回應只驗結果欄的狀態章，by_combo 為空陣列；contract 測試只驗 insight_type_id 的值。</t>
        </is>
      </c>
      <c r="H175" s="67" t="inlineStr">
        <is>
          <t>API 加欄位、畫面讀它（純增量）：GET /api/ai-score 在每個 by_combo 與 rows 項目加 insight_type_label——任務名稱；已封存的任務「名稱（已刪除）」；任務列已不存在「任務 #N（已刪除）」，與排程中心 _insight_label 的三種情形一致（只去掉「AI 洞察任務」前綴，因為這頁每列都是）。畫面兩處改印標籤、滑鼠提示為「任務 #N」；舊回應沒有標籤時退回原文字。掃描以「使用者看得到任務身分的面」為單位。</t>
        </is>
      </c>
      <c r="I175" s="66" t="inlineStr">
        <is>
          <t>前端以 insight_type_id 組字串顯示任務：共 2／修 2（insights.html:688、:725）；後端使用者可見字串含「任務 #id」：共 2／白名單 2（api/routers/scheduler.py:155、llm_insight/generate.py:361——都只在任務已不存在時出現，沒有名稱可用）；對帳 CSV ai_predictions 以 insight_type_id 為欄位：白名單 1（對帳級匯出、英文欄名，id 是對帳鍵）；排程中心、管線中心、立即執行提示本來就用名稱（DEF-030）：0。掃描指令：git grep -n "insight_type_id" -- web/；git grep -n "任務 #" -- portfolio_dash web</t>
        </is>
      </c>
      <c r="J175" s="66" t="inlineStr">
        <is>
          <t>新增 tests/contract/test_def081_ai_score_task_names.py（2 則：真實路由上 by_combo 與 rows 都帶名稱、刪除的任務寫「任務 #N（已刪除）」、insight_type_id 仍保留；三種情形的標籤）與 tests/e2e/test_def081_ai_score_task_names_flow.py（1 則：真實伺服器、真實資料庫、不 stub——寫入任務與 2 筆評分，命中率列與預測明細第一欄皆為任務名稱、title 為「任務 #N」、兩區塊不得出現「任務 #」）。變異：①insights.html 換回 696934e → e2e 1 failed（期望文字為名稱）；②後端不寫 insight_type_label → contract 1 failed（KeyError）＋e2e 1 failed；還原後 3／3 通過。既有 test_ai_score_api.py、test_ai_score_status_flow.py 照常通過。</t>
        </is>
      </c>
      <c r="K175" s="67" t="inlineStr">
        <is>
          <t>a16210a（已部署 demo）</t>
        </is>
      </c>
      <c r="L175" s="67" t="inlineStr">
        <is>
          <t>ruff 全過（portfolio_dash／tests／scripts）・mypy --strict 953 檔 0 問題（以全新快取重跑）・pytest 6,494 則（6,492 通過、2 略過、0 失敗；8 小批逐段前景執行）・e2e 89 檔 309／309 全過（19 組逐組前景執行；伺服器端 5xx 0、traceback 0）・stress-audit ops=128 pass=6,025 fail=0・demo 部署 a16210a 後 verify_live ALL PASS
demo 唯讀探測：各洞察任務命中率列名「個股健檢」「持倉建議與提點」「持倉提點」（title 任務 #2／#8／#9），預測明細第一欄同為名稱，兩區塊無「任務 #」；GET /api/ai-score by_combo 帶 insight_type_label</t>
        </is>
      </c>
      <c r="M175" s="69" t="inlineStr">
        <is>
          <t>demo 真實瀏覽器：洞察中心 › AI 戰績 讀「各洞察任務命中率」列名與滑鼠提示（title）、「預測明細」全部 50 列第一欄與 title，對照 GET /api/insight-tasks 的任務名稱與 GET /api/ai-score 的 insight_type_label；本機專用測試環境（同一 commit a16210a；手冊 §9）（G-08 資料庫副本，54 筆評分）：任務存在、經 管線中心 任務抽屜「刪除任務」（確認框 → DELETE /api/insight-tasks/2 200）之後、任務列已不存在（資料庫副本刪除該列）三種情況各讀一次</t>
        </is>
      </c>
      <c r="N175" s="68" t="inlineStr">
        <is>
          <t>觀察：R5／R6 戰績頁以「任務 #2」稱呼任務，使用者無從對應
假設：①API 帶任務名稱、畫面兩處改印名稱、滑鼠提示保留 #編號；②只改其中一處或只改畫面
排除：demo 命中率 3 列「個股健檢」「持倉建議與提點」「持倉提點」，title 依序「任務 #2」「任務 #8」「任務 #9」，與 /api/insight-tasks 名稱逐字相同；預測明細 50 列第一欄皆為名稱（26／15／9 列）、title「任務 #N」；頁面可見文字「任務 #」0 處；API by_combo 3 項與 rows 50 項皆帶 insight_type_label。本機：任務存在 →「個股健檢」（title 任務 #2）；軟刪除後該任務的成績依既有規格（spec 4.1）不再列入，命中率 0 列、明細「尚無預測評估記錄。」；任務列不存在 → 命中率與 50 列明細皆為「任務 #2（已刪除）」，比照排程中心寫法。排除②
定位：api/routers/insights.py:918、:925 _task_label，web/insights.html taskName
判定：通過</t>
        </is>
      </c>
      <c r="O175" s="68" t="inlineStr">
        <is>
          <t>命中率列與預測明細第一欄皆為任務名稱、滑鼠提示為「任務 #N」；任務已不存在時為「任務 #N（已刪除）」。變異（驗證者於本機 a16210a 自做）：①已封存任務的標籤拿掉「（已刪除）」→ 契約 1 failed（assert '舊任務' == '舊任務（已刪除）'）；②只替預測明細加標籤、命中率列不加 → 契約＋e2e 2 failed。還原後照常通過</t>
        </is>
      </c>
      <c r="P175" s="68" t="inlineStr">
        <is>
          <t>複驗通過 → 結案</t>
        </is>
      </c>
      <c r="Q175" s="68" t="inlineStr">
        <is>
          <t>無。附註：已封存任務的評分依 spec 4.1 不在戰績頁出現，所以「名稱（已刪除）」這支在頁面上走不到（契約測試有覆蓋），不影響本張</t>
        </is>
      </c>
      <c r="R175" s="68" t="inlineStr">
        <is>
          <t>檢驗方 2026-09-27</t>
        </is>
      </c>
    </row>
    <row r="176" ht="219.75" customHeight="1" s="43">
      <c r="A176" s="72" t="inlineStr">
        <is>
          <t>R8</t>
        </is>
      </c>
      <c r="B176" s="72" t="inlineStr">
        <is>
          <t>DEF-082</t>
        </is>
      </c>
      <c r="C176" s="72" t="inlineStr">
        <is>
          <t>G-04</t>
        </is>
      </c>
      <c r="D176" s="72" t="inlineStr">
        <is>
          <t>2026-09-27</t>
        </is>
      </c>
      <c r="E176" s="66" t="inlineStr">
        <is>
          <t>—（本輪由檢驗方發現）</t>
        </is>
      </c>
      <c r="F176" s="67" t="inlineStr">
        <is>
          <t>—</t>
        </is>
      </c>
      <c r="G176" s="67" t="inlineStr">
        <is>
          <t>—</t>
        </is>
      </c>
      <c r="H176" s="67" t="inlineStr">
        <is>
          <t>—</t>
        </is>
      </c>
      <c r="I176" s="67" t="inlineStr">
        <is>
          <t>—</t>
        </is>
      </c>
      <c r="J176" s="67" t="inlineStr">
        <is>
          <t>—</t>
        </is>
      </c>
      <c r="K176" s="67" t="inlineStr">
        <is>
          <t>—</t>
        </is>
      </c>
      <c r="L176" s="67" t="inlineStr">
        <is>
          <t>—</t>
        </is>
      </c>
      <c r="M176" s="69" t="inlineStr">
        <is>
          <t>demo 真實瀏覽器（a16210a）：R8 全面重跑 G-04——讀 GET /api/insights 全部 209 張卡的 figure_flags，以 figure_check 同一條括號代號正規式統計卡片文字中的括號 token，對照 GET /api/instruments 的已註冊代號與名稱；AI 洞察頁讀「未知代碼」標記與 tooltip</t>
        </is>
      </c>
      <c r="N176" s="68" t="inlineStr">
        <is>
          <t>觀察：#209 卡片「3008 (LARGAN)」被標「未知代碼：LARGAN」，tooltip 稱「可能是模型幻覺」
假設：①LARGAN 是未註冊代號或模型幻覺；②是已註冊標的的名稱被當成代號
排除：GET /api/instruments 3008 name＝"LARGAN"、持有中；卡片同句前文「3008」即為該標的；209 張卡中括號內寫已註冊英文名者僅此 1 張、1/1 被誤標，排除①
定位：figure_check.py:151 _CODE_RE、:466 _unknown_symbols 只比對代號不比對名稱（自 755c88a 未變更）
判定：FAIL（低）— G-04 要求不得把非幻覺內容誤報；此處對使用者宣稱「可能是模型幻覺」</t>
        </is>
      </c>
      <c r="O176" s="69" t="inlineStr">
        <is>
          <t>209 張卡括號 token 44 種：指標、縮寫、幣別 0 誤報；真陽性 #82「6883」正確；誤報 1 張（#209 LARGAN＝3008 的註冊名稱）</t>
        </is>
      </c>
      <c r="P176" s="69" t="inlineStr">
        <is>
          <t>FAIL</t>
        </is>
      </c>
      <c r="Q176" s="68" t="inlineStr">
        <is>
          <t>開 DEF-082</t>
        </is>
      </c>
      <c r="R176" s="68" t="inlineStr">
        <is>
          <t>檢驗方 2026-09-27</t>
        </is>
      </c>
    </row>
    <row r="177" ht="219.75" customHeight="1" s="43">
      <c r="A177" s="72" t="inlineStr">
        <is>
          <t>R9</t>
        </is>
      </c>
      <c r="B177" s="72" t="inlineStr">
        <is>
          <t>DEF-082</t>
        </is>
      </c>
      <c r="C177" s="72" t="inlineStr">
        <is>
          <t>G-04</t>
        </is>
      </c>
      <c r="D177" s="72" t="inlineStr">
        <is>
          <t>2026-09-27</t>
        </is>
      </c>
      <c r="E177" s="66" t="inlineStr">
        <is>
          <t>同意驗證者的判定與根因（既有規則漏網，不是回歸）。Owner 2026-09-27 裁定 A 修；名稱比對範圍另在對話中裁定為「整名＋多字名稱的單字」，例如 5225 IHH Healthcare 寫成「(IHH)」也算名稱。</t>
        </is>
      </c>
      <c r="F177" s="67" t="inlineStr">
        <is>
          <t>portfolio_dash/llm_insight/figure_check.py:151（_CODE_RE）、:460-474（_unknown_symbols 只比對 _known_forms 的代號）；portfolio_dash/api/routers/insights.py:1150-1157（_known_symbols 只讀 symbol，名稱沒有傳進檢核）（a16210a）</t>
        </is>
      </c>
      <c r="G177" s="67" t="inlineStr">
        <is>
          <t>M9 的誤報白名單（_NOT_A_TICKER、_INDICATOR_RE）是依 2026-09-17 demo 實測 48 筆命中歸納（47 筆指標／比率／評等，外加 1 筆真 6883），測試也只覆蓋那批形狀。「代號 (英文名)」在當時的卡片裡不存在。已知字詞一直是從看過的誤報推導，不是從登錄表的兩個識別欄位（symbol 與 name）推導——沒看過的形狀就沒有測試。</t>
        </is>
      </c>
      <c r="H177" s="66" t="inlineStr">
        <is>
          <t>類別修法：已知字詞改由登錄表的代號與名稱兩欄推導。①figure_check.check_figures 新增 known_names；_name_forms 把每個已登錄名稱轉大寫，保留整名與其中每個以字母開頭的單字（owner 裁定）；全數字與單一字母一律不算名稱形式（整名與單字走同一道過濾），所以「(6883)」「(X)」照樣被標。②routers/insights.py：_known_instruments 每次請求讀一次 instruments，同時帶代號與名稱（仍是一次查詢，不逐卡讀表）。③畫面文字不變（tooltip 仍寫「不在持倉、觀察清單或已註冊標的中」）。掃描方式：demo 全部可見卡（208 張）的 title＋summary＋body，以同一條 _CODE_RE 與一般括號正規式統計，對照 GET /api/instruments 的 26 個代號與名稱。</t>
        </is>
      </c>
      <c r="I177" s="66" t="inlineStr">
        <is>
          <t>括號段落 5,491 處（2,587 種）；其中代號形狀 746 處／44 種：已登錄代號 17、縮寫／指標／幣別 25、未知 2（6883 真陽性、LARGAN 誤報）。括號內寫已登錄名稱：7 種寫法／9 處——全大寫單字 LARGAN ×1（唯一具代號形狀，被誤報，即本張）；大小寫混合單字 Maybank ×3、Tesla ×1；多字名稱 IHH Healthcare ×1；列舉「如 Apple、Microsoft」×1、「Maybank, 1155」×1；中文名 元大高股息 ×1——後六種 _CODE_RE 本來就不會讀成代號。登錄表 26 個名稱：中文 15（永不具代號形狀）；拉丁字 11 個中，原樣即具代號形狀 2（LARGAN、NVIDIA）、轉大寫後才具 2（APPLE、TESLA）、7 個字母以上 3（Maybank、Evergreen、Microsoft，永不匹配）、多字名稱 4 個含 6 個具代號形狀的單字（IHH、YANG、MING、SPACE、MICRO、INC）——共 10 種形式，修後全數視為名稱。修後以同一檢核重算 208 張卡：未知代碼 1（#82 6883），誤報 0。其他檢核面：專案裡判定「未知代號」的只有這一處（git grep unknown_symbols：figure_check.py、routers/insights.py，與 web/insights.html 的顯示）。</t>
        </is>
      </c>
      <c r="J177" s="67" t="inlineStr">
        <is>
          <t>tests/llm_insight/test_figure_check.py 新增 3 則（以 demo 26 個名稱為登錄表）：①「3008 (LARGAN)」只給代號時被標（原缺陷的見證），加上名稱後不標；②整名與單字不分大小寫——LARGAN／NVIDIA／APPLE／TESLA／IHH／YANG／MING／SPACE／MICRO／INC 都不標，不給名稱時全被標（上限 5）；③名稱不會放行真的未知代號——名稱表含「6883」「Fund 6883」「Global X Uranium」時，「LRDIM (6883)」「(X)」「(LRDIM)」照樣被標。新增 tests/contract/test_def082_card_names_are_not_unknown_codes.py（3 則，走真實路由 GET /api/insights，平面清單與依標的分組兩種形狀結果一致）：「3008 (LARGAN)」→ []；「5225 (IHH) 與 AAPL (APPLE)、2330（TSMC）」→ []；「LRDIM (6883)」→ ["6883"]。變異（每組還原後 30／30 通過）：①拿掉名稱比對 → 4 failed（2 單元＋2 契約）；②路由不傳名稱 → 2 failed（契約）；③名稱不轉大寫 → 2 failed；④只比整名 → 2 failed；⑤放行單一字母 → 1 failed；⑥放行全數字 → 1 failed。另一組「單字正規式放寬到數字」在全數字過濾套到所有形式後成為等價變異，不計。既有 test_insight_run_api.py 的 #82 形狀照常通過。</t>
        </is>
      </c>
      <c r="K177" s="67" t="inlineStr">
        <is>
          <t>3a35454（已部署 demo）</t>
        </is>
      </c>
      <c r="L177" s="67" t="inlineStr">
        <is>
          <t>ruff 全過（portfolio_dash／tests／scripts）・mypy --strict 954 檔 0 問題（全新快取）・pytest 6,500 則（6,498 通過、2 略過、0 失敗；8 小批逐段前景執行）・e2e 89 檔 309／309 全過（19 組逐組前景執行；伺服器端 5xx 0、traceback 0）・stress-audit ops=128 pass=6,025 fail=0・demo 部署 3a35454 後 verify_live ALL PASS。註：自我檢查後把「全數字／單一字母不算名稱」也套到整名（原只套單字），改後補跑 mypy（954 檔 0）與受影響批次 2,377 則全過；e2e 未重跑（此調整只影響整個名稱是數字或單一字母的標的，e2e 無此資料）
demo 唯讀探測（頁首 v0.1.28 · 3a35454 · 未發行）：GET /api/insights 208 張卡的 unknown_symbols 只剩 #82 ["6883"]；#209「台股部位週報 - 科技股佔比近九成」（內文含「3008 (LARGAN)」）figure_flags = {unverified_figures: [], unknown_symbols: [], snapshot: checked}；AI 洞察頁「未知代碼」標記 1 個（#82，tooltip「未知代碼：6883…」），沒有任何標記含 LARGAN；console 錯誤 0</t>
        </is>
      </c>
      <c r="M177" s="69" t="inlineStr">
        <is>
          <t>demo 真實瀏覽器（頁首 v0.1.28 · 3a35454 · 未發行）：AI 洞察頁讀 #209、#82 卡片的徽章與滑鼠提示；GET /api/insights?limit=500（208 張）與 ?group=symbol（84 張）讀 figure_flags；以與 _CODE_RE 相同的正規式在頁內抽出全部卡片的括號代號 token（746 處、44 種），帶到本機分別以 a16210a 與 3a35454 的 figure_check 重算；本機專用測試環境（3a35454 與 a16210a 兩個 worktree，demo 的 26 個登錄代號與名稱）：直接呼叫 check_figures 驗開發者列的寫法與驗證者自加邊界共 28 例；golden 資料庫副本經真實路由 GET /api/insights（平面與分組兩種形狀）驗已封存標的名稱、兩字母單字、字母＋數字單字與近似拼法；自做變異 10 組；未產生新卡、未花 AI 額度</t>
        </is>
      </c>
      <c r="N177" s="68" t="inlineStr">
        <is>
          <t>觀察：R8 #209「3008 (LARGAN)」被標「未知代碼：LARGAN…可能是模型幻覺」
假設：①名稱比對已接上路由，範圍符合 owner 裁定（不分大小寫、整名＋多字名稱的單字、全數字與單一字母不算名稱）；②只放行了 LARGAN 這個實例，或放得太寬、連真的未知代號也放行
排除：demo #209「台股部位週報 - 科技股佔比近九成」figure_flags ＝ {unverified_figures: [], unknown_symbols: [], snapshot: checked}，卡片只剩「生成時版本未記錄」徽章；#82「本週持倉週報」仍標「未知代碼」，滑鼠提示「未知代碼：6883 卡片提到的代號不在持倉、觀察清單或已註冊標的中，可能是模型幻覺…」；208 張中唯一被標者為 #82，分組 84 張 0 張被標；頁內抽出的 746 處／44 種 token 在本機重算：a16210a ＝ {#82 6883、#209 LARGAN}（重現原缺陷），3a35454 ＝ {#82 6883}。check_figures（demo 登錄表）：(TESLA)(APPLE)(NVIDIA)(IHH)(YANG)(MING)(SPACE)(MICRO)(INC) 與全形（LARGAN）皆不標；(X)(LRDIM)(6883)(IHHH)(LARGA)(ADVANC)(TSMC) 照標；登錄名稱加入「6883」「Fund 6883」「X」後 (6883)(X) 仍標；小寫 largan、前後空白的名稱照樣放行；(MA20)(PE)(USD)(ROE) 不誤報；不傳名稱時（舊呼叫形狀）LARGAN 仍被標。路由（golden 副本）：已封存的 3008 LARGAN、LG Electronics 的 (LG)、Alpha2 Holdings 的 (ALPHA2) 皆 []，(LARGA)(TESL)(MICR)(6883) 照標，平面＝分組；同一腳本在 a16210a 三者皆被標。排除②
定位：portfolio_dash/llm_insight/figure_check.py:472 _name_forms（:490 全數字與單一字母過濾）、:507 名稱比對、:563；portfolio_dash/api/routers/insights.py:1157 _known_instruments（:1170 名稱）、:1200、:1328
判定：通過</t>
        </is>
      </c>
      <c r="O177" s="69" t="inlineStr">
        <is>
          <t>#209 unknown_symbols [] 且畫面無「未知代碼」；#82 仍標 6883；demo 208 張重算未知代碼只剩 #82（a16210a 同資料為 #82＋#209）；owner 裁定的名稱形式 10 種全數放行、真的未知代號與近似拼法照標。變異（驗證者於本機 3a35454 自做，共 10 組）：⓪把修復前的兩個檔案（a16210a 版 figure_check.py、routers/insights.py）放回 → 5 failed（契約 2 則斷言 ['LARGAN']、['IHH','APPLE','TSMC']；單元 3 則）；⓪b 保留新簽名、只停用名稱比對 → 4 failed（單元 2、契約 2）；①有數字快照的卡不比名稱 → 2 failed（單元）；②無快照的卡不比名稱 → 2 failed（契約）；③多字名稱只取第一個單字 → 1 failed（MING）；④分組清單（group=symbol）仍只比代號 → 3 failed（契約，平面≠分組）。另 4 組未被攔（DEF-082 測試集與全部 17 支涉及 figure_flags／insights 的測試檔皆全過）：⑤已封存標的的名稱不列入、⑥兩字母單字不算名稱、⑦單字只取字母（ALPHA2→ALPHA）、⑧名稱改為前綴比對（(LARGA) 會被放行）——四者的現行行為驗證者已在本機經真實路由黑箱驗過皆正確，屬測試未釘住的邊界，列觀察不開單。還原後 43／43 通過、worktree 乾淨</t>
        </is>
      </c>
      <c r="P177" s="68" t="inlineStr">
        <is>
          <t>複驗通過 → 結案</t>
        </is>
      </c>
      <c r="Q177" s="68" t="inlineStr">
        <is>
          <t>無（不開單）。觀察：①上述未被攔的 4 組變異對應的邊界（已封存標的名稱、兩字母單字、字母＋數字單字、只比完全相同）目前行為正確但沒有測試釘住，建議開發者日後補單元／契約測試；②登錄表沒有的英文別名仍會被標（例：2330 登錄為「台積電」，卡片若寫「(TSMC)」會標未知代碼），屬裁定範圍外，demo 卡片目前沒有這種寫法；③代號檢核只檢查「代號是否存在」，不檢查代號與名稱是否對得上：#220「台股部位週報 (2026-09-25)」寫「聯詠 (3008)」、#39 寫「聯詠（2412）」（3008 登錄名為 LARGAN、2412 為中華電信），兩張皆未被標——超出 G-04 的期望範圍，供 owner 參考</t>
        </is>
      </c>
      <c r="R177" s="68" t="inlineStr">
        <is>
          <t>檢驗方 2026-09-27</t>
        </is>
      </c>
    </row>
    <row r="178" ht="219.75" customHeight="1" s="43">
      <c r="A178" s="72" t="inlineStr">
        <is>
          <t>R10</t>
        </is>
      </c>
      <c r="B178" s="72" t="inlineStr">
        <is>
          <t>DEF-083</t>
        </is>
      </c>
      <c r="C178" s="72" t="inlineStr">
        <is>
          <t>G-09</t>
        </is>
      </c>
      <c r="D178" s="72" t="inlineStr">
        <is>
          <t>2026-09-28</t>
        </is>
      </c>
      <c r="E178" s="66" t="inlineStr">
        <is>
          <t>—（本輪由檢驗方發現）</t>
        </is>
      </c>
      <c r="F178" s="67" t="inlineStr">
        <is>
          <t>—</t>
        </is>
      </c>
      <c r="G178" s="67" t="inlineStr">
        <is>
          <t>—</t>
        </is>
      </c>
      <c r="H178" s="67" t="inlineStr">
        <is>
          <t>—</t>
        </is>
      </c>
      <c r="I178" s="67" t="inlineStr">
        <is>
          <t>—</t>
        </is>
      </c>
      <c r="J178" s="67" t="inlineStr">
        <is>
          <t>—</t>
        </is>
      </c>
      <c r="K178" s="67" t="inlineStr">
        <is>
          <t>—</t>
        </is>
      </c>
      <c r="L178" s="67" t="inlineStr">
        <is>
          <t>—</t>
        </is>
      </c>
      <c r="M178" s="69" t="inlineStr">
        <is>
          <t>demo 真實瀏覽器（3a35454）：G-09 以排程中心立即執行 alert_scan，讀 job_runs 明細與資料中心 AI 抽取失敗記錄 #515～#517 原文；GET /api/llm/config 讀角色綁定。本機（同 commit、假端點擷取實際送出的請求）直接呼叫同一段結構化呼叫程式，比對送給 openrouter/anthropic 與 openrouter/google 的 response_format</t>
        </is>
      </c>
      <c r="N178" s="68" t="inlineStr">
        <is>
          <t>觀察：2884 目標價穿越那一張卡失敗，主模型兩次回傳截斷 JSON，備援 haiku-4.5 被拒 HTTP 400，供應商原文「output_config.format.schema: Invalid regex in pattern field: Quantifier '?' without preceding element」，四個上游供應商皆同
假設：①供應商暫時故障或帳號問題；②本站送出的 schema 含對方不支援的正規式；③備援模型設定錯誤
排除：錯誤訊息點名 schema 的 pattern 欄位且四個供應商一致，排除①；本機以假端點擷取同一 commit 實際送出的請求：supports_response_schema 為 True、response_format 含 target_pct 的 pattern「^(?!^[-+.]*$)…」（負向前瞻），同一 pattern 在 pydantic 對 Decimal 的 schema 中固定出現，排除③（模型本身設定正確，ping 另可成功）
定位：shared/llm.py:453-454 對支援的供應商一律送 response_format，:175-187 原樣送 model_json_schema()；cards.py:33 Decimal 欄位產生 pattern
判定：FAIL（中）— 備援機制在真實供應商上一律失效，主模型失敗時洞察卡無法產出</t>
        </is>
      </c>
      <c r="O178" s="69" t="inlineStr">
        <is>
          <t>run #221 partial；失敗記錄 #517（haiku-4.5 provider_error 400）＋#515／#516（gemini invalid_json，raw 216／1,395 字）；本機擷取：兩個 openrouter 模型 supports_response_schema True、pattern 含「(?!」；三個角色的備援皆為 haiku-4.5</t>
        </is>
      </c>
      <c r="P178" s="69" t="inlineStr">
        <is>
          <t>FAIL</t>
        </is>
      </c>
      <c r="Q178" s="68" t="inlineStr">
        <is>
          <t>開 DEF-083
2026-09-29 補：AI 輸入指定 haiku-4.5 可固定重現（失敗記錄 #520，Azure 拒 pattern、Bedrock 拒 oneOf）；Owner 2026-09-29 裁定交開發者修</t>
        </is>
      </c>
      <c r="R178" s="68" t="inlineStr">
        <is>
          <t>檢驗方 2026-09-28</t>
        </is>
      </c>
    </row>
    <row r="179" ht="219.75" customHeight="1" s="43">
      <c r="A179" s="72" t="inlineStr">
        <is>
          <t>R10</t>
        </is>
      </c>
      <c r="B179" s="72" t="inlineStr">
        <is>
          <t>DEF-084</t>
        </is>
      </c>
      <c r="C179" s="72" t="inlineStr">
        <is>
          <t>F-08</t>
        </is>
      </c>
      <c r="D179" s="72" t="inlineStr">
        <is>
          <t>2026-09-28</t>
        </is>
      </c>
      <c r="E179" s="66" t="inlineStr">
        <is>
          <t>—（本輪由檢驗方發現）</t>
        </is>
      </c>
      <c r="F179" s="67" t="inlineStr">
        <is>
          <t>—</t>
        </is>
      </c>
      <c r="G179" s="67" t="inlineStr">
        <is>
          <t>—</t>
        </is>
      </c>
      <c r="H179" s="67" t="inlineStr">
        <is>
          <t>—</t>
        </is>
      </c>
      <c r="I179" s="67" t="inlineStr">
        <is>
          <t>—</t>
        </is>
      </c>
      <c r="J179" s="67" t="inlineStr">
        <is>
          <t>—</t>
        </is>
      </c>
      <c r="K179" s="67" t="inlineStr">
        <is>
          <t>—</t>
        </is>
      </c>
      <c r="L179" s="67" t="inlineStr">
        <is>
          <t>—</t>
        </is>
      </c>
      <c r="M179" s="69" t="inlineStr">
        <is>
          <t>demo 真實瀏覽器（3a35454）：資料中心 › AI 抽取失敗記錄讀筆數與分類，按「下載 .jsonl」（於頁內取得，不存檔）逐筆檢查欄位；另以 llm-usage 匯出對照同一時間的呼叫</t>
        </is>
      </c>
      <c r="N179" s="68" t="inlineStr">
        <is>
          <t>觀察：21 筆中 6 筆 ai_agents_input／unparsed_rows 的 model 為空、usage_id null；#518 為本輪 F-05 的呼叫，llm-usage 同秒有 gemini-2.5-flash-lite 的列
假設：①這類紀錄本來就沒有模型參與；②記錄時漏傳模型
排除：outcome 定義（llm_fail_log.py:92）寫明是「成功呼叫、模型坦承無法歸類」，raw_output 為模型回覆，且 llm-usage 有同秒的模型列，排除①；換個方式看畫面：分類表只列用途與筆數，無法補回模型
定位：data_ingestion/agents.py:558-570 record 未傳 model／usage_id
判定：FAIL（低）— F-08 期望紀錄含時間、模型、錯誤</t>
        </is>
      </c>
      <c r="O179" s="68" t="inlineStr">
        <is>
          <t>下載 21 筆＝畫面 21 / 300；model 空 6 筆（#499、#500、#501、#511、#512、#518）；其餘 15 筆皆有 model</t>
        </is>
      </c>
      <c r="P179" s="69" t="inlineStr">
        <is>
          <t>FAIL</t>
        </is>
      </c>
      <c r="Q179" s="68" t="inlineStr">
        <is>
          <t>開 DEF-084</t>
        </is>
      </c>
      <c r="R179" s="68" t="inlineStr">
        <is>
          <t>檢驗方 2026-09-28</t>
        </is>
      </c>
    </row>
    <row r="180" ht="219.75" customHeight="1" s="43">
      <c r="A180" s="72" t="inlineStr">
        <is>
          <t>R10</t>
        </is>
      </c>
      <c r="B180" s="72" t="inlineStr">
        <is>
          <t>DEF-085</t>
        </is>
      </c>
      <c r="C180" s="72" t="inlineStr">
        <is>
          <t>H-05</t>
        </is>
      </c>
      <c r="D180" s="72" t="inlineStr">
        <is>
          <t>2026-09-28</t>
        </is>
      </c>
      <c r="E180" s="66" t="inlineStr">
        <is>
          <t>—（本輪由檢驗方發現）</t>
        </is>
      </c>
      <c r="F180" s="67" t="inlineStr">
        <is>
          <t>—</t>
        </is>
      </c>
      <c r="G180" s="67" t="inlineStr">
        <is>
          <t>—</t>
        </is>
      </c>
      <c r="H180" s="67" t="inlineStr">
        <is>
          <t>—</t>
        </is>
      </c>
      <c r="I180" s="67" t="inlineStr">
        <is>
          <t>—</t>
        </is>
      </c>
      <c r="J180" s="67" t="inlineStr">
        <is>
          <t>—</t>
        </is>
      </c>
      <c r="K180" s="67" t="inlineStr">
        <is>
          <t>—</t>
        </is>
      </c>
      <c r="L180" s="67" t="inlineStr">
        <is>
          <t>—</t>
        </is>
      </c>
      <c r="M180" s="68" t="inlineStr">
        <is>
          <t>本機專用測試環境（3a35454、DB 副本、假 LLM、非憑證假金鑰）：以 llm_usage 補一筆使剩餘額度 −$0.01，真實瀏覽器（Playwright）開洞察管線 › 任務抽屜 › 乾跑預檢，讀每一列與結論並截圖；另讀 /preflight 與 /diagnose 回應</t>
        </is>
      </c>
      <c r="N180" s="68" t="inlineStr">
        <is>
          <t>觀察：R6 列「✕ AI 額度 額度耗盡（剩餘 $-0.01000）」沒有按鈕或指引，結論只說「修復上方紅色項目後重跑預檢」；同畫面 G1、R2、R3、R4 皆有一鍵修正
假設：①漏做；②刻意設計（額度加值不在 §7.2 的 fix.kind 列舉）
排除：換個入口「為什麼沒跑？」（/diagnose）同樣 first_blocker R6、fix null；讀碼 insight_service.py:1725-1731 註解明言 R6 無一鍵修正是刻意的，屬②
定位：規格（§7.2 列舉）與手冊 H-05 期望「給出可執行的修正指引」不一致
判定：OBSERVE — 需 Owner 裁定修或維持</t>
        </is>
      </c>
      <c r="O180" s="69" t="inlineStr">
        <is>
          <t>gates R6 {lv:fail, fix:null}、verdict blocked、畫面按鈕僅「啟動排程」（G1）；R2／R3／R4 情境皆有修正按鈕；截圖 R10_H05_R6_preflight.png</t>
        </is>
      </c>
      <c r="P180" s="68" t="inlineStr">
        <is>
          <t>待裁定</t>
        </is>
      </c>
      <c r="Q180" s="68" t="inlineStr">
        <is>
          <t>開 DEF-085（規格未定），請 Owner 裁定 A 修／B 維持
Owner 2026-09-29 裁定 A 修 → 缺陷登記狀態改「新開」，交開發者</t>
        </is>
      </c>
      <c r="R180" s="68" t="inlineStr">
        <is>
          <t>檢驗方 2026-09-28</t>
        </is>
      </c>
    </row>
    <row r="181" ht="240" customHeight="1" s="43">
      <c r="A181" s="72" t="inlineStr">
        <is>
          <t>R11</t>
        </is>
      </c>
      <c r="B181" s="72" t="inlineStr">
        <is>
          <t>DEF-083</t>
        </is>
      </c>
      <c r="C181" s="72" t="inlineStr">
        <is>
          <t>G-09</t>
        </is>
      </c>
      <c r="D181" s="72" t="inlineStr">
        <is>
          <t>2026-09-29</t>
        </is>
      </c>
      <c r="E181" s="66" t="inlineStr">
        <is>
          <t>同意驗證者的判定與根因（DEF-066 修好備援的重試後才第一次有真實備援呼叫，非回歸）。Owner 2026-09-29 裁定本輪修。類別比驗證者列的更寬：①送出 json_schema 的結構化呼叫共 7 處（洞察卡、AI 輸入、新聞整理、代號辨識、大師評分／校正／審查），全部經同一個出口 shared/llm.py 的 _response_format_for，在出口修一次即涵蓋全部；②除了 pattern 與 oneOf，Anthropic 官方文件列明的限制還有「每個 object 必須 additionalProperties: false」「不支援數值／長度限制」，7 個 schema 全部至少踩到一項；③「使用者指定的模型失敗、畫面沒說明」的根因是結構化呼叫只回傳解析值、先失敗的候選被丟掉——一併修。</t>
        </is>
      </c>
      <c r="F181" s="67" t="inlineStr">
        <is>
          <t>portfolio_dash/shared/llm.py:175-187 `_response_format_for` 把 `schema.model_json_schema()`（:185）原樣當 response_format 送出；:453-454 只要 `litellm.supports_response_schema` 為 True 就附上（已安裝 litellm 1.88.1 對 openrouter/anthropic/* 與 openrouter/google/* 皆為 True）。pydantic 為 Decimal 產生 pattern「^(?!^[-+.]*$)[+-]?0*\d*\.?\d*$」（負向前瞻；llm_insight/cards.py:33 target_pct，data_ingestion/agents.py:85-86、102、119-123、149、152 共 10 個欄位），agents.py:171 的 AnyDraft 判別聯集產生 oneOf＋discriminator——Anthropic 拒前瞻、Bedrock 拒 oneOf。:203-209 註解稱 openrouter/* 一律不支援 response_format，與已安裝版本不符。畫面沒說明的根因：llm.py:594-601 complete_structured_meta 回傳第一個成功的候選、丟掉之前的失敗；agents.py:221-229 `_latest_meta` 由最新一筆 llm_usage 反推模型，無從得知發生過備援（3a35454）</t>
        </is>
      </c>
      <c r="G181" s="66" t="inlineStr">
        <is>
          <t>所有 LLM 測試都把 litellm.completion 換成接受任何 schema 的假函式；唯一與 response_format 有關的測試（tests/shared/test_llm.py::test_response_format_passed_when_supported）只斷言 schema 裡有某個屬性名稱，從未檢查供應商會拒絕什麼。DEF-066 的 R6 複驗也走不驗 schema 的假端點。整條鏈上唯一會驗 schema 的是真實供應商，而測試到不了那裡。另外結構化呼叫只回傳解析後的值，備援發生與否對呼叫端不可見，所以沒有任何畫面或測試能觀察到「指定的模型沒有回答」。</t>
        </is>
      </c>
      <c r="H181" s="66" t="inlineStr">
        <is>
          <t>類別修法（出口修一次）：①新增 portfolio_dash/shared/llm_schema.py——portable_schema 把 pydantic schema 轉成各路線都能編譯的子集（依 Anthropic 結構化輸出官方文件的限制，為本站所經路線中最嚴格者）：拿掉 pattern 與所有數值／長度限制、maxItems、title、default；oneOf 改 anyOf，判別欄位 kind 在每個分支設為必填（pydantic 缺這欄會拒收）；每個 object 補 additionalProperties: false；$ref 全部內嵌；遞迴 schema 與 dict 欄位直接報錯（沒有路線能編譯）。schema_violations 是同一子集的檢核器，允許清單獨立寫死，不從轉換用的常數推導。②shared/llm.py 的 _response_format_for 改送 portable_schema；提示詞仍附完整 schema（模型看得到所有限制），回覆仍以完整 pydantic 模型驗證，所以沒有放寬任何驗證；更正 _json_instruction 的過時註解。③StructuredCompletion 新增 model_name、usage_id、failed_before（先失敗的候選與中文原因）；AI 輸入改用 complete_structured_meta，meta 取自這次呼叫本身（不再讀最新一筆 llm_usage），新增 meta.fallback_note。④畫面：交易帳本 › AI 輸入在結果上方以琥珀色提示條顯示「指定模型 haiku-4.5 失敗：請求內容被拒（HTTP 400）。本次改由 gemini-2.5-flash-lite 產出。」，toast 改為警示「解析完成（已改用其他模型）」；沒有備援時不顯示；自動模式下主模型失敗同樣說明（「主模型 X 失敗：…」）。掃描方式：AST 掃描 portfolio_dash 內所有把 schema 交給 complete_structured／complete_structured_meta 的呼叫（含 AI 輸入注入的 completer 與 master._master_structured 包裝）；git grep response_format 確認只有 shared/llm.py 一個出口；schema_violations 統計修前修後。</t>
        </is>
      </c>
      <c r="I181" s="66" t="inlineStr">
        <is>
          <t>結構化呼叫點 7（generate.py InsightCard、agents.py AiDraftList、organizer.py NewsExtract、instruments.py AiInstrumentResolveReply、master.py _NarrativeScore／_Calibration／_Review）→ 7 個 schema、1 個出口；共 7／修 7／白名單 0。修復前 7 個 schema 共 151 處超出子集：pattern 11（洞察卡 1、AI 輸入草稿 10）、oneOf 1＋discriminator 1（AI 輸入）、數值限制 3（洞察卡 confidence 的 minimum／maximum、horizon_days 的 exclusiveMinimum）、缺 additionalProperties: false 的 object 9（7 個 schema 全有）、title 80、default 36、$defs／$ref 10；修復後 0。demo 實測被拒的是前兩類（#517、#520）；缺 additionalProperties 依官方文件同屬不支援。使用者可指定模型的畫面 1 處（AI 輸入；其餘結構化呼叫沒有指定模型的入口，產出的卡片本來就記錄實際模型）→ 修 1。</t>
        </is>
      </c>
      <c r="J181" s="66" t="inlineStr">
        <is>
          <t>新增 tests/shared/test_def083_portable_schema.py（30 則）：AST 掃出 7 個呼叫點，逐一檢查實際送出的 schema 0 違規；修復前的原始 schema 找得到 #517／#520 的原件（target_pct 的 pattern、rows 的 oneOf，pattern 共 11 處）；每個 object 的欄位與必填不變（只多判別欄位）；聯集分支必填 kind；遞迴與 dict 欄位報錯；檢核器對 pattern／oneOf／minimum／maxItems／minItems 2／type 陣列／不支援的 format／未封閉 object／not 各自報出；真實 seam 下，會拒收非可攜 schema 的假 haiku 被指定時由它自己回答（失敗記錄 0 筆）；指定模型失敗、主模型失敗時 fallback_note 的完整句子；提示詞仍含完整 schema。新增 e2e tests/e2e/test_def083_ai_failover_note_flow.py：提示條顯示原句、computed color 等於 --amber、警示 toast；下一次沒有備援時提示條隱藏、toast 為一般成功。既有 AI 輸入測試的假 completer 改走新介面（tests/ai_completion.py）。變異（改回舊寫法，每組還原後基準 0 失敗）：M83-a 原樣送 model_json_schema()（3a35454 寫法）→ 10 failed（7 個 schema 各 1、#517 原件「'(?!' not in …」、指定 haiku 被拒改由 gemini 回答、提示詞測試）；M83-b 保留 oneOf → 3 failed；M83-c pattern 直接複製 → 5 failed；M83-d 不補 additionalProperties → 9 failed；M83-e 判別欄位不設必填 → 1 failed；M83-f 不回報備援 → 1 failed（None == '指定模型 haiku-m 失敗：…'）；M83-g 前端不顯示提示條 → e2e 1 failed（Locator expected to be visible）。註：M83-c 第一次跑時逐 schema 檢查沒有失敗——檢核器的允許清單當時由轉換的常數推導，改一處兩邊一起瞎；已改成獨立寫死，重跑 5 failed。</t>
        </is>
      </c>
      <c r="K181" s="67" t="inlineStr">
        <is>
          <t>91ec1b0（已部署 demo）</t>
        </is>
      </c>
      <c r="L181" s="67" t="inlineStr">
        <is>
          <t>ruff 全過（portfolio_dash／tests／scripts）・mypy --strict 961 檔 0 問題（全新快取）・pytest 6,555 則（6,553 通過、2 略過、0 失敗；7 小批逐段前景執行）・e2e 91 檔 311／311 全過（20 組逐組執行；伺服器端 5xx 0、traceback 0）・demo 部署 91ec1b0 後 verify_live ALL PASS（頁首 v0.1.28 · 91ec1b0 · 未發行）。stress-audit 未跑：本輪不動帳目計算。
demo 真實供應商（只解析、不寫入）：①交易帳本 › AI 輸入指定 haiku-4.5、貼 #520 原文「台灣券商 2026-09-29 買進 2884 100股 成交價 46」→ HTTP 200、模型 anthropic/claude-haiku-4.5（成本 0.008115）、無提示條、toast「解析完成 共 1 筆草稿」、失敗記錄仍 23 筆（無新增 400）、交易帳本 56→56；自動模式 → google/gemini-2.5-flash-lite（0.0005165）同樣成功。②其餘 6 個 schema 在 demo 主機以同一 seam 指定 haiku-4.5 各送一次（agent=r11_schema_probe，llm_usage #1077～#1082）：InsightCard、NewsExtract、AiInstrumentResolveReply、_NarrativeScore、_Calibration、_Review 全部由 anthropic/claude-haiku-4.5 自己回答、failed_before 皆空、送出的 schema 違規 0（合計 0.006272）。</t>
        </is>
      </c>
      <c r="M181" s="69" t="inlineStr">
        <is>
          <t>demo 真實瀏覽器（頁首 v0.1.28 · 91ec1b0 · 未發行）：①交易帳本 › AI 輸入指定 haiku-4.5、貼 #520 原文解析；②設定 › AI 與額度暫時把 default 主模型改為 haiku-4.5（備援暫改 gemini-2.5-flash，測後改回 gemini-2.5-flash-lite／haiku-4.5），以單一標的的 per_symbol 測試任務產一張洞察卡，讓 InsightCard schema 直接經 OpenRouter 送到 Anthropic 路由；③R11 one shot 的 G-09 重放（alert_scan → 8 張 on_alert 卡），讀 job_runs、失敗記錄與 llm-usage。本機專用測試環境（91ec1b0 與修復前 3a35454 兩個 worktree、demo 資料庫副本、非憑證假金鑰）：驗證者自寫的嚴格假端點——依 Anthropic 結構化輸出限制自行檢查每個 response_format（拒 pattern、oneOf、not、if/then/else、數值與長度限制、maxItems、minItems&gt;1、型別陣列、未設 additionalProperties:false 的 object），不採用開發者的 schema_violations；7 個 schema 經真實出口逐一送出；洞察任務以「主模型截斷 JSON → 備援」重放 G-09 的失敗路徑；AI 輸入以「指定模型回 400」觀察提示條（Playwright 真實瀏覽器、截圖 R11_DEF083_failover_note.png）；自做變異 5 組；讀碼 shared/llm_schema.py、shared/llm.py:177-192、:484-485</t>
        </is>
      </c>
      <c r="N181" s="68" t="inlineStr">
        <is>
          <t>觀察：demo 指定 haiku-4.5 解析 #520 原文由 haiku 本身產出；主模型改 haiku 後洞察卡也由 haiku 產出；one shot G-09 有一張卡在 gemini 兩次截斷後由 haiku 救回，全程無 400
假設：①只修了被點名的 InsightCard／AiDraftList 兩個實例；②只拿掉 pattern 與 oneOf，仍留其他 Anthropic 不支援的關鍵字（demo 的 haiku 恰好接受，換路由就會再被拒）；③送出的 schema 過度簡化，模型的回覆變得無法通過本地 pydantic 驗證；④備援成功了，但 AI 輸入沒告訴使用者指定模型失敗
排除：嚴格假端點對 7 個 schema 在 3a35454 逐一回 400（InsightCard 6 處問題：target_pct pattern、horizon_days exclusiveMinimum、confidence 上下限、兩個 object 缺 additionalProperties:false；AiDraftList 另有 oneOf），在 91ec1b0 逐一 200、問題 0，排除①②；demo 與本機的回覆全部通過 pydantic、卡片與草稿正常寫出（demo #250、#256，本機卡 #20），且提示詞仍附完整 schema 供模型閱讀，排除③；本機指定模型回 400 時出現琥珀提示條與警示 toast、成功時不出現，排除④
定位：shared/llm.py:177-192 `_response_format_for` 改送 llm_schema.portable_schema（:80）；:484-485 出口不變、7 個呼叫點共用；StructuredCompletion 帶 model_name／usage_id／failed_before，data_ingestion/agents.py:232 `_fallback_note` → routers/input_center.py:1970 → web/input.js:1964-1998
判定：通過</t>
        </is>
      </c>
      <c r="O181" s="69" t="inlineStr">
        <is>
          <t>demo：AI 輸入 haiku-4.5 → 模型欄 anthropic/claude-haiku-4.5、$0.008115、無提示條、失敗記錄仍 24 筆、交易帳本 56；洞察卡 run #228 ok、#250 haiku-4.5 $0.029194、無新失敗記錄（任務測後刪除、角色改回）；one shot G-09 8/8 張卡，5225 #256 由 haiku-4.5 產出（前置 #528、#529 gemini invalid_json），one shot 新增失敗記錄 8 筆（#522～#529）中 provider_error 0。本機嚴格假端點：3a35454 7/7 被拒 400→gemini；91ec1b0 7/7 由 haiku 200、問題 0；response_format 含「(?!」0、oneOf 0（提示詞仍含，屬設計）。失敗路徑：3a35454 run partial、0 卡、失敗記錄 gemini invalid_json ×2＋haiku provider_error；91ec1b0 run ok「產生 1 張卡」由 haiku-4.5。提示條：「指定模型 haiku-4.5 失敗：請求內容被拒（HTTP 400）。本次改由 gemini-2.5-flash-lite 產出。」rgb(217,161,63)＝--amber、toast「解析完成（已改用其他模型）…」；成功時隱藏、toast「✓ 解析完成」。變異（驗證者自做，基線 68 passed）：V83-a 放回 3a35454 的 _response_format_for → 10 failed＋假端點 7/7 回 400；V83-b 保留 oneOf → 3 failed＋AiDraftList 400；V83-c 不補 additionalProperties → 9 failed＋7/7 400；V83-d 把 pattern 抄回 → 5 failed＋InsightCard／AiDraftList 400；V83-e 不回報備援 → 1 failed；還原後全過</t>
        </is>
      </c>
      <c r="P181" s="68" t="inlineStr">
        <is>
          <t>複驗通過 → 結案</t>
        </is>
      </c>
      <c r="Q181" s="68" t="inlineStr">
        <is>
          <t>無（不開單）。觀察：①gemini-2.5-flash-lite 在 one shot 截斷 JSON 6 次（#524～#529：大師評分 2、洞察卡 4），全部由重試或備援救回、未掉卡；截斷重試在 llm-usage 仍記 0 tokens／$0（R10 觀察④，供應商未回報用量）；②AI 輸入的模型選單是每個瀏覽器記住的偏好（localStorage pd_ai_model），驗證者複驗時選的 haiku-4.5 延續到 one shot 的 F-04／F-05（皆由 haiku 產出、通過），測後已改回「自動（角色預設）」</t>
        </is>
      </c>
      <c r="R181" s="68" t="inlineStr">
        <is>
          <t>檢驗方 2026-09-30</t>
        </is>
      </c>
    </row>
    <row r="182" ht="240" customHeight="1" s="43">
      <c r="A182" s="72" t="inlineStr">
        <is>
          <t>R11</t>
        </is>
      </c>
      <c r="B182" s="72" t="inlineStr">
        <is>
          <t>DEF-084</t>
        </is>
      </c>
      <c r="C182" s="72" t="inlineStr">
        <is>
          <t>F-08</t>
        </is>
      </c>
      <c r="D182" s="72" t="inlineStr">
        <is>
          <t>2026-09-29</t>
        </is>
      </c>
      <c r="E182" s="66" t="inlineStr">
        <is>
          <t>同意驗證者的判定與根因（自 R1 起即存在，非回歸）。Owner 2026-09-29 裁定修。</t>
        </is>
      </c>
      <c r="F182" s="67" t="inlineStr">
        <is>
          <t>portfolio_dash/data_ingestion/agents.py:558-570 `fail_log.record(conn, agent="ai_agents_input", outcome="unparsed_rows", source_text=…, prompt=…, raw_output=…, error_reason=…)` 未傳 model 與 usage_id；呼叫端手上也沒有：:533 注入的 completer 預設為 complete_structured，只回傳解析後的值，模型與計費的 llm_usage 列都留在 shared/llm.py 裡（3a35454）</t>
        </is>
      </c>
      <c r="G182" s="66" t="inlineStr">
        <is>
          <t>既有測試 tests/data_ingestion/test_ai_union.py::test_confessed_unparsed_rows_are_recorded_once 只斷言它當初要守的欄位（outcome、agent、原文、回覆、提示詞——提示詞是 2026-08-28 發現為空後補的），從未斷言 model 與 usage_id；它的假 completer 只回傳 AiDraftList，測試裡根本沒有模型可比對——seam 的回傳形狀讓這個遺漏無法被觀察。點名欄位的斷言只證明被點名的欄位。</t>
        </is>
      </c>
      <c r="H182" s="67" t="inlineStr">
        <is>
          <t>①AI 輸入改用 complete_structured_meta（與 DEF-083 同一改動），unparsed_rows 記錄帶入 completion.model_name 與 completion.usage_id（這次回覆計費的 llm_usage 列）。②類別守門：同一次呼叫先讓 seam 寫一筆 schema_mismatch、再讓重試的回覆坦承無法歸類，比對兩筆記錄的非空欄位——seam 對回覆會填的欄位，AI 輸入的坦承記錄也必須填；另以 AST 掃描 shared/llm.py 以外的所有 fail_log.record 呼叫，都必須傳 model= 與 usage_id=。掃描方式：git grep fail_log.record，逐一分類。demo 既有 6 筆（#499、#500、#501、#511、#512、#518）是修復前寫入的歷史記錄，不改寫（資料殘留；失敗記錄只保留最新 300 筆，會自然淘汰）。</t>
        </is>
      </c>
      <c r="I182" s="67" t="inlineStr">
        <is>
          <t>fail_log.record 呼叫共 9 處：描述已計費回覆的 3 處——llm.py 解析失敗、llm.py ok 擷取皆有 model＋usage_id；agents.py unparsed_rows 兩者皆缺 → 修 1；供應商呼叫失敗 4 處（llm.py 結構化 2、文字 2）：有 model，沒有回覆也就沒有 usage 列 → 白名單 4（尚未計費）；呼叫前閘門 2 處（額度不足／未啟用）：還沒選模型 → 白名單 2。共 9／修 1／白名單 6（另 2 處本來就完整）。</t>
        </is>
      </c>
      <c r="J182" s="66" t="inlineStr">
        <is>
          <t>新增 tests/data_ingestion/test_def084_confessions_name_their_model.py（3 則，走真實 seam、只替換供應商）：①F-05 形狀的回覆（坦承 2 列）→ 記錄 model＝google/gemini-2.5-flash-lite、usage_id＝這次呼叫的 llm_usage.id；②同一次呼叫的 schema_mismatch 與 unparsed_rows 兩筆，非空欄位一致；③AST：seam 以外的擷取都傳 model 與 usage_id。變異：M84-a 拿掉 model／usage_id（3a35454 寫法）→ 3 failed（'' == 'google/gemini-2.5-flash-lite'；缺 {'model', 'usage_id'}；['data_ingestion/agents.py:598']）。</t>
        </is>
      </c>
      <c r="K182" s="67" t="inlineStr">
        <is>
          <t>91ec1b0（已部署 demo）</t>
        </is>
      </c>
      <c r="L182" s="67" t="inlineStr">
        <is>
          <t>ruff 全過（portfolio_dash／tests／scripts）・mypy --strict 961 檔 0 問題（全新快取）・pytest 6,555 則（6,553 通過、2 略過、0 失敗；7 小批逐段前景執行）・e2e 91 檔 311／311 全過（20 組逐組執行；伺服器端 5xx 0、traceback 0）・demo 部署 91ec1b0 後 verify_live ALL PASS（頁首 v0.1.28 · 91ec1b0 · 未發行）。stress-audit 未跑：本輪不動帳目計算。
demo 真實供應商（只解析、不寫入）：AI 輸入貼「台灣券商 2026-09-29 換匯 TWD→USD 31500」→ 模型坦承無法歸類（「換匯（兩幣別金額）請改用換匯登錄」），新失敗記錄 #521 ai_agents_input／unparsed_rows、model google/gemini-2.5-flash-lite、usage_id 1083（成本 0.0005183）。</t>
        </is>
      </c>
      <c r="M182" s="69" t="inlineStr">
        <is>
          <t>demo 真實瀏覽器（頁首 v0.1.28 · 91ec1b0）：資料中心 › AI 抽取失敗記錄讀筆數，按「下載 .jsonl」（於頁內取得，不存檔）逐筆檢查 model 與 usage_id；以 llm-usage 匯出對照同秒的呼叫；one shot 的 F-04／F-05（AI 輸入貼含無法歸類列的文字）自然產生新的 unparsed_rows。本機（3a35454 的 record 呼叫放回 91ec1b0）做變異</t>
        </is>
      </c>
      <c r="N182" s="68" t="inlineStr">
        <is>
          <t>觀察：91ec1b0 部署後的 3 筆 unparsed_rows 都有 model 與 usage_id；修復前 6 筆仍為空
假設：①只有開發者那一筆（#521，gemini）剛好帶到，換模型或換路徑就漏；②usage_id 指向錯的 llm_usage 列
排除：one shot 由 haiku-4.5 產生的 #522、#523 同樣帶 model，排除①；#521／#522／#523 的 usage_id 1083／1088／1089 各自對到同秒、同 agent、同模型的 llm-usage 列（F-04 0.009053、F-05 0.008962），排除②
定位：data_ingestion/agents.py:572 completer 改為 complete_structured_meta，:614-615 record 帶 completion.model_name／usage_id
判定：通過</t>
        </is>
      </c>
      <c r="O182" s="68" t="inlineStr">
        <is>
          <t>下載 26 筆＝畫面 26 / 300；部署後 unparsed_rows 3 筆：#521 google/gemini-2.5-flash-lite usage 1083、#522 anthropic/claude-haiku-4.5 usage 1088、#523 anthropic/claude-haiku-4.5 usage 1089；修復前 6 筆（#499、#500、#501、#511、#512、#518）model 空（資料殘留）。變異 V84-a（record 不帶 model／usage_id）→ 3 failed，還原後全過</t>
        </is>
      </c>
      <c r="P182" s="68" t="inlineStr">
        <is>
          <t>複驗通過 → 結案</t>
        </is>
      </c>
      <c r="Q182" s="68" t="inlineStr">
        <is>
          <t>無（不開單）。修復前 6 筆舊記錄屬資料殘留，程式已正確，是否清除由 Owner 決定（不影響結案；上限 300 筆會自然淘汰）</t>
        </is>
      </c>
      <c r="R182" s="68" t="inlineStr">
        <is>
          <t>檢驗方 2026-09-30</t>
        </is>
      </c>
    </row>
    <row r="183" ht="240" customHeight="1" s="43">
      <c r="A183" s="72" t="inlineStr">
        <is>
          <t>R11</t>
        </is>
      </c>
      <c r="B183" s="72" t="inlineStr">
        <is>
          <t>DEF-085</t>
        </is>
      </c>
      <c r="C183" s="72" t="inlineStr">
        <is>
          <t>H-05</t>
        </is>
      </c>
      <c r="D183" s="72" t="inlineStr">
        <is>
          <t>2026-09-29</t>
        </is>
      </c>
      <c r="E183" s="66" t="inlineStr">
        <is>
          <t>同意。Owner 2026-09-29 裁定 A：R6 給可執行的修正指引，形式由開發者設計。設計：沿用前端既有的「前往額度設定」按鈕（fix.kind fund_quota → 設定 › AI 與額度，與 AI 輸入額度不足面板同一個入口），乾跑預檢與「為什麼沒跑？」兩個對話框都有。同類掃描另發現 R1（範圍不相容）與 G7（開啟自我校正但未設大師模型）同樣亮紅／黃卻沒有按鈕，一併修。金額寫法統一為 2 位小數（與前端 fmt.num 相同的四捨五入）。</t>
        </is>
      </c>
      <c r="F183" s="67" t="inlineStr">
        <is>
          <t>portfolio_dash/api/insight_service.py:1725-1731 `_RULE_FIX` 不含 R6（註解：額度加值不在 §7.2 列舉），也不含 R1；:1865-1876 `_g7` 未設大師模型的警告 "fix": None——而 web/pipeline.js:60-61 早已定義 fund_quota「前往額度設定」與 activate_role「前往 AI 大師設定」，後端從未送出；web/pipeline-preflight.js:33 只在 fix.kind 存在時畫按鈕。金額：portfolio_dash/llm_insight/gating.py:168 `f"額度耗盡（剩餘 ${ctx.budget_remaining}）"` 與 shared/llm_config.py:312 直接印原始 Decimal（$-0.01000），管線節點 llm_insight/pipeline_status.py:169 則量化成 2 位（$-0.01）（3a35454）</t>
        </is>
      </c>
      <c r="G183" s="67" t="inlineStr">
        <is>
          <t>tests/contract/test_pipeline_preflight_api.py::test_preflight_quota_zero_r6_fail 把「R6 沒有 fix」當成設計釘住；tests/contract/test_def031_universe_edit.py::test_every_backend_fix_kind_has_a_real_action 只檢查一個方向（後端送的每個 kind 前端都有動作），沒檢查反方向——前端定義了卻沒有後端送的 kind 就是死按鈕，fund_quota 與 activate_role 一直是這樣。金額：沒有任何測試斷言 R6 訊息或額度不足訊息的文字。</t>
        </is>
      </c>
      <c r="H183" s="67" t="inlineStr">
        <is>
          <t>①insight_service._RULE_FIX 補 R6→fund_quota、R1→edit_templates；_g7 未設大師的警告補 activate_role（前往 AI 大師設定）。②新增 shared/money.usd_display（「$」＋2 位小數、四捨五入、千分位、四捨五入後為 0 的負數顯示 0.00——與 web/format.js 的 '$' + fmt.num(v, 2) 同規則），R6 訊息、AI 額度不足訊息（F-07 的 402）與管線節點三處共用。③既有測試 test_preflight_quota_zero_r6_fail 依 Owner 裁定改為斷言 fund_quota 與「額度耗盡（剩餘 $0.00）」。掃描方式：列舉乾跑預檢／診斷的全部顯示閘門與可能狀態；解析 web/pipeline.js 的 FIX_KINDS 與後端送出的 kind 做雙向比對；以正規式掃 portfolio_dash 內含「${…}」的 f-string。</t>
        </is>
      </c>
      <c r="I183" s="66" t="inlineStr">
        <is>
          <t>預檢閘門非通過狀態 11 種（G0 失敗、G1 警告、R1 失敗、R2 失敗／資訊、R3 失敗、R4 警告、R5 資訊、R6 失敗、G7 警告／資訊）：原本 8 種有按鈕、3 種沒有（R1、R6、G7 警告）→ 修 3；另 R4 旁的「價格新鮮度」資訊列不影響執行、屬純告知 → 白名單 1。前端修正種類 9 個，後端原本送 6 個，死按鈕 3 個（fund_quota、activate_role、enable_schedule）→ 修後送 8 個；enable_schedule 是 create_schedule 的同義標籤（G1 對未排程一律送 create_schedule），列白名單 1。伺服器寫出額度金額的句子 5 處（R6、AI 額度不足、管線節點 3 種）→ 全部經 usd_display；f-string「${」共 4 處，另 2 處不是額度（auth_store 密碼雜湊格式、wire.py 的 NT$ 手續費說明）。</t>
        </is>
      </c>
      <c r="J183" s="66" t="inlineStr">
        <is>
          <t>新增 tests/contract/test_def085_preflight_fix_guidance.py（20 則）：前端每個修正種類都有閘門送出（白名單 enable_schedule）；R1～R6 每個非通過狀態都有前端有動作的 fix；R6＝fund_quota 且前端 fund_quota 前往 settings.html#llm；G7 未設大師＝activate_role；usd_display 8 組數值與前端 fmt.num 相同（含 0.125→$0.13、-0.004→$0.00）；H-05 情境（剩餘 −$0.01）R6 訊息「額度耗盡（剩餘 $-0.01）」、預檢與診斷都有 fund_quota、管線節點「餘 $-0.01」；AI 額度不足訊息「AI 額度用盡（剩餘 $-0.03）— 補充額度後即可繼續使用」。新增 e2e tests/e2e/test_def085_preflight_quota_fix_flow.py：乾跑預檢與「為什麼沒跑？」的 R6 列都顯示「額度耗盡（剩餘 $0.00）」與「前往額度設定」，點下去到 settings.html#llm。變異：M85-a 拿掉 R6 fix（3a35454 寫法）→ 6 failed（含既有 test_preflight_quota_zero_r6_fail 與 e2e）；M85-b 拿掉 R1 → 1 failed；M85-c G7 fix 改回 None → 2 failed；M85-d R6 印原始 Decimal（3a35454 寫法）→ 2 failed（'額度耗盡（剩餘 $-0.01000）'、'額度耗盡（剩餘 $0）'）；M85-e usd_display 改回預設捨入 → 1 failed（'$0.12' == '$0.13'）；M85-f AI 額度不足訊息印原始 Decimal → 1 failed。</t>
        </is>
      </c>
      <c r="K183" s="67" t="inlineStr">
        <is>
          <t>91ec1b0（已部署 demo）</t>
        </is>
      </c>
      <c r="L183" s="67" t="inlineStr">
        <is>
          <t>ruff 全過（portfolio_dash／tests／scripts）・mypy --strict 961 檔 0 問題（全新快取）・pytest 6,555 則（6,553 通過、2 略過、0 失敗；7 小批逐段前景執行）・e2e 91 檔 311／311 全過（20 組逐組執行；伺服器端 5xx 0、traceback 0）・demo 部署 91ec1b0 後 verify_live ALL PASS（頁首 v0.1.28 · 91ec1b0 · 未發行）。stress-audit 未跑：本輪不動帳目計算。
demo 唯讀：額度為正，R6 不會觸發；GET /api/insight-tasks/status 5 個任務的執行節點皆為「額度餘 $3.21」（新的共用格式）。R6 失敗情境請於本機專用測試環境複驗（同 R10 的 H-05 作法）。</t>
        </is>
      </c>
      <c r="M183" s="68" t="inlineStr">
        <is>
          <t>本機專用測試環境（91ec1b0、demo 資料庫副本、假 LLM、非憑證假金鑰）：以 llm_usage 補一筆使剩餘額度 −$0.01，Playwright 真實瀏覽器開洞察管線 › 任務抽屜 › 乾跑預檢，與任務卡上的「為什麼沒跑？」，讀 R6 列、按「前往額度設定」看落點並截圖（R11_DEF085_preflight.png、R11_DEF085_diagnose.png）；讀 /preflight、/diagnose、/insight-tasks/status；另建停用任務與「開啟自我校正、未設大師模型」任務抽樣同類；one shot 的 H-05（demo R2／R3＋本機 R4／R6）；自做變異 3 組</t>
        </is>
      </c>
      <c r="N183" s="68" t="inlineStr">
        <is>
          <t>觀察：R6 列有「前往額度設定」按鈕，兩個對話框都有，按下到設定 › AI 與額度；金額 $-0.01 與節點一致
假設：①只有乾跑預檢有按鈕、「為什麼沒跑？」仍沒有；②按鈕是死按鈕或跳錯頁；③只修了 R6，同類的其他紅／黃列仍沒有指引
排除：兩個對話框的 R6 列各 1 個按鈕，/diagnose first_blocker R6 fix fund_quota，排除①；按下後網址 /settings.html#llm、AI 與額度分頁作用中、角色欄可見，排除②；停用任務的 G0 有 enable_task、未設大師的 G7 有 activate_role、缺價 R4 有 edit_universe，排除③
定位：api/insight_service.py:1734-1736 _RULE_FIX 補 R1 edit_templates、R6 fund_quota，:1879-1883 G7 activate_role；shared/money.usd_display 用於 llm_insight/gating.py:171、shared/llm_config.py:314、llm_insight/pipeline_status.py:179-184
判定：通過</t>
        </is>
      </c>
      <c r="O183" s="69" t="inlineStr">
        <is>
          <t>R6 {lv:fail, msg:「額度耗盡（剩餘 $-0.01）」, fix:{kind:fund_quota}}、verdict blocked；畫面列「✕ AI 額度 額度耗盡（剩餘 $-0.01） 前往額度設定 R6」（乾跑預檢 1 個按鈕、為什麼沒跑？1 個按鈕）→ /settings.html#llm；管線節點「餘 $-0.01」6 處；G0 enable_task、G7 activate_role；one shot H-05 demo 8／8、本機 8／8 項全過；F-07 402「AI 額度用盡（剩餘 $0.00）」。變異 V85-a 拿掉 R6 fix → 5 failed、V85-b R6 改回原始 Decimal → 2 failed、V85-c G7 fix 改回 None → 2 failed，還原後全過</t>
        </is>
      </c>
      <c r="P183" s="68" t="inlineStr">
        <is>
          <t>複驗通過 → 結案</t>
        </is>
      </c>
      <c r="Q183" s="68" t="inlineStr">
        <is>
          <t>無（不開單）。觀察：strategy/alerts.py:154-156 `_usd`（「AI 額度偏低」預警明細 :363）仍自行 quantize（銀行家捨入、無千分位），未走 usd_display——同類顯示一致性，開發者同類掃描未列到；demo 額度高於門檻、目前不會出現，建議日後順手統一</t>
        </is>
      </c>
      <c r="R183" s="68" t="inlineStr">
        <is>
          <t>檢驗方 2026-09-30</t>
        </is>
      </c>
    </row>
    <row r="184" ht="15" customHeight="1" s="43">
      <c r="A184" s="42" t="n"/>
      <c r="P184" s="70" t="n"/>
    </row>
    <row r="185" ht="15" customHeight="1" s="43">
      <c r="A185" s="42" t="n"/>
      <c r="P185" s="70" t="n"/>
    </row>
    <row r="186" ht="15" customHeight="1" s="43">
      <c r="A186" s="42" t="n"/>
      <c r="P186" s="70" t="n"/>
    </row>
  </sheetData>
  <mergeCells count="1">
    <mergeCell ref="A1:R1"/>
  </mergeCells>
  <dataValidations count="2">
    <dataValidation sqref="A5:A186" showDropDown="0" showInputMessage="0" showErrorMessage="0" allowBlank="1" type="list" errorStyle="stop" operator="between">
      <formula1>"R1,R2,R3,R4,R5,R6,R7,R8,R9,R10,R11"</formula1>
      <formula2>0</formula2>
    </dataValidation>
    <dataValidation sqref="P5:P186" showDropDown="0" showInputMessage="0" showErrorMessage="0" allowBlank="1" type="list" errorStyle="stop" operator="between">
      <formula1>"複驗通過 → 結案,複驗未過,部分通過,待裁定,FAIL"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18" customWidth="1" style="42" min="2" max="3"/>
    <col width="46" customWidth="1" style="42" min="4" max="4"/>
    <col width="40" customWidth="1" style="42" min="5" max="5"/>
    <col width="24" customWidth="1" style="42" min="6" max="6"/>
  </cols>
  <sheetData>
    <row r="1" ht="15" customHeight="1" s="43">
      <c r="A1" s="63" t="inlineStr">
        <is>
          <t>每次把檔案交出去之前，最後一個動作就是在這裡寫一列。接手的人先看這裡的最後一列。</t>
        </is>
      </c>
    </row>
    <row r="2" ht="31.5" customHeight="1" s="43">
      <c r="A2" s="51" t="inlineStr">
        <is>
          <t>日期</t>
        </is>
      </c>
      <c r="B2" s="51" t="inlineStr">
        <is>
          <t>由誰交給誰</t>
        </is>
      </c>
      <c r="C2" s="51" t="inlineStr">
        <is>
          <t>受測版本(commit)</t>
        </is>
      </c>
      <c r="D2" s="51" t="inlineStr">
        <is>
          <t>本輪摘要</t>
        </is>
      </c>
      <c r="E2" s="51" t="inlineStr">
        <is>
          <t>對方該做什麼</t>
        </is>
      </c>
      <c r="F2" s="51" t="inlineStr">
        <is>
          <t>備註</t>
        </is>
      </c>
    </row>
    <row r="3" ht="15" customHeight="1" s="43">
      <c r="A3" s="53" t="inlineStr">
        <is>
          <t>2026-09-25</t>
        </is>
      </c>
      <c r="B3" s="52" t="inlineStr">
        <is>
          <t>開發者 → 驗證者</t>
        </is>
      </c>
      <c r="C3" s="53" t="inlineStr">
        <is>
          <t>abc1234</t>
        </is>
      </c>
      <c r="D3" s="52" t="inlineStr">
        <is>
          <t>修 DEF-001／002，兩者皆為類別修法，附變異測試</t>
        </is>
      </c>
      <c r="E3" s="52" t="inlineStr">
        <is>
          <t>複驗 DEF-001、DEF-002，並重跑 J 組回歸快篩</t>
        </is>
      </c>
      <c r="F3" s="52" t="inlineStr">
        <is>
          <t>（填寫範例）</t>
        </is>
      </c>
    </row>
    <row r="4" ht="15" customHeight="1" s="43">
      <c r="A4" s="72" t="inlineStr">
        <is>
          <t>2026-09-23</t>
        </is>
      </c>
      <c r="B4" s="73" t="inlineStr">
        <is>
          <t>驗證者 → 開發者</t>
        </is>
      </c>
      <c r="C4" s="72" t="inlineStr">
        <is>
          <t>755c88a</t>
        </is>
      </c>
      <c r="D4" s="72" t="inlineStr">
        <is>
          <t>R1 初驗完成（受測站頁首 v0.1.28 · 755c88a，與交付版本相符）：120 題 PASS 86／FAIL 19／OBSERVE 6／BLOCKED 8／N/A 1；開 38 張缺陷（高 2／中 20／低 16）。寫入案例皆已還原並逐位元比對，R-1～R-10 見還原檢查</t>
        </is>
      </c>
      <c r="E4" s="73" t="inlineStr">
        <is>
          <t>開發者：處理狀態＝新開的 29 張，先高（DEF-012、DEF-027）再中、低；於缺陷登記 H 欄寫根因到檔案:行、來回記錄左半（E～L）補齊並附同類掃描與變異測試後改為待複驗。Owner：裁定待裁定的 9 張（DEF-003、DEF-006、DEF-009、DEF-010、DEF-013、DEF-016、DEF-018、DEF-025、DEF-033）</t>
        </is>
      </c>
      <c r="F4" s="72" t="inlineStr">
        <is>
          <t>BLOCKED（demo 限制或前置資料不具備，非缺陷）：D-00、E-05、E-06、E-09、E-11、F-07、G-08、H-01。本輪 AI 花費 $0.0272825（72 次呼叫）。收件匣 6→7 為外部來源新偵測（Maybank 1155 除息日 2026-09-23），非寫入殘留；job_runs 留有本輪 #153～#179 的執行紀錄、評分資料 50 列（G-07）、洞察卡 17 張（G-09）屬預期寫入</t>
        </is>
      </c>
    </row>
    <row r="5" ht="159.75" customHeight="1" s="43">
      <c r="A5" s="72" t="inlineStr">
        <is>
          <t>2026-09-23</t>
        </is>
      </c>
      <c r="B5" s="73" t="inlineStr">
        <is>
          <t>開發者 → 驗證者</t>
        </is>
      </c>
      <c r="C5" s="72" t="inlineStr">
        <is>
          <t>e6fd9f4</t>
        </is>
      </c>
      <c r="D5" s="72" t="inlineStr">
        <is>
          <t>R2 修復：狀態＝新開的 29 張（高 2、中 17、低 10）全部修畢並部署 demo（e6fd9f4，頁首應顯示 v0.1.28 · e6fd9f4）。每張都依 §4：根因到檔案:行（缺陷登記 H 欄）、同類掃描附數字（來回記錄 H／I 欄）、修復前會失敗的新測試＋變異測試證據（J 欄）、原本該攔卻沒攔的防線已補盲點（G 欄）。跨包命中另做一輪收尾（I-1～I-17，含 CSV 公司行動批次原子性、批次復原走同一刪除函式、預警 scope 殘餘 6 處），其結果併入對應缺陷的 H／I 欄。閘門：ruff 全過・mypy 860 檔 0・pytest 5,900 passed・e2e 260 passed・stress-audit 6,025 pass／0 fail。9 張待裁定（DEF-003／006／009／010／013／016／018／025／033）未動，仍待 owner。</t>
        </is>
      </c>
      <c r="E5" s="73" t="inlineStr">
        <is>
          <t>驗證者：先確認受測站頁首＝v0.1.28 · e6fd9f4；重跑 J 組回歸快篩；依「來回記錄」R2 列複驗 29 張：DEF-012、027（高）→ DEF-001、005、007、011、014、020、021、023、024、026、028、029、030、031、035、036、037（中）→ DEF-002、004、008、015、017、019、022、032、034、038（低）。複驗時請注意四個行為變更：①同日交易依輸入順序重播（B-18 三筆順序）；②券商對帳單「全部寫入」改為「寫入勾選列」且警告列需逐列確認；③出金透支訊息新句型「此筆出金會使 台灣券商 的 TWD 現金於 YYYY-MM-DD 降至 −N（出金當日）…」；④帳本表改為切到分頁才載入（2026-09-16 L16）。Owner：裁定 9 張待裁定；另請裁定 3 項觀察（_seed_child_price 在 commit 後寫分拆子公司價格且刪除不移除；只在觀察清單的標的因 drawdown_from_peak 產「持倉提點」卡；ledgers.py 更正門不走 validate_transaction 所以日期類提示到不了）。</t>
        </is>
      </c>
      <c r="F5" s="72" t="inlineStr">
        <is>
          <t>demo 既有資料未重設（備份 portfolio-pre-e6fd9f4-20260923T173052Z.db）；DEF-037 修復前已產生的錯誤卡（symbol=moomoo_my、#207）因卡片表只增不改而保留，舊卡 trigger=null。四則 HEAD 既有失效的 e2e 與 oracle 轉錄已更新（CHANGELOG「Gates that were red on HEAD」段）。本輪未動的觀察：scripts/ai_extraction_eval.py 未比對 stated_amount；scripts/schwab_convert.py CLI 期初工作表只看檔案；news 工作成功訊息仍英文；settings-prompts.js:65 HELD_SYMBOLS 寫死；insight_service 未排除封存標的。三次 API 額度中斷（13:00／18:00／23:00 重置）曾讓 9 個修復代理中途停止，皆以原上下文續做並驗證工作樹狀態後完成。</t>
        </is>
      </c>
    </row>
    <row r="6" ht="15" customHeight="1" s="43">
      <c r="A6" s="72" t="inlineStr">
        <is>
          <t>2026-09-24</t>
        </is>
      </c>
      <c r="B6" s="73" t="inlineStr">
        <is>
          <t>驗證者 → 開發者</t>
        </is>
      </c>
      <c r="C6" s="72" t="inlineStr">
        <is>
          <t>e6fd9f4</t>
        </is>
      </c>
      <c r="D6" s="72" t="inlineStr">
        <is>
          <t>R2 複驗完成（頁首 v0.1.28 · e6fd9f4 相符）：29 張中 27 張結案；DEF-017 部分通過、DEF-023 複驗未過（狀態＝複驗未過）。Owner 已裁定 9 張待裁定＋開發者 3 項觀察＋驗證者 3 項新問題，裁定寫在缺陷登記 K 欄：DEF-006、018 非缺陷（改手冊）；DEF-003、009、010、013、016、025、033 改為新開。新開 DEF-039～048（10 張）。J 組全綠、零回歸，環境已還原（只差 AI 額度 $0.0036318）</t>
        </is>
      </c>
      <c r="E6" s="73" t="inlineStr">
        <is>
          <t>開發者：①先修複驗未過 2 張：DEF-023（web/app.js:112 的 renderUnappliedBanner() 在 app.js:100 提前 return 之後——沒有未註冊標的時永不顯示；並修掉 test_unapplied_actions_have_an_entry.py:125 只比對字串的盲點）、DEF-017（帳本刪除後同頁「最近匯入」與復原框未刷新）；②依 Owner 裁定實作新開的 DEF-003、009、010（含 8 筆快照清理，先備份）、013、016、025、033、040、041、042、046（刪除錯誤卡 #207，先備份）、047、048；③修 DEF-039、043、044、045（044／045 請補「用到 api.js 的頁面必須載入 names.js」與 export 模組的帳戶名守門）。④依裁定同步手冊：A-01／A-04／A-09（DEF-006）、A-11②（DEF-009）、B-10③（DEF-013）、B-16（DEF-010）、B-17（DEF-042）、C-02（DEF-016）、C-04b①（DEF-018）、D-10（DEF-040）、G-09（DEF-041）、I-06（DEF-025）的期望值</t>
        </is>
      </c>
      <c r="F6" s="73" t="inlineStr">
        <is>
          <t>防護建議（不擋結案）：DEF-027 的單元守門只認字面值，等價寫法要靠 e2e 才攔得到，建議 e2e 納入每輪 J-06；DEF-004 以「只換表頭」變異 18 passed；DEF-032 後端去重變異 5 passed，目前靠前端彙整。觀察：收件匣折讓款副標題在 390px 被截斷；立即執行 toast 仍寫 insight:7 而非任務名；公司行動帳本列不顯示重組費用。本輪 AI 花費 $0.0036318；demo 另於 insight:7 產生 3 張市場週報卡、insight:9 產生 2330 預警卡 #211（預期寫入）</t>
        </is>
      </c>
    </row>
    <row r="7" ht="219.75" customHeight="1" s="43">
      <c r="A7" s="72" t="inlineStr">
        <is>
          <t>2026-09-24</t>
        </is>
      </c>
      <c r="B7" s="73" t="inlineStr">
        <is>
          <t>開發者 → 驗證者</t>
        </is>
      </c>
      <c r="C7" s="72" t="inlineStr">
        <is>
          <t>4655845</t>
        </is>
      </c>
      <c r="D7" s="72" t="inlineStr">
        <is>
          <t>R3 修復：複驗未過 2 張（DEF-023、DEF-017）＋新開 17 張（中 3：DEF-025、033、042；低 14）全部修畢並部署 demo（4655845，頁首應顯示 v0.1.28 · 4655845）。每張依 §4：根因到檔案:行（缺陷登記 H 欄；複驗未過兩張為在 R2 根因後追加）、同類掃描附數字（來回記錄 H／I 欄）、修復前會失敗的新測試＋變異測試（J 欄）、防線盲點已補（G 欄；兩張複驗未過的守門都只比對原始碼字串，已改為實際執行的行為測試）。依 owner 指示同步手冊 v3.1：12 個案例的期望值（A-01、A-04、A-09、A-11、B-10、B-16、B-17、C-02、C-04b、D-10、G-09、I-06）已改在 .md 與本活頁簿「測試案例」F 欄，其餘欄位未動。依裁定清理 demo 資料（先備份）：刪除錯卡 #192、清理 8 筆費率快照。閘門：ruff 全過・mypy 890 檔 0・pytest 6,082 passed・e2e 272 passed・stress-audit 6,025 pass／0 fail。</t>
        </is>
      </c>
      <c r="E7" s="73" t="inlineStr">
        <is>
          <t>驗證者：先確認受測站頁首＝v0.1.28 · 4655845；重跑 J 組回歸快篩；依「來回記錄」R3 列複驗 19 張：DEF-023、DEF-017（複驗未過，請重放 R2「未解」欄的情境：沒有未註冊標的時儀表板的公司行動區塊；同頁刪除帳本列後的「最近匯入」與復原對話框）→ DEF-025、033、042（中）→ DEF-003、009、010、013、016、039、040、041、043、044、045、046、047、048（低）。期望值已依裁定改為手冊 v3.1（見「測試案例」F 欄）。⚠ DEF-046 卡號更正：錯卡是 #192（symbol moomoo_my「Moomoo 交易商警示」），#207 是正常的 2884 預警卡、未刪除；R2 交接備註寫的 #207 是開發者的錯誤。請注意四個行為變更：①帳本「編輯」開框即預覽，軟性警告要逐項勾選才能儲存；②CSV／AI／券商匯入的賣超列預設不勾，須在確認框逐列勾選（伺服器也強制，整檔確認不再能寫入賣超）；③入帳日在未來的股利，入帳日前不計入 XIRR、總報酬與已收股利；④補登過去日期時，草稿以交易日當時的部位試算並加註。Owner：請裁定備註欄列出的決策項。</t>
        </is>
      </c>
      <c r="F7" s="72" t="inlineStr">
        <is>
          <t>Owner 決策項（本輪都已先實作最保守的解讀）：①DEF-046：同根因的錯卡 #97（2026-08-23「moomoo.com 交易暫停」）是否一併刪除（建議刪，腳本加 --id 97 即可）。②DEF-010：2026-01 的 #33、#44 快照同樣自相矛盾（該月折讓款已入帳 191），是否一併清理（建議清，--scope all）。③DEF-016：未來日期的交易／期初／換匯是否也自其日期起才計入持股與 XIRR：A 一律依估值日切（建議）／B 維持只切股利／C 禁止未來日期交易。④DEF-033：系統提示詞、新聞整理提示詞、任務自評提示詞是否也做版本記錄：a 三處都做／b 只做系統與新聞整理（建議）／c 維持。⑤DEF-041：mode:all_registered 任務是否排除已封存標的（建議排除）。⑥DEF-009：折讓款列改類型後，該月維持已入帳（已實作，建議）或重新開放。⑦DEF-025：批次「復原」可讓之後的賣出變成賣超且不問確認、也不寫稽核（新發現，建議另開缺陷）；CSV 門的其他警告類型也逐列確認（已實作，建議維持）。⑧DEF-043：alert_scan 停用時，預警觸發任務是否改顯示警告（建議另開）。⑨DEF-047：一個來源無資料、另一個來源失敗的混合情形目前歸「無配息紀錄」（建議維持）。⑩DEF-040：分拆存檔後再改日期，起始價會留在舊日期（建議接受）。⑪DEF-042：軟性警告只由畫面把關、伺服器擋硬性錯誤與賣超（建議維持）；股利更正門仍缺 4 種股利型別檢查（建議下一輪抽出共用驗證器）。未處理（§4 禁止順手修改，需另開缺陷）：驗證者 R2 的三項觀察（收件匣折讓款副標題 390px 截斷、立即執行 toast 寫 insight:7、公司行動帳本列不顯示重組費用），以及 web/pipeline-wizard.js:374 的 toast 直接顯示識別字 on_alert。環境：demo 帳本除上述兩項清理外未重設；另有一則既有 e2e 的時序競態已改為等待（見 L 欄）。</t>
        </is>
      </c>
    </row>
    <row r="8" ht="15" customHeight="1" s="43">
      <c r="A8" s="72" t="inlineStr">
        <is>
          <t>2026-09-24</t>
        </is>
      </c>
      <c r="B8" s="73" t="inlineStr">
        <is>
          <t>驗證者 → 開發者</t>
        </is>
      </c>
      <c r="C8" s="72" t="inlineStr">
        <is>
          <t>4655845</t>
        </is>
      </c>
      <c r="D8" s="72" t="inlineStr">
        <is>
          <t>R3 複驗完成（頁首 v0.1.28 · 4655845 相符）：19 張中 18 張結案；DEF-040 複驗未過（子公司當日已有正式報價時，起始價覆蓋、刪除後原報價遺失）。驗證者重做變異 21 組全數被攔；J 組全綠、零回歸；環境已還原（只差 AI 額度 $0.0056015）。手冊 v3.1 的 12 個案例期望已核對 F 欄與 .md 一致。新開 DEF-049～061 共 13 張（含 owner 本輪裁定與規格）。更正：R2 驗證者交接把 DEF-046 的錯卡寫成 #207 是驗證者的錯誤，實為 #192；開發者更正正確</t>
        </is>
      </c>
      <c r="E8" s="73" t="inlineStr">
        <is>
          <t>開發者：①先修複驗未過 DEF-040（寫入前若當日已有正式報價就不寫起始價並說明；附驗證者探測測試），並一起做 DEF-060；②DEF-049（中）：批次復原走與逐筆刪除相同的重播防護（422 oversell／orphan＋前端賣超確認框）與 ledger_audit 稽核，並掃描所有繞過 store.delete_* 的 DELETE；③DEF-057（中）系統與新聞整理提示詞版本記錄；④低：DEF-050～053、055（含 #33、#44 清理）、056、058、059、061；⑤資料：DEF-054 刪錯卡 #97。規格與實作計畫見 docs/audit/2026-09-24-r3-dev-specs.md（與 xlsx 衝突時以 xlsx 為準）。手冊：DEF-056 的期望（未來日期交易依估值日切）請 owner 或開發者代補至 B-17</t>
        </is>
      </c>
      <c r="F8" s="72" t="inlineStr">
        <is>
          <t>Owner 本輪裁定：① #97 刪除（DEF-054）；② #33、#44 清理（DEF-055）；③ 未來日期交易／期初／換匯依估值日切（DEF-056）；④ 系統與新聞整理提示詞做版本（DEF-057）；⑤ all_registered 排除封存（DEF-059）；⑥ 折讓款改類型仍視為已入帳（維持）；⑦a 批次復原賣超開單附規格（DEF-049）；⑦b CSV 其他警告逐列確認（維持）；⑧ alert_scan 停用不另顯示（不開單）；⑨ 混合結果歸無配息紀錄（維持）；⑩ 分拆改日期起始價一併搬移（DEF-060）；⑪a 編輯軟性警告只由畫面把關（維持）；⑪b 股利更正共用驗證器（DEF-061）。觀察（不開單）：ledger_audit 沒有任何畫面或 API 可讀；DEF-016 未來股利列無標示已併入 DEF-056。本輪 demo 另產生預警卡 #212～#218、策略 5 的 v2／v3 版本紀錄（預期寫入）</t>
        </is>
      </c>
    </row>
    <row r="9" ht="219.75" customHeight="1" s="43">
      <c r="A9" s="72" t="inlineStr">
        <is>
          <t>2026-09-25</t>
        </is>
      </c>
      <c r="B9" s="73" t="inlineStr">
        <is>
          <t>開發者 → 驗證者</t>
        </is>
      </c>
      <c r="C9" s="72" t="inlineStr">
        <is>
          <t>1ee7771</t>
        </is>
      </c>
      <c r="D9" s="72" t="inlineStr">
        <is>
          <t>R4 修復：複驗未過 1 張（DEF-040）＋新開 13 張（中 2：DEF-049、057；低 11）全部修畢並部署 demo（1ee7771，頁首應顯示 v0.1.28 · 1ee7771）。每張依 §4：根因到檔案:行（缺陷登記 H 欄；DEF-040 於 R3 根因後追加）、同類掃描附數字（來回記錄 H／I 欄）、修復前會失敗的新測試＋變異測試（J 欄）、防線盲點已補（G 欄）。DEF-040 採規格建議 A 並多做一層寫入紀錄：起始價只寫入空白日期，並記下每次存檔寫了什麼，刪除時只收回紀錄上那一列（只靠簽章會誤刪同日的孤兒起始價）。DEF-049 的類別掃描改以「門」為單位，另找到公司行動單筆刪除、整組刪除、更正三道同類門，本輪一併修：14 道刪除／更正門全部有重播防護。手冊升 v3.2：依驗證者請求代補 B-17 的 DEF-056 期望（.md 與「測試案例」F 欄），其餘欄位未動。依裁定清理 demo 資料（先備份）：刪除錯卡 #97（含評分 #65）、清理 #33、#44 快照。閘門：ruff 全過・mypy 915 檔 0・pytest 6,227 passed・e2e 288 passed・stress-audit 6,025 pass／0 fail。</t>
        </is>
      </c>
      <c r="E9" s="73" t="inlineStr">
        <is>
          <t>驗證者：先確認受測站頁首＝v0.1.28 · 1ee7771；重跑 J 組回歸快篩；依「來回記錄」R4 列複驗 14 張：DEF-040（複驗未過，請重放「子公司當日已有正式報價」的情境：存檔前表單應提示起始價不會寫入，存檔後與刪除後該價格列都逐欄不變；現在已不會覆蓋，可直接在 demo 用有報價的日期試）→ DEF-049、057（中）→ DEF-050～056、058～061（低）。請注意五個行為變更：①批次「復原」、公司行動的刪除與編輯，會造成賣超時跳出與帳本刪除同款的「賣超確認」框（造成孤兒則硬擋）；②未來日期的交易／期初／換匯（以及資金收支、公司行動）到該日才計入估值，帳本各分頁、資金頁與列印帳本顯示「未來日期：YYYY-MM-DD 起計入」；③分拆的子公司起始價只寫入沒有價格的日期，已有報價時表單與 toast 會說明未寫入；編輯分拆可改起始價，改日期會搬移起始價並以 toast 說明；④股利帳本「編輯」開框即顯示檢查結果，軟性警告要逐項勾選才能儲存；⑤系統提示詞與新聞整理提示詞有「版本記錄」（demo 目前各為 v1）。Owner：請裁定備註欄列出的決策項。</t>
        </is>
      </c>
      <c r="F9" s="72" t="inlineStr">
        <is>
          <t>Owner 決策項（本輪都已先實作最保守、能自洽的讀法）：①DEF-049 新發現第三類門：「新增」公司行動（表單與 CSV 匯入）也會讓之後的賣出變成賣超且不問確認（實測在既有賣出之前補登反向分割 1:10 → 201、2330 變 −400）：A 下一輪另開缺陷（同一個防護＋表單確認框＋CSV 逐列勾選，建議）／B 維持（不建議：新增表單的預覽只列出因此「解除」的賣超，不警告因此「造成」的）。②DEF-049 現金檢查口徑：批次復原與公司行動刪除只在讓最低餘額「更糟」時才要求確認；逐筆刪除現金／換匯則只要刪後為負就要求（對早已為負的現金池每次都問）：A 維持（建議）／B 另開單把逐筆刪除也改為只擋更糟，各門一致／C 批次照抄逐筆。③DEF-056：裁定點名交易、期初、換匯；已一併把公司行動與資金收支（折讓款、融資利息、券商費用）依日期切，否則未來的分割會讓持股以拆分前價格加倍、未來費用會提前進 XIRR：A 維持（建議）／B 只切點名的三類。另建議公司行動門比照 DEF-014 加未來日期軟性警告（目前沒有，另開）；抽屜交易明細不列未來列（A 維持，建議／B 列出加標示但不計入對帳）。④DEF-040：demo 上 R2／R3 期間留下的孤兒起始價（簽章完整、沒有任何分拆擁有），R4 不再覆蓋也不再刪，但畫面上沒有地方能移除：A 寫清理腳本（試跑列出、--apply 刪除並寫稽核，建議）／B 維持，等歷史回補覆蓋／C 標的抽屜加「移除手動起始價」按鈕。R3 版本已蓋掉的正式報價，執行一次歷史回補即可取回。⑤DEF-060：新日期已有正式報價時，舊日期的起始價實作為移除、不搬（留下會變成孤兒）：A 維持（建議）／B 留在舊日期。⑥DEF-061：股利新增門沒有「帳戶市場 vs 標的市場」一致性檢查（交易入口與股利更正門都有），未註冊標的在新增門是軟性警告、在更正門是硬性拒絕：A 把市場一致性加入共用驗證器（建議，另開缺陷）／B 維持。⑦DEF-059：報價類抓取宇宙（tw_universe／all_universe，影響 FinMind 籌碼、估值、月營收與共識、基本面共 5 個排程）仍含已封存標的，會消耗外部額度：A 全部排除（建議）／B 保留以維持快照連續／C 只排除付費來源。⑧DEF-057：內文已是官方版時再按「重置回官方版」不新增版本（A 維持，建議／B 一律新增）；策略提示詞歷史維持獨立一張表（A 維持，建議／B 另開單無損搬移）。環境：demo 帳本除上述兩項清理外未重設；首次開機時系統與新聞整理提示詞各自補成 v1（預期寫入）。</t>
        </is>
      </c>
    </row>
    <row r="10" ht="15" customHeight="1" s="43">
      <c r="A10" s="72" t="inlineStr">
        <is>
          <t>2026-09-25</t>
        </is>
      </c>
      <c r="B10" s="73" t="inlineStr">
        <is>
          <t>驗證者 → 開發者</t>
        </is>
      </c>
      <c r="C10" s="72" t="inlineStr">
        <is>
          <t>1ee7771</t>
        </is>
      </c>
      <c r="D10" s="72" t="inlineStr">
        <is>
          <t>R4 複驗完成（頁首 v0.1.28 · 1ee7771 相符）：14 張中 13 張結案（含打回的 DEF-040）；DEF-056 部分通過→複驗未過（資金頁畫面「現金收支明細」未標示未來列）。驗證者重做變異 13 組全數被攔；J 組全綠、零回歸（e2e 另見間歇性 500，開 DEF-065）；帳本已還原（報告幣換算差異來自還原觀察標的時的匯率更新，見還原檢查 R-6）。新開 DEF-062～065 共 4 張。規格與實作計畫見 docs/audit/2026-09-25-r4-dev-specs.md</t>
        </is>
      </c>
      <c r="E10" s="73" t="inlineStr">
        <is>
          <t>開發者：①先修複驗未過 DEF-056：資金頁「現金收支明細」讀 future，加分隔說明與「未來日期」徽章、餘額欄標示投影（與列印報告同文字），並做同類掃描；②DEF-062：規則名稱單一來源（/api/alert-rules 帶 name），精靈不得顯示 id；③DEF-064：tw_universe／all_universe 排除封存，與 DEF-059、jobs.py:1292 共用判定；④DEF-065：以 PD_E2E_NETLOG 取得 GET /api/ui-prefs 500 的 traceback 並修正（讀取路徑不應寫入／建表），e2e 全套連跑 3 次全綠再交；⑤DEF-063：scripts/clean_orphan_seed_prices.py（試跑、--apply 先備份、稽核、可選 --backfill），並在 demo 執行後附清單與結果。全部依 §4：根因到行、同類掃描附數字、修復前會失敗的測試＋變異測試</t>
        </is>
      </c>
      <c r="F10" s="72" t="inlineStr">
        <is>
          <t>Owner 本輪裁定（交接紀錄第 9 列 ①～⑧）：① 新增公司行動造成賣超不問——維持現狀；② 現金檢查兩種口徑——維持；③ 未來日期切六類、抽屜不列未來列——維持；④ 孤兒起始價——寫清理腳本（DEF-063）；⑤ 改日期遇正式報價時移除舊起始價——維持；⑥ 股利新增門市場一致性——維持現狀；⑦ 報價類抓取——全部排除封存（DEF-064）；⑧ 重置不加版、策略歷史獨立表——維持。本輪 demo 另產生：洞察卡 #219～#221（insight:7 run #194）、兩則全域提示詞的測試版本、封存任務 #12、2449 補抓 5 筆收盤與報告匯率更新（預期或設計行為）</t>
        </is>
      </c>
    </row>
    <row r="11" ht="219.75" customHeight="1" s="43">
      <c r="A11" s="72" t="inlineStr">
        <is>
          <t>2026-09-25</t>
        </is>
      </c>
      <c r="B11" s="73" t="inlineStr">
        <is>
          <t>開發者 → 驗證者</t>
        </is>
      </c>
      <c r="C11" s="72" t="inlineStr">
        <is>
          <t>3be67db</t>
        </is>
      </c>
      <c r="D11" s="72" t="inlineStr">
        <is>
          <t>R5 修復：複驗未過 1 張（DEF-056）＋新開 4 張（DEF-062～065，皆低）全部修畢並部署 demo（3be67db，頁首應顯示 v0.1.28 · 3be67db）。每張依 §4：根因到檔案:行（缺陷登記 H 欄；DEF-056 於 R4 根因後追加）、同類掃描附數字（來回記錄 H／I 欄）、修復前會失敗的新測試＋變異測試（J 欄）、防線盲點已補（G 欄）。DEF-056：資金頁現金收支明細加列印報告同文字的分隔列、「未來日期」徽章與「投影」餘額，表頭加「截至…不含 N 筆未來日期」；依「面」掃描另補個股抽屜 配息史 與兩個對帳 CSV；守門改為全頁掃描（任何列印出未來日期卻無徽章即失敗）。DEF-065：根因是 config_store.ensure_seeded 的「先查再寫」競態（IntegrityError: UNIQUE constraint failed: settings_meta.category），不是鎖；GET 路徑改為不寫入，81 個 GET 中 22 個原本會寫入或建表，全部移到開機；e2e 全套依規格連跑 3 次皆 295／295、伺服器端 5xx 0。跑閘門時另發現交易頁「載入中點的分頁被收回」的競態並修正。DEF-062：規則名稱單一來源，API 帶 name。DEF-064：抓取宇宙排除封存；驗證前提時發現「持有 ⇒ 未封存」不成立（放空、未來日期賣出清倉可封存；封存後刪賣出會讓持倉回到已封存標的），守門與寫入端一起修。DEF-063：清理腳本完成；demo 試跑與 --apply 皆 0 筆（demo 已無 manual 價格列與 SPINOFF），未動資料。閘門：ruff 全過・mypy 925 檔 0・pytest 6,308 passed・e2e 3×295 全過・stress-audit 6,025 pass／0 fail。</t>
        </is>
      </c>
      <c r="E11" s="73" t="inlineStr">
        <is>
          <t>驗證者：先確認頁首＝v0.1.28 · 3be67db；重跑 J 組；依「來回記錄」R5 列複驗 5 張：DEF-056（複驗未過，demo 目前沒有未來日期列，請照 R4 步驟自行寫一筆未來日期的券商費用：帳戶現金 › 台灣券商 明細第一列前應有「以下 1 筆為未來日期（YYYY-MM-DD 之後），不計入目前餘額；其餘額欄為投影」、該列日期有徽章、餘額有「投影」、表頭目前餘額不含它並寫「（截至…，不含 1 筆未來日期）」；另可在個股抽屜 配息史 驗未來股利的徽章）→ DEF-065（請照你的方式重跑 e2e 全套，並可在任何頁面同時打多個 GET /api/ui-prefs）→ DEF-062（精靈 15 個監聽規則；要看排程明細請在 排程中心 › alert_scan 按「立即執行」產生新的一列，修正前的舊列仍是 id）→ DEF-064（封存一檔非持倉標的後，5 個報價類排程送出的清單不含它；另可驗「放空中／以未來日期賣出清倉」的標的無法封存）→ DEF-063（demo 已無孤兒，腳本試跑 0 筆；如需驗腳本本身，請在本機依 tests/scripts 的情境重放）。請注意三個行為變更：①資金頁明細與抽屜配息史的未來列有標示；②放空中或只靠未來日期賣出清倉的標的不能封存或移除（回 422），刪除／修改帳本列若讓已封存標的重新持有，會自動解除封存；③預警規則名稱統一：精靈「價格過期/缺價」→「價格過期」、各處「即將除息」→「即將除息提醒」，calibration_regression 新名「AI 成績轉差」。Owner：請裁定備註欄列出的決策項。</t>
        </is>
      </c>
      <c r="F11" s="72" t="inlineStr">
        <is>
          <t>Owner 決策項（本輪都已先實作最保守、能自洽的讀法）：①DEF-064 附帶：股利收件匣的掃描宇宙（api/dividend_inbox.py:220）仍含已封存但有買入歷史的標的，而同一排程的後備路徑卻排除封存，同一工作兩套口徑：A 維持（屬帳務資料，超出 ⑦ 點名的 5 個排程）／B 改走共用判定、與後備一致（建議）／C 封存且最後一次處分超過 N 天才排除。②DEF-064 附帶：觀察清單的「持有」徽章仍用舊判定（&gt; 0），放空中或以未來日期賣出清倉的標的不顯示「持有」、卻按「移除／封存」會回 422「持倉中的標的不可移除或封存」：A 維持（守門為準、訊息已說明）／B 徽章也改用同一個 holds_position（建議，另開單）。③DEF-062：calibration_regression 原本在全系統沒有名稱，已暫定「AI 成績轉差」：a 採用（建議）／b「AI 校準退步」／c「生效版成績轉差」。④DEF-062：修正前已寫入的排程明細（job_runs.detail）與已存週報文字仍是規則 id：a 保留（紀錄即當時實際寫入與推播的內容，建議）／b 一次性清理腳本改寫／c 讀取時重新解析。⑤DEF-062 用詞觀察：quota_low 的事件標題是「LLM 額度偏低」、規則名是「AI 額度偏低」：a 維持（事件句不是規則名，建議）／b 統一為「AI 額度偏低」（會改 LLM 提示詞裡的預警標題，影響當日快取命中）。另：calibration_regression 在通知中心沒有訂閱開關、會一直推播（既有行為，本輪未改）。⑥驗證者 R4 觀察的匯率三角一致性：portfolio/dashboard.py::_fx_triangulation 拿各匯率對「最新一筆」相比，三條腿日期不同時（USD/TWD 已更新到新日期、USD/MYR 還沒有，推導的 MYR/TWD 只到兩腿都有的日期）就會顯示 ok:false，即使沒有任何資料錯誤：A 改為在三條腿的最新共同日期上比較，日期不同另外標示「日期不同」（建議，另開單）／B 日期不同時不判紅、只顯示說明／C 維持。資料：DEF-063 在 demo 試跑與套用皆 0 筆，未動資料。環境：demo 帳本未重設；開機時補建 ui_prefs、whatsnew 等表（預期寫入）；觀察：部署後 GET /api/insight-tasks/status 連 3 次 1.1～1.4 秒（驗證者 R4 量到約 5.6 秒；該路由在本輪前每次讀都會拿寫鎖，可能是原因之一，未另做因果驗證）。</t>
        </is>
      </c>
    </row>
    <row r="12" ht="15" customHeight="1" s="43">
      <c r="A12" s="72" t="inlineStr">
        <is>
          <t>2026-09-26</t>
        </is>
      </c>
      <c r="B12" s="73" t="inlineStr">
        <is>
          <t>驗證者 → 開發者</t>
        </is>
      </c>
      <c r="C12" s="72" t="inlineStr">
        <is>
          <t>3be67db</t>
        </is>
      </c>
      <c r="D12" s="72" t="inlineStr">
        <is>
          <t>R5 複驗完成（頁首 v0.1.28 · 3be67db 相符）：DEF-056、062、063、064、065 全數結案（黑箱重放＋驗證者變異 9 組全數被攔）；J 組全綠、零回歸；demo 帳本已還原（六段 JSON 與 R5 起點逐字相同，額度 −$0.0028558）。原 BLOCKED 8 題改在本機專用測試環境完成，4 題 FAIL，新開 DEF-066～073 共 8 張（中 5、低 3）；owner 2026-09-26 裁定 8 項，另開 DEF-074～078 共 5 張（低）。R6 待修合計 13 張。規格、證據與本機重現方式見 docs/audit/2026-09-25-r5-dev-specs.md</t>
        </is>
      </c>
      <c r="E12" s="73" t="inlineStr">
        <is>
          <t>開發者：依規格處理 DEF-066 → 067 → 069 → 070 → 071 → 068 → 073 → 072 → 075 → 074 → 078 → 077 → 076；DEF-069／070／071 同屬影子評估，建議同批修並把規格 §9 的時間推進情境改寫成 e2e；DEF-074／075 延續 DEF-064 的「持有」單一判定，建議同批。DEF-078 請先讀規格 §15 的「驗證者對裁定的解讀」，理解不同就在 H 欄寫出並交回 owner 確認，不要自行擴大或縮小範圍。全部依 §4：根因到行、同類掃描附數字、修復前會失敗的測試＋變異測試、防線盲點（DEF-066 請特別說明「只有出錯才會走到的路徑缺相依」要由哪道防線攔）。附帶建議：DEF-056 的 e2e 以 to_have_text 驗分隔列，列被設為 hidden 時仍通過，請補 to_be_visible。修完部署 demo、回填「交接紀錄」後交回驗證者複驗</t>
        </is>
      </c>
      <c r="F12" s="72" t="inlineStr">
        <is>
          <t>Owner 裁定（2026-09-26，8 項全部裁定）：① B 收件匣掃描改走共用判定、排除已封存 → DEF-074；② B「持有」徽章改用 holds_position，理由：未來賣出還未到期，所以還算持有 → DEF-075；③ a 採用「AI 成績轉差」（維持）；④ a 修正前的排程明細與週報保留原樣（維持）；⑤ 統一為「AI 額度偏低」，接受當日快取一次性未命中 → DEF-076（calibration_regression 通知訂閱開關未裁定，維持現狀）；⑥ A 匯率三角在最新共同日期比較、日期不同另標示 → DEF-077；⑦ API Key 改密碼欄位＋前後 6 個字元顯示明文 → DEF-078；⑧ A 影子上限計「同時處於影子期的任務數」→ DEF-070 規格已定。環境：demo 本輪另產生 alert_scan #195、insight:9 #196～#202、卡 #222～#225（DEF-062 依指示執行，預期行為）；本機專用環境（DB 副本、假 LLM、時鐘推進）已全部停止，未連任何外部服務</t>
        </is>
      </c>
    </row>
    <row r="13" ht="219.75" customHeight="1" s="43">
      <c r="A13" s="72" t="inlineStr">
        <is>
          <t>2026-09-26</t>
        </is>
      </c>
      <c r="B13" s="73" t="inlineStr">
        <is>
          <t>開發者 → 驗證者</t>
        </is>
      </c>
      <c r="C13" s="72" t="inlineStr">
        <is>
          <t>696934e</t>
        </is>
      </c>
      <c r="D13" s="72" t="inlineStr">
        <is>
          <t>R6 修復：DEF-066～078 共 13 張全部修畢；另在修 DEF-070 時發現 2 張（DEF-079 中、DEF-080 低），owner 2026-09-26 在對話中裁定本輪一起修，已登記於缺陷登記第 81、82 列。共 15 張改「待複驗」，部署 demo 696934e（頁首應顯示 v0.1.28 · 696934e）。每張依 §4：根因到檔案:行（缺陷登記 H 欄）、同類掃描附數字（來回記錄 H／I 欄）、修復前會失敗的新測試＋變異測試（J 欄）、防線盲點（G 欄）。DEF-066：LiteLLM 的重試路徑在出錯當下才 import tenacity（未安裝），蓋掉原錯誤、備援也失敗 → 改由 shared/llm.py 自己只重試暫時性錯誤，LiteLLM 一律 num_retries=0，兩者皆失敗時明細以中文列出主模型與備援各自的原因；「只有出錯才會走到的路徑缺相依」由新守門攔：以 mock_response 驅動真實 LiteLLM 的例外分支（舊碼即失敗於 tenacity 訊息）。影子評估（DEF-069／070／071／079／080）：影子卡不進任何使用者清單；上限改計「同時處於影子期的任務數」、晉升只比各版本自己的紀錄；校正版本鏈加「設為生效／取消生效」；校正以生效版為底、只用時間窗內的新失誤且只用一次。排程（DEF-067／073／068）：全部失敗記「失敗」、部分記「部分」；運行明細全中文、評分與校正說明做了什麼；更新報價提示依 API 計數。持有與帳戶（DEF-072／074／075）：補登公司行動帶入對帳不一致的帳戶；收件匣掃描排除封存；登錄類「持有」6 處統一為 holds_position。DEF-076：「AI 額度偏低」，畫面上的「LLM」全改稱「AI」。DEF-077：匯率三角在三條腿的最新共同日期比較。DEF-078：4 個祕密欄位改密碼欄位，遮罩維持前後 3 字元。附帶建議已處理：DEF-056 兩支 e2e 補 to_be_visible（以 CSS 隱藏分隔列與徽章：舊測試 4/4 仍通過、新測試失敗 3 則）。閘門：ruff 全過・mypy 950 檔 0・pytest 6,486 passed／2 skipped・e2e 88 檔 304／304・stress-audit 6,025 pass／0 fail。</t>
        </is>
      </c>
      <c r="E13" s="73" t="inlineStr">
        <is>
          <t>驗證者：先確認頁首＝v0.1.28 · 696934e；重跑 J 組；依「來回記錄」R6 列（第 159～173 列）複驗 15 張（DEF-066～080）。owner 2026-09-26 在對話中的裁定已取代或補充部分規格，見備註欄與各張 E／H 欄。建議複驗方式：①需要排程器、假 LLM 或時鐘推進的 9 張（DEF-066、067、068、069、070、071、073、079、080）請在本機專用測試環境（規格 §9）重放——G-08 流程的預期：09-10 一次產生 9 張影子卡是正確的（1 個任務）、09-11 應再產生 9 張、v2 晉升後的 v3 下一批就有影子卡；產生 v1 之後同一批失誤不會再產 v2，需在 v1 之後再累積 8 筆新評分；評分與校正的排程明細會寫出做了什麼（例「產生 1 版（個股健檢 v1・失誤樣本 8 筆）」）；持倉健診與抽屜 AI 建議不再出現影子卡；④ 校正版本鏈可按「設為生效／取消生效」。②DEF-072：以 _seed_red_footer 同形狀的前置狀態開 2330 抽屜 →「補登公司行動」帳戶預填台灣券商。③DEF-074：封存一檔已清倉標的 → 股利收件匣掃描清單不含它。④DEF-075：0056 加一筆 2026-10-15 賣出 5,000 股 → 觀察清單與預警規則 › 目標配置徽章皆「持有」、移除回 422。⑤DEF-076：demo 各頁與預警清單無「LLM」字樣。⑥DEF-077：demo 目前三條腿日期正好不同（USD/MYR 09-24、MYR/TWD 09-22、USD/TWD 09-25），首頁鮮度面板應顯示「日期不同…以共同日期 2026-09-22 比較」且判一致（J-01 重跑）。⑦DEF-078：設定頁 4 個祕密欄 type=password，遮罩前後 3 字元。請注意三個行為變更：①排程全部失敗記「失敗」（含報價），歷史 K 棒遇休市或下市不算失敗；②「持有」擴及目標配置徽章、訊號 held、報價排程的持倉門檻、Alpha Vantage 宇宙（只因未來日期賣出清倉、放空、只有未來日期買入皆算持有）；③畫面上的「LLM」全改稱「AI」（「LiteLLM」產品名除外）。</t>
        </is>
      </c>
      <c r="F13" s="72" t="inlineStr">
        <is>
          <t>Owner 2026-09-26 在對話中直接裁定（取代或補充規格；本輪無待裁定項）：DEF-078 所有金鑰一律前後 3 字元（取代規格 §15 前後 6 字元的解讀）；DEF-067 報價工作全部失敗改記「失敗」、歷史 K 棒只把供應商錯誤算失敗；DEF-066 明細只寫中文失敗分類與 HTTP 碼（供應商原文只進 AI 失敗記錄）；DEF-070 shadow_batches 計評分筆數、晉升比較各版本自己的紀錄、只有 v1 時以「設為生效」採用；DEF-076 其他「LLM 額度」字樣本輪一併改為「AI」；DEF-079／080 本輪一起修；DEF-080 封存的版本也消耗其依據、影子評估中或勝出待採用時暫停產版；/api/calibrations/{id}/samples 回傳「該版本身卡片的失誤」而非規格 4.7 的「驅動該版產生的失誤」（畫面未使用）——記於此、不開單。採用建議、未另問的：DEF-066 互動入口也依 max_retries 重試；DEF-067 預警推播崩潰、摘要推播未送達全部通道記「部分」；DEF-076 報價過期／無報價與規則名為同義字，維持。資料：部署前備份 portfolio-pre-696934e-20260926T034624Z.db（含 news 備份，完整性 ok；交易 56／股利 23／現金 34／公司行動 0／洞察 210〔影子 0〕／評分 94／校正版本 0／ledger_audit 124／prices 35,201／job_runs 202），部署未寫入帳本。環境：demo 排程器依裁定關閉；修正前已寫入的排程明細仍為英文（裁定 ④ a）。</t>
        </is>
      </c>
    </row>
    <row r="14" ht="219.75" customHeight="1" s="43">
      <c r="A14" s="72" t="inlineStr">
        <is>
          <t>2026-09-26</t>
        </is>
      </c>
      <c r="B14" s="73" t="inlineStr">
        <is>
          <t>驗證者 → 開發者</t>
        </is>
      </c>
      <c r="C14" s="72" t="inlineStr">
        <is>
          <t>696934e</t>
        </is>
      </c>
      <c r="D14" s="72" t="inlineStr">
        <is>
          <t>R6 複驗完成（頁首 v0.1.28 · 696934e 相符）：待複驗 15 張中 14 張結案（DEF-066～076、078～080），DEF-077 部分通過→複驗未過。黑箱重放：demo 驗 DEF-075／076／077／078；本機專用測試環境（同 commit、排程器開啟、假 LLM、G-08 以時鐘推進）驗其餘 11 張。驗證者重做變異 20 組（R6 缺陷 18 組＋J-06 守門 2 組）全數被攔。D-00、E-05、E-11、G-08 轉 PASS，120 題最終判定 PASS 119／N/A 1。J 組全綠、零回歸；demo 已還原（六段 JSON 與全部計數與 R6 起點逐字相同，AI 額度未花費）。結案簽核待 DEF-077 通過後才能簽。規格與證據見 docs/audit/2026-09-26-r6-dev-specs.md</t>
        </is>
      </c>
      <c r="E14" s="73" t="inlineStr">
        <is>
          <t>開發者：只需修 DEF-077（低）：①匯率三角提示在 ok === true 與 ok === null 時改為中性樣式（一般文字色、無琥珀底），只有 ok === false 維持琥珀；②e2e 改用 getComputedStyle 驗 color 與 background-color（一致與無法比較不是琥珀、ok:false 是琥珀），並做變異（拿掉中性樣式 → 測試失敗）；③同類掃描：列出所有「容器 class 已有預設警示色、程式卻以 inline style 判斷顏色」的提示並附數字。依 §4 在來回記錄新增 R7 列、改待複驗、部署 demo 後交回。提醒：輪次彙總目前只到第 9 列（R6），R7 需新增第 10 列，結案簽核「總輪次」公式範圍 B4:B9 需一併延伸（驗證者下輪處理亦可）</t>
        </is>
      </c>
      <c r="F14" s="73" t="inlineStr">
        <is>
          <t>本輪觀察（不開單，詳見規格 §2）：①系統操作紀錄中修正前寫入的舊列仍顯示「LLM 設定變更／LLM 操作」（比照 ④a 保留）；②finmind_chips_daily 未設金鑰時明細為英文例外原文（DEF-030 白名單）；③AI 戰績「各洞察任務命中率」仍顯示「任務 #2」（R5 觀察，未裁定）；④驗證者以隱藏 iframe 連載 18 頁時 /api/alerts 一度 99 秒，為驗證者自身負載。環境：demo 本輪寫入 #118（DEF-075）、#119（J-03）皆已刪除，低額度門檻 1.00→4.00→1.00 已還原；本機專用環境（DB 副本、假 LLM、時鐘推進）已全部停止，未連任何外部服務、未在任何祕密欄位輸入</t>
        </is>
      </c>
    </row>
    <row r="15" ht="219.75" customHeight="1" s="43">
      <c r="A15" s="72" t="inlineStr">
        <is>
          <t>2026-09-27</t>
        </is>
      </c>
      <c r="B15" s="73" t="inlineStr">
        <is>
          <t>開發者 → 驗證者</t>
        </is>
      </c>
      <c r="C15" s="72" t="inlineStr">
        <is>
          <t>a16210a</t>
        </is>
      </c>
      <c r="D15" s="72" t="inlineStr">
        <is>
          <t>R7 修復：複驗未過 1 張（DEF-077，低）＋owner 2026-09-26 在對話中裁定新開 1 張（DEF-081，低，登記於缺陷登記第 83 列），共 2 張改「待複驗」，部署 demo a16210a（頁首應顯示 v0.1.28 · a16210a）。DEF-077：.fresh-note 預設就是琥珀，R6 只在 ok === false 加 inline 琥珀，所以三種狀態都是琥珀；改為狀態用 class——ok === true／null 加 .fresh-note-info（一般文字色、無琥珀底），只有 ok === false 維持琥珀；e2e 改讀 getComputedStyle 的 color 與 background，三態都測，變異 7 組皆被攔。同類掃描（inline 決定狀態色）：inline style 賦值 71 處、其中狀態色 12 處，修 4／白名單 8；另修同形狀的 AI 與額度 狀態徽章（偏低的 inline 琥珀在重繪為「已關閉／額度歸零」後殘留），並依 owner 裁定把資料新鮮度的「推導」標籤改為中性灰；新守門把「狀態色是 class」擴及 web/ 全部檔案。DEF-081：AI 戰績的命中率列與預測明細改顯示任務名稱（滑鼠提示保留 #編號），/api/ai-score 增量加 insight_type_label。閘門：ruff 全過・mypy 953 檔 0・pytest 6,492 passed／2 skipped・e2e 89 檔 309／309・stress-audit 6,025 pass／0 fail。</t>
        </is>
      </c>
      <c r="E15" s="73" t="inlineStr">
        <is>
          <t>驗證者：先確認頁首＝v0.1.28 · a16210a；重跑 J 組；依「來回記錄」R7 列（第 174、175 列）複驗 2 張。①DEF-077：demo 首頁 資料新鮮度 面板——匯率三角提示（目前 ok:true、日期不同、以共同日期 2026-09-22 比較）的計算樣式應為一般文字色與面板底色，不是 rgb(217,161,63)／rgba(217,161,63,0.14)；同區「排程器未啟動」仍是琥珀；MYR/TWD 旁「推導」標籤為中性灰。ok:false 與「無共同日期」請在本機環境製造比對顏色（本機 golden 帳本三腿同日 06-09 即為 ok:false：推得 30.800000 vs 直接 33.000000）。另可在 系統設定 › AI 與額度 先讓剩餘額度低於門檻（徽章「AI：額度偏低」琥珀），再清空四個角色預設存檔，徽章應變「AI：已關閉」灰色、不殘留琥珀（會寫入設定，請在本機做或事後還原）。②DEF-081：洞察中心 › AI 戰績 的「各洞察任務命中率」與「預測明細」第一欄顯示任務名稱（demo：個股健檢、持倉建議與提點、持倉提點），滑鼠停留顯示「任務 #N」。輪次彙總已新增第 10 列（R7，公式範圍已延伸到缺陷登記第 83 列），日期、版本與各判定數請於複驗後填寫。</t>
        </is>
      </c>
      <c r="F15" s="72" t="inlineStr">
        <is>
          <t>Owner 2026-09-26 在對話中直接裁定（本輪無待裁定項）：①規格 §2 觀察 3——AI 戰績改顯示任務名稱（開 DEF-081，本輪修）；②觀察 1——系統操作紀錄修正前的舊列維持 ④ a，保留原字「LLM」（不改）；③同類掃描順帶發現的「推導」標籤琥珀色——改中性灰（併入 DEF-077）。觀察 2（finmind 英文例外原文，DEF-030 白名單）與觀察 4（驗證者自身負載）未處理。資料：部署前備份 portfolio-pre-a16210a-20260926T155643Z.db（含 news 備份，完整性 ok；交易 56／股利 23／現金 34／公司行動 0／洞察 210〔影子 0〕／評分 94／校正版本 0／ledger_audit 127／prices 35,201／job_runs 202），部署未寫入帳本；DEF-081 只讀既有任務名稱，不改資料。</t>
        </is>
      </c>
    </row>
    <row r="16" ht="219.75" customHeight="1" s="43">
      <c r="A16" s="72" t="inlineStr">
        <is>
          <t>2026-09-27</t>
        </is>
      </c>
      <c r="B16" s="73" t="inlineStr">
        <is>
          <t>驗證者 → 開發者、Owner</t>
        </is>
      </c>
      <c r="C16" s="72" t="inlineStr">
        <is>
          <t>a16210a</t>
        </is>
      </c>
      <c r="D16" s="72" t="inlineStr">
        <is>
          <t>R7 複驗完成（頁首 v0.1.28 · a16210a 相符）：DEF-077、DEF-081 皆複驗通過結案（demo＋本機黑箱重放；驗證者自做變異 9 組全數被攔）。J 組全綠、零回歸；demo 已還原（六段 JSON 與全部計數與 R7 起點逐字相同，AI 額度未花費）。結案簽核五項條件全部滿足：120 題 PASS 119／N/A 1、81 張缺陷全部結案或非缺陷——檢驗方已於「結案簽核」簽署（並把統計公式延伸到輪次彙總第 10 列、缺陷登記第 83 列）</t>
        </is>
      </c>
      <c r="E16" s="73" t="inlineStr">
        <is>
          <t>修復方與 Owner：請在「結案簽核」第 25、26 列簽署。簽署後若再改動程式，依簽核頁規定重跑 J 組並在輪次彙總新增一列</t>
        </is>
      </c>
      <c r="F16" s="73" t="inlineStr">
        <is>
          <t>本輪觀察（不開單、不影響結案）：①已封存任務的評分依 spec 4.1 不在 AI 戰績出現，所以 DEF-081 的「名稱（已刪除）」標籤在頁面上走不到（契約測試有覆蓋）；②R6 規格 §2 觀察 2（finmind 未設金鑰時明細為英文例外原文，DEF-030 白名單）維持。環境：demo 本輪只寫入 J-03 #120 並已刪除；本機專用環境（DB 副本、假資料、696934e 對照伺服器）已全部停止，未連任何外部服務、未在任何祕密欄位輸入</t>
        </is>
      </c>
    </row>
    <row r="17" ht="219.75" customHeight="1" s="43">
      <c r="A17" s="72" t="inlineStr">
        <is>
          <t>2026-09-27</t>
        </is>
      </c>
      <c r="B17" s="73" t="inlineStr">
        <is>
          <t>驗證者 → Owner、開發者</t>
        </is>
      </c>
      <c r="C17" s="72" t="inlineStr">
        <is>
          <t>a16210a</t>
        </is>
      </c>
      <c r="D17" s="72" t="inlineStr">
        <is>
          <t>R8 全面重跑（Owner 指示）：在最終版 a16210a 上重跑 R1 之後未再黑箱執行的 73 題——PASS 71／FAIL 1（G-04）／N/A 1（G-10）。新開 DEF-082（低）：AI 洞察卡的代號檢核把括號內已註冊標的英文名當成未知代號（#209「3008 (LARGAN)」標「未知代碼…可能是模型幻覺」），判讀規則自 755c88a 未變，屬既有漏網、非回歸。demo 已還原（帳本與現金池不變，報價匯率依裁定更新，額度 −$0.0015807）。R7 的檢驗方簽核已撤回</t>
        </is>
      </c>
      <c r="E17" s="72" t="inlineStr">
        <is>
          <t>Owner：裁定 DEF-082——A 修（開發者依缺陷登記 K 欄修正、補契約測試＋變異、同類掃描，部署後交回；驗證者複驗 G-04 並重跑 J 組後重新簽署）；B 改判「非缺陷」並接受此誤報（在缺陷登記寫明理由），驗證者即可重新簽署結案。開發者：待 Owner 裁定後依結果處理</t>
        </is>
      </c>
      <c r="F17" s="73" t="inlineStr">
        <is>
          <t>本輪觀察（不開單、不影響判定）：①D-03 以早於最新收盤抓取時間的日期登錄「虛構」分割時，系統依 §5.1(c) 把抓到的收盤視為供應商已調整（真實分割無此問題），故改以晚於抓取時間的日期驗證；②D-02b 美股產生小數股仍跳「券商通常折現」提示、整組刪除訊息以原始 id「moomoo_my」稱呼帳戶（R1 已記，未變）；③B-06 美股小數股成交金額未量化到 cent，USD 池出現 3 位小數（R1 已記，未變）；④F-01 中文名稱的報價查詢約 25～30 秒才回「查無報價」再進 AI 辨識；⑤E-03 推導匯率 MYR/TWD 需兩條 USD 腿同日才更新，本輪停在 09-22 並標過期。環境：demo 本輪寫入皆已刪除或復原，G-01 測試任務 #13 軟刪除、卡 #226 隨之隱藏，evaluate_insights #207 評分 0 張；本機環境（DB 副本、假報價、假 LLM、時鐘推進）已全部停止，未連外部服務、未在祕密欄位輸入</t>
        </is>
      </c>
    </row>
    <row r="18" ht="219.75" customHeight="1" s="43">
      <c r="A18" s="72" t="inlineStr">
        <is>
          <t>2026-09-27</t>
        </is>
      </c>
      <c r="B18" s="73" t="inlineStr">
        <is>
          <t>開發者 → 驗證者</t>
        </is>
      </c>
      <c r="C18" s="72" t="inlineStr">
        <is>
          <t>3a35454</t>
        </is>
      </c>
      <c r="D18" s="72" t="inlineStr">
        <is>
          <t>R9 修復：DEF-082（低，R8 全面重跑 G-04 發現）依 owner 2026-09-27 裁定修正，改「待複驗」，部署 demo 3a35454（頁首應顯示 v0.1.28 · 3a35454）。根因：AI 洞察卡的代號檢核只比對已登錄代號，不比對已登錄標的名稱。修法：已知字詞由登錄表的代號與名稱兩欄推導——名稱不分大小寫，整名＋多字名稱的單字（owner 裁定，例：5225 IHH Healthcare 的「(IHH)」）；全數字與單一字母不算名稱，所以真的未知代號（#82「6883」）照樣被標。同類掃描：demo 208 張卡，代號形狀的括號 746 處／44 種，未知 2（6883 真、LARGAN 誤報）；括號內的已登錄名稱寫法 7 種／9 處，只有全大寫單字具代號形狀；登錄表 26 個名稱中具代號形狀的形式 10 種，修後全數視為名稱；修後重算，未知代碼只剩 #82。測試：單元 3 則＋契約 3 則，變異 6 組全被攔。閘門：ruff 全過・mypy 954 檔 0・pytest 6,498 passed／2 skipped・e2e 89 檔 309／309・stress-audit 6,025 pass／0 fail。</t>
        </is>
      </c>
      <c r="E18" s="73" t="inlineStr">
        <is>
          <t>驗證者：先確認頁首＝v0.1.28 · 3a35454；依「來回記錄」R9 列（第 177 列）複驗 DEF-082、複驗 G-04，再重跑 J 組；通過後在「結案簽核」重新簽檢驗方（第 24 列），接著交開發者簽「修復方」（第 25 列），最後由 Owner 簽署（第 26 列）。DEF-082 驗法：①demo AI 洞察頁：#209「台股部位週報 - 科技股佔比近九成」不再有「未知代碼」標記，GET /api/insights #209 figure_flags.unknown_symbols = []；②#82 仍標「未知代碼：6883」（真陽性不得消失）；③其他名稱形式（不分大小寫、多字名稱的單字）與真的未知代號，請在本機以既有卡片或直接呼叫 figure_check.check_figures 驗證（例：「(TESLA)」「5225 (IHH)」不標；「(X)」「(LRDIM)」「(6883)」照標）。demo 只有 #209 這一張卡是這種寫法，請勿為了驗證產生新卡（會花 AI 額度）。輪次彙總已新增第 12 列（R9，J／K／L 公式；說明文字移到第 13 列），日期、版本與各判定數請於複驗後填寫；結案簽核「總輪次」公式目前範圍 B4:B11，請於簽署時延伸到 B12。</t>
        </is>
      </c>
      <c r="F18" s="72" t="inlineStr">
        <is>
          <t>Owner 2026-09-27 在對話中裁定：①DEF-082 A 修（不改判非缺陷）；②名稱比對範圍＝整名＋多字名稱的單字，不分大小寫（本輪修）。代價：模型若編出與這些單字同拼法的代號（例如「(MICRO)」）就不會被標；數字代號不受影響。資料：部署前備份 portfolio-pre-3a35454-20260927T090250Z.db（含 news 備份，完整性 ok；交易 56／股利 23／現金 34／公司行動 0／洞察 211〔影子 0〕／評分 94／校正版本 0／ledger_audit 169／prices 35,227／job_runs 207），部署未寫入資料；本修只改讀取時的檢核，已存卡片與資料表不變。修復方簽核依 owner 指示的順序，待驗證者重新簽檢驗方後再簽。</t>
        </is>
      </c>
    </row>
    <row r="19" ht="219.75" customHeight="1" s="43">
      <c r="A19" s="72" t="inlineStr">
        <is>
          <t>2026-09-27</t>
        </is>
      </c>
      <c r="B19" s="73" t="inlineStr">
        <is>
          <t>驗證者 → 開發者</t>
        </is>
      </c>
      <c r="C19" s="72" t="inlineStr">
        <is>
          <t>3a35454</t>
        </is>
      </c>
      <c r="D19" s="72" t="inlineStr">
        <is>
          <t>R9 複驗完成（頁首 v0.1.28 · 3a35454 相符）：DEF-082 複驗通過結案、G-04 改判 PASS（demo #209 不再標「未知代碼」、#82 的 6883 仍標；本機驗 owner 裁定的名稱範圍與邊界；驗證者自做變異 10 組，6 組被攔）。J 組全綠、零回歸；demo 已還原（六段 JSON 與全部計數與 R9 起點逐字相同，AI 額度未花費）。結案簽核五項條件全部滿足：120 題 PASS 119／N/A 1、82 張缺陷全部結案或非缺陷——檢驗方已於「結案簽核」第 24 列重新簽署（總輪次公式已延伸到輪次彙總第 12 列）</t>
        </is>
      </c>
      <c r="E19" s="73" t="inlineStr">
        <is>
          <t>開發者：請在「結案簽核」第 25 列（修復方）簽署；之後交 Owner 在第 26 列簽署並填結案日期（第 29 列）。簽署後若再改動程式，依簽核頁規定重跑 J 組並在輪次彙總新增一列</t>
        </is>
      </c>
      <c r="F19" s="73" t="inlineStr">
        <is>
          <t>本輪觀察（不開單、不影響結案）：①驗證者 4 組變異未被測試攔下——已封存標的的名稱、兩字母單字（LG）、字母＋數字單字（ALPHA2）、只比完全相同（(LARGA) 不可放行）；現行行為皆已經真實路由黑箱驗證正確，建議日後補測試釘住；②登錄表沒有的英文別名仍會被標（例「(TSMC)」而 2330 登錄為「台積電」），屬裁定範圍外，demo 目前沒有這種卡；③代號檢核不比對代號與名稱是否相符：#220 寫「聯詠 (3008)」、#39 寫「聯詠（2412）」皆未被標（超出 G-04 範圍，供 owner 參考）。環境：demo 本輪只寫入 J-03 #134 並已刪除；本機專用環境（DB 副本、兩個 commit 的 worktree）已停止，未連任何外部服務、未在任何祕密欄位輸入、未產生新卡</t>
        </is>
      </c>
    </row>
    <row r="20" ht="219.75" customHeight="1" s="43">
      <c r="A20" s="72" t="inlineStr">
        <is>
          <t>2026-09-27</t>
        </is>
      </c>
      <c r="B20" s="73" t="inlineStr">
        <is>
          <t>開發者 → Owner</t>
        </is>
      </c>
      <c r="C20" s="72" t="inlineStr">
        <is>
          <t>3a35454</t>
        </is>
      </c>
      <c r="D20" s="73" t="inlineStr">
        <is>
          <t>修復方已於「結案簽核」第 25 列簽署。簽署前自行由工作簿重算五項條件：120 題最終判定 PASS 119／N/A 1、82 張缺陷結案 80／非缺陷 2（待複驗、複驗未過 0）、輪次彙總累計未結案 R9 為 0、還原檢查 R-1～R-10 全部相符；OBSERVE 已無未裁定。3a35454 之後只有文件提交（驗證者回傳與本次簽署），程式未改動，demo 仍為 3a35454。</t>
        </is>
      </c>
      <c r="E20" s="72" t="inlineStr">
        <is>
          <t>Owner：在「結案簽核」第 26 列簽署，並填第 29 列結案日期。</t>
        </is>
      </c>
      <c r="F20" s="73" t="inlineStr">
        <is>
          <t>驗證者 R9 觀察（交接紀錄第 19 列）的處理，皆不影響結案：①4 組未被測試攔下的邊界變異——現行行為正確；若要補測試，只加測試不改程式，依簽核頁規定重跑 J 組並在輪次彙總新增一列，是否補由 Owner 決定；②登錄表沒有的英文別名照標（例「(TSMC)」而 2330 登錄為「台積電」）——符合 Owner 裁定的範圍；③代號與名稱不相符未被標（#220「聯詠 (3008)」、#39「聯詠（2412）」）——現行檢核只判斷代號是否存在、不判斷代號與名稱是否對得上，屬新功能範圍，未排期，待 Owner 決定。</t>
        </is>
      </c>
    </row>
    <row r="21" ht="219.75" customHeight="1" s="43">
      <c r="A21" s="72" t="inlineStr">
        <is>
          <t>2026-09-28</t>
        </is>
      </c>
      <c r="B21" s="73" t="inlineStr">
        <is>
          <t>驗證者 → Owner</t>
        </is>
      </c>
      <c r="C21" s="72" t="inlineStr">
        <is>
          <t>3a35454</t>
        </is>
      </c>
      <c r="D21" s="73" t="inlineStr">
        <is>
          <t>結案：Owner HFL 於 2026-09-28 在對話中指示簽署，由驗證者代填「結案簽核」第 26 列（Owner）與第 29 列結案日期，並更新第 30 列結論。代填前核對整份工作簿：120 題 PASS 119／N/A 1、82 張缺陷結案 80／非缺陷 2、來回記錄 177 列無待填、輪次彙總 R9 累計未結案 0、還原檢查 R-1～R-10 全部相符、37 個公式重算 0 錯誤；修復方簽署只改了第 25 列與交接紀錄第 20 列；3a35454 之後只有文件提交、main 未動；demo 頁首仍為 3a35454，資料與 R9 起點相同（僅跨日造成的 XIRR 天數與 30 日走勢窗格移動）</t>
        </is>
      </c>
      <c r="E21" s="73" t="inlineStr">
        <is>
          <t>無待辦。三方簽署完成，本輪功能測試結案</t>
        </is>
      </c>
      <c r="F21" s="73" t="inlineStr">
        <is>
          <t>未排期、由 Owner 日後決定（不影響結案）：①補測試釘住 R9 的 4 組邊界（已封存標的名稱、兩字母單字、字母＋數字單字、只比完全相同）——只加測試時仍需重跑 J 組並在輪次彙總新增一列；②代號與名稱是否相符的檢核（#220「聯詠 (3008)」、#39「聯詠（2412）」）屬新功能。另：交接紀錄 B 欄選單補上「開發者 → Owner」與兩種多方傳遞寫法，使第 16、17、20 列的既有值成為有效選項</t>
        </is>
      </c>
    </row>
    <row r="22" ht="219.75" customHeight="1" s="43">
      <c r="A22" s="72" t="inlineStr">
        <is>
          <t>2026-09-28</t>
        </is>
      </c>
      <c r="B22" s="73" t="inlineStr">
        <is>
          <t>驗證者 → Owner、開發者</t>
        </is>
      </c>
      <c r="C22" s="72" t="inlineStr">
        <is>
          <t>3a35454</t>
        </is>
      </c>
      <c r="D22" s="72" t="inlineStr">
        <is>
          <t>R10 全面重跑（Owner 2026-09-28 指示）：3a35454 上 120 題全部重跑（demo 真實瀏覽器 112 題、本機專用測試環境 12 題）——PASS 116／FAIL 2（F-08、G-09）／OBSERVE 1（H-05）／N/A 1（G-10）。新開 DEF-083（中）：備援模型 haiku-4.5 的結構化呼叫一律被供應商 400 拒絕（送出的 schema 含 Decimal 的負向前瞻正規式），主模型失敗時洞察卡救不回；DEF-084（低）：unparsed_rows 失敗記錄不記模型；DEF-085（低，規格未定）：乾跑預檢 R6 額度不足沒有修正指引。三項皆為既有行為、非回歸；J 組全綠。demo 已還原（帳本與現金池不變，報價匯率依裁定更新，額度 −$0.0318601）。因結案條件 1～3 不再成立，檢驗方簽核撤回；Owner 要求的整份 one shot 重跑以「全數通過」為前提，本輪未進行</t>
        </is>
      </c>
      <c r="E22" s="72" t="inlineStr">
        <is>
          <t>Owner：裁定 DEF-085——A 修（R6 補可執行的指引）或 B 維持現狀（H-05 改判 PASS、本張改判非缺陷）；DEF-084 若認為不需修也請裁定。開發者：修 DEF-083（類別修法：送出前清洗 schema 或 Decimal 改不帶 pattern 的字串型別，涵蓋 AI 輸入／新聞整理／大師評分等同類結構化呼叫，附同類掃描與變異）與 DEF-084（依裁定），部署後交回。驗證者：複驗後以整份 one shot 重跑 120 題作為下一輪（R11），全數通過才重新簽署</t>
        </is>
      </c>
      <c r="F22" s="73" t="inlineStr">
        <is>
          <t>本輪觀察（不開單、不影響判定）：①驗證者 G-01 首跑誤以清單格式寫標的宇宙，伺服器依規則改跟隨持倉產出 13 張卡、多花 $0.0174（已計入 R-10；API 接受清單但靜默視為跟隨持倉，精靈不會產生這種格式）；②D-03／D-04 在行動日當天已抓過收盤時，依 §5.1(c) 視為供應商已調整（R8 觀察 ① 同一規則）；③evaluate_insights #212 以大師模型評分 10 張花費 $0.0021532，但該 job_runs 列 cost_usd 為空；④gemini 截斷 JSON 的重試在 llm-usage 記 0 tokens／$0（供應商未回報用量）；⑤F-05 畫面「— invalid date」「— invalid symbol」為模型原文（來源資料）。環境：demo 本輪寫入皆已刪除或復原，測試任務已刪除；本機環境（DB 副本、假報價、假 LLM、時鐘推進）已全部停止，未連外部服務、未在祕密欄位輸入。檢查程式首跑誤判的逐題原因見輪次彙總第 13 列 N 欄</t>
        </is>
      </c>
    </row>
    <row r="23" ht="219.75" customHeight="1" s="43">
      <c r="A23" s="72" t="inlineStr">
        <is>
          <t>2026-09-29</t>
        </is>
      </c>
      <c r="B23" s="73" t="inlineStr">
        <is>
          <t>驗證者 → 開發者</t>
        </is>
      </c>
      <c r="C23" s="72" t="inlineStr">
        <is>
          <t>3a35454</t>
        </is>
      </c>
      <c r="D23" s="72" t="inlineStr">
        <is>
          <t>R10 交開發者修復：Owner 2026-09-29 在對話中裁定 DEF-083（中）、DEF-084（低）、DEF-085（低，採 A）三張皆由開發者修（缺陷登記第 85～87 列皆為「新開」；H-05 由 OBSERVE 改列 FAIL）。驗證者 2026-09-29 補一條可固定重現 DEF-083 的黑箱路徑：AI 輸入指定 haiku-4.5 → 失敗記錄 #520（Azure 拒 pattern、Bedrock 拒 oneOf）→ 改由 gemini 產出（花費 0.0005165，未寫入帳本）。demo 仍為 3a35454；R10 各項還原狀態見還原檢查（本次重現只多一筆失敗記錄與一筆 llm-usage）</t>
        </is>
      </c>
      <c r="E23" s="73" t="inlineStr">
        <is>
          <t>開發者：依 md §4 修 DEF-083、DEF-084、DEF-085——根因寫到檔案:行（缺陷登記 H 欄；驗證者的讀碼定位在 K 欄，請自行重新確認）、同類掃描附數字、變異測試（放回舊寫法會失敗）、閘門全綠後部署 demo，頁首版本更新；缺陷登記改「待複驗」，來回記錄新增 R11 列（第 181 列起，A～D 由開發者建立並填 E～L），交接紀錄寫一列交回。DEF-083 要修類別：所有送出 json_schema 的結構化呼叫（洞察卡、AI 輸入、新聞整理、大師評分、代號辨識…）在 openrouter／anthropic 路由都不得含供應商不支援的關鍵字（pattern／lookaround、oneOf 等），不只 InsightCard。驗證者：收到後以整份 120 題 one shot 重跑作為 R11（含 3 張缺陷的原始重現步驟與 J 組），全數通過才重新簽署</t>
        </is>
      </c>
      <c r="F23" s="72" t="inlineStr">
        <is>
          <t>Owner 2026-09-29 在對話中裁定：①DEF-083、DEF-084、DEF-085 皆交開發者修（DEF-085 採 A：R6 要給可執行的修正指引，形式由開發者設計）；②R11 one shot 重跑時，驗證操作寫入 demo 的資料可以不還原、留在 demo 站點——驗證者仍會保留案例間必要的清理（例如復原類案例本身就是測項、後續案例依賴的收件匣與持倉），重跑結束時在還原檢查逐項列出留在 demo 的資料並註明依此裁定，結案條件 5 依此裁定判讀。驗證者預計的 DEF-083 黑箱複驗：AI 輸入指定 haiku-4.5 應由 haiku 本身產出且無新的 400；G-09 重放；本機擷取實際送出的 response_format 逐一檢查所有結構化 schema</t>
        </is>
      </c>
    </row>
    <row r="24" ht="240" customHeight="1" s="43">
      <c r="A24" s="72" t="inlineStr">
        <is>
          <t>2026-09-29</t>
        </is>
      </c>
      <c r="B24" s="73" t="inlineStr">
        <is>
          <t>開發者 → 驗證者</t>
        </is>
      </c>
      <c r="C24" s="72" t="inlineStr">
        <is>
          <t>91ec1b0</t>
        </is>
      </c>
      <c r="D24" s="72" t="inlineStr">
        <is>
          <t>R11 修復：DEF-083（中）、DEF-084（低）、DEF-085（低，Owner 裁定 A）三張改「待複驗」，部署 demo 91ec1b0（頁首應顯示 v0.1.28 · 91ec1b0）。DEF-083：結構化呼叫送出的 schema 改為各供應商都能編譯的可攜子集（去 pattern 與數值限制、oneOf→anyOf、object 補 additionalProperties: false、內嵌 $ref），一個出口涵蓋 7 個呼叫點／7 個 schema，修前 151 處超出子集、修後 0；備援發生時 AI 輸入會說明哪個模型失敗、原因與改由誰產出。demo 真實供應商：指定 haiku-4.5 重放 #520 由 haiku 自己產出、無新 400，其餘 6 個 schema 也都由 haiku 回答。DEF-084：坦承無法歸類的記錄帶模型與 usage_id（demo #521 已帶）。DEF-085：R6 加「前往額度設定」，同類的 R1、G7 也補上按鈕；額度金額統一 2 位小數。變異 14 組全攔。閘門：ruff 全過・mypy 961 檔 0・pytest 6,553 passed／2 skipped・e2e 91 檔 311／311。</t>
        </is>
      </c>
      <c r="E24" s="73" t="inlineStr">
        <is>
          <t>驗證者：先確認頁首＝v0.1.28 · 91ec1b0；依「來回記錄」第 181～183 列複驗三張，再以整份 120 題 one shot 重跑作為 R11（含三張的原始重現步驟與 J 組）。DEF-083 驗法：①AI 輸入指定 haiku-4.5 貼 #520 原文 → 模型欄為 anthropic/claude-haiku-4.5、沒有琥珀提示條、失敗記錄沒有新增 400；②重放 G-09；③本機擷取實際送出的 response_format，7 個 schema 逐一檢查：不含 pattern／oneOf／not／數值或長度限制／maxItems／$ref，每個 object 都有 additionalProperties: false（可直接用 shared.llm_schema.schema_violations，應為空）。注意：提示詞文字仍刻意附完整 schema（含「(?!」的 pattern），那是給模型讀的文字，不是 response_format；④提示條要在指定模型真的失敗時才出現，demo 的模型目前都能回答——請在本機以假端點讓指定模型回 400 觀察（原句見第 181 列 H 欄）。DEF-084：F-08 下載 .jsonl，新的 unparsed_rows 記錄應有 model 與 usage_id（demo #521）。DEF-085：本機讓剩餘額度為負，乾跑預檢與「為什麼沒跑？」的 R6 列應有「前往額度設定」，點下去到設定 › AI 與額度；金額與管線節點同為 2 位小數。輪次彙總已新增第 14 列（R11，J／K／L 公式；說明文字移到第 15 列），日期、版本與各判定數請於重跑後填寫；結案簽核「總輪次」公式目前範圍 B4:B13，請於簽署時延伸到 B14。</t>
        </is>
      </c>
      <c r="F24" s="72" t="inlineStr">
        <is>
          <t>Owner 2026-09-29 裁定（交接紀錄第 23 列）：三張皆本輪修，DEF-085 採 A；R11 驗證寫入 demo 的資料可以留在 demo。資料：部署前備份 portfolio-pre-91ec1b0-20260929T145438Z.db（含 news 備份，完整性 ok；交易 56／股利 23／現金 34／公司行動 0／洞察 234〔影子 0〕／評分 104／校正版本 0／ledger_audit 282／prices 35,229／job_runs 227），部署未寫入資料。開發者在 demo 的驗證只呼叫 AI、不寫帳本：llm_usage 新增 9 筆（AI 輸入 3 筆、r11_schema_probe 6 筆 #1077～#1082），失敗記錄新增 #521（DEF-084 的驗證），AI 額度合計花費 $0.0154218（demo 剩餘 $3.2083669）。DEF-085 的「分類」欄仍為「規格未定」（驗證者欄位，未改）；DEF-084 的 demo 舊記錄 6 筆維持原狀（資料殘留）。</t>
        </is>
      </c>
    </row>
    <row r="25" ht="240" customHeight="1" s="43">
      <c r="A25" s="72" t="inlineStr">
        <is>
          <t>2026-09-30</t>
        </is>
      </c>
      <c r="B25" s="73" t="inlineStr">
        <is>
          <t>驗證者 → 開發者、Owner</t>
        </is>
      </c>
      <c r="C25" s="72" t="inlineStr">
        <is>
          <t>91ec1b0</t>
        </is>
      </c>
      <c r="D25" s="72" t="inlineStr">
        <is>
          <t>R11 完成：①DEF-083（中）、DEF-084（低）、DEF-085（低）三張複驗通過結案（缺陷登記第 85～87 列 I＝結案、J＝R11；來回記錄第 181～183 列右半）。DEF-083 在 demo 真實供應商上 haiku-4.5 自己產出 AI 輸入（#520 原文）與洞察卡，one shot G-09 有一張卡在 gemini 兩次截斷後由備援 haiku 救回；本機驗證者自寫的嚴格假端點 7 個 schema 修前全拒、修後全過；自做變異 9 組全攔。DEF-085 分類由「規格未定」改「程式缺陷」（Owner 已裁定修）。②整份 120 題 one shot 重跑（demo 112 題＋本機 12 題，一次跑完、未重跑任何題）：PASS 119／N/A 1（G-10）；G-09 檢查程式只等 120 秒、工作 125.5 秒以 ok 結束，依終值判 PASS（檢查程式已改等 300 秒）。J 組全過、零回歸。③還原檢查依 Owner 裁定相符，留在 demo 的資料列於 R-9。AI 額度：one shot $0.0379424、驗證者複驗 $0.037309，demo 剩餘 $3.1331155。④結案簽核：條件 1～5 全為「是」，總輪次公式延伸到 B14，檢驗方第 24 列重新簽署，最終受測版本改為 v0.1.28 · 91ec1b0</t>
        </is>
      </c>
      <c r="E25" s="73" t="inlineStr">
        <is>
          <t>開發者：依 91ec1b0 重新簽署結案簽核第 25 列（現為 R9 時依 3a35454 的簽署），並把本 xlsx 提交到 git。Owner：重新簽署第 26 列、填第 29 列結案日期即結案。可選（不影響結案）：DEF-084 修復前的 6 筆失敗記錄（#499、#500、#501、#511、#512、#518，model 空）屬資料殘留，要不要清除由 Owner 決定</t>
        </is>
      </c>
      <c r="F25" s="73" t="inlineStr">
        <is>
          <t>本輪觀察（不開單、不影響判定）：①strategy/alerts.py:154-156 `_usd`（「AI 額度偏低」預警明細）仍自行 quantize，未走 DEF-085 的 usd_display——同類顯示一致性，建議日後統一；②gemini-2.5-flash-lite 截斷 JSON 在 one shot 出現 6 次，全部由重試或備援救回、未掉卡；截斷重試在 llm-usage 記 0 tokens／$0（R10 觀察④）；evaluate_insights 的 job_runs cost_usd 仍為空（R10 觀察③）；③AI 輸入的模型選單是瀏覽器偏好，驗證者複驗選的 haiku-4.5 延續到 F-04／F-05（皆通過），測後已改回「自動」；④alert_scan 要等 on_alert 卡派發完才結束（本輪 8 張 125.5 秒）。環境：demo 留存資料依 Owner 裁定見還原檢查 R-9；本機環境（DB 副本、假報價、假 LLM、時鐘推進）已全部停止，未連外部服務、未在祕密欄位輸入</t>
        </is>
      </c>
    </row>
    <row r="26" ht="240" customHeight="1" s="43">
      <c r="A26" s="72" t="inlineStr">
        <is>
          <t>2026-09-30</t>
        </is>
      </c>
      <c r="B26" s="73" t="inlineStr">
        <is>
          <t>開發者 → Owner</t>
        </is>
      </c>
      <c r="C26" s="72" t="inlineStr">
        <is>
          <t>91ec1b0</t>
        </is>
      </c>
      <c r="D26" s="72" t="inlineStr">
        <is>
          <t>修復方已依 91ec1b0 重新簽署「結案簽核」第 25 列（取代 R9 時依 3a35454 的簽署）。簽署前自行由工作簿重算五項條件：120 題最終判定 PASS 119／N/A 1、85 張缺陷結案 83／非缺陷 2（修復中、待複驗、複驗未過皆 0）、輪次彙總累計未結案 R11 為 0、R11 的 J 組全過且零回歸、還原檢查 R-1～R-10 全部相符；OBSERVE 已無未裁定。91ec1b0 之後只有文件提交（CHANGELOG、LESSONS_LEARNED、本工作簿），程式未改動，demo 仍為 91ec1b0（/api/health 回 commit 91ec1b0）。本工作簿連同驗證者 R11 回傳已提交 git。</t>
        </is>
      </c>
      <c r="E26" s="73" t="inlineStr">
        <is>
          <t>Owner：在「結案簽核」第 26 列依 91ec1b0 重新簽署，並填第 29 列結案日期即結案。</t>
        </is>
      </c>
      <c r="F26" s="73" t="inlineStr">
        <is>
          <t>驗證者 R11 觀察的處理，皆不影響結案：①strategy/alerts.py:154-156 `_usd`（「AI 額度偏低」預警明細）改用 shared/money.usd_display——Owner 2026-09-30 在對話中裁定結案後再改（現在改會觸發本頁規定的 J 組重跑與新一輪）。兩者只在邊界不同：`_usd` 用預設捨入（五成雙）、無千分位、可能印出「$-0.00」；usd_display 為四捨五入、有千分位、負零印「$0.00」；②DEF-084 修復前的 6 筆失敗記錄（#499、#500、#501、#511、#512、#518）是否清除由 Owner 決定，開發者未動；③截斷重試在 llm-usage 記 0 tokens／$0、evaluate_insights 的 job_runs cost_usd 為空（R10 觀察③④）未排期，是否開新工作由 Owner 決定。</t>
        </is>
      </c>
    </row>
    <row r="27" ht="260" customHeight="1" s="43">
      <c r="A27" s="72" t="inlineStr">
        <is>
          <t>2026-09-30</t>
        </is>
      </c>
      <c r="B27" s="73" t="inlineStr">
        <is>
          <t>開發者 → 驗證者</t>
        </is>
      </c>
      <c r="C27" s="72" t="inlineStr">
        <is>
          <t>d2e5e08</t>
        </is>
      </c>
      <c r="D27" s="72" t="inlineStr">
        <is>
          <t>R12（結案簽署後，依 Owner 2026-09-30 在對話中的裁定改程式）：驗證者 R10 觀察③④與 R11 附註，共三項，皆為類別修法；部署 demo d2e5e08（頁首應顯示 v0.1.28 · d2e5e08）。依 md §10「簽署後若再改動程式，需重跑 J 組回歸快篩並在輪次彙總新增一列」，本輪為 R12（輪次彙總第 15 列）。①沒附用量的回覆記為「估算」（觀察④）：gemini 經 OpenRouter 中途斷掉的回覆沒附用量，LiteLLM 補 0，就記成 0 token／$0（修前 demo 1,113 列中 20 列）。現在兩個數字都是 0 視為「未回報」，以 LiteLLM 內建分詞在本機估算並標記；設定 › AI 與額度 › Request 明細顯示「估算」，LLM 用量匯出多一欄 usage_estimated。②每次執行記下自己的花費（觀察③）：排程工作收尾時原本不寫花費、洞察任務只加總產出卡片的費用；現在每個執行出口累計自己寫入的用量列，收尾寫入花費、呼叫數與 token，執行歷史、狀態彈窗、洞察任務運行記錄與工作紀錄匯出都讀同一列。demo 實測：手動新聞整理 #244 記 $0.0016277、5 次、11,861／1,104 tokens，與用量帳本 #1114～1118 合計逐位相同。③美元金額只有一個格式：預警「AI 額度偏低」的明細改用 usd_display（原本五成雙、無千分位、會印「$-0.00」）。另依裁定刪除 demo 上 DEF-084 修復前的 6 筆失敗記錄（#499、#500、#501、#511、#512、#518）。變異 20 組全攔。閘門：ruff 全過・mypy --strict 965 檔 0（全新快取）・pytest 6,585（6,583 passed／2 skipped）・e2e 92 檔 312／312，伺服器端 5xx 0・verify_live ALL PASS。</t>
        </is>
      </c>
      <c r="E27" s="73" t="inlineStr">
        <is>
          <t>驗證者：先確認頁首＝v0.1.28 · d2e5e08。依 md §10 重跑 J 組回歸快篩，並填輪次彙總第 15 列（R12；J／K／L 公式已放好，本輪沒有缺陷編號，新增與結案都會是 0）。受這次改動影響、建議回到待複驗重跑的案例：H-02（額度與花費對帳——額度扣減＝llm-usage 匯出的 cost 加總；匯出多了 usage_estimated 欄）、I-01（LLM 用量與工作紀錄兩個匯出的欄位）、G-07（evaluate_insights 的執行歷史費用欄應有金額）、G-09（on_alert 卡所在洞察執行的費用含重試與備援）、F-08（失敗記錄已刪 6 筆）。黑箱驗法：①排程中心 › 執行歷史：新的 news_daily／evaluate_insights／digest 執行列費用欄有金額，和該列狀態彈窗的「Token／費用」同一個數字，也等於 設定 › AI 與額度 › Request 明細 同時段該用途的合計（#244 可直接對）；修前的舊執行列維持「—」。②「估算」只有在 gemini 真的回傳截斷且沒附用量的回覆時才會出現，demo 無法強制；本機可用假端點回傳沒有 usage 的回覆觀察：該列 token 與金額大於 0、Request 明細標「估算」、匯出 usage_estimated＝1。③預警「AI 額度偏低」明細的金額和乾跑預檢 R6、管線節點同一格式（例：餘額 −0.001 顯示 $0.00、門檻 1234.5 顯示 $1,234.50）。是否開單：三項都是 Owner 在對話中裁定，缺陷登記未開單；若驗證者要開單追蹤，根因與掃描數字見本列備註。結案簽核：簽署後程式有改，三方需依 R12 的受測版本重新簽署，「總輪次」公式需延伸到 B15。</t>
        </is>
      </c>
      <c r="F27" s="72" t="inlineStr">
        <is>
          <t>根因（91ec1b0）與同類掃描，供驗證者核對：④ 用量寫入點（呼叫 log_usage）3 處——shared/llm.py:516（結構化）、:730-731（純文字）、api/routers/llm_settings.py:467-468（測試連線；usage 為 None 時整筆不記）直接讀供應商的 prompt_tokens／completion_tokens。AST 掃描：套件內直接讀這兩個欄位修前 12 處、修後 0；3 處全改走 metered_usage。以 llm_usage 為準的讀取面（額度、各用途／各模型合計、Request 明細、LLM 用量匯出）現在都含估算；逐次呼叫的歸屬顯示 4 個（洞察卡、新聞、AI 輸入成本、提示詞試跑）沿用同一組數字（不再是 0）但不另標「估算」——demo 上 245 張卡、65 則新聞沒有一筆來自未回報用量的回覆，標記放在帳本列。修前 20 列 0 用量屬歷史，未改寫。③ scheduler/jobs.py:1876、:1915 與 api/routers/news.py:143 收尾只寫狀態；花費只在 api/routers/scheduler.py:364-470 以代理名稱＋時間窗事後推算，給狀態彈窗用，執行歷史同一列印「—」；llm_insight/generate.py:483-485 只加總產出卡片。AST 掃描：關閉執行列的出口 7 處，4 處帶花費、3 處白名單（未知工作、未註冊洞察執行器、洞察執行器拋例外——程式錯誤，花費仍在用量帳本與額度內）；寫入完成列的 SQL 6 條，5 條寫 cost_usd、1 條為無花費分支。顯示執行花費的面 5 個：狀態彈窗、執行歷史、洞察任務運行記錄、管線「本批成本」、工作紀錄匯出；執行歷史與運行記錄原本把資料庫文字原樣輸出（可能是 9E-8），改為標準小數。巢狀執行只記最內層：alert_scan 派發的洞察各記各的，不重複。美元：f-string 中「$」緊接數值 5 處——alerts `_usd` 已改；auth_store 雜湊格式 2、wire.py 台幣手續費下限 NT$ 1、usd_display 本身 1。R11 的同類檢查是逐一列出三個畫面，所以漏了這一處；現在掃描全部 f-string。變異 20 組全攔（④ 9、③ 9、美元 2），還原後基線 0 失敗。demo：本輪備份 portfolio-pre-faillog-cleanup-20260930T005954Z.db、portfolio-pre-48949af-20260930T024734Z.db、portfolio-pre-d2e5e08-20260930T031028Z.db；失敗記錄 32→26 列；開發者驗證新增新聞整理 5 則、llm_usage #1114～1118、job_runs #244，花費 $0.0016277（額度 $3.1331155→$3.1314878）；帳本 56／23／34 列未動。</t>
        </is>
      </c>
    </row>
    <row r="28" ht="15" customHeight="1" s="43">
      <c r="A28" s="72" t="n"/>
      <c r="B28" s="73" t="n"/>
      <c r="C28" s="72" t="n"/>
      <c r="D28" s="72" t="n"/>
      <c r="E28" s="72" t="n"/>
      <c r="F28" s="72" t="n"/>
    </row>
    <row r="29" ht="15" customHeight="1" s="43">
      <c r="A29" s="72" t="n"/>
      <c r="B29" s="73" t="n"/>
      <c r="C29" s="72" t="n"/>
      <c r="D29" s="72" t="n"/>
      <c r="E29" s="72" t="n"/>
      <c r="F29" s="72" t="n"/>
    </row>
    <row r="30" ht="15" customHeight="1" s="43">
      <c r="A30" s="72" t="n"/>
      <c r="B30" s="73" t="n"/>
      <c r="C30" s="72" t="n"/>
      <c r="D30" s="72" t="n"/>
      <c r="E30" s="72" t="n"/>
      <c r="F30" s="72" t="n"/>
    </row>
    <row r="31" ht="15" customHeight="1" s="43">
      <c r="A31" s="72" t="n"/>
      <c r="B31" s="73" t="n"/>
      <c r="C31" s="72" t="n"/>
      <c r="D31" s="72" t="n"/>
      <c r="E31" s="72" t="n"/>
      <c r="F31" s="72" t="n"/>
    </row>
    <row r="32" ht="15" customHeight="1" s="43">
      <c r="A32" s="72" t="n"/>
      <c r="B32" s="73" t="n"/>
      <c r="C32" s="72" t="n"/>
      <c r="D32" s="72" t="n"/>
      <c r="E32" s="72" t="n"/>
      <c r="F32" s="72" t="n"/>
    </row>
    <row r="33" ht="15" customHeight="1" s="43">
      <c r="A33" s="72" t="n"/>
      <c r="B33" s="73" t="n"/>
      <c r="C33" s="72" t="n"/>
      <c r="D33" s="72" t="n"/>
      <c r="E33" s="72" t="n"/>
      <c r="F33" s="72" t="n"/>
    </row>
    <row r="34" ht="15" customHeight="1" s="43">
      <c r="A34" s="72" t="n"/>
      <c r="B34" s="73" t="n"/>
      <c r="C34" s="72" t="n"/>
      <c r="D34" s="72" t="n"/>
      <c r="E34" s="72" t="n"/>
      <c r="F34" s="72" t="n"/>
    </row>
    <row r="35" ht="15" customHeight="1" s="43">
      <c r="A35" s="72" t="n"/>
      <c r="B35" s="73" t="n"/>
      <c r="C35" s="72" t="n"/>
      <c r="D35" s="72" t="n"/>
      <c r="E35" s="72" t="n"/>
      <c r="F35" s="72" t="n"/>
    </row>
    <row r="36" ht="15" customHeight="1" s="43">
      <c r="A36" s="72" t="n"/>
      <c r="B36" s="73" t="n"/>
      <c r="C36" s="72" t="n"/>
      <c r="D36" s="72" t="n"/>
      <c r="E36" s="72" t="n"/>
      <c r="F36" s="72" t="n"/>
    </row>
    <row r="37" ht="15" customHeight="1" s="43">
      <c r="A37" s="72" t="n"/>
      <c r="B37" s="73" t="n"/>
      <c r="C37" s="72" t="n"/>
      <c r="D37" s="72" t="n"/>
      <c r="E37" s="72" t="n"/>
      <c r="F37" s="72" t="n"/>
    </row>
    <row r="38" ht="15" customHeight="1" s="43">
      <c r="A38" s="72" t="n"/>
      <c r="B38" s="73" t="n"/>
      <c r="C38" s="72" t="n"/>
      <c r="D38" s="72" t="n"/>
      <c r="E38" s="72" t="n"/>
      <c r="F38" s="72" t="n"/>
    </row>
    <row r="39" ht="15" customHeight="1" s="43">
      <c r="A39" s="72" t="n"/>
      <c r="B39" s="73" t="n"/>
      <c r="C39" s="72" t="n"/>
      <c r="D39" s="72" t="n"/>
      <c r="E39" s="72" t="n"/>
      <c r="F39" s="72" t="n"/>
    </row>
    <row r="40" ht="15" customHeight="1" s="43">
      <c r="A40" s="72" t="n"/>
      <c r="B40" s="73" t="n"/>
      <c r="C40" s="72" t="n"/>
      <c r="D40" s="72" t="n"/>
      <c r="E40" s="72" t="n"/>
      <c r="F40" s="72" t="n"/>
    </row>
    <row r="41" ht="15" customHeight="1" s="43">
      <c r="A41" s="72" t="n"/>
      <c r="B41" s="73" t="n"/>
      <c r="C41" s="72" t="n"/>
      <c r="D41" s="72" t="n"/>
      <c r="E41" s="72" t="n"/>
      <c r="F41" s="72" t="n"/>
    </row>
    <row r="42" ht="15" customHeight="1" s="43">
      <c r="A42" s="72" t="n"/>
      <c r="B42" s="73" t="n"/>
      <c r="C42" s="72" t="n"/>
      <c r="D42" s="72" t="n"/>
      <c r="E42" s="72" t="n"/>
      <c r="F42" s="72" t="n"/>
    </row>
    <row r="43" ht="15" customHeight="1" s="43">
      <c r="A43" s="72" t="n"/>
      <c r="B43" s="73" t="n"/>
      <c r="C43" s="72" t="n"/>
      <c r="D43" s="72" t="n"/>
      <c r="E43" s="72" t="n"/>
      <c r="F43" s="72" t="n"/>
    </row>
    <row r="44" ht="15" customHeight="1" s="43">
      <c r="A44" s="72" t="n"/>
      <c r="B44" s="73" t="n"/>
      <c r="C44" s="72" t="n"/>
      <c r="D44" s="72" t="n"/>
      <c r="E44" s="72" t="n"/>
      <c r="F44" s="72" t="n"/>
    </row>
    <row r="45" ht="15" customHeight="1" s="43">
      <c r="A45" s="72" t="n"/>
      <c r="B45" s="73" t="n"/>
      <c r="C45" s="72" t="n"/>
      <c r="D45" s="72" t="n"/>
      <c r="E45" s="72" t="n"/>
      <c r="F45" s="72" t="n"/>
    </row>
    <row r="46" ht="15" customHeight="1" s="43">
      <c r="A46" s="72" t="n"/>
      <c r="B46" s="73" t="n"/>
      <c r="C46" s="72" t="n"/>
      <c r="D46" s="72" t="n"/>
      <c r="E46" s="72" t="n"/>
      <c r="F46" s="72" t="n"/>
    </row>
    <row r="47" ht="15" customHeight="1" s="43">
      <c r="A47" s="72" t="n"/>
      <c r="B47" s="73" t="n"/>
      <c r="C47" s="72" t="n"/>
      <c r="D47" s="72" t="n"/>
      <c r="E47" s="72" t="n"/>
      <c r="F47" s="72" t="n"/>
    </row>
    <row r="48" ht="15" customHeight="1" s="43">
      <c r="A48" s="72" t="n"/>
      <c r="B48" s="73" t="n"/>
      <c r="C48" s="72" t="n"/>
      <c r="D48" s="72" t="n"/>
      <c r="E48" s="72" t="n"/>
      <c r="F48" s="72" t="n"/>
    </row>
    <row r="49" ht="15" customHeight="1" s="43">
      <c r="A49" s="72" t="n"/>
      <c r="B49" s="73" t="n"/>
      <c r="C49" s="72" t="n"/>
      <c r="D49" s="72" t="n"/>
      <c r="E49" s="72" t="n"/>
      <c r="F49" s="72" t="n"/>
    </row>
    <row r="50" ht="15" customHeight="1" s="43">
      <c r="A50" s="72" t="n"/>
      <c r="B50" s="73" t="n"/>
      <c r="C50" s="72" t="n"/>
      <c r="D50" s="72" t="n"/>
      <c r="E50" s="72" t="n"/>
      <c r="F50" s="72" t="n"/>
    </row>
    <row r="51" ht="15" customHeight="1" s="43">
      <c r="A51" s="72" t="n"/>
      <c r="B51" s="73" t="n"/>
      <c r="C51" s="72" t="n"/>
      <c r="D51" s="72" t="n"/>
      <c r="E51" s="72" t="n"/>
      <c r="F51" s="72" t="n"/>
    </row>
    <row r="52" ht="15" customHeight="1" s="43">
      <c r="A52" s="72" t="n"/>
      <c r="B52" s="73" t="n"/>
      <c r="C52" s="72" t="n"/>
      <c r="D52" s="72" t="n"/>
      <c r="E52" s="72" t="n"/>
      <c r="F52" s="72" t="n"/>
    </row>
    <row r="53" ht="15" customHeight="1" s="43">
      <c r="A53" s="72" t="n"/>
      <c r="B53" s="73" t="n"/>
      <c r="C53" s="72" t="n"/>
      <c r="D53" s="72" t="n"/>
      <c r="E53" s="72" t="n"/>
      <c r="F53" s="72" t="n"/>
    </row>
    <row r="54" ht="15" customHeight="1" s="43">
      <c r="A54" s="72" t="n"/>
      <c r="B54" s="73" t="n"/>
      <c r="C54" s="72" t="n"/>
      <c r="D54" s="72" t="n"/>
      <c r="E54" s="72" t="n"/>
      <c r="F54" s="72" t="n"/>
    </row>
    <row r="55" ht="15" customHeight="1" s="43">
      <c r="A55" s="72" t="n"/>
      <c r="B55" s="73" t="n"/>
      <c r="C55" s="72" t="n"/>
      <c r="D55" s="72" t="n"/>
      <c r="E55" s="72" t="n"/>
      <c r="F55" s="72" t="n"/>
    </row>
    <row r="56" ht="15" customHeight="1" s="43">
      <c r="A56" s="72" t="n"/>
      <c r="B56" s="73" t="n"/>
      <c r="C56" s="72" t="n"/>
      <c r="D56" s="72" t="n"/>
      <c r="E56" s="72" t="n"/>
      <c r="F56" s="72" t="n"/>
    </row>
    <row r="57" ht="15" customHeight="1" s="43">
      <c r="A57" s="72" t="n"/>
      <c r="B57" s="73" t="n"/>
      <c r="C57" s="72" t="n"/>
      <c r="D57" s="72" t="n"/>
      <c r="E57" s="72" t="n"/>
      <c r="F57" s="72" t="n"/>
    </row>
    <row r="58" ht="15" customHeight="1" s="43">
      <c r="A58" s="72" t="n"/>
      <c r="B58" s="73" t="n"/>
      <c r="C58" s="72" t="n"/>
      <c r="D58" s="72" t="n"/>
      <c r="E58" s="72" t="n"/>
      <c r="F58" s="72" t="n"/>
    </row>
    <row r="59" ht="15" customHeight="1" s="43">
      <c r="A59" s="72" t="n"/>
      <c r="B59" s="73" t="n"/>
      <c r="C59" s="72" t="n"/>
      <c r="D59" s="72" t="n"/>
      <c r="E59" s="72" t="n"/>
      <c r="F59" s="72" t="n"/>
    </row>
    <row r="60" ht="15" customHeight="1" s="43">
      <c r="A60" s="72" t="n"/>
      <c r="B60" s="73" t="n"/>
      <c r="C60" s="72" t="n"/>
      <c r="D60" s="72" t="n"/>
      <c r="E60" s="72" t="n"/>
      <c r="F60" s="72" t="n"/>
    </row>
    <row r="61" ht="15" customHeight="1" s="43">
      <c r="A61" s="72" t="n"/>
      <c r="B61" s="73" t="n"/>
      <c r="C61" s="72" t="n"/>
      <c r="D61" s="72" t="n"/>
      <c r="E61" s="72" t="n"/>
      <c r="F61" s="72" t="n"/>
    </row>
    <row r="62" ht="15" customHeight="1" s="43">
      <c r="A62" s="72" t="n"/>
      <c r="B62" s="73" t="n"/>
      <c r="C62" s="72" t="n"/>
      <c r="D62" s="72" t="n"/>
      <c r="E62" s="72" t="n"/>
      <c r="F62" s="72" t="n"/>
    </row>
    <row r="63" ht="15" customHeight="1" s="43">
      <c r="A63" s="72" t="n"/>
      <c r="B63" s="73" t="n"/>
      <c r="C63" s="72" t="n"/>
      <c r="D63" s="72" t="n"/>
      <c r="E63" s="72" t="n"/>
      <c r="F63" s="72" t="n"/>
    </row>
  </sheetData>
  <mergeCells count="1">
    <mergeCell ref="A1:F1"/>
  </mergeCells>
  <dataValidations count="1">
    <dataValidation sqref="B4:B63" showDropDown="0" showInputMessage="0" showErrorMessage="0" allowBlank="1" type="list" errorStyle="stop" operator="between">
      <formula1>"開發者 → 驗證者,驗證者 → 開發者,驗證者 → Owner,Owner → 開發者,Owner → 驗證者,開發者 → Owner,驗證者 → 開發者、Owner,驗證者 → Owner、開發者"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12" customWidth="1" style="42" min="2" max="2"/>
    <col width="18" customWidth="1" style="42" min="3" max="3"/>
    <col width="14" customWidth="1" style="42" min="4" max="4"/>
    <col width="8" customWidth="1" style="42" min="5" max="6"/>
    <col width="10" customWidth="1" style="42" min="7" max="7"/>
    <col width="8" customWidth="1" style="42" min="8" max="8"/>
    <col width="10" customWidth="1" style="42" min="9" max="9"/>
    <col width="13" customWidth="1" style="42" min="10" max="11"/>
    <col width="12" customWidth="1" style="42" min="12" max="12"/>
    <col width="14" customWidth="1" style="42" min="13" max="13"/>
    <col width="40" customWidth="1" style="42" min="14" max="14"/>
  </cols>
  <sheetData>
    <row r="1" ht="15" customHeight="1" s="43">
      <c r="A1" s="74" t="inlineStr">
        <is>
          <t>輪次彙總（灰底為公式自動統計，其餘請填）</t>
        </is>
      </c>
    </row>
    <row r="3" ht="31.5" customHeight="1" s="43">
      <c r="A3" s="51" t="inlineStr">
        <is>
          <t>輪次</t>
        </is>
      </c>
      <c r="B3" s="51" t="inlineStr">
        <is>
          <t>日期</t>
        </is>
      </c>
      <c r="C3" s="51" t="inlineStr">
        <is>
          <t>受測版本(commit)</t>
        </is>
      </c>
      <c r="D3" s="51" t="inlineStr">
        <is>
          <t>本輪執行案例數</t>
        </is>
      </c>
      <c r="E3" s="50" t="inlineStr">
        <is>
          <t>PASS</t>
        </is>
      </c>
      <c r="F3" s="50" t="inlineStr">
        <is>
          <t>FAIL</t>
        </is>
      </c>
      <c r="G3" s="50" t="inlineStr">
        <is>
          <t>BLOCKED</t>
        </is>
      </c>
      <c r="H3" s="50" t="inlineStr">
        <is>
          <t>N/A</t>
        </is>
      </c>
      <c r="I3" s="50" t="inlineStr">
        <is>
          <t>OBSERVE</t>
        </is>
      </c>
      <c r="J3" s="51" t="inlineStr">
        <is>
          <t>本輪新增缺陷</t>
        </is>
      </c>
      <c r="K3" s="51" t="inlineStr">
        <is>
          <t>本輪結案缺陷</t>
        </is>
      </c>
      <c r="L3" s="51" t="inlineStr">
        <is>
          <t>累計未結案</t>
        </is>
      </c>
      <c r="M3" s="51" t="inlineStr">
        <is>
          <t>是否出現回歸</t>
        </is>
      </c>
      <c r="N3" s="51" t="inlineStr">
        <is>
          <t>本輪結論</t>
        </is>
      </c>
    </row>
    <row r="4" ht="15" customHeight="1" s="43">
      <c r="A4" s="57" t="inlineStr">
        <is>
          <t>R1</t>
        </is>
      </c>
      <c r="B4" s="75" t="inlineStr">
        <is>
          <t>2026-09-23</t>
        </is>
      </c>
      <c r="C4" s="75" t="inlineStr">
        <is>
          <t>755c88a</t>
        </is>
      </c>
      <c r="D4" s="75" t="n">
        <v>120</v>
      </c>
      <c r="E4" s="75" t="n">
        <v>86</v>
      </c>
      <c r="F4" s="75" t="n">
        <v>19</v>
      </c>
      <c r="G4" s="75" t="n">
        <v>8</v>
      </c>
      <c r="H4" s="75" t="n">
        <v>1</v>
      </c>
      <c r="I4" s="75" t="n">
        <v>6</v>
      </c>
      <c r="J4" s="76">
        <f>COUNTIF(缺陷登記!$F$3:$F$87,$A4)</f>
        <v/>
      </c>
      <c r="K4" s="76">
        <f>COUNTIF(缺陷登記!$J$3:$J$87,$A4)</f>
        <v/>
      </c>
      <c r="L4" s="76">
        <f>SUM($J$4:$J4)-SUM($K$4:$K4)</f>
        <v/>
      </c>
      <c r="M4" s="77" t="inlineStr">
        <is>
          <t>否（首輪，無前一輪可比）；J 組 J-01～J-06 本輪皆已跑，J-05 有 1 處溢位（DEF-002）</t>
        </is>
      </c>
      <c r="N4" s="77" t="inlineStr">
        <is>
          <t>首輪初驗：120 題全數執行，PASS 86／FAIL 19／OBSERVE 6／BLOCKED 8／N/A 1。開立 DEF-001～DEF-038 共 38 張（高 2、中 20、低 16；新開 29、待裁定 9）。高嚴重度：DEF-012、DEF-027（DEF-012 同日買賣重播順序錯誤致已實現損益與成本移除算錯；DEF-027 券商對帳單寫入自動確認賣超、成本基礎歸零）。所有寫入案例皆已還原並逐位元比對；環境與基準的差異只來自 E-01／E-10 的報價與匯率更新（帳本面全部相符）與 AI 花費 $0.0272825。</t>
        </is>
      </c>
    </row>
    <row r="5" ht="15" customHeight="1" s="43">
      <c r="A5" s="57" t="inlineStr">
        <is>
          <t>R2</t>
        </is>
      </c>
      <c r="B5" s="75" t="inlineStr">
        <is>
          <t>2026-09-24</t>
        </is>
      </c>
      <c r="C5" s="75" t="inlineStr">
        <is>
          <t>e6fd9f4</t>
        </is>
      </c>
      <c r="D5" s="75" t="n">
        <v>31</v>
      </c>
      <c r="E5" s="75" t="n">
        <v>29</v>
      </c>
      <c r="F5" s="75" t="n">
        <v>2</v>
      </c>
      <c r="G5" s="75" t="n">
        <v>0</v>
      </c>
      <c r="H5" s="75" t="n">
        <v>0</v>
      </c>
      <c r="I5" s="75" t="n">
        <v>0</v>
      </c>
      <c r="J5" s="76">
        <f>COUNTIF(缺陷登記!$F$3:$F$87,$A5)</f>
        <v/>
      </c>
      <c r="K5" s="76">
        <f>COUNTIF(缺陷登記!$J$3:$J$87,$A5)</f>
        <v/>
      </c>
      <c r="L5" s="76">
        <f>SUM($J$4:$J5)-SUM($K$4:$K5)</f>
        <v/>
      </c>
      <c r="M5" s="77" t="inlineStr">
        <is>
          <t>否：J-01 94/94、J-02 手算 7 情境相符、J-03 寫入→編輯→刪除字串相同、J-04 匯出 200、J-05 390px 13 頁零溢位、J-06 ruff／mypy 0／pytest 5,918／e2e 260 全綠。複驗 29 張未見已結案功能退化；新發現的 DEF-039／043～045 皆為既有或邊角問題，非本輪修法引入</t>
        </is>
      </c>
      <c r="N5" s="75" t="inlineStr">
        <is>
          <t>R2 複驗（受測站頁首 v0.1.28 · e6fd9f4）：29 張待複驗中 27 張結案、DEF-017 部分通過、DEF-023 複驗未過（儀表板未套用區塊因提前 return 永不顯示）。9 張待裁定經 Owner 裁定：DEF-006、018 改判非缺陷（改手冊），其餘 7 張轉新開交開發者。新開 DEF-039～048 共 10 張（檢驗方發現 5：039、043、044、045 與資料殘留 046；Owner 裁定觀察 5：040、041、042、047、048）。執行 31 題（26 題缺陷關聯案例＋J-01～J-06），PASS 29／FAIL 2（C-04、D-11）。所有寫入皆已還原並比對：六段 JSON 與 R2 起點相同，唯一差異為 AI 額度 $0.0036318（DEF-030 $0.0023063＋DEF-035/036 $0.0005936＋DEF-037 $0.0007319）</t>
        </is>
      </c>
    </row>
    <row r="6" ht="15" customHeight="1" s="43">
      <c r="A6" s="57" t="inlineStr">
        <is>
          <t>R3</t>
        </is>
      </c>
      <c r="B6" s="75" t="inlineStr">
        <is>
          <t>2026-09-24</t>
        </is>
      </c>
      <c r="C6" s="75" t="inlineStr">
        <is>
          <t>4655845</t>
        </is>
      </c>
      <c r="D6" s="75" t="n">
        <v>21</v>
      </c>
      <c r="E6" s="75" t="n">
        <v>20</v>
      </c>
      <c r="F6" s="75" t="n">
        <v>1</v>
      </c>
      <c r="G6" s="75" t="n">
        <v>0</v>
      </c>
      <c r="H6" s="75" t="n">
        <v>0</v>
      </c>
      <c r="I6" s="75" t="n">
        <v>0</v>
      </c>
      <c r="J6" s="76">
        <f>COUNTIF(缺陷登記!$F$3:$F$87,$A6)</f>
        <v/>
      </c>
      <c r="K6" s="76">
        <f>COUNTIF(缺陷登記!$J$3:$J$87,$A6)</f>
        <v/>
      </c>
      <c r="L6" s="76">
        <f>SUM($J$4:$J6)-SUM($K$4:$K6)</f>
        <v/>
      </c>
      <c r="M6" s="77" t="inlineStr">
        <is>
          <t>否：J-01 94/94、J-02 7 情境與 R2 逐字相同、J-03 寫入→編輯→刪除字串相同、J-04 匯出全 200、J-05 390px 13 頁零溢位、J-06 ruff／mypy 890 檔 0／pytest 6,082／e2e 272 全綠；R2 已結案功能抽查未見退化。新發現 DEF-049（批次復原）、DEF-058（最近批次成本）皆為既有路徑，非本輪修法引入</t>
        </is>
      </c>
      <c r="N6" s="75" t="inlineStr">
        <is>
          <t>R3 複驗（受測站頁首 v0.1.28 · 4655845）：19 張待複驗中 18 張結案；DEF-040 部分通過→複驗未過（子公司當日已有正式報價時，起始價覆蓋並在刪除後遺失原報價，本機以真實路由重現）。驗證者對 19 張各自重做變異測試 21 組全數被攔。手冊 v3.1 的 12 個案例期望已核對 xlsx F 欄與 .md 逐字一致。Owner 本輪裁定 11 項：開 DEF-054～057、059～061（7 張），⑥⑦b⑧⑨⑪a 維持現狀不開單；另依 owner 指示把批次復原問題（DEF-049）與 R2 三項觀察＋一個顯示問題（DEF-050～053）開單並附規格與實作計畫（docs/audit/2026-09-24-r3-dev-specs.md）；驗證者新發現 DEF-058。本輪新開 DEF-049～061 共 13 張。執行 21 題：PASS 20／FAIL 1（D-10）。所有寫入皆已還原：六段 JSON 與 R3 起點相同，唯一差異為 AI 額度 $0.0056015（DEF-025 AI 解析 $0.0005528＋DEF-041 預警派發 7 卡 $0.0050487）</t>
        </is>
      </c>
    </row>
    <row r="7" ht="15" customHeight="1" s="43">
      <c r="A7" s="57" t="inlineStr">
        <is>
          <t>R4</t>
        </is>
      </c>
      <c r="B7" s="75" t="inlineStr">
        <is>
          <t>2026-09-25</t>
        </is>
      </c>
      <c r="C7" s="75" t="inlineStr">
        <is>
          <t>1ee7771</t>
        </is>
      </c>
      <c r="D7" s="75" t="n">
        <v>16</v>
      </c>
      <c r="E7" s="75" t="n">
        <v>15</v>
      </c>
      <c r="F7" s="75" t="n">
        <v>1</v>
      </c>
      <c r="G7" s="75" t="n">
        <v>0</v>
      </c>
      <c r="H7" s="75" t="n">
        <v>0</v>
      </c>
      <c r="I7" s="75" t="n">
        <v>0</v>
      </c>
      <c r="J7" s="76">
        <f>COUNTIF(缺陷登記!$F$3:$F$87,$A7)</f>
        <v/>
      </c>
      <c r="K7" s="76">
        <f>COUNTIF(缺陷登記!$J$3:$J$87,$A7)</f>
        <v/>
      </c>
      <c r="L7" s="76">
        <f>SUM($J$4:$J7)-SUM($K$4:$K7)</f>
        <v/>
      </c>
      <c r="M7" s="77" t="inlineStr">
        <is>
          <t>否：J-01 94/94、J-02 7 情境與 R2 逐字相同、J-03 寫入→編輯→刪除字串相同、J-04 18 個匯出全取得、J-05 390px 20 頁零截斷零溢位、console 0；J-06 ruff／mypy 915 檔 0／pytest 6,227 全綠；e2e 全套 3 次中 2 次因間歇性 500（GET /api/ui-prefs）各有 1～2 則失敗，第 3 次 289 全過——開 DEF-065，功能斷言未見退化。新發現 DEF-062（精靈規則 id）自 755c88a 起即存在，非本輪引入</t>
        </is>
      </c>
      <c r="N7" s="75" t="inlineStr">
        <is>
          <t>R4 複驗（受測站頁首 v0.1.28 · 1ee7771）：14 張待複驗中 13 張結案；DEF-056 部分通過→複驗未過（資金頁畫面「現金收支明細」未標示未來列，與表頭目前餘額矛盾）。驗證者重做變異 13 組（11 張各 1 組單元／契約變異、DEF-050／051 各 1 組 e2e 變異；DEF-054 為純資料清理不適用）全數被攔。Owner 本輪裁定 8 項：④開 DEF-063（孤兒起始價清理腳本）、⑦開 DEF-064（報價類抓取排除封存）；①⑥維持現狀不開單；②③⑤⑧維持本輪實作。驗證者新發現 DEF-062（精靈規則 id）、DEF-065（e2e 間歇性 500）。本輪新開 DEF-062～065 共 4 張。執行 16 題：PASS 15／FAIL 1（B-17）。所有寫入皆已還原：帳本各表列數與 R4 起點相同；六段 JSON 中 realized、cash_balances 與起點逐字相同，kpis／holdings 權重／allocation／cash_reporting_total 的差異全部來自還原 2449 時依設計更新的報告匯率（USD/TWD 2026-09-25），各持倉原幣數值逐列不變；AI 額度 −$0.0022367（insight:7 run #194）</t>
        </is>
      </c>
    </row>
    <row r="8" ht="15" customHeight="1" s="43">
      <c r="A8" s="57" t="inlineStr">
        <is>
          <t>R5</t>
        </is>
      </c>
      <c r="B8" s="75" t="inlineStr">
        <is>
          <t>2026-09-25</t>
        </is>
      </c>
      <c r="C8" s="75" t="inlineStr">
        <is>
          <t>3be67db</t>
        </is>
      </c>
      <c r="D8" s="75" t="n">
        <v>17</v>
      </c>
      <c r="E8" s="75" t="n">
        <v>13</v>
      </c>
      <c r="F8" s="75" t="n">
        <v>4</v>
      </c>
      <c r="G8" s="75" t="n">
        <v>0</v>
      </c>
      <c r="H8" s="75" t="n">
        <v>0</v>
      </c>
      <c r="I8" s="75" t="n">
        <v>0</v>
      </c>
      <c r="J8" s="76">
        <f>COUNTIF(缺陷登記!$F$3:$F$87,$A8)</f>
        <v/>
      </c>
      <c r="K8" s="76">
        <f>COUNTIF(缺陷登記!$J$3:$J$87,$A8)</f>
        <v/>
      </c>
      <c r="L8" s="76">
        <f>SUM($J$4:$J8)-SUM($K$4:$K8)</f>
        <v/>
      </c>
      <c r="M8" s="77" t="inlineStr">
        <is>
          <t>否：J-01 94/94、J-02 四情境手算相符、J-03 寫入→編輯→刪除字串相同、J-04 19 個匯出全 200、J-05 390px 18 頁零溢位且 console 0、J-06 ruff／mypy 926 檔 0／pytest 6,326／e2e 295×3 全綠（DEF-065 的間歇性 500 未再出現）。本輪新開 8 張皆為首次可執行的案例或既有路徑，非本輪修法引入</t>
        </is>
      </c>
      <c r="N8" s="75" t="inlineStr">
        <is>
          <t>R5 複驗（受測站頁首 v0.1.28 · 3be67db）：待複驗 5 張（DEF-056、062、063、064、065）全數結案，驗證者重做變異 9 組（含 2 組 e2e）全數被攔；B-17 自零重放通過轉結案。原 BLOCKED 8 題改在本機專用測試環境（同 commit、排程器開啟、假 LLM、G-08 以時鐘推進）執行：E-06、E-09、F-07、H-01 PASS；D-00、E-05、E-11、G-08 FAIL。新開 DEF-066～073 共 8 張（中 5：066 備援缺 tenacity、067 股利掃描全失敗記成功、069 影子卡進正式清單、070 影子上限計法使迴圈停擺、071 無「設為生效」；低 3：068 更新報價提示、072 門 2 帳戶預填、073 排程明細英文）。執行 17 題：PASS 13／FAIL 4、BLOCKED 0。demo 寫入（DEF-056 #54／#48、J-03 #116、B-17 #117）皆已刪除，六段 JSON 與 R5 起點逐字相同；AI 額度 −$0.0028558（DEF-062 依指示執行 alert_scan 派發）。Owner 2026-09-26 裁定 8 項：①B（DEF-074）、②B（DEF-075，未來賣出未到期仍算持有）、③a、④a、⑤統一為「AI 額度偏低」（DEF-076）、⑥A（DEF-077）、⑦密碼欄位＋前後 6 字元明文（DEF-078）、⑧A（DEF-070 規格已定）；本輪新開合計 DEF-066～078 共 13 張</t>
        </is>
      </c>
    </row>
    <row r="9" ht="15" customHeight="1" s="43">
      <c r="A9" s="57" t="inlineStr">
        <is>
          <t>R6</t>
        </is>
      </c>
      <c r="B9" s="75" t="inlineStr">
        <is>
          <t>2026-09-26</t>
        </is>
      </c>
      <c r="C9" s="75" t="inlineStr">
        <is>
          <t>696934e</t>
        </is>
      </c>
      <c r="D9" s="75" t="n">
        <v>13</v>
      </c>
      <c r="E9" s="75" t="n">
        <v>13</v>
      </c>
      <c r="F9" s="75" t="n">
        <v>0</v>
      </c>
      <c r="G9" s="75" t="n">
        <v>0</v>
      </c>
      <c r="H9" s="75" t="n">
        <v>0</v>
      </c>
      <c r="I9" s="75" t="n">
        <v>0</v>
      </c>
      <c r="J9" s="76">
        <f>COUNTIF(缺陷登記!$F$3:$F$87,$A9)</f>
        <v/>
      </c>
      <c r="K9" s="76">
        <f>COUNTIF(缺陷登記!$J$3:$J$87,$A9)</f>
        <v/>
      </c>
      <c r="L9" s="76">
        <f>SUM($J$4:$J9)-SUM($K$4:$K9)</f>
        <v/>
      </c>
      <c r="M9" s="77" t="inlineStr">
        <is>
          <t>否：J-01 94/94（最大誤差 1e−20）、J-02 四情境與 R5 逐字相同、J-03 寫入→編輯→刪除字串相同、J-04 20 個匯出全 200、J-05 390px 18 頁零溢位且 console 0、J-06 ruff／mypy 950 檔 0／pytest 6,504／e2e 304×3 全綠。R5 已結案功能抽查未見退化；DEF-077 的琥珀色是 R6 新加的提示沿用既有 .fresh-note 預設色，非既有功能退化</t>
        </is>
      </c>
      <c r="N9" s="75" t="inlineStr">
        <is>
          <t>R6 複驗（受測站頁首 v0.1.28 · 696934e）：待複驗 15 張（DEF-066～080）中 14 張結案；DEF-077 部分通過→複驗未過（比較日期與判定正確，但「一致」提示仍是琥珀色警示框，開發者 e2e 只讀 inline style 而未驗計算樣式）。owner 2026-09-26 對話裁定（DEF-078 前後 3 字元、DEF-067 報價全失敗記失敗、DEF-066 明細只寫中文分類、DEF-070 批次數計評分筆數、DEF-076 其他 LLM 字樣改 AI）皆依裁定驗收。驗證者重做變異 20 組（R6 缺陷 18 組＋J-06 守門 2 組；其中 e2e 3 組）全數被攔。D-00、E-05、E-11、G-08 轉 PASS，120 題最終判定 PASS 119／N/A 1。執行 13 題：PASS 13／FAIL 0。demo 寫入（DEF-075 #118、J-03 #119）皆已刪除，六段 JSON 與全部計數與 R6 起點逐字相同；AI 額度未花費；低額度門檻 1.00→4.00→1.00 已還原。結案簽核尚不能簽：條件 2（缺陷登記仍有 1 張「複驗未過」）未滿足，其餘 4 項已滿足</t>
        </is>
      </c>
    </row>
    <row r="10" ht="15" customHeight="1" s="43">
      <c r="A10" s="57" t="inlineStr">
        <is>
          <t>R7</t>
        </is>
      </c>
      <c r="B10" s="75" t="inlineStr">
        <is>
          <t>2026-09-27</t>
        </is>
      </c>
      <c r="C10" s="75" t="inlineStr">
        <is>
          <t>a16210a</t>
        </is>
      </c>
      <c r="D10" s="75" t="n">
        <v>7</v>
      </c>
      <c r="E10" s="75" t="n">
        <v>7</v>
      </c>
      <c r="F10" s="75" t="n">
        <v>0</v>
      </c>
      <c r="G10" s="75" t="n">
        <v>0</v>
      </c>
      <c r="H10" s="75" t="n">
        <v>0</v>
      </c>
      <c r="I10" s="75" t="n">
        <v>0</v>
      </c>
      <c r="J10" s="76">
        <f>COUNTIF(缺陷登記!$F$3:$F$87,$A10)</f>
        <v/>
      </c>
      <c r="K10" s="76">
        <f>COUNTIF(缺陷登記!$J$3:$J$87,$A10)</f>
        <v/>
      </c>
      <c r="L10" s="76">
        <f>SUM($J$4:$J10)-SUM($K$4:$K10)</f>
        <v/>
      </c>
      <c r="M10" s="77" t="inlineStr">
        <is>
          <t>否：J-01 94/94（最大誤差 1e−20）、J-02 四情境與 R6 逐字相同、J-03 寫入→編輯→刪除字串相同、J-04 20 個匯出全 200、J-05 390px 18 頁零溢位且頁面錯誤 0、J-06 ruff／mypy 953 檔 0／pytest 6,510 passed／5 skipped／e2e 309／309 ×3 全綠。R7 只動顏色 class 與戰績頁標籤（API 增量欄位），抽查首頁、AI 與額度、AI 戰績既有功能未見退化</t>
        </is>
      </c>
      <c r="N10" s="75" t="inlineStr">
        <is>
          <t>R7 複驗（受測站頁首 v0.1.28 · a16210a）：待複驗 2 張（DEF-077、DEF-081）皆結案。DEF-077：demo 與本機三態（一致、無法比較、共同日不一致）以計算樣式驗證，只有 ok:false 為琥珀，深淺主題皆同；「推導」徽章中性；AI 狀態徽章 偏低 → 已關閉 不殘留琥珀（在 696934e 以同一腳本重現原缺陷）；掃描數字 71／12／修 4／白名單 8 重算相符。DEF-081：戰績頁兩處改為任務名稱、滑鼠提示保留 #編號，任務已不存在時「任務 #N（已刪除）」。驗證者自做變異 9 組（DEF-077 5 組、DEF-081 2 組、J-06 守門 2 組；其中 e2e 5 組）全數被攔。執行 7 題（H-07＋J-01～J-06）：PASS 7／FAIL 0。demo 寫入（J-03 #120）已刪除，六段 JSON 與全部計數與 R7 起點逐字相同，AI 額度未花費。120 題最終判定 PASS 119／N/A 1、缺陷 81 張全部結案或非缺陷，結案簽核五項條件全部滿足，檢驗方已簽核</t>
        </is>
      </c>
    </row>
    <row r="11" ht="15" customHeight="1" s="43">
      <c r="A11" s="57" t="inlineStr">
        <is>
          <t>R8</t>
        </is>
      </c>
      <c r="B11" s="75" t="inlineStr">
        <is>
          <t>2026-09-27</t>
        </is>
      </c>
      <c r="C11" s="75" t="inlineStr">
        <is>
          <t>a16210a</t>
        </is>
      </c>
      <c r="D11" s="75" t="n">
        <v>73</v>
      </c>
      <c r="E11" s="75" t="n">
        <v>71</v>
      </c>
      <c r="F11" s="75" t="n">
        <v>1</v>
      </c>
      <c r="G11" s="75" t="n">
        <v>0</v>
      </c>
      <c r="H11" s="75" t="n">
        <v>1</v>
      </c>
      <c r="I11" s="75" t="n">
        <v>0</v>
      </c>
      <c r="J11" s="76">
        <f>COUNTIF(缺陷登記!$F$3:$F$87,$A11)</f>
        <v/>
      </c>
      <c r="K11" s="76">
        <f>COUNTIF(缺陷登記!$J$3:$J$87,$A11)</f>
        <v/>
      </c>
      <c r="L11" s="76">
        <f>SUM($J$4:$J11)-SUM($K$4:$K11)</f>
        <v/>
      </c>
      <c r="M11" s="77" t="inlineStr">
        <is>
          <t>否：R8 不是修復輪，而是在最終版 a16210a 上重跑 R1 之後未再黑箱執行的 73 題：71 題與 R1 判定一致（其中多處比 R1 更好，例如 DEF-006／008／020／021／022 的修正在原路徑上仍有效），G-10 依手冊僅記錄；G-04 的誤報來自 R1 之後新產生的卡片資料，判讀規則檔自 755c88a 未變更，屬既有漏網、非回歸</t>
        </is>
      </c>
      <c r="N11" s="75" t="inlineStr">
        <is>
          <t>R8 全面重跑（Owner 2026-09-27 指示，受測版本 v0.1.28 · a16210a，與 R7 相同）：R1 之後未再黑箱執行的 73 題全部在最終版重跑——demo 真實瀏覽器 72 題、本機專用測試環境 1 題（E-02：demo 無落後標的，改以本機假報價製造）；G-07 在 demo 驗完後另於本機以時鐘推進補做到期與未到期卡。寫入類皆於測後刪除並比對。結果 PASS 71／FAIL 1（G-04）／N/A 1（G-10）。新開 DEF-082（低）：代號檢核把括號內已註冊標的英文名（#209「3008 (LARGAN)」）標為「未知代碼…可能是模型幻覺」。demo：帳本、現金池、觀察清單、任務與排程皆回到起點；報價與匯率依 E-01／E-10 裁定更新；AI 額度 −$0.0015807（F-01 兩次辨識＋G-01 一張卡）。因 G-04 FAIL 與 DEF-082 新開，R7 的檢驗方結案簽核已撤回，待 DEF-082 修復並複驗，或 Owner 裁定為非缺陷後重新簽署</t>
        </is>
      </c>
    </row>
    <row r="12" ht="15" customHeight="1" s="43">
      <c r="A12" s="57" t="inlineStr">
        <is>
          <t>R9</t>
        </is>
      </c>
      <c r="B12" s="75" t="inlineStr">
        <is>
          <t>2026-09-27</t>
        </is>
      </c>
      <c r="C12" s="75" t="inlineStr">
        <is>
          <t>3a35454</t>
        </is>
      </c>
      <c r="D12" s="75" t="n">
        <v>7</v>
      </c>
      <c r="E12" s="75" t="n">
        <v>7</v>
      </c>
      <c r="F12" s="75" t="n">
        <v>0</v>
      </c>
      <c r="G12" s="75" t="n">
        <v>0</v>
      </c>
      <c r="H12" s="75" t="n">
        <v>0</v>
      </c>
      <c r="I12" s="75" t="n">
        <v>0</v>
      </c>
      <c r="J12" s="76">
        <f>COUNTIF(缺陷登記!$F$3:$F$87,$A12)</f>
        <v/>
      </c>
      <c r="K12" s="76">
        <f>COUNTIF(缺陷登記!$J$3:$J$87,$A12)</f>
        <v/>
      </c>
      <c r="L12" s="76">
        <f>SUM($J$4:$J12)-SUM($K$4:$K12)</f>
        <v/>
      </c>
      <c r="M12" s="77" t="inlineStr">
        <is>
          <t>否：J-01 94/94（最大誤差 1e−20）、J-02 四情境與 R7 逐字相同、J-03 寫入→編輯→刪除後六段字串相同、J-04 20 個匯出全 200、J-05 390px 18 頁零溢位且頁面錯誤 0、J-06 ruff／mypy 954 檔 0／pytest 6,516 passed／5 skipped／e2e 309／309 ×4（後 3 次保留伺服器記錄：594 個伺服器行程，traceback 0、伺服器端 5xx 0） 全綠。R9 只動 AI 洞察卡的讀取時代號檢核（不寫資料），AI 洞察頁其他徽章（數值待核、無快照可核、生成時版本未記錄）照常</t>
        </is>
      </c>
      <c r="N12" s="75" t="inlineStr">
        <is>
          <t>R9 複驗（受測站頁首 v0.1.28 · 3a35454）：DEF-082 複驗通過結案——demo #209 不再標「未知代碼」、#82 的 6883 仍標；同一批 746 處括號 token 以 a16210a／3a35454 重算，差異只有 #209；owner 裁定的名稱形式全數放行，全數字、單一字母、近似拼法照標。驗證者自做變異 10 組：6 組被攔，4 組為測試未釘住的邊界（行為已黑箱驗證正確，列觀察）。執行 7 題（G-04＋J-01～J-06）：PASS 7／FAIL 0。demo 寫入（J-03 #134）已刪除，六段 JSON 與全部計數與 R9 起點逐字相同，AI 額度未花費。120 題最終判定 PASS 119／N/A 1、缺陷 82 張全部結案或非缺陷，結案簽核五項條件全部滿足，檢驗方已重新簽核</t>
        </is>
      </c>
    </row>
    <row r="13" ht="15" customHeight="1" s="43">
      <c r="A13" s="57" t="inlineStr">
        <is>
          <t>R10</t>
        </is>
      </c>
      <c r="B13" s="75" t="inlineStr">
        <is>
          <t>2026-09-28</t>
        </is>
      </c>
      <c r="C13" s="75" t="inlineStr">
        <is>
          <t>3a35454</t>
        </is>
      </c>
      <c r="D13" s="75" t="n">
        <v>120</v>
      </c>
      <c r="E13" s="75" t="n">
        <v>116</v>
      </c>
      <c r="F13" s="75" t="n">
        <v>2</v>
      </c>
      <c r="G13" s="75" t="n">
        <v>0</v>
      </c>
      <c r="H13" s="75" t="n">
        <v>1</v>
      </c>
      <c r="I13" s="75" t="n">
        <v>1</v>
      </c>
      <c r="J13" s="76">
        <f>COUNTIF(缺陷登記!$F$3:$F$87,$A13)</f>
        <v/>
      </c>
      <c r="K13" s="76">
        <f>COUNTIF(缺陷登記!$J$3:$J$87,$A13)</f>
        <v/>
      </c>
      <c r="L13" s="76">
        <f>SUM($J$4:$J13)-SUM($K$4:$K13)</f>
        <v/>
      </c>
      <c r="M13" s="77" t="inlineStr">
        <is>
          <t>否：受測版本與 R9 相同（3a35454），J 組 J-01～J-06 全過（94/94、J-02 四情境、J-03 六段逐字相同、20 個匯出、390px 18 頁、閘門全綠＋守門變異 3 組皆攔）。三項新發現皆為既有行為、本輪首次被測到：DEF-083 自 DEF-066 修復後首次有真實備援呼叫才暴露；DEF-084 自 R1 即存在（R8 備註漏看）；DEF-085 的 R6 情境 R1 受 demo 限制未測</t>
        </is>
      </c>
      <c r="N13" s="75" t="inlineStr">
        <is>
          <t>R10 全面重跑（Owner 2026-09-28 指示「最新部署版本進行全面重跑，確認全數通過再進行整份 one shot 重跑，並最終結案」，受測版本 v0.1.28 · 3a35454）：120 題全部重跑——demo 真實瀏覽器 112 題、本機專用測試環境 12 題（其中 D-00、G-07、H-01、H-05 兩邊都跑；E-02、E-05、E-06、E-09、E-11、F-07、G-08、J-06 只在本機）。寫入類皆於測後刪除或復原並逐字比對。結果 PASS 116／FAIL 2（F-08、G-09）／OBSERVE 1（H-05）／N/A 1（G-10）。新開 DEF-083（中）：備援模型 haiku-4.5 的結構化呼叫一律被供應商 400 拒絕（schema 含 Decimal 的負向前瞻正規式）；DEF-084（低）：unparsed_rows 失敗記錄不記模型；DEF-085（低，規格未定）：乾跑預檢 R6 額度不足無修正指引。首跑時另有多題判 FAIL（B～J 的首跑 24 題，另 A 組與 B-15／17／18 的更早首跑、本機 E-02／E-05／E-09／H-01／H-05），逐題排除後皆為驗證者檢查程式的量測問題，修正檢查後重跑通過，未改動任何預期結果：表單選項未載入即填值（D-03／04／11／13）、代號驗證完成前按鈕仍停用（B-13）、收合區塊內文字讀不到（C-03／06）、解壓函式未載入（C-05）、區塊載入前即讀取（C-08）、回應逾 4,000 字被截斷且重新整理清掉 toast（E-01；本機 E-02 同類）、漏按「績效比較」頁籤（E-08）、未依既有裁定判讀（C-01 依 DEF-047、F-01 依 §五 G、H-04 依 R5、D-03／04 依 §5.1(c)）、選擇器或欄位名錯誤（I-07／08／10／11／13、D-11 橫幅文字）、等待不足（I-09、H-05）、模型另一種合規的拒絕寫法（F-05）、測試任務標的宇宙格式錯誤（G-01，連帶 H-02）；本機 H-01 未先設假金鑰、H-05 預檢按鈕被抽屜遮擋、E-05／E-09 排程紀錄空值。demo：帳本、計數、已實現、現金池與 14 個部位逐字相同；報價與匯率依 E-01／E-10（§五 G）更新；AI 額度 −$0.0318601（含驗證者 G-01 首跑誤建任務多花的 $0.0174）。因 FAIL 與 OBSERVE 未結，未進行整份 one shot 重跑；R9 的結案簽核（檢驗方）撤回，待 DEF-083／084 修復並複驗、DEF-085 經 Owner 裁定後，以整份 one shot 重跑作為下一輪</t>
        </is>
      </c>
    </row>
    <row r="14" ht="15" customHeight="1" s="43">
      <c r="A14" s="57" t="inlineStr">
        <is>
          <t>R11</t>
        </is>
      </c>
      <c r="B14" s="75" t="inlineStr">
        <is>
          <t>2026-09-30</t>
        </is>
      </c>
      <c r="C14" s="75" t="inlineStr">
        <is>
          <t>91ec1b0</t>
        </is>
      </c>
      <c r="D14" s="75" t="n">
        <v>120</v>
      </c>
      <c r="E14" s="75" t="n">
        <v>119</v>
      </c>
      <c r="F14" s="75" t="n">
        <v>0</v>
      </c>
      <c r="G14" s="75" t="n">
        <v>0</v>
      </c>
      <c r="H14" s="75" t="n">
        <v>1</v>
      </c>
      <c r="I14" s="75" t="n">
        <v>0</v>
      </c>
      <c r="J14" s="76">
        <f>COUNTIF(缺陷登記!$F$3:$F$87,$A14)</f>
        <v/>
      </c>
      <c r="K14" s="76">
        <f>COUNTIF(缺陷登記!$J$3:$J$87,$A14)</f>
        <v/>
      </c>
      <c r="L14" s="76">
        <f>SUM($J$4:$J14)-SUM($K$4:$K14)</f>
        <v/>
      </c>
      <c r="M14" s="77" t="inlineStr">
        <is>
          <t>否：J-01～J-06 全過（94/94、J-02 四情境與 R10 相同、J-03 六段逐字相同、20 個匯出、390px 18 頁零溢位、閘門全綠＋守門變異 3 組皆攔）；R10 FAIL 的 F-08、G-09、H-05 本輪通過，其餘 117 題判定與 R10 相同。驗證者另以修復前 3a35454 對照：DEF-083 的嚴格假端點在修復前 7/7 被拒、修復後 7/7 通過</t>
        </is>
      </c>
      <c r="N14" s="75" t="inlineStr">
        <is>
          <t>R11 複驗＋整份 one shot 重跑（Owner 2026-09-28「確認全數通過再進行整份 one shot 重跑，並最終結案」；2026-09-29 裁定三張交開發者修、驗證寫入可留在 demo；受測版本 v0.1.28 · 91ec1b0）。①複驗：DEF-083（中）、DEF-084（低）、DEF-085（低）三張皆通過結案——demo 真實供應商上 haiku-4.5 自己產出 AI 輸入與洞察卡，one shot 的 G-09 有一張卡由備援 haiku 救回；驗證者自寫嚴格假端點 7 個 schema 修前全拒、修後全過；自做變異 9 組全攔。②one shot：120 題一次跑完、未重跑任何題——demo 真實瀏覽器 112 題（2026-09-30 00:06～01:23 台北，77 分鐘）、本機專用測試環境 12 題（D-00、G-07、H-01、H-05 兩邊都跑；E-02、E-05、E-06、E-09、E-11、F-07、G-08、J-06 只在本機）。結果 PASS 119／N/A 1（G-10 僅記錄）；檢查程式唯一的標記是 G-09 的「alert_scan ok」——程式只等 120 秒、工作實際 125.5 秒以 ok 結束，屬驗證者等待時間不足，依工作紀錄終值判 PASS、未重跑。寫入類案例間照常清理；依 Owner 裁定留在 demo 的資料列於還原檢查 R-9。AI 額度：one shot $0.0379424、驗證者複驗 $0.037309、開發者 R11 驗證 $0.0154218，demo 剩餘 $3.1331155。結案條件 1～5 全部成立，檢驗方重新簽署；待修復方與 Owner 依 91ec1b0 重新簽署</t>
        </is>
      </c>
    </row>
    <row r="15" ht="15" customHeight="1" s="43">
      <c r="A15" s="57" t="inlineStr">
        <is>
          <t>R12</t>
        </is>
      </c>
      <c r="B15" s="75" t="n"/>
      <c r="C15" s="75" t="n"/>
      <c r="D15" s="75" t="n"/>
      <c r="E15" s="75" t="n"/>
      <c r="F15" s="75" t="n"/>
      <c r="G15" s="75" t="n"/>
      <c r="H15" s="75" t="n"/>
      <c r="I15" s="75" t="n"/>
      <c r="J15" s="76">
        <f>COUNTIF(缺陷登記!$F$3:$F$87,$A15)</f>
        <v/>
      </c>
      <c r="K15" s="76">
        <f>COUNTIF(缺陷登記!$J$3:$J$87,$A15)</f>
        <v/>
      </c>
      <c r="L15" s="76">
        <f>SUM($J$4:$J15)-SUM($K$4:$K15)</f>
        <v/>
      </c>
      <c r="M15" s="77" t="n"/>
      <c r="N15" s="75" t="n"/>
    </row>
    <row r="16" ht="15" customHeight="1" s="43">
      <c r="A16" s="78" t="inlineStr">
        <is>
          <t>收斂看『累計未結案』要單調下降。若某一輪的新增缺陷 ≥ 結案缺陷，代表修復正在製造新問題或覆蓋面不夠 —— 多半是修了實例沒修類別，應先停下來檢討修法。</t>
        </is>
      </c>
    </row>
  </sheetData>
  <mergeCells count="1">
    <mergeCell ref="A16:N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2" min="1" max="1"/>
    <col width="26" customWidth="1" style="42" min="2" max="2"/>
    <col width="52" customWidth="1" style="42" min="3" max="3"/>
    <col width="18" customWidth="1" style="42" min="4" max="5"/>
    <col width="10" customWidth="1" style="42" min="6" max="6"/>
  </cols>
  <sheetData>
    <row r="1" ht="15" customHeight="1" s="43">
      <c r="A1" s="74" t="inlineStr">
        <is>
          <t>還原檢查清單（每個測試時段結束前跑一次）</t>
        </is>
      </c>
    </row>
    <row r="3" ht="31.5" customHeight="1" s="43">
      <c r="A3" s="50" t="inlineStr">
        <is>
          <t>#</t>
        </is>
      </c>
      <c r="B3" s="51" t="inlineStr">
        <is>
          <t>檢查</t>
        </is>
      </c>
      <c r="C3" s="51" t="inlineStr">
        <is>
          <t>方法</t>
        </is>
      </c>
      <c r="D3" s="51" t="inlineStr">
        <is>
          <t>基準值</t>
        </is>
      </c>
      <c r="E3" s="51" t="inlineStr">
        <is>
          <t>結束值</t>
        </is>
      </c>
      <c r="F3" s="51" t="inlineStr">
        <is>
          <t>相符？</t>
        </is>
      </c>
    </row>
    <row r="4" ht="15" customHeight="1" s="43">
      <c r="A4" s="57" t="inlineStr">
        <is>
          <t>R-1</t>
        </is>
      </c>
      <c r="B4" s="59" t="inlineStr">
        <is>
          <t>交易帳本列數</t>
        </is>
      </c>
      <c r="C4" s="58" t="inlineStr">
        <is>
          <t>GET /api/ledgers/transactions?limit=1 的 total_count</t>
        </is>
      </c>
      <c r="D4" s="75" t="inlineStr">
        <is>
          <t>56（R11_START 2026-09-30 00:05 台北，one shot 開跑前）</t>
        </is>
      </c>
      <c r="E4" s="75" t="inlineStr">
        <is>
          <t>56</t>
        </is>
      </c>
      <c r="F4" s="77" t="inlineStr">
        <is>
          <t>是</t>
        </is>
      </c>
    </row>
    <row r="5" ht="15" customHeight="1" s="43">
      <c r="A5" s="57" t="inlineStr">
        <is>
          <t>R-2</t>
        </is>
      </c>
      <c r="B5" s="59" t="inlineStr">
        <is>
          <t>股利帳本列數</t>
        </is>
      </c>
      <c r="C5" s="59" t="inlineStr">
        <is>
          <t>同上（dividends）</t>
        </is>
      </c>
      <c r="D5" s="75" t="inlineStr">
        <is>
          <t>23</t>
        </is>
      </c>
      <c r="E5" s="75" t="inlineStr">
        <is>
          <t>23</t>
        </is>
      </c>
      <c r="F5" s="77" t="inlineStr">
        <is>
          <t>是</t>
        </is>
      </c>
    </row>
    <row r="6" ht="15" customHeight="1" s="43">
      <c r="A6" s="57" t="inlineStr">
        <is>
          <t>R-3</t>
        </is>
      </c>
      <c r="B6" s="59" t="inlineStr">
        <is>
          <t>換匯帳本列數</t>
        </is>
      </c>
      <c r="C6" s="59" t="inlineStr">
        <is>
          <t>同上（fx）</t>
        </is>
      </c>
      <c r="D6" s="75" t="inlineStr">
        <is>
          <t>19</t>
        </is>
      </c>
      <c r="E6" s="75" t="inlineStr">
        <is>
          <t>19</t>
        </is>
      </c>
      <c r="F6" s="77" t="inlineStr">
        <is>
          <t>是</t>
        </is>
      </c>
    </row>
    <row r="7" ht="15" customHeight="1" s="43">
      <c r="A7" s="57" t="inlineStr">
        <is>
          <t>R-4</t>
        </is>
      </c>
      <c r="B7" s="59" t="inlineStr">
        <is>
          <t>資金收支列數</t>
        </is>
      </c>
      <c r="C7" s="59" t="inlineStr">
        <is>
          <t>同上（cash）</t>
        </is>
      </c>
      <c r="D7" s="75" t="inlineStr">
        <is>
          <t>34</t>
        </is>
      </c>
      <c r="E7" s="75" t="inlineStr">
        <is>
          <t>34</t>
        </is>
      </c>
      <c r="F7" s="77" t="inlineStr">
        <is>
          <t>是</t>
        </is>
      </c>
    </row>
    <row r="8" ht="15" customHeight="1" s="43">
      <c r="A8" s="57" t="inlineStr">
        <is>
          <t>R-5</t>
        </is>
      </c>
      <c r="B8" s="59" t="inlineStr">
        <is>
          <t>公司行動列數</t>
        </is>
      </c>
      <c r="C8" s="59" t="inlineStr">
        <is>
          <t>同上（actions）／或匯出</t>
        </is>
      </c>
      <c r="D8" s="75" t="inlineStr">
        <is>
          <t>0</t>
        </is>
      </c>
      <c r="E8" s="75" t="inlineStr">
        <is>
          <t>0</t>
        </is>
      </c>
      <c r="F8" s="77" t="inlineStr">
        <is>
          <t>是</t>
        </is>
      </c>
    </row>
    <row r="9" ht="15" customHeight="1" s="43">
      <c r="A9" s="57" t="inlineStr">
        <is>
          <t>R-6</t>
        </is>
      </c>
      <c r="B9" s="59" t="inlineStr">
        <is>
          <t>四段 JSON 相同</t>
        </is>
      </c>
      <c r="C9" s="58" t="inlineStr">
        <is>
          <t>kpis／holdings／realized／allocation 與基準字串完全相同</t>
        </is>
      </c>
      <c r="D9" s="75" t="inlineStr">
        <is>
          <t>R11_START 四段 JSON 原文</t>
        </is>
      </c>
      <c r="E9" s="75" t="inlineStr">
        <is>
          <t>realized 逐字相同；14 個部位的股數、原始／調整均價、原始／調整成本與股利欄逐字相同；kpis／holdings／allocation 的差異全部來自 E-01 依裁定更新的報價與匯率（11 檔收盤 09-24／09-25→09-29，USD/MYR、USD/TWD、MYR/TWD 皆 09-29；只動 market_price、market_value、未實現、權重與走勢）</t>
        </is>
      </c>
      <c r="F9" s="77" t="inlineStr">
        <is>
          <t>是（依 §五 G）</t>
        </is>
      </c>
    </row>
    <row r="10" ht="15" customHeight="1" s="43">
      <c r="A10" s="57" t="inlineStr">
        <is>
          <t>R-7</t>
        </is>
      </c>
      <c r="B10" s="59" t="inlineStr">
        <is>
          <t>各現金池餘額</t>
        </is>
      </c>
      <c r="C10" s="58" t="inlineStr">
        <is>
          <t>GET /api/cash</t>
        </is>
      </c>
      <c r="D10" s="75" t="inlineStr">
        <is>
          <t>cash_balances 與 reporting_total 原文</t>
        </is>
      </c>
      <c r="E10" s="75" t="inlineStr">
        <is>
          <t>cash_balances 逐字相同；reporting_total 25,287,197.02→25,320,250.90 的差異來自匯率更新</t>
        </is>
      </c>
      <c r="F10" s="77" t="inlineStr">
        <is>
          <t>是</t>
        </is>
      </c>
    </row>
    <row r="11" ht="15" customHeight="1" s="43">
      <c r="A11" s="57" t="inlineStr">
        <is>
          <t>R-8</t>
        </is>
      </c>
      <c r="B11" s="59" t="inlineStr">
        <is>
          <t>匯入批次無殘留</t>
        </is>
      </c>
      <c r="C11" s="59" t="inlineStr">
        <is>
          <t>交易帳本 › 匯入批次</t>
        </is>
      </c>
      <c r="D11" s="75" t="inlineStr">
        <is>
          <t>0 批</t>
        </is>
      </c>
      <c r="E11" s="75" t="inlineStr">
        <is>
          <t>0 批已提交（C-04、C-04b、C-05、I-07、I-09、I-10、I-13 的批次 #34～#41 皆已復原）</t>
        </is>
      </c>
      <c r="F11" s="77" t="inlineStr">
        <is>
          <t>是</t>
        </is>
      </c>
    </row>
    <row r="12" ht="15" customHeight="1" s="43">
      <c r="A12" s="57" t="inlineStr">
        <is>
          <t>R-9</t>
        </is>
      </c>
      <c r="B12" s="59" t="inlineStr">
        <is>
          <t>觀察清單無殘留</t>
        </is>
      </c>
      <c r="C12" s="59" t="inlineStr">
        <is>
          <t>例如 ZZZZ9 未被加入</t>
        </is>
      </c>
      <c r="D12" s="75" t="inlineStr">
        <is>
          <t>26 檔、0 封存、目標價皆空；任務 1／2／7／8／9 啟用；25 個排程；收件匣 7、已忽略 NVDA 2026-06-04、折讓款 3、可見洞察卡 215</t>
        </is>
      </c>
      <c r="E12" s="75" t="inlineStr">
        <is>
          <t>26 檔、0 封存、目標價皆空（D-06、G-09 設定的目標價已清回）；任務 1／2／7／8／9 皆啟用，測試任務（G-01 #24、H-04 #25、H-05 的兩個）皆已刪除、排程設定雜湊不變；已忽略只剩 NVDA、折讓款 3、期初 1。依 Owner 2026-09-29 裁定留在 demo 的資料：①G-09 的 on_alert 洞察卡 8 張（#252～#259，可見卡 215→223）；②G-07 評分 8 張（AI 戰績 n 104→112）；③收件匣 7→8：C-01「重新偵測」後由資料來源帶入 5225 2026-09-29 除息事件（R11 開跑前 7；未確認入帳，股利帳本仍 23）；④H-03 「持倉週報策略」多出版本紀錄（內文已回復為原文）；⑤執行紀錄 job_runs #229～#243、AI 抽取失敗記錄 #522～#529（8 筆，32 / 300）、llm-usage 28 列；⑥驗證者複驗 DEF-083 時的 llm-usage 2 列與測試任務（已刪除）。AI 輸入模型選單（瀏覽器偏好）已改回「自動」</t>
        </is>
      </c>
      <c r="F12" s="77" t="inlineStr">
        <is>
          <t>是（依 Owner 2026-09-29 裁定）</t>
        </is>
      </c>
    </row>
    <row r="13" ht="15" customHeight="1" s="43">
      <c r="A13" s="57" t="inlineStr">
        <is>
          <t>R-10</t>
        </is>
      </c>
      <c r="B13" s="58" t="inlineStr">
        <is>
          <t>AI 額度變動已記錄</t>
        </is>
      </c>
      <c r="C13" s="59" t="inlineStr">
        <is>
          <t>與 H-02 對帳</t>
        </is>
      </c>
      <c r="D13" s="77" t="inlineStr">
        <is>
          <t>剩餘額度 $3.1710579；低額度警示門檻 $1.00</t>
        </is>
      </c>
      <c r="E13" s="77" t="inlineStr">
        <is>
          <t>剩餘額度 $3.1331155、門檻 $1.00；one shot 花費 $0.0379424＝llm-usage 28 列：insight_generate 14 列 0.0175957（G-09 8 張 0.0153415〔含 5225 由備援 haiku 產出 0.0104〕、H-04 0.0013051、G-01 0.0009491）、ai_agents_input 2 列 0.018015（F-04 0.009053、F-05 0.008962，haiku-4.5）、master_score 10 列 0.0020194（G-07 評分 8 張）、ai_instrument_resolve 2 列 0.0003123（F-01）；與額度差逐位相同。開跑前驗證者複驗 DEF-083 另花 $0.037309（AI 輸入 0.008115、洞察卡 0.029194；3.2083669→3.1710579）</t>
        </is>
      </c>
      <c r="F13" s="77" t="inlineStr">
        <is>
          <t>是（逐筆對帳）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2" min="1" max="1"/>
    <col width="46" customWidth="1" style="42" min="2" max="2"/>
    <col width="16" customWidth="1" style="42" min="3" max="3"/>
    <col width="46" customWidth="1" style="42" min="4" max="4"/>
  </cols>
  <sheetData>
    <row r="1" ht="15.75" customHeight="1" s="43">
      <c r="A1" s="79" t="inlineStr">
        <is>
          <t>結案簽核</t>
        </is>
      </c>
    </row>
    <row r="3" ht="15" customHeight="1" s="43">
      <c r="A3" s="63" t="inlineStr">
        <is>
          <t>結案條件（全部滿足才可簽）</t>
        </is>
      </c>
      <c r="C3" s="63" t="inlineStr">
        <is>
          <t>達成？</t>
        </is>
      </c>
    </row>
    <row r="4" ht="29.25" customHeight="1" s="43">
      <c r="A4" s="80" t="inlineStr">
        <is>
          <t>1</t>
        </is>
      </c>
      <c r="B4" s="48" t="inlineStr">
        <is>
          <t>全部測試案例的最終判定為 `PASS` 或 `N/A`（`N/A` 需寫依據）</t>
        </is>
      </c>
      <c r="C4" s="81" t="inlineStr">
        <is>
          <t>是（R11）：91ec1b0 整份 one shot 重跑 120 題，最終判定 PASS 119／N/A 1（G-10 依手冊「僅記錄不判定」）；R10 的 F-08、G-09、H-05 複驗通過改判 PASS</t>
        </is>
      </c>
    </row>
    <row r="5" ht="29.25" customHeight="1" s="43">
      <c r="A5" s="80" t="inlineStr">
        <is>
          <t>2</t>
        </is>
      </c>
      <c r="B5" s="48" t="inlineStr">
        <is>
          <t>缺陷登記中沒有狀態為『修復中／待複驗／複驗未過』的列</t>
        </is>
      </c>
      <c r="C5" s="81" t="inlineStr">
        <is>
          <t>是（R11）：DEF-083、DEF-084、DEF-085 複驗通過結案；85 張缺陷中 83 張結案、2 張非缺陷（DEF-006、DEF-018），無修復中／待複驗／複驗未過</t>
        </is>
      </c>
    </row>
    <row r="6" ht="43.5" customHeight="1" s="43">
      <c r="A6" s="80" t="inlineStr">
        <is>
          <t>3</t>
        </is>
      </c>
      <c r="B6" s="48" t="inlineStr">
        <is>
          <t>所有 `OBSERVE` 都有 owner 裁定，並已改判為 `PASS`／`N/A`／或轉為新功能待排期（後者需在簽核頁寫明不影響結案）</t>
        </is>
      </c>
      <c r="C6" s="81" t="inlineStr">
        <is>
          <t>是：無未裁定的 OBSERVE——R1 的 6 題 OBSERVE 皆已裁定並改判 PASS；R10 H-05 的 OBSERVE（DEF-085）經 Owner 2026-09-29 裁定 A 修，R11 複驗通過改判 PASS</t>
        </is>
      </c>
    </row>
    <row r="7" ht="15" customHeight="1" s="43">
      <c r="A7" s="80" t="inlineStr">
        <is>
          <t>4</t>
        </is>
      </c>
      <c r="B7" s="48" t="inlineStr">
        <is>
          <t>最後一輪的 J 組回歸快篩全過，且與上一輪相比零回歸</t>
        </is>
      </c>
      <c r="C7" s="81" t="inlineStr">
        <is>
          <t>是：R11（91ec1b0）J-01～J-06 全過，與 R10 相比零回歸（輪次彙總第 14 列）</t>
        </is>
      </c>
    </row>
    <row r="8" ht="29.25" customHeight="1" s="43">
      <c r="A8" s="80" t="inlineStr">
        <is>
          <t>5</t>
        </is>
      </c>
      <c r="B8" s="48" t="inlineStr">
        <is>
          <t>還原檢查清單 R-1～R-10 全部相符（受測環境已回到基準）</t>
        </is>
      </c>
      <c r="C8" s="81" t="inlineStr">
        <is>
          <t>是（依 Owner 2026-09-29 裁定）：R-1～R-10 相符——帳本列數、已實現、現金池與 14 個部位的股數／成本逐字相同；報價與匯率依 E-01／E-10 裁定更新；Owner 裁定 R11 驗證寫入可留在 demo，留下的資料逐項列於還原檢查 R-9</t>
        </is>
      </c>
    </row>
    <row r="10" ht="15" customHeight="1" s="43">
      <c r="A10" s="63" t="inlineStr">
        <is>
          <t>統計（自動）</t>
        </is>
      </c>
    </row>
    <row r="11" ht="15" customHeight="1" s="43">
      <c r="A11" s="78" t="inlineStr">
        <is>
          <t>總輪次</t>
        </is>
      </c>
      <c r="B11" s="82">
        <f>COUNTA(輪次彙總!$B$4:$B$14)</f>
        <v/>
      </c>
    </row>
    <row r="12" ht="15" customHeight="1" s="43">
      <c r="A12" s="78" t="inlineStr">
        <is>
          <t>測試案例 最終判定 PASS</t>
        </is>
      </c>
      <c r="B12" s="82">
        <f>COUNTIF(測試案例!$M$3:$M$132,"PASS")</f>
        <v/>
      </c>
    </row>
    <row r="13" ht="15" customHeight="1" s="43">
      <c r="A13" s="78" t="inlineStr">
        <is>
          <t>測試案例 最終判定 N/A</t>
        </is>
      </c>
      <c r="B13" s="82">
        <f>COUNTIF(測試案例!$M$3:$M$132,"N/A")</f>
        <v/>
      </c>
    </row>
    <row r="14" ht="15" customHeight="1" s="43">
      <c r="A14" s="78" t="inlineStr">
        <is>
          <t>測試案例 尚未有最終判定</t>
        </is>
      </c>
      <c r="B14" s="82">
        <f>120-COUNTIF(測試案例!$M$3:$M$132,"PASS")-COUNTIF(測試案例!$M$3:$M$132,"N/A")</f>
        <v/>
      </c>
    </row>
    <row r="15" ht="15" customHeight="1" s="43">
      <c r="A15" s="78" t="inlineStr">
        <is>
          <t>缺陷總數</t>
        </is>
      </c>
      <c r="B15" s="82">
        <f>COUNTA(缺陷登記!$I$3:$I$87)</f>
        <v/>
      </c>
    </row>
    <row r="16" ht="15" customHeight="1" s="43">
      <c r="A16" s="78" t="inlineStr">
        <is>
          <t xml:space="preserve">　其中 高</t>
        </is>
      </c>
      <c r="B16" s="82">
        <f>COUNTIF(缺陷登記!$D$3:$D$87,"高")</f>
        <v/>
      </c>
    </row>
    <row r="17" ht="15" customHeight="1" s="43">
      <c r="A17" s="78" t="inlineStr">
        <is>
          <t xml:space="preserve">　其中 中</t>
        </is>
      </c>
      <c r="B17" s="82">
        <f>COUNTIF(缺陷登記!$D$3:$D$87,"中")</f>
        <v/>
      </c>
    </row>
    <row r="18" ht="15" customHeight="1" s="43">
      <c r="A18" s="78" t="inlineStr">
        <is>
          <t xml:space="preserve">　其中 低</t>
        </is>
      </c>
      <c r="B18" s="82">
        <f>COUNTIF(缺陷登記!$D$3:$D$87,"低")</f>
        <v/>
      </c>
    </row>
    <row r="19" ht="15" customHeight="1" s="43">
      <c r="A19" s="78" t="inlineStr">
        <is>
          <t>已結案缺陷</t>
        </is>
      </c>
      <c r="B19" s="82">
        <f>COUNTIF(缺陷登記!$I$3:$I$87,"結案")+COUNTIF(缺陷登記!$I$3:$I$87,"非缺陷")</f>
        <v/>
      </c>
    </row>
    <row r="20" ht="15" customHeight="1" s="43">
      <c r="A20" s="78" t="inlineStr">
        <is>
          <t>未結案缺陷（應為 0）</t>
        </is>
      </c>
      <c r="B20" s="82">
        <f>COUNTA(缺陷登記!$I$3:$I$87)-COUNTIF(缺陷登記!$I$3:$I$87,"結案")-COUNTIF(缺陷登記!$I$3:$I$87,"非缺陷")</f>
        <v/>
      </c>
    </row>
    <row r="22" ht="15" customHeight="1" s="43">
      <c r="A22" s="63" t="inlineStr">
        <is>
          <t>簽核</t>
        </is>
      </c>
    </row>
    <row r="23" ht="15" customHeight="1" s="43">
      <c r="A23" s="63" t="inlineStr">
        <is>
          <t>角色</t>
        </is>
      </c>
      <c r="B23" s="63" t="inlineStr">
        <is>
          <t>姓名</t>
        </is>
      </c>
      <c r="C23" s="63" t="inlineStr">
        <is>
          <t>日期</t>
        </is>
      </c>
      <c r="D23" s="63" t="inlineStr">
        <is>
          <t>簽署意見</t>
        </is>
      </c>
    </row>
    <row r="24" ht="15" customHeight="1" s="43">
      <c r="A24" s="78" t="inlineStr">
        <is>
          <t>檢驗方</t>
        </is>
      </c>
      <c r="B24" s="83" t="inlineStr">
        <is>
          <t>Claude（驗證者）</t>
        </is>
      </c>
      <c r="C24" s="83" t="inlineStr">
        <is>
          <t>2026-09-30</t>
        </is>
      </c>
      <c r="D24" s="81" t="inlineStr">
        <is>
          <t>同意結案（R11 重新簽署）。最終受測版本 v0.1.28 · 91ec1b0：DEF-083／084／085 複驗通過結案（demo 真實供應商＋本機嚴格假端點、修復前後對照、自做變異 9 組全攔）；整份 120 題 one shot 重跑一次跑完，PASS 119／N/A 1，J 組全過、零回歸；還原檢查依 Owner 2026-09-29 裁定相符。85 張缺陷全數結案或非缺陷。R9 時的簽署於 2026-09-28 撤回，本列取代之</t>
        </is>
      </c>
    </row>
    <row r="25" ht="15" customHeight="1" s="43">
      <c r="A25" s="78" t="inlineStr">
        <is>
          <t>修復方</t>
        </is>
      </c>
      <c r="B25" s="83" t="inlineStr">
        <is>
          <t>Claude（開發者）</t>
        </is>
      </c>
      <c r="C25" s="83" t="inlineStr">
        <is>
          <t>2026-09-30</t>
        </is>
      </c>
      <c r="D25" s="81" t="inlineStr">
        <is>
          <t>同意結案（R11 重新簽署）。最終受測版本 v0.1.28 · 91ec1b0（demo 已部署，/api/health 回 commit 91ec1b0；prod 與 main 未動）。R10 新開的 DEF-083／084／085 已修復並經驗證者複驗結案；85 張缺陷中 83 張修復結案，2 張（DEF-006、DEF-018）依 Owner 裁定改判非缺陷；每張修復都附根因到檔案:行、同類掃描與變異測試證據，閘門全綠後才部署 demo 交複驗。簽署前已自行由工作簿重算：120 題最終判定 PASS 119／N/A 1（G-10 依手冊僅記錄）、無未裁定的 OBSERVE、缺陷結案 83／非缺陷 2、輪次彙總累計未結案 R11 為 0、R11 的 J 組全過且零回歸、還原檢查 R-1～R-10 全部相符（依 Owner 2026-09-29 裁定）。91ec1b0 之後只有文件提交（CHANGELOG、LESSONS_LEARNED、本工作簿），程式未再改動。驗證者 R11 觀察①（strategy/alerts.py:154-156 的 `_usd` 未走 usd_display）依 Owner 2026-09-30 裁定於結案後再改，不在本次受測版本內。本列取代 R9 時依 3a35454 的簽署。請 Owner 在下一列重新簽署並填結案日期（第 29 列）</t>
        </is>
      </c>
    </row>
    <row r="26" ht="15" customHeight="1" s="43">
      <c r="A26" s="84" t="inlineStr">
        <is>
          <t>Owner</t>
        </is>
      </c>
      <c r="B26" s="83" t="inlineStr">
        <is>
          <t>HFL</t>
        </is>
      </c>
      <c r="C26" s="83" t="inlineStr">
        <is>
          <t>2026-09-28</t>
        </is>
      </c>
      <c r="D26" s="81" t="inlineStr">
        <is>
          <t>同意結案。</t>
        </is>
      </c>
    </row>
    <row r="28" ht="15" customHeight="1" s="43">
      <c r="A28" s="63" t="inlineStr">
        <is>
          <t>最終受測版本（commit）</t>
        </is>
      </c>
      <c r="B28" s="83" t="inlineStr">
        <is>
          <t>v0.1.28 · 91ec1b0</t>
        </is>
      </c>
    </row>
    <row r="29" ht="15" customHeight="1" s="43">
      <c r="A29" s="63" t="inlineStr">
        <is>
          <t>結案日期</t>
        </is>
      </c>
      <c r="B29" s="83" t="n"/>
    </row>
    <row r="30" ht="15" customHeight="1" s="43">
      <c r="A30" s="63" t="inlineStr">
        <is>
          <t>結論</t>
        </is>
      </c>
      <c r="B30" s="81" t="inlineStr">
        <is>
          <t>檢驗方已於 2026-09-30 依 R11 重新簽署（結案條件 1～5 全部成立，最終受測版本 v0.1.28 · 91ec1b0）。第 25、26 列修復方與 Owner 的簽署仍為 R9 時依 3a35454 所簽，待兩方依 91ec1b0 重新簽署、Owner 填結案日期後即為結案</t>
        </is>
      </c>
    </row>
    <row r="32" ht="15" customHeight="1" s="43">
      <c r="A32" s="78" t="inlineStr">
        <is>
          <t>簽署後若再改動程式，需重跑 J 組回歸快篩並在『輪次彙總』新增一列；受影響的案例回到『待複驗』。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2026-09-22T17:50:57Z</dcterms:created>
  <dcterms:modified xmlns:dcterms="http://purl.org/dc/terms/" xmlns:xsi="http://www.w3.org/2001/XMLSchema-instance" xsi:type="dcterms:W3CDTF">2026-09-30T03:13:24Z</dcterms:modified>
  <cp:revision>0</cp:revision>
</cp:coreProperties>
</file>