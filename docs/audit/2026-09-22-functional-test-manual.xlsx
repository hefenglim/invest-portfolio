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測試案例" sheetId="2" state="visible" r:id="rId2"/>
    <sheet xmlns:r="http://schemas.openxmlformats.org/officeDocument/2006/relationships" name="缺陷登記" sheetId="3" state="visible" r:id="rId3"/>
    <sheet xmlns:r="http://schemas.openxmlformats.org/officeDocument/2006/relationships" name="來回記錄" sheetId="4" state="visible" r:id="rId4"/>
    <sheet xmlns:r="http://schemas.openxmlformats.org/officeDocument/2006/relationships" name="交接紀錄" sheetId="5" state="visible" r:id="rId5"/>
    <sheet xmlns:r="http://schemas.openxmlformats.org/officeDocument/2006/relationships" name="輪次彙總" sheetId="6" state="visible" r:id="rId6"/>
    <sheet xmlns:r="http://schemas.openxmlformats.org/officeDocument/2006/relationships" name="還原檢查" sheetId="7" state="visible" r:id="rId7"/>
    <sheet xmlns:r="http://schemas.openxmlformats.org/officeDocument/2006/relationships"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family val="2"/>
      <b val="1"/>
      <sz val="12"/>
    </font>
    <font>
      <name val="Noto Sans CJK SC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3" min="1" max="1"/>
    <col width="110" customWidth="1" style="33" min="2" max="2"/>
  </cols>
  <sheetData>
    <row r="1" ht="21.6" customHeight="1" s="34">
      <c r="A1" s="35" t="inlineStr">
        <is>
          <t>portfolio-dash 功能測試手冊 — 修復・複驗來回版</t>
        </is>
      </c>
      <c r="B1" s="36" t="n"/>
    </row>
    <row r="2" ht="15" customHeight="1" s="34">
      <c r="A2" s="37" t="n"/>
      <c r="B2" s="36" t="n"/>
    </row>
    <row r="3" ht="15" customHeight="1" s="34">
      <c r="A3" s="38" t="inlineStr">
        <is>
          <t>文件版本</t>
        </is>
      </c>
      <c r="B3" s="36" t="inlineStr">
        <is>
          <t>v3.1（2026-09-24）。v1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</t>
        </is>
      </c>
    </row>
    <row r="4" ht="15" customHeight="1" s="34">
      <c r="A4" s="38" t="inlineStr">
        <is>
          <t>受測系統</t>
        </is>
      </c>
      <c r="B4" s="36" t="inlineStr">
        <is>
          <t>portfolio-dash · 個人多市場投資管理</t>
        </is>
      </c>
    </row>
    <row r="5" ht="15" customHeight="1" s="34">
      <c r="A5" s="38" t="inlineStr">
        <is>
          <t>對應版本</t>
        </is>
      </c>
      <c r="B5" s="36" t="inlineStr">
        <is>
          <t>v0.1.28 · 755c88a（demo 站；其他環境請填實際 commit）</t>
        </is>
      </c>
    </row>
    <row r="6" ht="15" customHeight="1" s="34">
      <c r="A6" s="38" t="inlineStr">
        <is>
          <t>測試案例數</t>
        </is>
      </c>
      <c r="B6" s="36" t="inlineStr">
        <is>
          <t>120（A–J 共 10 組）</t>
        </is>
      </c>
    </row>
    <row r="7" ht="15" customHeight="1" s="34">
      <c r="A7" s="38" t="inlineStr">
        <is>
          <t>配套文件</t>
        </is>
      </c>
      <c r="B7" s="36" t="inlineStr">
        <is>
          <t>2026-09-22-functional-test-manual.md — 規則、SOP、判讀邏輯規範與 120 題的期望值都在那裡；本活頁簿只承載狀態</t>
        </is>
      </c>
    </row>
    <row r="8" ht="15" customHeight="1" s="34">
      <c r="A8" s="38" t="inlineStr">
        <is>
          <t>為什麼要這一版</t>
        </is>
      </c>
      <c r="B8" s="39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34">
      <c r="A9" s="37" t="n"/>
      <c r="B9" s="36" t="n"/>
    </row>
    <row r="10" ht="15" customHeight="1" s="34">
      <c r="A10" s="38" t="inlineStr">
        <is>
          <t>【你拿到之後的第一件事】</t>
        </is>
      </c>
      <c r="B10" s="39" t="inlineStr">
        <is>
          <t>交付你的人只會說「你是開發者」或「你是驗證者」。其餘從這兩個檔案讀。詳細 SOP 在 .md 的 §4／§5</t>
        </is>
      </c>
    </row>
    <row r="11" ht="15" customHeight="1" s="34">
      <c r="A11" s="38" t="inlineStr">
        <is>
          <t>開發者 → 先看</t>
        </is>
      </c>
      <c r="B11" s="39" t="inlineStr">
        <is>
          <t>『缺陷登記』分頁，篩狀態 = 新開／複驗未過。有『複驗未過』要優先處理</t>
        </is>
      </c>
    </row>
    <row r="12" ht="15" customHeight="1" s="34">
      <c r="A12" s="38" t="inlineStr">
        <is>
          <t>驗證者 → 先看</t>
        </is>
      </c>
      <c r="B12" s="39" t="inlineStr">
        <is>
          <t>『缺陷登記』分頁，篩狀態 = 待複驗；一張都沒有就改看『測試案例』狀態 = 未測</t>
        </is>
      </c>
    </row>
    <row r="13" ht="15" customHeight="1" s="34">
      <c r="A13" s="38" t="inlineStr">
        <is>
          <t>兩人都先看</t>
        </is>
      </c>
      <c r="B13" s="39" t="inlineStr">
        <is>
          <t>『交接紀錄』最後一列：對方部署的版本、要你做什麼。受測站版本與它不符就停下來交回</t>
        </is>
      </c>
    </row>
    <row r="14" ht="15" customHeight="1" s="34">
      <c r="A14" s="38" t="inlineStr">
        <is>
          <t>唯一事實來源</t>
        </is>
      </c>
      <c r="B14" s="39" t="inlineStr">
        <is>
          <t>這個 xlsx。聊天訊息、口頭交代都不算數；沒寫進來的事等於沒發生</t>
        </is>
      </c>
    </row>
    <row r="15" ht="15" customHeight="1" s="34">
      <c r="A15" s="37" t="n"/>
      <c r="B15" s="36" t="n"/>
    </row>
    <row r="16" ht="15" customHeight="1" s="34">
      <c r="A16" s="40" t="inlineStr">
        <is>
          <t>【三方分工】</t>
        </is>
      </c>
      <c r="B16" s="36" t="n"/>
    </row>
    <row r="17" ht="29.85" customHeight="1" s="34">
      <c r="A17" s="38" t="inlineStr">
        <is>
          <t>檢驗方（黑箱）</t>
        </is>
      </c>
      <c r="B17" s="39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34">
      <c r="A18" s="38" t="inlineStr">
        <is>
          <t>修復方（開發者）</t>
        </is>
      </c>
      <c r="B18" s="39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34">
      <c r="A19" s="37" t="inlineStr">
        <is>
          <t>Owner（裁定者）</t>
        </is>
      </c>
      <c r="B19" s="39" t="inlineStr">
        <is>
          <t>裁定規格未定的項目（`OBSERVE`）、非缺陷的爭議、以及要不要做的新功能。裁定要寫進手冊，附理由。</t>
        </is>
      </c>
    </row>
    <row r="20" ht="15" customHeight="1" s="34">
      <c r="A20" s="37" t="n"/>
      <c r="B20" s="36" t="n"/>
    </row>
    <row r="21" ht="29.85" customHeight="1" s="34">
      <c r="A21" s="38" t="inlineStr">
        <is>
          <t>【流程】</t>
        </is>
      </c>
      <c r="B21" s="39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85" customHeight="1" s="34">
      <c r="A22" s="38" t="inlineStr">
        <is>
          <t>一輪的定義</t>
        </is>
      </c>
      <c r="B22" s="39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34">
      <c r="A23" s="37" t="n"/>
      <c r="B23" s="36" t="n"/>
    </row>
    <row r="24" ht="15" customHeight="1" s="34">
      <c r="A24" s="40" t="inlineStr">
        <is>
          <t>【案例狀態】</t>
        </is>
      </c>
      <c r="B24" s="36" t="n"/>
    </row>
    <row r="25" ht="15" customHeight="1" s="34">
      <c r="A25" s="38" t="inlineStr">
        <is>
          <t>未測</t>
        </is>
      </c>
      <c r="B25" s="39" t="inlineStr">
        <is>
          <t>尚未執行</t>
        </is>
      </c>
    </row>
    <row r="26" ht="15" customHeight="1" s="34">
      <c r="A26" s="37" t="inlineStr">
        <is>
          <t>PASS</t>
        </is>
      </c>
      <c r="B26" s="39" t="inlineStr">
        <is>
          <t>本輪通過，無缺陷</t>
        </is>
      </c>
    </row>
    <row r="27" ht="15" customHeight="1" s="34">
      <c r="A27" s="37" t="inlineStr">
        <is>
          <t>FAIL</t>
        </is>
      </c>
      <c r="B27" s="39" t="inlineStr">
        <is>
          <t>本輪不通過 → 必須開一張缺陷（DEF-xxx）</t>
        </is>
      </c>
    </row>
    <row r="28" ht="15" customHeight="1" s="34">
      <c r="A28" s="37" t="inlineStr">
        <is>
          <t>BLOCKED</t>
        </is>
      </c>
      <c r="B28" s="39" t="inlineStr">
        <is>
          <t>環境或前置不具備，寫明卡在哪；不算通過也不算缺陷</t>
        </is>
      </c>
    </row>
    <row r="29" ht="15" customHeight="1" s="34">
      <c r="A29" s="37" t="inlineStr">
        <is>
          <t>N/A</t>
        </is>
      </c>
      <c r="B29" s="39" t="inlineStr">
        <is>
          <t>功能不存在或不適用，寫明依據</t>
        </is>
      </c>
    </row>
    <row r="30" ht="15" customHeight="1" s="34">
      <c r="A30" s="37" t="inlineStr">
        <is>
          <t>OBSERVE</t>
        </is>
      </c>
      <c r="B30" s="39" t="inlineStr">
        <is>
          <t>行為與預期不同但規格未定 → 開缺陷並標為『待裁定』，由 owner 決定</t>
        </is>
      </c>
    </row>
    <row r="31" ht="15" customHeight="1" s="34">
      <c r="A31" s="38" t="inlineStr">
        <is>
          <t>修復中</t>
        </is>
      </c>
      <c r="B31" s="39" t="inlineStr">
        <is>
          <t>缺陷已受理，修復方作業中</t>
        </is>
      </c>
    </row>
    <row r="32" ht="15" customHeight="1" s="34">
      <c r="A32" s="38" t="inlineStr">
        <is>
          <t>待複驗</t>
        </is>
      </c>
      <c r="B32" s="39" t="inlineStr">
        <is>
          <t>修復方已部署，等檢驗方複驗</t>
        </is>
      </c>
    </row>
    <row r="33" ht="15" customHeight="1" s="34">
      <c r="A33" s="38" t="inlineStr">
        <is>
          <t>複驗未過</t>
        </is>
      </c>
      <c r="B33" s="39" t="inlineStr">
        <is>
          <t>複驗不通過 → 回到『修復中』，輪次 +1</t>
        </is>
      </c>
    </row>
    <row r="34" ht="15" customHeight="1" s="34">
      <c r="A34" s="38" t="inlineStr">
        <is>
          <t>結案</t>
        </is>
      </c>
      <c r="B34" s="39" t="inlineStr">
        <is>
          <t>複驗通過且滿足四項結案條件</t>
        </is>
      </c>
    </row>
    <row r="35" ht="15" customHeight="1" s="34">
      <c r="A35" s="37" t="n"/>
      <c r="B35" s="36" t="n"/>
    </row>
    <row r="36" ht="15" customHeight="1" s="34">
      <c r="A36" s="38" t="inlineStr">
        <is>
          <t>【缺陷結案四條件】</t>
        </is>
      </c>
      <c r="B36" s="39" t="inlineStr">
        <is>
          <t>四條全部滿足才可把缺陷改為『結案』</t>
        </is>
      </c>
    </row>
    <row r="37" ht="15" customHeight="1" s="34">
      <c r="A37" s="37" t="inlineStr">
        <is>
          <t>1. 根因定位到行</t>
        </is>
      </c>
      <c r="B37" s="39" t="inlineStr">
        <is>
          <t>缺陷登記的「根因」欄必須寫到檔案:行，不能只寫現象或模組名</t>
        </is>
      </c>
    </row>
    <row r="38" ht="29.85" customHeight="1" s="34">
      <c r="A38" s="37" t="inlineStr">
        <is>
          <t>2. 修類別不修實例</t>
        </is>
      </c>
      <c r="B38" s="39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85" customHeight="1" s="34">
      <c r="A39" s="37" t="inlineStr">
        <is>
          <t>3. 有一個會失敗的測試</t>
        </is>
      </c>
      <c r="B39" s="39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34">
      <c r="A40" s="37" t="inlineStr">
        <is>
          <t>4. 黑箱複驗通過</t>
        </is>
      </c>
      <c r="B40" s="39" t="inlineStr">
        <is>
          <t>檢驗方以真實瀏覽器重放原始重現步驟通過，並確認未造成回歸（跑 J 組回歸快篩）</t>
        </is>
      </c>
    </row>
    <row r="41" ht="29.85" customHeight="1" s="34">
      <c r="A41" s="38" t="inlineStr">
        <is>
          <t>⚠ 最貴的一課</t>
        </is>
      </c>
      <c r="B41" s="39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34">
      <c r="A42" s="37" t="n"/>
      <c r="B42" s="36" t="n"/>
    </row>
    <row r="43" ht="15" customHeight="1" s="34">
      <c r="A43" s="40" t="inlineStr">
        <is>
          <t>【嚴重度】</t>
        </is>
      </c>
      <c r="B43" s="36" t="n"/>
    </row>
    <row r="44" ht="15" customHeight="1" s="34">
      <c r="A44" s="38" t="inlineStr">
        <is>
          <t>高</t>
        </is>
      </c>
      <c r="B44" s="39" t="inlineStr">
        <is>
          <t>金額/成本/損益算錯、資料寫壞、無法還原、資料外洩</t>
        </is>
      </c>
    </row>
    <row r="45" ht="15" customHeight="1" s="34">
      <c r="A45" s="38" t="inlineStr">
        <is>
          <t>中</t>
        </is>
      </c>
      <c r="B45" s="39" t="inlineStr">
        <is>
          <t>功能不可用或給出互相矛盾的資訊、需要人工繞道</t>
        </is>
      </c>
    </row>
    <row r="46" ht="15" customHeight="1" s="34">
      <c r="A46" s="38" t="inlineStr">
        <is>
          <t>低</t>
        </is>
      </c>
      <c r="B46" s="39" t="inlineStr">
        <is>
          <t>文案、顯示一致性、可用性；不影響數字正確性</t>
        </is>
      </c>
    </row>
    <row r="47" ht="15" customHeight="1" s="34">
      <c r="A47" s="37" t="n"/>
      <c r="B47" s="36" t="n"/>
    </row>
    <row r="48" ht="15" customHeight="1" s="34">
      <c r="A48" s="40" t="inlineStr">
        <is>
          <t>【分類】</t>
        </is>
      </c>
      <c r="B48" s="36" t="n"/>
    </row>
    <row r="49" ht="15" customHeight="1" s="34">
      <c r="A49" s="38" t="inlineStr">
        <is>
          <t>程式缺陷</t>
        </is>
      </c>
      <c r="B49" s="39" t="inlineStr">
        <is>
          <t>程式碼要改</t>
        </is>
      </c>
    </row>
    <row r="50" ht="15" customHeight="1" s="34">
      <c r="A50" s="38" t="inlineStr">
        <is>
          <t>資料殘留</t>
        </is>
      </c>
      <c r="B50" s="39" t="inlineStr">
        <is>
          <t>修復前寫入的舊資料，程式已正確 → 由 owner 裁定清不清</t>
        </is>
      </c>
    </row>
    <row r="51" ht="15" customHeight="1" s="34">
      <c r="A51" s="38" t="inlineStr">
        <is>
          <t>來源資料</t>
        </is>
      </c>
      <c r="B51" s="39" t="inlineStr">
        <is>
          <t>第三方/模型產出的內容（新聞標題、AI 卡片文字）→ 不是本站文案，不列缺陷</t>
        </is>
      </c>
    </row>
    <row r="52" ht="15" customHeight="1" s="34">
      <c r="A52" s="38" t="inlineStr">
        <is>
          <t>規格未定</t>
        </is>
      </c>
      <c r="B52" s="39" t="inlineStr">
        <is>
          <t>行為合理但規格沒寫 → 待 owner 裁定</t>
        </is>
      </c>
    </row>
    <row r="53" ht="15" customHeight="1" s="34">
      <c r="A53" s="38" t="inlineStr">
        <is>
          <t>非缺陷</t>
        </is>
      </c>
      <c r="B53" s="39" t="inlineStr">
        <is>
          <t>複驗推翻原判斷（原測試方法有誤）→ 寫明原因，保留紀錄</t>
        </is>
      </c>
    </row>
    <row r="54" ht="15" customHeight="1" s="34">
      <c r="A54" s="37" t="n"/>
      <c r="B54" s="36" t="n"/>
    </row>
    <row r="55" ht="15" customHeight="1" s="34">
      <c r="A55" s="40" t="inlineStr">
        <is>
          <t>【通用規則】</t>
        </is>
      </c>
      <c r="B55" s="36" t="n"/>
    </row>
    <row r="56" ht="29.85" customHeight="1" s="34">
      <c r="A56" s="37" t="inlineStr">
        <is>
          <t>1</t>
        </is>
      </c>
      <c r="B56" s="39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34">
      <c r="A57" s="37" t="inlineStr">
        <is>
          <t>2</t>
        </is>
      </c>
      <c r="B57" s="39" t="inlineStr">
        <is>
          <t>測完還原，並逐位元比對四段 JSON 是否字串完全相同；不同即判 FAIL</t>
        </is>
      </c>
    </row>
    <row r="58" ht="15" customHeight="1" s="34">
      <c r="A58" s="37" t="inlineStr">
        <is>
          <t>3</t>
        </is>
      </c>
      <c r="B58" s="39" t="inlineStr">
        <is>
          <t>不要在正式環境跑會寫入的案例</t>
        </is>
      </c>
    </row>
    <row r="59" ht="15" customHeight="1" s="34">
      <c r="A59" s="37" t="inlineStr">
        <is>
          <t>4</t>
        </is>
      </c>
      <c r="B59" s="39" t="inlineStr">
        <is>
          <t>每個 FAIL 至少附：重現步驟、實際值 vs 預期值、截圖或 API 回應原文</t>
        </is>
      </c>
    </row>
    <row r="60" ht="15" customHeight="1" s="34">
      <c r="A60" s="37" t="inlineStr">
        <is>
          <t>5</t>
        </is>
      </c>
      <c r="B60" s="36" t="inlineStr">
        <is>
          <t>AI 案例每次約 $0.002–$0.03；開跑前記錄額度，跑完對帳（H-02）</t>
        </is>
      </c>
    </row>
    <row r="61" ht="15" customHeight="1" s="34">
      <c r="A61" s="37" t="inlineStr">
        <is>
          <t>6</t>
        </is>
      </c>
      <c r="B61" s="39" t="inlineStr">
        <is>
          <t>不代為輸入密碼類欄位，不要在正式站新增授權用戶</t>
        </is>
      </c>
    </row>
    <row r="62" ht="15" customHeight="1" s="34">
      <c r="A62" s="37" t="inlineStr">
        <is>
          <t>7</t>
        </is>
      </c>
      <c r="B62" s="39" t="inlineStr">
        <is>
          <t>一次只改一件事</t>
        </is>
      </c>
    </row>
    <row r="63" ht="15" customHeight="1" s="34">
      <c r="A63" s="37" t="inlineStr">
        <is>
          <t>8</t>
        </is>
      </c>
      <c r="B63" s="39" t="inlineStr">
        <is>
          <t>順序：J 組回歸快篩 → 唯讀案例 → 會寫入的案例（A、B、C、D、I）。D 組單獨排時段並先備份資料庫</t>
        </is>
      </c>
    </row>
    <row r="64" ht="15" customHeight="1" s="34">
      <c r="A64" s="37" t="inlineStr">
        <is>
          <t>9</t>
        </is>
      </c>
      <c r="B64" s="39" t="inlineStr">
        <is>
          <t>每一輪複驗都要重跑 J 組，確認前一輪的修復沒造成回歸</t>
        </is>
      </c>
    </row>
    <row r="65" ht="15" customHeight="1" s="34">
      <c r="A65" s="37" t="n"/>
      <c r="B65" s="36" t="n"/>
    </row>
    <row r="66" ht="15" customHeight="1" s="34">
      <c r="A66" s="40" t="inlineStr">
        <is>
          <t>【環境前置】</t>
        </is>
      </c>
      <c r="B66" s="36" t="n"/>
    </row>
    <row r="67" ht="15" customHeight="1" s="34">
      <c r="A67" s="38" t="inlineStr">
        <is>
          <t>受測站</t>
        </is>
      </c>
      <c r="B67" s="36" t="inlineStr">
        <is>
          <t>demo 站或專用測試環境（不可用正式資料）</t>
        </is>
      </c>
    </row>
    <row r="68" ht="15" customHeight="1" s="34">
      <c r="A68" s="38" t="inlineStr">
        <is>
          <t>資料庫備份</t>
        </is>
      </c>
      <c r="B68" s="39" t="inlineStr">
        <is>
          <t>開跑前備份；D 組與 I 組務必在備份後執行</t>
        </is>
      </c>
    </row>
    <row r="69" ht="15" customHeight="1" s="34">
      <c r="A69" s="38" t="inlineStr">
        <is>
          <t>帳戶</t>
        </is>
      </c>
      <c r="B69" s="39" t="inlineStr">
        <is>
          <t>至少三個：台灣券商(TWD)、嘉信 Schwab(USD)、Moomoo MY(USD／MYR)</t>
        </is>
      </c>
    </row>
    <row r="70" ht="15" customHeight="1" s="34">
      <c r="A70" s="38" t="inlineStr">
        <is>
          <t>持倉</t>
        </is>
      </c>
      <c r="B70" s="39" t="inlineStr">
        <is>
          <t>至少一檔台股、一檔美股、一檔馬股，其中一檔有配息紀錄</t>
        </is>
      </c>
    </row>
    <row r="71" ht="15" customHeight="1" s="34">
      <c r="A71" s="38" t="inlineStr">
        <is>
          <t>工具</t>
        </is>
      </c>
      <c r="B71" s="39" t="inlineStr">
        <is>
          <t>瀏覽器開發者工具（Network／Console）、可算 Decimal 的工具、可解壓 ZIP</t>
        </is>
      </c>
    </row>
    <row r="72" ht="15" customHeight="1" s="34">
      <c r="A72" s="38" t="inlineStr">
        <is>
          <t>排程器</t>
        </is>
      </c>
      <c r="B72" s="36" t="inlineStr">
        <is>
          <t>E-05 需要排程器可啟動的環境（demo 依裁定關閉，該案會是 BLOCKED）</t>
        </is>
      </c>
    </row>
    <row r="73" ht="15" customHeight="1" s="34">
      <c r="A73" s="38" t="inlineStr">
        <is>
          <t>券商對帳單</t>
        </is>
      </c>
      <c r="B73" s="36" t="inlineStr">
        <is>
          <t>I-10 需要一份真實的 Schwab 匯出 CSV</t>
        </is>
      </c>
    </row>
    <row r="74" ht="15" customHeight="1" s="34">
      <c r="A74" s="37" t="inlineStr">
        <is>
          <t>AI 額度</t>
        </is>
      </c>
      <c r="B74" s="36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7" customWidth="1" style="33" min="2" max="2"/>
    <col width="20" customWidth="1" style="33" min="3" max="3"/>
    <col width="26" customWidth="1" style="33" min="4" max="4"/>
    <col width="36" customWidth="1" style="33" min="5" max="5"/>
    <col width="42" customWidth="1" style="33" min="6" max="6"/>
    <col width="26" customWidth="1" style="33" min="7" max="7"/>
    <col width="11" customWidth="1" style="33" min="8" max="8"/>
    <col width="34" customWidth="1" style="33" min="9" max="9"/>
    <col width="10" customWidth="1" style="33" min="10" max="10"/>
    <col width="12" customWidth="1" style="33" min="11" max="11"/>
    <col width="11" customWidth="1" style="33" min="12" max="12"/>
    <col width="10" customWidth="1" style="33" min="13" max="13"/>
    <col width="20" customWidth="1" style="33" min="14" max="14"/>
  </cols>
  <sheetData>
    <row r="1" ht="31.5" customHeight="1" s="34">
      <c r="A1" s="41" t="inlineStr">
        <is>
          <t>ID</t>
        </is>
      </c>
      <c r="B1" s="42" t="inlineStr">
        <is>
          <t>群組</t>
        </is>
      </c>
      <c r="C1" s="42" t="inlineStr">
        <is>
          <t>功能點</t>
        </is>
      </c>
      <c r="D1" s="42" t="inlineStr">
        <is>
          <t>前置條件</t>
        </is>
      </c>
      <c r="E1" s="42" t="inlineStr">
        <is>
          <t>操作步驟</t>
        </is>
      </c>
      <c r="F1" s="42" t="inlineStr">
        <is>
          <t>預期結果與驗算</t>
        </is>
      </c>
      <c r="G1" s="42" t="inlineStr">
        <is>
          <t>風險與還原</t>
        </is>
      </c>
      <c r="H1" s="42" t="inlineStr">
        <is>
          <t>稽核已驗</t>
        </is>
      </c>
      <c r="I1" s="41" t="inlineStr">
        <is>
          <t>R1 實測結果</t>
        </is>
      </c>
      <c r="J1" s="41" t="inlineStr">
        <is>
          <t>R1 判定</t>
        </is>
      </c>
      <c r="K1" s="42" t="inlineStr">
        <is>
          <t>關聯缺陷</t>
        </is>
      </c>
      <c r="L1" s="42" t="inlineStr">
        <is>
          <t>目前狀態</t>
        </is>
      </c>
      <c r="M1" s="42" t="inlineStr">
        <is>
          <t>最終判定</t>
        </is>
      </c>
      <c r="N1" s="42" t="inlineStr">
        <is>
          <t>備註</t>
        </is>
      </c>
    </row>
    <row r="2" ht="44" customHeight="1" s="34">
      <c r="A2" s="43" t="inlineStr">
        <is>
          <t>範例</t>
        </is>
      </c>
      <c r="B2" s="44" t="inlineStr">
        <is>
          <t>—</t>
        </is>
      </c>
      <c r="C2" s="43" t="inlineStr">
        <is>
          <t>（填寫範例，執行時略過）</t>
        </is>
      </c>
      <c r="D2" s="44" t="inlineStr">
        <is>
          <t>—</t>
        </is>
      </c>
      <c r="E2" s="44" t="inlineStr">
        <is>
          <t>—</t>
        </is>
      </c>
      <c r="F2" s="44" t="inlineStr">
        <is>
          <t>—</t>
        </is>
      </c>
      <c r="G2" s="44" t="inlineStr">
        <is>
          <t>—</t>
        </is>
      </c>
      <c r="H2" s="44" t="inlineStr">
        <is>
          <t>—</t>
        </is>
      </c>
      <c r="I2" s="44" t="inlineStr">
        <is>
          <t>bk-account 顯示「TW Broker（tw_broker）」，同頁 m-account 顯示「台灣券商（TWD）」</t>
        </is>
      </c>
      <c r="J2" s="44" t="inlineStr">
        <is>
          <t>FAIL</t>
        </is>
      </c>
      <c r="K2" s="44" t="inlineStr">
        <is>
          <t>DEF-範例</t>
        </is>
      </c>
      <c r="L2" s="43" t="inlineStr">
        <is>
          <t>結案</t>
        </is>
      </c>
      <c r="M2" s="44" t="inlineStr">
        <is>
          <t>PASS</t>
        </is>
      </c>
      <c r="N2" s="44" t="inlineStr">
        <is>
          <t>R2 複驗通過</t>
        </is>
      </c>
    </row>
    <row r="3" ht="17.15" customHeight="1" s="34">
      <c r="A3" s="45" t="inlineStr">
        <is>
          <t>A. 帳戶現金：入金／出金／利息／費用／換匯／折讓款</t>
        </is>
      </c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7" t="n"/>
    </row>
    <row r="4" ht="58.2" customHeight="1" s="34">
      <c r="A4" s="48" t="inlineStr">
        <is>
          <t>A-01</t>
        </is>
      </c>
      <c r="B4" s="49" t="inlineStr">
        <is>
          <t>A</t>
        </is>
      </c>
      <c r="C4" s="50" t="inlineStr">
        <is>
          <t>入金（本幣）寫入</t>
        </is>
      </c>
      <c r="D4" s="50" t="inlineStr">
        <is>
          <t>資金管理 › **出金入金**；先記錄基準：`GET /api/cash` 該池餘額、`GET /api/dashboard` 的 kpis、資金收支列數</t>
        </is>
      </c>
      <c r="E4" s="50" t="inlineStr">
        <is>
          <t>點 kind 按鈕『入金』→ 帳戶=台灣券商、幣別 TWD、金額 100,000、日期=今天 → 確認寫入</t>
        </is>
      </c>
      <c r="F4" s="50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0" t="inlineStr">
        <is>
          <t>會寫入帳本。測畢刪除該列，並比對 `/api/dashboard` 的 kpis／holdings 與基準**字串完全相同**</t>
        </is>
      </c>
      <c r="H4" s="50" t="inlineStr">
        <is>
          <t>否</t>
        </is>
      </c>
      <c r="I4" s="51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51" t="inlineStr">
        <is>
          <t>OBSERVE</t>
        </is>
      </c>
      <c r="K4" s="51" t="inlineStr">
        <is>
          <t>DEF-006</t>
        </is>
      </c>
      <c r="L4" s="52" t="inlineStr">
        <is>
          <t>結案</t>
        </is>
      </c>
      <c r="M4" s="51" t="inlineStr">
        <is>
          <t>PASS</t>
        </is>
      </c>
      <c r="N4" s="51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</t>
        </is>
      </c>
    </row>
    <row r="5" ht="58.2" customHeight="1" s="34">
      <c r="A5" s="48" t="inlineStr">
        <is>
          <t>A-02</t>
        </is>
      </c>
      <c r="B5" s="49" t="inlineStr">
        <is>
          <t>A</t>
        </is>
      </c>
      <c r="C5" s="50" t="inlineStr">
        <is>
          <t>入金（外幣，取得匯率模式）</t>
        </is>
      </c>
      <c r="D5" s="50" t="inlineStr">
        <is>
          <t>帳戶=嘉信 Schwab（家幣 TWD、外幣 USD）</t>
        </is>
      </c>
      <c r="E5" s="50" t="inlineStr">
        <is>
          <t>入金 → 幣別 USD、金額 1,000 →『取得成本』切到『匯率』模式，填 31.5 → 確認寫入</t>
        </is>
      </c>
      <c r="F5" s="49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0" t="inlineStr">
        <is>
          <t>同 A-01，測畢刪除並逐位元比對</t>
        </is>
      </c>
      <c r="H5" s="50" t="inlineStr">
        <is>
          <t>否</t>
        </is>
      </c>
      <c r="I5" s="51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51" t="inlineStr">
        <is>
          <t>FAIL</t>
        </is>
      </c>
      <c r="K5" s="51" t="inlineStr">
        <is>
          <t>DEF-007</t>
        </is>
      </c>
      <c r="L5" s="52" t="inlineStr">
        <is>
          <t>結案</t>
        </is>
      </c>
      <c r="M5" s="51" t="inlineStr">
        <is>
          <t>PASS</t>
        </is>
      </c>
      <c r="N5" s="51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</t>
        </is>
      </c>
    </row>
    <row r="6" ht="29.85" customHeight="1" s="34">
      <c r="A6" s="48" t="inlineStr">
        <is>
          <t>A-03</t>
        </is>
      </c>
      <c r="B6" s="49" t="inlineStr">
        <is>
          <t>A</t>
        </is>
      </c>
      <c r="C6" s="50" t="inlineStr">
        <is>
          <t>入金（外幣，家幣金額模式）</t>
        </is>
      </c>
      <c r="D6" s="50" t="inlineStr">
        <is>
          <t>同 A-02</t>
        </is>
      </c>
      <c r="E6" s="50" t="inlineStr">
        <is>
          <t>入金 USD 1,000 →『取得成本』切到『家幣金額』，填 31,500 → 確認寫入</t>
        </is>
      </c>
      <c r="F6" s="50" t="inlineStr">
        <is>
          <t>系統自行反推匯率 31.5（1,000 × 31.5 = 31,500），與 A-02 的結果一致；兩種模式互為驗算</t>
        </is>
      </c>
      <c r="G6" s="50" t="inlineStr">
        <is>
          <t>同上</t>
        </is>
      </c>
      <c r="H6" s="50" t="inlineStr">
        <is>
          <t>否</t>
        </is>
      </c>
      <c r="I6" s="51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51" t="inlineStr">
        <is>
          <t>PASS</t>
        </is>
      </c>
      <c r="K6" s="51" t="n"/>
      <c r="L6" s="52" t="inlineStr">
        <is>
          <t>PASS</t>
        </is>
      </c>
      <c r="M6" s="51" t="inlineStr">
        <is>
          <t>PASS</t>
        </is>
      </c>
      <c r="N6" s="51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</t>
        </is>
      </c>
    </row>
    <row r="7" ht="29.85" customHeight="1" s="34">
      <c r="A7" s="48" t="inlineStr">
        <is>
          <t>A-04</t>
        </is>
      </c>
      <c r="B7" s="49" t="inlineStr">
        <is>
          <t>A</t>
        </is>
      </c>
      <c r="C7" s="50" t="inlineStr">
        <is>
          <t>出金寫入</t>
        </is>
      </c>
      <c r="D7" s="50" t="inlineStr">
        <is>
          <t>選定池餘額已知</t>
        </is>
      </c>
      <c r="E7" s="50" t="inlineStr">
        <is>
          <t>點 kind 按鈕『出金』→ 金額 = 餘額的一半 → 確認寫入</t>
        </is>
      </c>
      <c r="F7" s="50" t="inlineStr">
        <is>
          <t>① 池餘額 = 基準 − 金額；② 方向 chip 為**中性色外框**（入金實心、出金外框——2026-09-24 owner 裁定 DEF-006）；③ 持倉不受影響</t>
        </is>
      </c>
      <c r="G7" s="50" t="inlineStr">
        <is>
          <t>測畢刪除並比對</t>
        </is>
      </c>
      <c r="H7" s="50" t="inlineStr">
        <is>
          <t>否</t>
        </is>
      </c>
      <c r="I7" s="51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51" t="inlineStr">
        <is>
          <t>PASS</t>
        </is>
      </c>
      <c r="K7" s="51" t="n"/>
      <c r="L7" s="52" t="inlineStr">
        <is>
          <t>PASS</t>
        </is>
      </c>
      <c r="M7" s="51" t="inlineStr">
        <is>
          <t>PASS</t>
        </is>
      </c>
      <c r="N7" s="51" t="inlineStr">
        <is>
          <t>chip 顏色問題併入 DEF-006（待裁定）；TWD 最小單位檢核為額外正向發現</t>
        </is>
      </c>
    </row>
    <row r="8" ht="44" customHeight="1" s="34">
      <c r="A8" s="48" t="inlineStr">
        <is>
          <t>A-05</t>
        </is>
      </c>
      <c r="B8" s="49" t="inlineStr">
        <is>
          <t>A</t>
        </is>
      </c>
      <c r="C8" s="50" t="inlineStr">
        <is>
          <t>出金超額必須被擋</t>
        </is>
      </c>
      <c r="D8" s="50" t="inlineStr">
        <is>
          <t>已知池餘額 X</t>
        </is>
      </c>
      <c r="E8" s="50" t="inlineStr">
        <is>
          <t>出金金額填 X + 1 → 送出</t>
        </is>
      </c>
      <c r="F8" s="50" t="inlineStr">
        <is>
          <t>① 前端顯示可用餘額上限提示；② 後端回 400 且**不得寫入**，訊息需指出是哪一天開始透支；③ 資金收支列數不變</t>
        </is>
      </c>
      <c r="G8" s="50" t="inlineStr">
        <is>
          <t>不會寫入（預期被擋）。若竟然寫入 → 判 FAIL 並立即刪除</t>
        </is>
      </c>
      <c r="H8" s="50" t="inlineStr">
        <is>
          <t>否</t>
        </is>
      </c>
      <c r="I8" s="51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51" t="inlineStr">
        <is>
          <t>FAIL</t>
        </is>
      </c>
      <c r="K8" s="51" t="inlineStr">
        <is>
          <t>DEF-008</t>
        </is>
      </c>
      <c r="L8" s="52" t="inlineStr">
        <is>
          <t>結案</t>
        </is>
      </c>
      <c r="M8" s="51" t="inlineStr">
        <is>
          <t>PASS</t>
        </is>
      </c>
      <c r="N8" s="51" t="inlineStr">
        <is>
          <t>同一錯誤碼在 A-06（過去日期）會點名日期，當日出金走的訊息分支沒有
R2：DEF-008 複驗通過結案</t>
        </is>
      </c>
    </row>
    <row r="9" ht="29.85" customHeight="1" s="34">
      <c r="A9" s="48" t="inlineStr">
        <is>
          <t>A-06</t>
        </is>
      </c>
      <c r="B9" s="49" t="inlineStr">
        <is>
          <t>A</t>
        </is>
      </c>
      <c r="C9" s="50" t="inlineStr">
        <is>
          <t>出金造成「過去某日」透支</t>
        </is>
      </c>
      <c r="D9" s="50" t="inlineStr">
        <is>
          <t>池中有多筆依日期排序的紀錄</t>
        </is>
      </c>
      <c r="E9" s="50" t="inlineStr">
        <is>
          <t>在**過去日期**插入一筆大額出金，使該日之後某一天餘額為負</t>
        </is>
      </c>
      <c r="F9" s="50" t="inlineStr">
        <is>
          <t>系統需指出**哪一天**開始為負並阻擋（日期感知餘額，非只看期末）</t>
        </is>
      </c>
      <c r="G9" s="50" t="inlineStr">
        <is>
          <t>預期被擋；若寫入成功需刪除</t>
        </is>
      </c>
      <c r="H9" s="50" t="inlineStr">
        <is>
          <t>否</t>
        </is>
      </c>
      <c r="I9" s="51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51" t="inlineStr">
        <is>
          <t>PASS</t>
        </is>
      </c>
      <c r="K9" s="51" t="n"/>
      <c r="L9" s="52" t="inlineStr">
        <is>
          <t>PASS</t>
        </is>
      </c>
      <c r="M9" s="51" t="inlineStr">
        <is>
          <t>PASS</t>
        </is>
      </c>
      <c r="N9" s="51" t="inlineStr">
        <is>
          <t>訊息用 API 英文帳戶名「TW Broker」、4 位小數原值與附加錯誤碼，見 DEF-008</t>
        </is>
      </c>
    </row>
    <row r="10" ht="44" customHeight="1" s="34">
      <c r="A10" s="48" t="inlineStr">
        <is>
          <t>A-07</t>
        </is>
      </c>
      <c r="B10" s="49" t="inlineStr">
        <is>
          <t>A</t>
        </is>
      </c>
      <c r="C10" s="50" t="inlineStr">
        <is>
          <t>利息入帳</t>
        </is>
      </c>
      <c r="D10" s="49" t="inlineStr">
        <is>
          <t>—</t>
        </is>
      </c>
      <c r="E10" s="50" t="inlineStr">
        <is>
          <t>點 kind 按鈕『利息』→ 帳戶=嘉信 Schwab、幣別 USD、金額 12.34 → 確認寫入</t>
        </is>
      </c>
      <c r="F10" s="50" t="inlineStr">
        <is>
          <t>① 池餘額 +12.34；② kind 顯示「利息」；③ 利息**不得**被計入持倉成本或已實現損益；④ 出現在資金收支與現金對帳單匯出</t>
        </is>
      </c>
      <c r="G10" s="50" t="inlineStr">
        <is>
          <t>測畢刪除並比對</t>
        </is>
      </c>
      <c r="H10" s="50" t="inlineStr">
        <is>
          <t>否（本次稽核未測）</t>
        </is>
      </c>
      <c r="I10" s="51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51" t="inlineStr">
        <is>
          <t>PASS</t>
        </is>
      </c>
      <c r="K10" s="51" t="n"/>
      <c r="L10" s="52" t="inlineStr">
        <is>
          <t>PASS</t>
        </is>
      </c>
      <c r="M10" s="51" t="inlineStr">
        <is>
          <t>PASS</t>
        </is>
      </c>
      <c r="N10" s="51" t="n"/>
    </row>
    <row r="11" ht="29.85" customHeight="1" s="34">
      <c r="A11" s="48" t="inlineStr">
        <is>
          <t>A-08</t>
        </is>
      </c>
      <c r="B11" s="49" t="inlineStr">
        <is>
          <t>A</t>
        </is>
      </c>
      <c r="C11" s="50" t="inlineStr">
        <is>
          <t>融資利息（扣款）</t>
        </is>
      </c>
      <c r="D11" s="49" t="inlineStr">
        <is>
          <t>—</t>
        </is>
      </c>
      <c r="E11" s="50" t="inlineStr">
        <is>
          <t>點 kind 按鈕『融資利息』→ 金額 5.00 → 確認寫入</t>
        </is>
      </c>
      <c r="F11" s="50" t="inlineStr">
        <is>
          <t>① 池餘額 −5.00；② 方向為扣款；③ 不影響持倉成本</t>
        </is>
      </c>
      <c r="G11" s="50" t="inlineStr">
        <is>
          <t>測畢刪除並比對</t>
        </is>
      </c>
      <c r="H11" s="50" t="inlineStr">
        <is>
          <t>否</t>
        </is>
      </c>
      <c r="I11" s="51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51" t="inlineStr">
        <is>
          <t>PASS</t>
        </is>
      </c>
      <c r="K11" s="51" t="n"/>
      <c r="L11" s="52" t="inlineStr">
        <is>
          <t>PASS</t>
        </is>
      </c>
      <c r="M11" s="51" t="inlineStr">
        <is>
          <t>PASS</t>
        </is>
      </c>
      <c r="N11" s="51" t="n"/>
    </row>
    <row r="12" ht="29.85" customHeight="1" s="34">
      <c r="A12" s="48" t="inlineStr">
        <is>
          <t>A-09</t>
        </is>
      </c>
      <c r="B12" s="49" t="inlineStr">
        <is>
          <t>A</t>
        </is>
      </c>
      <c r="C12" s="50" t="inlineStr">
        <is>
          <t>券商費用（扣款）</t>
        </is>
      </c>
      <c r="D12" s="49" t="inlineStr">
        <is>
          <t>—</t>
        </is>
      </c>
      <c r="E12" s="50" t="inlineStr">
        <is>
          <t>點 kind 按鈕『券商費用』→ 金額 3.00 → 確認寫入</t>
        </is>
      </c>
      <c r="F12" s="50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0" t="inlineStr">
        <is>
          <t>測畢刪除並比對</t>
        </is>
      </c>
      <c r="H12" s="50" t="inlineStr">
        <is>
          <t>否</t>
        </is>
      </c>
      <c r="I12" s="51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51" t="inlineStr">
        <is>
          <t>PASS</t>
        </is>
      </c>
      <c r="K12" s="51" t="n"/>
      <c r="L12" s="52" t="inlineStr">
        <is>
          <t>PASS</t>
        </is>
      </c>
      <c r="M12" s="51" t="inlineStr">
        <is>
          <t>PASS</t>
        </is>
      </c>
      <c r="N12" s="51" t="inlineStr">
        <is>
          <t>502 為暫時性閘道錯誤（/api/health 同時 269ms 正常、重試即成功）；空內容 502 時 toast 只顯示英文「error」，交 owner 參考</t>
        </is>
      </c>
    </row>
    <row r="13" ht="44" customHeight="1" s="34">
      <c r="A13" s="48" t="inlineStr">
        <is>
          <t>A-10</t>
        </is>
      </c>
      <c r="B13" s="49" t="inlineStr">
        <is>
          <t>A</t>
        </is>
      </c>
      <c r="C13" s="50" t="inlineStr">
        <is>
          <t>期初資金</t>
        </is>
      </c>
      <c r="D13" s="49" t="inlineStr">
        <is>
          <t>—</t>
        </is>
      </c>
      <c r="E13" s="50" t="inlineStr">
        <is>
          <t>點 kind 按鈕『期初資金』→ 填金額與日期（早於所有紀錄）→ 確認寫入</t>
        </is>
      </c>
      <c r="F13" s="50" t="inlineStr">
        <is>
          <t>① 成為滾動餘額的起點；② 後續每列餘額全部往上加；③ 期初資金屬取得性質，外幣時應提供取得成本欄</t>
        </is>
      </c>
      <c r="G13" s="50" t="inlineStr">
        <is>
          <t>測畢刪除並比對</t>
        </is>
      </c>
      <c r="H13" s="50" t="inlineStr">
        <is>
          <t>否</t>
        </is>
      </c>
      <c r="I13" s="51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51" t="inlineStr">
        <is>
          <t>PASS</t>
        </is>
      </c>
      <c r="K13" s="51" t="n"/>
      <c r="L13" s="52" t="inlineStr">
        <is>
          <t>PASS</t>
        </is>
      </c>
      <c r="M13" s="51" t="inlineStr">
        <is>
          <t>PASS</t>
        </is>
      </c>
      <c r="N13" s="51" t="inlineStr">
        <is>
          <t>提示句「參考值：2026-01-01 收盤」— 元旦無收盤，同 DEF-007 的日期標示問題</t>
        </is>
      </c>
    </row>
    <row r="14" ht="29.85" customHeight="1" s="34">
      <c r="A14" s="48" t="inlineStr">
        <is>
          <t>A-11</t>
        </is>
      </c>
      <c r="B14" s="49" t="inlineStr">
        <is>
          <t>A</t>
        </is>
      </c>
      <c r="C14" s="50" t="inlineStr">
        <is>
          <t>現金收支編輯</t>
        </is>
      </c>
      <c r="D14" s="50" t="inlineStr">
        <is>
          <t>任選一列可編輯的紀錄</t>
        </is>
      </c>
      <c r="E14" s="50" t="inlineStr">
        <is>
          <t>編輯 → 改金額與備註 → 儲存</t>
        </is>
      </c>
      <c r="F14" s="50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50" t="inlineStr">
        <is>
          <t>改完改回原值，或刪除後重建</t>
        </is>
      </c>
      <c r="H14" s="50" t="inlineStr">
        <is>
          <t>否</t>
        </is>
      </c>
      <c r="I14" s="51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51" t="inlineStr">
        <is>
          <t>OBSERVE</t>
        </is>
      </c>
      <c r="K14" s="51" t="inlineStr">
        <is>
          <t>DEF-009</t>
        </is>
      </c>
      <c r="L14" s="52" t="inlineStr">
        <is>
          <t>FAIL</t>
        </is>
      </c>
      <c r="M14" s="51" t="n"/>
      <c r="N14" s="51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</t>
        </is>
      </c>
    </row>
    <row r="15" ht="29.85" customHeight="1" s="34">
      <c r="A15" s="48" t="inlineStr">
        <is>
          <t>A-12</t>
        </is>
      </c>
      <c r="B15" s="49" t="inlineStr">
        <is>
          <t>A</t>
        </is>
      </c>
      <c r="C15" s="50" t="inlineStr">
        <is>
          <t>滾動餘額逐列驗算</t>
        </is>
      </c>
      <c r="D15" s="49" t="inlineStr">
        <is>
          <t>—</t>
        </is>
      </c>
      <c r="E15" s="50" t="inlineStr">
        <is>
          <t>匯出或逐頁讀取某一池（例如 Moomoo MY／MYR）全部紀錄</t>
        </is>
      </c>
      <c r="F15" s="50" t="inlineStr">
        <is>
          <t>對每一列：前一列餘額 + 本列金額 = 本列餘額；最末列 = `GET /api/cash` 的當前餘額</t>
        </is>
      </c>
      <c r="G15" s="50" t="inlineStr">
        <is>
          <t>唯讀</t>
        </is>
      </c>
      <c r="H15" s="50" t="inlineStr">
        <is>
          <t>✅ 已驗（31 列）</t>
        </is>
      </c>
      <c r="I15" s="51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51" t="inlineStr">
        <is>
          <t>PASS</t>
        </is>
      </c>
      <c r="K15" s="51" t="n"/>
      <c r="L15" s="52" t="inlineStr">
        <is>
          <t>PASS</t>
        </is>
      </c>
      <c r="M15" s="51" t="inlineStr">
        <is>
          <t>PASS</t>
        </is>
      </c>
      <c r="N15" s="51" t="inlineStr">
        <is>
          <t>前一輪稽核記錄為 31 列，本輪畫面／CSV 皆為 28 列（資料量差異，非本案判定依據）</t>
        </is>
      </c>
    </row>
    <row r="16" ht="58.2" customHeight="1" s="34">
      <c r="A16" s="48" t="inlineStr">
        <is>
          <t>A-13</t>
        </is>
      </c>
      <c r="B16" s="49" t="inlineStr">
        <is>
          <t>A</t>
        </is>
      </c>
      <c r="C16" s="50" t="inlineStr">
        <is>
          <t>換匯寫入</t>
        </is>
      </c>
      <c r="D16" s="50" t="inlineStr">
        <is>
          <t>記錄基準：兩池餘額、FX 取得均價、`kpis.total_return`</t>
        </is>
      </c>
      <c r="E16" s="50" t="inlineStr">
        <is>
          <t>換匯中心 → 賣出 MYR 4,000 → 買入 USD（自動試算）→ 確認寫入</t>
        </is>
      </c>
      <c r="F16" s="49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0" t="inlineStr">
        <is>
          <t>測畢由換匯帳本刪除，並比對現金池、均價、`reporting_total` 逐位元還原</t>
        </is>
      </c>
      <c r="H16" s="50" t="inlineStr">
        <is>
          <t>✅ 已驗（第一輪）</t>
        </is>
      </c>
      <c r="I16" s="51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51" t="inlineStr">
        <is>
          <t>PASS</t>
        </is>
      </c>
      <c r="K16" s="51" t="n"/>
      <c r="L16" s="52" t="inlineStr">
        <is>
          <t>PASS</t>
        </is>
      </c>
      <c r="M16" s="51" t="inlineStr">
        <is>
          <t>PASS</t>
        </is>
      </c>
      <c r="N16" s="51" t="n"/>
    </row>
    <row r="17" ht="29.85" customHeight="1" s="34">
      <c r="A17" s="48" t="inlineStr">
        <is>
          <t>A-14</t>
        </is>
      </c>
      <c r="B17" s="49" t="inlineStr">
        <is>
          <t>A</t>
        </is>
      </c>
      <c r="C17" s="50" t="inlineStr">
        <is>
          <t>換匯：買賣幣別相同</t>
        </is>
      </c>
      <c r="D17" s="49" t="inlineStr">
        <is>
          <t>—</t>
        </is>
      </c>
      <c r="E17" s="50" t="inlineStr">
        <is>
          <t>把買入幣別設成與賣出相同</t>
        </is>
      </c>
      <c r="F17" s="50" t="inlineStr">
        <is>
          <t>顯示「買賣幣別不可相同 — 已自動將賣出幣別改為 X，可用餘額也隨之切換」，且賣出幣別確實翻轉</t>
        </is>
      </c>
      <c r="G17" s="50" t="inlineStr">
        <is>
          <t>不送出</t>
        </is>
      </c>
      <c r="H17" s="50" t="inlineStr">
        <is>
          <t>✅ 已驗（三輪）</t>
        </is>
      </c>
      <c r="I17" s="51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51" t="inlineStr">
        <is>
          <t>PASS</t>
        </is>
      </c>
      <c r="K17" s="51" t="n"/>
      <c r="L17" s="52" t="inlineStr">
        <is>
          <t>PASS</t>
        </is>
      </c>
      <c r="M17" s="51" t="inlineStr">
        <is>
          <t>PASS</t>
        </is>
      </c>
      <c r="N17" s="51" t="inlineStr">
        <is>
          <t>未送出</t>
        </is>
      </c>
    </row>
    <row r="18" ht="58.2" customHeight="1" s="34">
      <c r="A18" s="48" t="inlineStr">
        <is>
          <t>A-15</t>
        </is>
      </c>
      <c r="B18" s="49" t="inlineStr">
        <is>
          <t>A</t>
        </is>
      </c>
      <c r="C18" s="50" t="inlineStr">
        <is>
          <t>換匯：手動指定買入金額</t>
        </is>
      </c>
      <c r="D18" s="50" t="inlineStr">
        <is>
          <t>已填賣出金額並完成自動試算</t>
        </is>
      </c>
      <c r="E18" s="50" t="inlineStr">
        <is>
          <t>手動改寫買入金額</t>
        </is>
      </c>
      <c r="F18" s="50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0" t="inlineStr">
        <is>
          <t>不送出</t>
        </is>
      </c>
      <c r="H18" s="50" t="inlineStr">
        <is>
          <t>✅ 已驗（三輪）</t>
        </is>
      </c>
      <c r="I18" s="51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51" t="inlineStr">
        <is>
          <t>PASS</t>
        </is>
      </c>
      <c r="K18" s="51" t="n"/>
      <c r="L18" s="52" t="inlineStr">
        <is>
          <t>PASS</t>
        </is>
      </c>
      <c r="M18" s="51" t="inlineStr">
        <is>
          <t>PASS</t>
        </is>
      </c>
      <c r="N18" s="51" t="inlineStr">
        <is>
          <t>未送出</t>
        </is>
      </c>
    </row>
    <row r="19" ht="29.85" customHeight="1" s="34">
      <c r="A19" s="48" t="inlineStr">
        <is>
          <t>A-16</t>
        </is>
      </c>
      <c r="B19" s="49" t="inlineStr">
        <is>
          <t>A</t>
        </is>
      </c>
      <c r="C19" s="50" t="inlineStr">
        <is>
          <t>折讓款確認入帳與復原</t>
        </is>
      </c>
      <c r="D19" s="50" t="inlineStr">
        <is>
          <t>收件匣有待確認折讓款</t>
        </is>
      </c>
      <c r="E19" s="50" t="inlineStr">
        <is>
          <t>收件匣 → 折讓款 → 確認入帳（填實際金額）→ 檢查 → 復原</t>
        </is>
      </c>
      <c r="F19" s="50" t="inlineStr">
        <is>
          <t>① 現金池增加該金額；② 不影響持倉成本；③ 復原後現金池與列數逐位元還原</t>
        </is>
      </c>
      <c r="G19" s="50" t="inlineStr">
        <is>
          <t>會寫入；務必復原並比對</t>
        </is>
      </c>
      <c r="H19" s="50" t="inlineStr">
        <is>
          <t>否</t>
        </is>
      </c>
      <c r="I19" s="51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51" t="inlineStr">
        <is>
          <t>PASS</t>
        </is>
      </c>
      <c r="K19" s="51" t="inlineStr">
        <is>
          <t>DEF-011</t>
        </is>
      </c>
      <c r="L19" s="52" t="inlineStr">
        <is>
          <t>結案</t>
        </is>
      </c>
      <c r="M19" s="51" t="inlineStr">
        <is>
          <t>PASS</t>
        </is>
      </c>
      <c r="N19" s="51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</t>
        </is>
      </c>
    </row>
    <row r="20" ht="17.15" customHeight="1" s="34">
      <c r="A20" s="45" t="inlineStr">
        <is>
          <t>B. 股票買賣、手續費稅與對應幣別現金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</row>
    <row r="21" ht="58.2" customHeight="1" s="34">
      <c r="A21" s="48" t="inlineStr">
        <is>
          <t>B-01</t>
        </is>
      </c>
      <c r="B21" s="49" t="inlineStr">
        <is>
          <t>B</t>
        </is>
      </c>
      <c r="C21" s="50" t="inlineStr">
        <is>
          <t>台股買進（整股）</t>
        </is>
      </c>
      <c r="D21" s="50" t="inlineStr">
        <is>
          <t>交易帳本 › 手動交易；記錄基準持股、均價、該帳戶 TWD 現金</t>
        </is>
      </c>
      <c r="E21" s="50" t="inlineStr">
        <is>
          <t>買進 2884 1,000 股 @ 45.20（台灣券商）→ 檢查草稿試算 → 確認寫入</t>
        </is>
      </c>
      <c r="F21" s="50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0" t="inlineStr">
        <is>
          <t>測畢刪除該筆並比對 `/api/dashboard` 四組 JSON 與基準相同</t>
        </is>
      </c>
      <c r="H21" s="50" t="inlineStr">
        <is>
          <t>✅ 已驗（同型：100 股）</t>
        </is>
      </c>
      <c r="I21" s="51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51" t="inlineStr">
        <is>
          <t>PASS</t>
        </is>
      </c>
      <c r="K21" s="51" t="n"/>
      <c r="L21" s="52" t="inlineStr">
        <is>
          <t>PASS</t>
        </is>
      </c>
      <c r="M21" s="51" t="inlineStr">
        <is>
          <t>PASS</t>
        </is>
      </c>
      <c r="N21" s="51" t="n"/>
    </row>
    <row r="22" ht="41" customHeight="1" s="34">
      <c r="A22" s="48" t="inlineStr">
        <is>
          <t>B-02</t>
        </is>
      </c>
      <c r="B22" s="49" t="inlineStr">
        <is>
          <t>B</t>
        </is>
      </c>
      <c r="C22" s="50" t="inlineStr">
        <is>
          <t>台股買進（觸發最低手續費）</t>
        </is>
      </c>
      <c r="D22" s="50" t="inlineStr">
        <is>
          <t>同上</t>
        </is>
      </c>
      <c r="E22" s="50" t="inlineStr">
        <is>
          <t>買進 2884 100 股 @ 45.20</t>
        </is>
      </c>
      <c r="F22" s="50" t="inlineStr">
        <is>
          <t>手續費 = max(floor(4,520 × 0.1425%) = 6, **20**) = 20；總成本 4,540；均價依 (9,320 + 4,540) ÷ 200 = **69.30**</t>
        </is>
      </c>
      <c r="G22" s="50" t="inlineStr">
        <is>
          <t>測畢刪除並比對</t>
        </is>
      </c>
      <c r="H22" s="50" t="inlineStr">
        <is>
          <t>✅ 已驗（三輪）</t>
        </is>
      </c>
      <c r="I22" s="51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51" t="inlineStr">
        <is>
          <t>PASS</t>
        </is>
      </c>
      <c r="K22" s="51" t="n"/>
      <c r="L22" s="52" t="inlineStr">
        <is>
          <t>PASS</t>
        </is>
      </c>
      <c r="M22" s="51" t="inlineStr">
        <is>
          <t>PASS</t>
        </is>
      </c>
      <c r="N22" s="51" t="inlineStr">
        <is>
          <t>與 J-03 同一條路徑</t>
        </is>
      </c>
    </row>
    <row r="23" ht="72.34999999999999" customHeight="1" s="34">
      <c r="A23" s="48" t="inlineStr">
        <is>
          <t>B-03</t>
        </is>
      </c>
      <c r="B23" s="49" t="inlineStr">
        <is>
          <t>B</t>
        </is>
      </c>
      <c r="C23" s="50" t="inlineStr">
        <is>
          <t>台股賣出（整股）</t>
        </is>
      </c>
      <c r="D23" s="50" t="inlineStr">
        <is>
          <t>持有 2884 ≥ 200 股</t>
        </is>
      </c>
      <c r="E23" s="50" t="inlineStr">
        <is>
          <t>賣出 2884 100 股 @ 46.00 → 確認寫入</t>
        </is>
      </c>
      <c r="F23" s="50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0" t="inlineStr">
        <is>
          <t>會產生已實現列。測畢刪除該筆賣出，確認已實現列一併消失且 `realized.by_currency` 還原</t>
        </is>
      </c>
      <c r="H23" s="50" t="inlineStr">
        <is>
          <t>否（僅以試算手算驗過）</t>
        </is>
      </c>
      <c r="I23" s="51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51" t="inlineStr">
        <is>
          <t>PASS</t>
        </is>
      </c>
      <c r="K23" s="51" t="n"/>
      <c r="L23" s="52" t="inlineStr">
        <is>
          <t>PASS</t>
        </is>
      </c>
      <c r="M23" s="51" t="inlineStr">
        <is>
          <t>PASS</t>
        </is>
      </c>
      <c r="N23" s="51" t="n"/>
    </row>
    <row r="24" ht="44" customHeight="1" s="34">
      <c r="A24" s="48" t="inlineStr">
        <is>
          <t>B-04</t>
        </is>
      </c>
      <c r="B24" s="49" t="inlineStr">
        <is>
          <t>B</t>
        </is>
      </c>
      <c r="C24" s="50" t="inlineStr">
        <is>
          <t>台股當沖賣出</t>
        </is>
      </c>
      <c r="D24" s="50" t="inlineStr">
        <is>
          <t>同日有買進</t>
        </is>
      </c>
      <c r="E24" s="50" t="inlineStr">
        <is>
          <t>賣出時勾選「當沖」→ 送出</t>
        </is>
      </c>
      <c r="F24" s="50" t="inlineStr">
        <is>
          <t>證交稅率改用 **0.15%**：floor(金額 × 0.15%)；未勾選時為 0.3%</t>
        </is>
      </c>
      <c r="G24" s="50" t="inlineStr">
        <is>
          <t>測畢刪除</t>
        </is>
      </c>
      <c r="H24" s="50" t="inlineStr">
        <is>
          <t>否（僅以試算手算驗過）</t>
        </is>
      </c>
      <c r="I24" s="51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51" t="inlineStr">
        <is>
          <t>PASS</t>
        </is>
      </c>
      <c r="K24" s="51" t="n"/>
      <c r="L24" s="52" t="inlineStr">
        <is>
          <t>PASS</t>
        </is>
      </c>
      <c r="M24" s="51" t="inlineStr">
        <is>
          <t>PASS</t>
        </is>
      </c>
      <c r="N24" s="51" t="n"/>
    </row>
    <row r="25" ht="29.85" customHeight="1" s="34">
      <c r="A25" s="48" t="inlineStr">
        <is>
          <t>B-05</t>
        </is>
      </c>
      <c r="B25" s="49" t="inlineStr">
        <is>
          <t>B</t>
        </is>
      </c>
      <c r="C25" s="50" t="inlineStr">
        <is>
          <t>台股零股小數必須被擋</t>
        </is>
      </c>
      <c r="D25" s="49" t="inlineStr">
        <is>
          <t>—</t>
        </is>
      </c>
      <c r="E25" s="50" t="inlineStr">
        <is>
          <t>股數填 0.5 → 觀察草稿與確認鍵</t>
        </is>
      </c>
      <c r="F25" s="50" t="inlineStr">
        <is>
          <t>顯示「✕ 台股股數必須是整數（零股以 1 股為單位），目前是 0.5」且「確認寫入」為 disabled</t>
        </is>
      </c>
      <c r="G25" s="50" t="inlineStr">
        <is>
          <t>不會寫入</t>
        </is>
      </c>
      <c r="H25" s="50" t="inlineStr">
        <is>
          <t>✅ 已驗（三輪）</t>
        </is>
      </c>
      <c r="I25" s="51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51" t="inlineStr">
        <is>
          <t>PASS</t>
        </is>
      </c>
      <c r="K25" s="51" t="n"/>
      <c r="L25" s="52" t="inlineStr">
        <is>
          <t>PASS</t>
        </is>
      </c>
      <c r="M25" s="51" t="inlineStr">
        <is>
          <t>PASS</t>
        </is>
      </c>
      <c r="N25" s="51" t="n"/>
    </row>
    <row r="26" ht="29.85" customHeight="1" s="34">
      <c r="A26" s="48" t="inlineStr">
        <is>
          <t>B-06</t>
        </is>
      </c>
      <c r="B26" s="49" t="inlineStr">
        <is>
          <t>B</t>
        </is>
      </c>
      <c r="C26" s="50" t="inlineStr">
        <is>
          <t>美股小數股允許</t>
        </is>
      </c>
      <c r="D26" s="50" t="inlineStr">
        <is>
          <t>帳戶=嘉信 Schwab</t>
        </is>
      </c>
      <c r="E26" s="50" t="inlineStr">
        <is>
          <t>買進 AAPL 0.5 股 @ 市價</t>
        </is>
      </c>
      <c r="F26" s="49" t="inlineStr">
        <is>
          <t>**不得**被整數規則擋下（美股 fractional 為刻意允許）；費用依美股規則計算</t>
        </is>
      </c>
      <c r="G26" s="50" t="inlineStr">
        <is>
          <t>測畢刪除並比對</t>
        </is>
      </c>
      <c r="H26" s="50" t="inlineStr">
        <is>
          <t>否</t>
        </is>
      </c>
      <c r="I26" s="51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51" t="inlineStr">
        <is>
          <t>PASS</t>
        </is>
      </c>
      <c r="K26" s="51" t="n"/>
      <c r="L26" s="52" t="inlineStr">
        <is>
          <t>PASS</t>
        </is>
      </c>
      <c r="M26" s="51" t="inlineStr">
        <is>
          <t>PASS</t>
        </is>
      </c>
      <c r="N26" s="51" t="inlineStr">
        <is>
          <t>附記：USD 池因此成為 398,330.73500（半分），成交金額未量化到 cent；券商實際以 cent 交割，長期可能與對帳單差 0.005 級距，交 owner 參考</t>
        </is>
      </c>
    </row>
    <row r="27" ht="44" customHeight="1" s="34">
      <c r="A27" s="48" t="inlineStr">
        <is>
          <t>B-07</t>
        </is>
      </c>
      <c r="B27" s="49" t="inlineStr">
        <is>
          <t>B</t>
        </is>
      </c>
      <c r="C27" s="50" t="inlineStr">
        <is>
          <t>美股買進扣 USD 現金</t>
        </is>
      </c>
      <c r="D27" s="50" t="inlineStr">
        <is>
          <t>記錄 schwab USD 池餘額</t>
        </is>
      </c>
      <c r="E27" s="50" t="inlineStr">
        <is>
          <t>買進 AAPL 1 股</t>
        </is>
      </c>
      <c r="F27" s="50" t="inlineStr">
        <is>
          <t>① 扣的是 **USD** 池，TWD 池不動；② 報告幣別（TWD）市值 = USD 市值 × 當日匯率；③ 總成本以 USD 記錄，不因匯率變動而改寫</t>
        </is>
      </c>
      <c r="G27" s="50" t="inlineStr">
        <is>
          <t>測畢刪除並比對</t>
        </is>
      </c>
      <c r="H27" s="50" t="inlineStr">
        <is>
          <t>否</t>
        </is>
      </c>
      <c r="I27" s="51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51" t="inlineStr">
        <is>
          <t>PASS</t>
        </is>
      </c>
      <c r="K27" s="51" t="n"/>
      <c r="L27" s="52" t="inlineStr">
        <is>
          <t>PASS</t>
        </is>
      </c>
      <c r="M27" s="51" t="inlineStr">
        <is>
          <t>PASS</t>
        </is>
      </c>
      <c r="N27" s="51" t="n"/>
    </row>
    <row r="28" ht="29.85" customHeight="1" s="34">
      <c r="A28" s="48" t="inlineStr">
        <is>
          <t>B-08</t>
        </is>
      </c>
      <c r="B28" s="49" t="inlineStr">
        <is>
          <t>B</t>
        </is>
      </c>
      <c r="C28" s="50" t="inlineStr">
        <is>
          <t>馬股買進扣 MYR 現金</t>
        </is>
      </c>
      <c r="D28" s="50" t="inlineStr">
        <is>
          <t>帳戶=Moomoo MY</t>
        </is>
      </c>
      <c r="E28" s="50" t="inlineStr">
        <is>
          <t>買進 1155 100 股</t>
        </is>
      </c>
      <c r="F28" s="50" t="inlineStr">
        <is>
          <t>① 扣 MYR 池；② 馬股股數整數規則同台股；③ 費用依馬股規則</t>
        </is>
      </c>
      <c r="G28" s="50" t="inlineStr">
        <is>
          <t>測畢刪除並比對</t>
        </is>
      </c>
      <c r="H28" s="50" t="inlineStr">
        <is>
          <t>否</t>
        </is>
      </c>
      <c r="I28" s="5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51" t="inlineStr">
        <is>
          <t>PASS</t>
        </is>
      </c>
      <c r="K28" s="51" t="n"/>
      <c r="L28" s="52" t="inlineStr">
        <is>
          <t>PASS</t>
        </is>
      </c>
      <c r="M28" s="51" t="inlineStr">
        <is>
          <t>PASS</t>
        </is>
      </c>
      <c r="N28" s="51" t="n"/>
    </row>
    <row r="29" ht="44" customHeight="1" s="34">
      <c r="A29" s="48" t="inlineStr">
        <is>
          <t>B-09</t>
        </is>
      </c>
      <c r="B29" s="49" t="inlineStr">
        <is>
          <t>B</t>
        </is>
      </c>
      <c r="C29" s="50" t="inlineStr">
        <is>
          <t>現金不足時的行為</t>
        </is>
      </c>
      <c r="D29" s="50" t="inlineStr">
        <is>
          <t>選一個餘額很小的池</t>
        </is>
      </c>
      <c r="E29" s="50" t="inlineStr">
        <is>
          <t>買進金額 &gt; 該池餘額 → 送出</t>
        </is>
      </c>
      <c r="F29" s="50" t="inlineStr">
        <is>
          <t>記錄實際行為：是阻擋、警告、或允許成為負餘額。**與 A-05 的出金規則比對是否一致**（規格上兩者可以不同，但畫面必須說清楚）</t>
        </is>
      </c>
      <c r="G29" s="50" t="inlineStr">
        <is>
          <t>若寫入成功需刪除</t>
        </is>
      </c>
      <c r="H29" s="50" t="inlineStr">
        <is>
          <t>否（行為待確認）</t>
        </is>
      </c>
      <c r="I29" s="51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51" t="inlineStr">
        <is>
          <t>PASS</t>
        </is>
      </c>
      <c r="K29" s="51" t="n"/>
      <c r="L29" s="52" t="inlineStr">
        <is>
          <t>PASS</t>
        </is>
      </c>
      <c r="M29" s="51" t="inlineStr">
        <is>
          <t>PASS</t>
        </is>
      </c>
      <c r="N29" s="51" t="inlineStr">
        <is>
          <t>實際行為：買進＝警告＋明確確認後允許負餘額；出金＝一律阻擋</t>
        </is>
      </c>
    </row>
    <row r="30" ht="44" customHeight="1" s="34">
      <c r="A30" s="48" t="inlineStr">
        <is>
          <t>B-10</t>
        </is>
      </c>
      <c r="B30" s="49" t="inlineStr">
        <is>
          <t>B</t>
        </is>
      </c>
      <c r="C30" s="50" t="inlineStr">
        <is>
          <t>放空</t>
        </is>
      </c>
      <c r="D30" s="49" t="inlineStr">
        <is>
          <t>—</t>
        </is>
      </c>
      <c r="E30" s="50" t="inlineStr">
        <is>
          <t>勾選「放空」→ 賣出未持有的標的</t>
        </is>
      </c>
      <c r="F30" s="50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0" t="inlineStr">
        <is>
          <t>測畢刪除</t>
        </is>
      </c>
      <c r="H30" s="50" t="inlineStr">
        <is>
          <t>否</t>
        </is>
      </c>
      <c r="I30" s="51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51" t="inlineStr">
        <is>
          <t>OBSERVE</t>
        </is>
      </c>
      <c r="K30" s="51" t="inlineStr">
        <is>
          <t>DEF-013</t>
        </is>
      </c>
      <c r="L30" s="52" t="inlineStr">
        <is>
          <t>FAIL</t>
        </is>
      </c>
      <c r="M30" s="51" t="n"/>
      <c r="N30" s="51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</t>
        </is>
      </c>
    </row>
    <row r="31" ht="44" customHeight="1" s="34">
      <c r="A31" s="48" t="inlineStr">
        <is>
          <t>B-11</t>
        </is>
      </c>
      <c r="B31" s="49" t="inlineStr">
        <is>
          <t>B</t>
        </is>
      </c>
      <c r="C31" s="50" t="inlineStr">
        <is>
          <t>賣超防護</t>
        </is>
      </c>
      <c r="D31" s="50" t="inlineStr">
        <is>
          <t>持有 2,600 股</t>
        </is>
      </c>
      <c r="E31" s="50" t="inlineStr">
        <is>
          <t>賣出 5,000 股</t>
        </is>
      </c>
      <c r="F31" s="50" t="inlineStr">
        <is>
          <t>① 明確警告並指出持股數與日期；② 提供**公司行動補登入口**；③ 若仍要寫入，需出現成本基礎歸零的確認框</t>
        </is>
      </c>
      <c r="G31" s="50" t="inlineStr">
        <is>
          <t>預期被擋；若寫入需刪除</t>
        </is>
      </c>
      <c r="H31" s="50" t="inlineStr">
        <is>
          <t>✅ 已驗（試算路徑）</t>
        </is>
      </c>
      <c r="I31" s="51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51" t="inlineStr">
        <is>
          <t>PASS</t>
        </is>
      </c>
      <c r="K31" s="51" t="n"/>
      <c r="L31" s="52" t="inlineStr">
        <is>
          <t>PASS</t>
        </is>
      </c>
      <c r="M31" s="51" t="inlineStr">
        <is>
          <t>PASS</t>
        </is>
      </c>
      <c r="N31" s="51" t="inlineStr">
        <is>
          <t>同日賣超時訊息只列股數（交易日即當日）；賣超寫入後 2330 對帳 book −2,400＝net −2,400（balances=true），仍不會出現 D-00 門 2 的「⚠ 對帳不一致」</t>
        </is>
      </c>
    </row>
    <row r="32" ht="29.85" customHeight="1" s="34">
      <c r="A32" s="48" t="inlineStr">
        <is>
          <t>B-12</t>
        </is>
      </c>
      <c r="B32" s="49" t="inlineStr">
        <is>
          <t>B</t>
        </is>
      </c>
      <c r="C32" s="50" t="inlineStr">
        <is>
          <t>交易編輯（同帳戶同代號）</t>
        </is>
      </c>
      <c r="D32" s="50" t="inlineStr">
        <is>
          <t>任選一筆自建交易</t>
        </is>
      </c>
      <c r="E32" s="50" t="inlineStr">
        <is>
          <t>編輯股數 100 → 150 → 儲存</t>
        </is>
      </c>
      <c r="F32" s="50" t="inlineStr">
        <is>
          <t>① 只發出 1 支 PUT；② 成本、均價、現金、已實現全部由帳本重建；③ toast「編輯完成」</t>
        </is>
      </c>
      <c r="G32" s="50" t="inlineStr">
        <is>
          <t>測畢刪除</t>
        </is>
      </c>
      <c r="H32" s="50" t="inlineStr">
        <is>
          <t>✅ 已驗（二／三驗）</t>
        </is>
      </c>
      <c r="I32" s="51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51" t="inlineStr">
        <is>
          <t>PASS</t>
        </is>
      </c>
      <c r="K32" s="51" t="n"/>
      <c r="L32" s="52" t="inlineStr">
        <is>
          <t>PASS</t>
        </is>
      </c>
      <c r="M32" s="51" t="inlineStr">
        <is>
          <t>PASS</t>
        </is>
      </c>
      <c r="N32" s="51" t="inlineStr">
        <is>
          <t>與 J-03 同一條路徑</t>
        </is>
      </c>
    </row>
    <row r="33" ht="44" customHeight="1" s="34">
      <c r="A33" s="48" t="inlineStr">
        <is>
          <t>B-13</t>
        </is>
      </c>
      <c r="B33" s="49" t="inlineStr">
        <is>
          <t>B</t>
        </is>
      </c>
      <c r="C33" s="50" t="inlineStr">
        <is>
          <t>交易編輯（換帳戶或換代號）</t>
        </is>
      </c>
      <c r="D33" s="50" t="inlineStr">
        <is>
          <t>任選一筆自建交易</t>
        </is>
      </c>
      <c r="E33" s="50" t="inlineStr">
        <is>
          <t>編輯時改變「帳戶」或「代號」→ 儲存</t>
        </is>
      </c>
      <c r="F33" s="50" t="inlineStr">
        <is>
          <t>① 出現警告說明會把該筆移到另一個持倉、兩邊成本與報酬將重建；② 會先做賣超與孤兒紀錄檢核；③ 未手動改費用時依新帳戶規則重算</t>
        </is>
      </c>
      <c r="G33" s="50" t="inlineStr">
        <is>
          <t>測畢改回或刪除</t>
        </is>
      </c>
      <c r="H33" s="50" t="inlineStr">
        <is>
          <t>否</t>
        </is>
      </c>
      <c r="I33" s="51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51" t="inlineStr">
        <is>
          <t>PASS</t>
        </is>
      </c>
      <c r="K33" s="51" t="n"/>
      <c r="L33" s="52" t="inlineStr">
        <is>
          <t>PASS</t>
        </is>
      </c>
      <c r="M33" s="51" t="inlineStr">
        <is>
          <t>PASS</t>
        </is>
      </c>
      <c r="N33" s="51" t="n"/>
    </row>
    <row r="34" ht="29.85" customHeight="1" s="34">
      <c r="A34" s="48" t="inlineStr">
        <is>
          <t>B-14</t>
        </is>
      </c>
      <c r="B34" s="49" t="inlineStr">
        <is>
          <t>B</t>
        </is>
      </c>
      <c r="C34" s="50" t="inlineStr">
        <is>
          <t>交易刪除與重建</t>
        </is>
      </c>
      <c r="D34" s="49" t="inlineStr">
        <is>
          <t>—</t>
        </is>
      </c>
      <c r="E34" s="50" t="inlineStr">
        <is>
          <t>刪除自建交易 → 確認框 → 刪除</t>
        </is>
      </c>
      <c r="F34" s="50" t="inlineStr">
        <is>
          <t>刪除後 `kpis`／`holdings`／`realized`／`allocation` 與寫入前**字串完全相同**</t>
        </is>
      </c>
      <c r="G34" s="50" t="inlineStr">
        <is>
          <t>這正是還原步驟</t>
        </is>
      </c>
      <c r="H34" s="50" t="inlineStr">
        <is>
          <t>✅ 已驗（三輪）</t>
        </is>
      </c>
      <c r="I34" s="51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51" t="inlineStr">
        <is>
          <t>PASS</t>
        </is>
      </c>
      <c r="K34" s="51" t="n"/>
      <c r="L34" s="52" t="inlineStr">
        <is>
          <t>PASS</t>
        </is>
      </c>
      <c r="M34" s="51" t="inlineStr">
        <is>
          <t>PASS</t>
        </is>
      </c>
      <c r="N34" s="51" t="inlineStr">
        <is>
          <t>與 J-03 同一條路徑</t>
        </is>
      </c>
    </row>
    <row r="35" ht="44" customHeight="1" s="34">
      <c r="A35" s="48" t="inlineStr">
        <is>
          <t>B-15</t>
        </is>
      </c>
      <c r="B35" s="49" t="inlineStr">
        <is>
          <t>B</t>
        </is>
      </c>
      <c r="C35" s="50" t="inlineStr">
        <is>
          <t>費率規則快照</t>
        </is>
      </c>
      <c r="D35" s="50" t="inlineStr">
        <is>
          <t>任一交易列</t>
        </is>
      </c>
      <c r="E35" s="50" t="inlineStr">
        <is>
          <t>展開交易列</t>
        </is>
      </c>
      <c r="F35" s="50" t="inlineStr">
        <is>
          <t>顯示 engine／rounding／brokerage／discount／min_fee／rebate_rate，且與系統設定 › 帳戶與費率一致</t>
        </is>
      </c>
      <c r="G35" s="50" t="inlineStr">
        <is>
          <t>唯讀</t>
        </is>
      </c>
      <c r="H35" s="50" t="inlineStr">
        <is>
          <t>✅ 已驗（觀察）</t>
        </is>
      </c>
      <c r="I35" s="51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51" t="inlineStr">
        <is>
          <t>PASS</t>
        </is>
      </c>
      <c r="K35" s="51" t="n"/>
      <c r="L35" s="52" t="inlineStr">
        <is>
          <t>PASS</t>
        </is>
      </c>
      <c r="M35" s="51" t="inlineStr">
        <is>
          <t>PASS</t>
        </is>
      </c>
      <c r="N35" s="51" t="n"/>
    </row>
    <row r="36" ht="29.85" customHeight="1" s="34">
      <c r="A36" s="48" t="inlineStr">
        <is>
          <t>B-16</t>
        </is>
      </c>
      <c r="B36" s="49" t="inlineStr">
        <is>
          <t>B</t>
        </is>
      </c>
      <c r="C36" s="50" t="inlineStr">
        <is>
          <t>折讓（rebate）估算</t>
        </is>
      </c>
      <c r="D36" s="49" t="inlineStr">
        <is>
          <t>—</t>
        </is>
      </c>
      <c r="E36" s="50" t="inlineStr">
        <is>
          <t>於再平衡試算或交易後檢視折讓估算</t>
        </is>
      </c>
      <c r="F36" s="50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0" t="inlineStr">
        <is>
          <t>唯讀</t>
        </is>
      </c>
      <c r="H36" s="50" t="inlineStr">
        <is>
          <t>部分</t>
        </is>
      </c>
      <c r="I36" s="51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51" t="inlineStr">
        <is>
          <t>PASS</t>
        </is>
      </c>
      <c r="K36" s="51" t="inlineStr">
        <is>
          <t>DEF-010</t>
        </is>
      </c>
      <c r="L36" s="52" t="inlineStr">
        <is>
          <t>FAIL</t>
        </is>
      </c>
      <c r="M36" s="51" t="n"/>
      <c r="N36" s="51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</t>
        </is>
      </c>
    </row>
    <row r="37" ht="15" customHeight="1" s="34">
      <c r="A37" s="48" t="inlineStr">
        <is>
          <t>B-17</t>
        </is>
      </c>
      <c r="B37" s="49" t="inlineStr">
        <is>
          <t>B</t>
        </is>
      </c>
      <c r="C37" s="50" t="inlineStr">
        <is>
          <t>交易日期驗證</t>
        </is>
      </c>
      <c r="D37" s="49" t="inlineStr">
        <is>
          <t>—</t>
        </is>
      </c>
      <c r="E37" s="50" t="inlineStr">
        <is>
          <t>日期填未來日期、或早於期初庫存日期</t>
        </is>
      </c>
      <c r="F37" s="50" t="inlineStr">
        <is>
          <t>系統需給出明確訊息（而非靜默接受）；帳本「編輯」更正交易時同樣提示，警告與確認流程與新增一致（2026-09-24 owner 裁定 DEF-042）</t>
        </is>
      </c>
      <c r="G37" s="50" t="inlineStr">
        <is>
          <t>不寫入</t>
        </is>
      </c>
      <c r="H37" s="50" t="inlineStr">
        <is>
          <t>否</t>
        </is>
      </c>
      <c r="I37" s="51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51" t="inlineStr">
        <is>
          <t>FAIL</t>
        </is>
      </c>
      <c r="K37" s="51" t="inlineStr">
        <is>
          <t>DEF-014, DEF-042, DEF-048</t>
        </is>
      </c>
      <c r="L37" s="52" t="inlineStr">
        <is>
          <t>FAIL</t>
        </is>
      </c>
      <c r="M37" s="51" t="n"/>
      <c r="N37" s="51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</t>
        </is>
      </c>
    </row>
    <row r="38" ht="29.85" customHeight="1" s="34">
      <c r="A38" s="48" t="inlineStr">
        <is>
          <t>B-18</t>
        </is>
      </c>
      <c r="B38" s="49" t="inlineStr">
        <is>
          <t>B</t>
        </is>
      </c>
      <c r="C38" s="50" t="inlineStr">
        <is>
          <t>同日多筆買賣的成本順序</t>
        </is>
      </c>
      <c r="D38" s="49" t="inlineStr">
        <is>
          <t>—</t>
        </is>
      </c>
      <c r="E38" s="50" t="inlineStr">
        <is>
          <t>同一天先買後賣、再買，共 3 筆</t>
        </is>
      </c>
      <c r="F38" s="50" t="inlineStr">
        <is>
          <t>加權平均成本依**時間順序**逐筆套用；已實現損益使用賣出當下的加權均價</t>
        </is>
      </c>
      <c r="G38" s="50" t="inlineStr">
        <is>
          <t>測畢全部刪除並比對</t>
        </is>
      </c>
      <c r="H38" s="50" t="inlineStr">
        <is>
          <t>否</t>
        </is>
      </c>
      <c r="I38" s="51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51" t="inlineStr">
        <is>
          <t>FAIL</t>
        </is>
      </c>
      <c r="K38" s="51" t="inlineStr">
        <is>
          <t>DEF-012</t>
        </is>
      </c>
      <c r="L38" s="52" t="inlineStr">
        <is>
          <t>結案</t>
        </is>
      </c>
      <c r="M38" s="51" t="inlineStr">
        <is>
          <t>PASS</t>
        </is>
      </c>
      <c r="N38" s="51" t="inlineStr">
        <is>
          <t>同一筆賣出的已實現損益在「之後」補登同日買進後被回溯改寫（−1,580 → −1,223）
R2：DEF-012 複驗通過結案</t>
        </is>
      </c>
    </row>
    <row r="39" ht="17.15" customHeight="1" s="34">
      <c r="A39" s="45" t="inlineStr">
        <is>
          <t>C. 股利、配息與利息</t>
        </is>
      </c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7" t="n"/>
    </row>
    <row r="40" ht="44" customHeight="1" s="34">
      <c r="A40" s="48" t="inlineStr">
        <is>
          <t>C-01</t>
        </is>
      </c>
      <c r="B40" s="49" t="inlineStr">
        <is>
          <t>C</t>
        </is>
      </c>
      <c r="C40" s="50" t="inlineStr">
        <is>
          <t>收件匣偵測</t>
        </is>
      </c>
      <c r="D40" s="50" t="inlineStr">
        <is>
          <t>收件匣 › 配息</t>
        </is>
      </c>
      <c r="E40" s="50" t="inlineStr">
        <is>
          <t>按「重新偵測」</t>
        </is>
      </c>
      <c r="F40" s="50" t="inlineStr">
        <is>
          <t>① 回報「N 檔事件已更新，M 檔失敗 · 待確認 K 筆」（全形標點）；② 待確認數與清單一致；③ 失敗檔數有說明</t>
        </is>
      </c>
      <c r="G40" s="50" t="inlineStr">
        <is>
          <t>會更新事件表，不動帳本</t>
        </is>
      </c>
      <c r="H40" s="50" t="inlineStr">
        <is>
          <t>✅ 已驗（觀察）</t>
        </is>
      </c>
      <c r="I40" s="51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51" t="inlineStr">
        <is>
          <t>FAIL</t>
        </is>
      </c>
      <c r="K40" s="51" t="inlineStr">
        <is>
          <t>DEF-015, DEF-047</t>
        </is>
      </c>
      <c r="L40" s="52" t="inlineStr">
        <is>
          <t>結案</t>
        </is>
      </c>
      <c r="M40" s="51" t="inlineStr">
        <is>
          <t>PASS</t>
        </is>
      </c>
      <c r="N40" s="51" t="inlineStr">
        <is>
          <t>R2：DEF-015 複驗通過結案
R2：附帶新開 DEF-047（無配息不算失敗，已裁定）</t>
        </is>
      </c>
    </row>
    <row r="41" ht="44" customHeight="1" s="34">
      <c r="A41" s="48" t="inlineStr">
        <is>
          <t>C-02</t>
        </is>
      </c>
      <c r="B41" s="49" t="inlineStr">
        <is>
          <t>C</t>
        </is>
      </c>
      <c r="C41" s="50" t="inlineStr">
        <is>
          <t>現金股利確認入帳</t>
        </is>
      </c>
      <c r="D41" s="50" t="inlineStr">
        <is>
          <t>記錄基準：該檔調整成本、調整均價、未實現、回本率、總市值</t>
        </is>
      </c>
      <c r="E41" s="50" t="inlineStr">
        <is>
          <t>收件匣 → 選一筆現金股利 → 確認入帳</t>
        </is>
      </c>
      <c r="F41" s="50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0" t="inlineStr">
        <is>
          <t>會寫入。測畢以「刪除並復原」還原，並比對逐位元</t>
        </is>
      </c>
      <c r="H41" s="50" t="inlineStr">
        <is>
          <t>✅ 已驗（第一輪）</t>
        </is>
      </c>
      <c r="I41" s="51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51" t="inlineStr">
        <is>
          <t>PASS</t>
        </is>
      </c>
      <c r="K41" s="51" t="inlineStr">
        <is>
          <t>DEF-016</t>
        </is>
      </c>
      <c r="L41" s="52" t="inlineStr">
        <is>
          <t>FAIL</t>
        </is>
      </c>
      <c r="M41" s="51" t="n"/>
      <c r="N41" s="51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</t>
        </is>
      </c>
    </row>
    <row r="42" ht="44" customHeight="1" s="34">
      <c r="A42" s="48" t="inlineStr">
        <is>
          <t>C-03</t>
        </is>
      </c>
      <c r="B42" s="49" t="inlineStr">
        <is>
          <t>C</t>
        </is>
      </c>
      <c r="C42" s="50" t="inlineStr">
        <is>
          <t>股利復原</t>
        </is>
      </c>
      <c r="D42" s="50" t="inlineStr">
        <is>
          <t>承 C-02</t>
        </is>
      </c>
      <c r="E42" s="50" t="inlineStr">
        <is>
          <t>帳本 › 股利 → 刪除並復原</t>
        </is>
      </c>
      <c r="F42" s="49" t="inlineStr">
        <is>
          <t>① toast「已復原 帳本紀錄已刪除，項目將重新出現在收件匣」；② 該筆回到收件匣待確認；③ 全部數值還原</t>
        </is>
      </c>
      <c r="G42" s="50" t="inlineStr">
        <is>
          <t>這是還原步驟</t>
        </is>
      </c>
      <c r="H42" s="50" t="inlineStr">
        <is>
          <t>✅ 已驗（第一輪）</t>
        </is>
      </c>
      <c r="I42" s="51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51" t="inlineStr">
        <is>
          <t>PASS</t>
        </is>
      </c>
      <c r="K42" s="51" t="n"/>
      <c r="L42" s="52" t="inlineStr">
        <is>
          <t>PASS</t>
        </is>
      </c>
      <c r="M42" s="51" t="inlineStr">
        <is>
          <t>PASS</t>
        </is>
      </c>
      <c r="N42" s="51" t="inlineStr">
        <is>
          <t>另以交易帳本 › 股利分頁「刪除」走一次（DELETE 200、項目同樣回到收件匣、逐位元還原）</t>
        </is>
      </c>
    </row>
    <row r="43" ht="44" customHeight="1" s="34">
      <c r="A43" s="48" t="inlineStr">
        <is>
          <t>C-04</t>
        </is>
      </c>
      <c r="B43" s="49" t="inlineStr">
        <is>
          <t>C</t>
        </is>
      </c>
      <c r="C43" s="50" t="inlineStr">
        <is>
          <t>配股（股票股利）</t>
        </is>
      </c>
      <c r="D43" s="50" t="inlineStr">
        <is>
          <t>交易帳本 › 股利 › 切到『配股』</t>
        </is>
      </c>
      <c r="E43" s="50" t="inlineStr">
        <is>
          <t>填代號、除息日、配股股數 → 送出</t>
        </is>
      </c>
      <c r="F43" s="50" t="inlineStr">
        <is>
          <t>① 股數增加；② **原始成本不變**；③ 均價下降 = 原成本 ÷ 新股數；④ 不產生已實現損益；⑤ 不動現金池</t>
        </is>
      </c>
      <c r="G43" s="50" t="inlineStr">
        <is>
          <t>會寫入。測畢刪除該筆股利並比對四段 JSON</t>
        </is>
      </c>
      <c r="H43" s="50" t="inlineStr">
        <is>
          <t>否</t>
        </is>
      </c>
      <c r="I43" s="51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51" t="inlineStr">
        <is>
          <t>PASS</t>
        </is>
      </c>
      <c r="K43" s="51" t="inlineStr">
        <is>
          <t>DEF-017</t>
        </is>
      </c>
      <c r="L43" s="52" t="inlineStr">
        <is>
          <t>複驗未過</t>
        </is>
      </c>
      <c r="M43" s="51" t="n"/>
      <c r="N43" s="51" t="inlineStr">
        <is>
          <t>附帶發現 DEF-017：手動股利表單走 CSV 匯入寫入，會產生匯入批次
R2：DEF-017 部分通過：API 已隨帳本，但同頁「最近匯入」與復原對話框未刷新（仍寫將刪除 1 筆，實刪 0 筆）</t>
        </is>
      </c>
    </row>
    <row r="44" ht="58.2" customHeight="1" s="34">
      <c r="A44" s="48" t="inlineStr">
        <is>
          <t>C-04b</t>
        </is>
      </c>
      <c r="B44" s="49" t="inlineStr">
        <is>
          <t>C</t>
        </is>
      </c>
      <c r="C44" s="50" t="inlineStr">
        <is>
          <t>再投資（DRIP）</t>
        </is>
      </c>
      <c r="D44" s="50" t="inlineStr">
        <is>
          <t>交易帳本 › 股利 › 切到『再投資（DRIP）』</t>
        </is>
      </c>
      <c r="E44" s="50" t="inlineStr">
        <is>
          <t>填代號、金額與再投資買進的股數／價格 → 送出</t>
        </is>
      </c>
      <c r="F44" s="50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0" t="inlineStr">
        <is>
          <t>會寫入。測畢刪除並比對</t>
        </is>
      </c>
      <c r="H44" s="50" t="inlineStr">
        <is>
          <t>否</t>
        </is>
      </c>
      <c r="I44" s="51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51" t="inlineStr">
        <is>
          <t>OBSERVE</t>
        </is>
      </c>
      <c r="K44" s="51" t="inlineStr">
        <is>
          <t>DEF-018, DEF-019</t>
        </is>
      </c>
      <c r="L44" s="52" t="inlineStr">
        <is>
          <t>結案</t>
        </is>
      </c>
      <c r="M44" s="51" t="inlineStr">
        <is>
          <t>PASS</t>
        </is>
      </c>
      <c r="N44" s="51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</t>
        </is>
      </c>
    </row>
    <row r="45" ht="44" customHeight="1" s="34">
      <c r="A45" s="48" t="inlineStr">
        <is>
          <t>C-05</t>
        </is>
      </c>
      <c r="B45" s="49" t="inlineStr">
        <is>
          <t>C</t>
        </is>
      </c>
      <c r="C45" s="50" t="inlineStr">
        <is>
          <t>海外股利預扣稅</t>
        </is>
      </c>
      <c r="D45" s="50" t="inlineStr">
        <is>
          <t>美股標的</t>
        </is>
      </c>
      <c r="E45" s="50" t="inlineStr">
        <is>
          <t>確認一筆美股現金股利，填入預扣稅額</t>
        </is>
      </c>
      <c r="F45" s="50" t="inlineStr">
        <is>
          <t>① 現金池入帳為**淨額**；② 調整成本以淨額或總額沖減需符合規格並在畫面標示清楚；③ 稅額進入稅務包匯出</t>
        </is>
      </c>
      <c r="G45" s="50" t="inlineStr">
        <is>
          <t>測畢復原</t>
        </is>
      </c>
      <c r="H45" s="50" t="inlineStr">
        <is>
          <t>否</t>
        </is>
      </c>
      <c r="I45" s="51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51" t="inlineStr">
        <is>
          <t>PASS</t>
        </is>
      </c>
      <c r="K45" s="51" t="n"/>
      <c r="L45" s="52" t="inlineStr">
        <is>
          <t>PASS</t>
        </is>
      </c>
      <c r="M45" s="51" t="inlineStr">
        <is>
          <t>PASS</t>
        </is>
      </c>
      <c r="N45" s="51" t="inlineStr">
        <is>
          <t>收件匣中的美股項目皆為 DRIP 模式，故以手動股利表單建立一筆美股現金股利測試</t>
        </is>
      </c>
    </row>
    <row r="46" ht="29.85" customHeight="1" s="34">
      <c r="A46" s="48" t="inlineStr">
        <is>
          <t>C-06</t>
        </is>
      </c>
      <c r="B46" s="49" t="inlineStr">
        <is>
          <t>C</t>
        </is>
      </c>
      <c r="C46" s="50" t="inlineStr">
        <is>
          <t>略過（不入帳）</t>
        </is>
      </c>
      <c r="D46" s="50" t="inlineStr">
        <is>
          <t>收件匣有待確認項</t>
        </is>
      </c>
      <c r="E46" s="50" t="inlineStr">
        <is>
          <t>按「略過」</t>
        </is>
      </c>
      <c r="F46" s="50" t="inlineStr">
        <is>
          <t>① 該筆離開待確認清單；② **不寫入帳本**；③ 可再次被偵測出來（或有明確的已略過狀態）</t>
        </is>
      </c>
      <c r="G46" s="50" t="inlineStr">
        <is>
          <t>不寫帳本，但會改變收件匣狀態——記下被略過的項目以便回復</t>
        </is>
      </c>
      <c r="H46" s="50" t="inlineStr">
        <is>
          <t>否</t>
        </is>
      </c>
      <c r="I46" s="51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51" t="inlineStr">
        <is>
          <t>PASS</t>
        </is>
      </c>
      <c r="K46" s="51" t="n"/>
      <c r="L46" s="52" t="inlineStr">
        <is>
          <t>PASS</t>
        </is>
      </c>
      <c r="M46" s="51" t="inlineStr">
        <is>
          <t>PASS</t>
        </is>
      </c>
      <c r="N46" s="51" t="n"/>
    </row>
    <row r="47" ht="44" customHeight="1" s="34">
      <c r="A47" s="48" t="inlineStr">
        <is>
          <t>C-07</t>
        </is>
      </c>
      <c r="B47" s="49" t="inlineStr">
        <is>
          <t>C</t>
        </is>
      </c>
      <c r="C47" s="50" t="inlineStr">
        <is>
          <t>全部確認</t>
        </is>
      </c>
      <c r="D47" s="50" t="inlineStr">
        <is>
          <t>收件匣有多筆</t>
        </is>
      </c>
      <c r="E47" s="50" t="inlineStr">
        <is>
          <t>按「全部確認」</t>
        </is>
      </c>
      <c r="F47" s="50" t="inlineStr">
        <is>
          <t>逐筆入帳、筆數正確、可逐筆復原</t>
        </is>
      </c>
      <c r="G47" s="49" t="inlineStr">
        <is>
          <t>**風險較高**：會一次寫入多筆。建議最後再測，或先用單筆確認替代</t>
        </is>
      </c>
      <c r="H47" s="50" t="inlineStr">
        <is>
          <t>否</t>
        </is>
      </c>
      <c r="I47" s="51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51" t="inlineStr">
        <is>
          <t>PASS</t>
        </is>
      </c>
      <c r="K47" s="51" t="n"/>
      <c r="L47" s="52" t="inlineStr">
        <is>
          <t>PASS</t>
        </is>
      </c>
      <c r="M47" s="51" t="inlineStr">
        <is>
          <t>PASS</t>
        </is>
      </c>
      <c r="N47" s="51" t="inlineStr">
        <is>
          <t>以單一群組「全部確認」控制寫入量</t>
        </is>
      </c>
    </row>
    <row r="48" ht="44" customHeight="1" s="34">
      <c r="A48" s="48" t="inlineStr">
        <is>
          <t>C-08</t>
        </is>
      </c>
      <c r="B48" s="49" t="inlineStr">
        <is>
          <t>C</t>
        </is>
      </c>
      <c r="C48" s="50" t="inlineStr">
        <is>
          <t>除息日曆與配息預測</t>
        </is>
      </c>
      <c r="D48" s="50" t="inlineStr">
        <is>
          <t>儀表板</t>
        </is>
      </c>
      <c r="E48" s="50" t="inlineStr">
        <is>
          <t>檢視除息行事曆與配息預測卡</t>
        </is>
      </c>
      <c r="F48" s="50" t="inlineStr">
        <is>
          <t>① 日期與 `dividend_events` 一致；② 預測金額 = 持股數 × 每股配息，與帳本可對帳；③ 已過期事件不應顯示為未來</t>
        </is>
      </c>
      <c r="G48" s="50" t="inlineStr">
        <is>
          <t>唯讀</t>
        </is>
      </c>
      <c r="H48" s="50" t="inlineStr">
        <is>
          <t>否</t>
        </is>
      </c>
      <c r="I48" s="51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51" t="inlineStr">
        <is>
          <t>PASS</t>
        </is>
      </c>
      <c r="K48" s="51" t="n"/>
      <c r="L48" s="52" t="inlineStr">
        <is>
          <t>PASS</t>
        </is>
      </c>
      <c r="M48" s="51" t="inlineStr">
        <is>
          <t>PASS</t>
        </is>
      </c>
      <c r="N48" s="51" t="inlineStr">
        <is>
          <t>「週行動清單」卡片仍顯示「即將除息 0056(2026-07-21)」，但該卡標示「產生於 2026-07-15・已過期・69 天前產生」（排程關閉），不列本案缺陷</t>
        </is>
      </c>
    </row>
    <row r="49" ht="29.85" customHeight="1" s="34">
      <c r="A49" s="48" t="inlineStr">
        <is>
          <t>C-09</t>
        </is>
      </c>
      <c r="B49" s="49" t="inlineStr">
        <is>
          <t>C</t>
        </is>
      </c>
      <c r="C49" s="50" t="inlineStr">
        <is>
          <t>股利帳本匯出對帳</t>
        </is>
      </c>
      <c r="D49" s="49" t="inlineStr">
        <is>
          <t>—</t>
        </is>
      </c>
      <c r="E49" s="50" t="inlineStr">
        <is>
          <t>匯出股利帳本 CSV</t>
        </is>
      </c>
      <c r="F49" s="50" t="inlineStr">
        <is>
          <t>列數 = 畫面列數；每列金額、日期、帳戶、代號與畫面逐位元一致</t>
        </is>
      </c>
      <c r="G49" s="50" t="inlineStr">
        <is>
          <t>唯讀</t>
        </is>
      </c>
      <c r="H49" s="50" t="inlineStr">
        <is>
          <t>部分（已驗端點回 200）</t>
        </is>
      </c>
      <c r="I49" s="51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51" t="inlineStr">
        <is>
          <t>PASS</t>
        </is>
      </c>
      <c r="K49" s="51" t="n"/>
      <c r="L49" s="52" t="inlineStr">
        <is>
          <t>PASS</t>
        </is>
      </c>
      <c r="M49" s="51" t="inlineStr">
        <is>
          <t>PASS</t>
        </is>
      </c>
      <c r="N49" s="51" t="inlineStr">
        <is>
          <t>CSV 依 id 排序、畫面依日期新→舊，列序不同但內容一一對應</t>
        </is>
      </c>
    </row>
    <row r="50" ht="29.85" customHeight="1" s="34">
      <c r="A50" s="48" t="inlineStr">
        <is>
          <t>C-10</t>
        </is>
      </c>
      <c r="B50" s="49" t="inlineStr">
        <is>
          <t>C</t>
        </is>
      </c>
      <c r="C50" s="50" t="inlineStr">
        <is>
          <t>利息與股利的界線</t>
        </is>
      </c>
      <c r="D50" s="50" t="inlineStr">
        <is>
          <t>承 A-07</t>
        </is>
      </c>
      <c r="E50" s="50" t="inlineStr">
        <is>
          <t>寫入一筆利息後檢視持倉與已實現</t>
        </is>
      </c>
      <c r="F50" s="50" t="inlineStr">
        <is>
          <t>利息**不得**出現在股利帳本、不得沖減成本、不得計入已實現損益；只出現在資金收支</t>
        </is>
      </c>
      <c r="G50" s="50" t="inlineStr">
        <is>
          <t>測畢刪除</t>
        </is>
      </c>
      <c r="H50" s="50" t="inlineStr">
        <is>
          <t>否</t>
        </is>
      </c>
      <c r="I50" s="51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51" t="inlineStr">
        <is>
          <t>PASS</t>
        </is>
      </c>
      <c r="K50" s="51" t="n"/>
      <c r="L50" s="52" t="inlineStr">
        <is>
          <t>PASS</t>
        </is>
      </c>
      <c r="M50" s="51" t="inlineStr">
        <is>
          <t>PASS</t>
        </is>
      </c>
      <c r="N50" s="51" t="inlineStr">
        <is>
          <t>與 A-07 同一筆資料；測畢刪除並還原</t>
        </is>
      </c>
    </row>
    <row r="51" ht="17.15" customHeight="1" s="34">
      <c r="A51" s="45" t="inlineStr">
        <is>
          <t>D. 公司行動：拆股／合股／換股（更名・ticker 變更）／分拆</t>
        </is>
      </c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7" t="n"/>
    </row>
    <row r="52" ht="100.7" customHeight="1" s="34">
      <c r="A52" s="48" t="inlineStr">
        <is>
          <t>D-00</t>
        </is>
      </c>
      <c r="B52" s="49" t="inlineStr">
        <is>
          <t>D</t>
        </is>
      </c>
      <c r="C52" s="50" t="inlineStr">
        <is>
          <t>三個入口都能開到同一張表單</t>
        </is>
      </c>
      <c r="D52" s="50" t="inlineStr">
        <is>
          <t>表單是共用元件 `pdCorpActionForm`，規格 §6.7 明定三個入口</t>
        </is>
      </c>
      <c r="E52" s="50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0" t="inlineStr">
        <is>
          <t>三個入口打開的是**同一張表單**，且預填一致（門 2 帶入該標的與帳戶；門 3 另帶入賣出日期作為日期上限）</t>
        </is>
      </c>
      <c r="G52" s="50" t="inlineStr">
        <is>
          <t>唯讀（只要不按『登錄公司行動』）</t>
        </is>
      </c>
      <c r="H52" s="50" t="inlineStr">
        <is>
          <t>否</t>
        </is>
      </c>
      <c r="I52" s="51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51" t="inlineStr">
        <is>
          <t>BLOCKED</t>
        </is>
      </c>
      <c r="K52" s="51" t="n"/>
      <c r="L52" s="52" t="inlineStr">
        <is>
          <t>BLOCKED</t>
        </is>
      </c>
      <c r="M52" s="51" t="n"/>
      <c r="N52" s="51" t="inlineStr">
        <is>
          <t>門 2 需要一檔「⚠ 對帳不一致」的持股才會出現，現有資料全部綠燈；D-11 製造未套用行動時 2882 抽屜仍顯示「✓ 對帳一致」，同樣沒有補登按鈕，無法經 UI 走到門 2</t>
        </is>
      </c>
    </row>
    <row r="53" ht="29.85" customHeight="1" s="34">
      <c r="A53" s="48" t="inlineStr">
        <is>
          <t>D-01</t>
        </is>
      </c>
      <c r="B53" s="49" t="inlineStr">
        <is>
          <t>D</t>
        </is>
      </c>
      <c r="C53" s="50" t="inlineStr">
        <is>
          <t>基準盤點</t>
        </is>
      </c>
      <c r="D53" s="49" t="inlineStr">
        <is>
          <t>—</t>
        </is>
      </c>
      <c r="E53" s="50" t="inlineStr">
        <is>
          <t>匯出公司行動帳本；讀 `GET /api/dashboard` 的 `unapplied_actions`</t>
        </is>
      </c>
      <c r="F53" s="50" t="inlineStr">
        <is>
          <t>記錄目前列數（稽核時為 **0 列、僅表頭**）與未套用提示的內容，作為後續比對基準</t>
        </is>
      </c>
      <c r="G53" s="50" t="inlineStr">
        <is>
          <t>唯讀</t>
        </is>
      </c>
      <c r="H53" s="50" t="inlineStr">
        <is>
          <t>部分（僅確認為空）</t>
        </is>
      </c>
      <c r="I53" s="51" t="inlineStr">
        <is>
          <t>匯出公司行動帳本 ledger_actions_all_all.csv：僅表頭 1 行（0 列）；GET /api/ledgers/corporate-actions total_count 0；GET /api/dashboard unapplied_actions = []</t>
        </is>
      </c>
      <c r="J53" s="51" t="inlineStr">
        <is>
          <t>PASS</t>
        </is>
      </c>
      <c r="K53" s="51" t="n"/>
      <c r="L53" s="52" t="inlineStr">
        <is>
          <t>PASS</t>
        </is>
      </c>
      <c r="M53" s="51" t="inlineStr">
        <is>
          <t>PASS</t>
        </is>
      </c>
      <c r="N53" s="51" t="inlineStr">
        <is>
          <t>作為 D 組基準</t>
        </is>
      </c>
    </row>
    <row r="54" ht="58.2" customHeight="1" s="34">
      <c r="A54" s="48" t="inlineStr">
        <is>
          <t>D-02</t>
        </is>
      </c>
      <c r="B54" s="49" t="inlineStr">
        <is>
          <t>D</t>
        </is>
      </c>
      <c r="C54" s="50" t="inlineStr">
        <is>
          <t>試算（成本守恆檢查）先於寫入</t>
        </is>
      </c>
      <c r="D54" s="50" t="inlineStr">
        <is>
          <t>門 1：交易帳本 › 公司行動分頁 › ＋補登公司行動</t>
        </is>
      </c>
      <c r="E54" s="50" t="inlineStr">
        <is>
          <t>選類型、填帳戶／代號／行動日期／比例後，看表單下方的**「試算（成本守恆檢查）」**區（`POST /api/ledgers/corporate-actions/preview`）</t>
        </is>
      </c>
      <c r="F54" s="50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0" t="inlineStr">
        <is>
          <t>唯讀（只要不按登錄）</t>
        </is>
      </c>
      <c r="H54" s="50" t="inlineStr">
        <is>
          <t>否</t>
        </is>
      </c>
      <c r="I54" s="51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51" t="inlineStr">
        <is>
          <t>FAIL</t>
        </is>
      </c>
      <c r="K54" s="51" t="inlineStr">
        <is>
          <t>DEF-005</t>
        </is>
      </c>
      <c r="L54" s="52" t="inlineStr">
        <is>
          <t>結案</t>
        </is>
      </c>
      <c r="M54" s="51" t="inlineStr">
        <is>
          <t>PASS</t>
        </is>
      </c>
      <c r="N54" s="51" t="inlineStr">
        <is>
          <t>以 JS 設值與真實鍵盤輸入兩種方式各測一次，結果相同（排除量測方式）；測畢按取消，公司行動帳本仍 0 列
R2：DEF-005 複驗通過結案</t>
        </is>
      </c>
    </row>
    <row r="55" ht="44" customHeight="1" s="34">
      <c r="A55" s="48" t="inlineStr">
        <is>
          <t>D-02b</t>
        </is>
      </c>
      <c r="B55" s="49" t="inlineStr">
        <is>
          <t>D</t>
        </is>
      </c>
      <c r="C55" s="50" t="inlineStr">
        <is>
          <t>一筆行動套用到所有持有帳戶</t>
        </is>
      </c>
      <c r="D55" s="50" t="inlineStr">
        <is>
          <t>選一檔**兩個帳戶都持有**的標的（例如 AAPL）</t>
        </is>
      </c>
      <c r="E55" s="50" t="inlineStr">
        <is>
          <t>登錄一筆該標的的公司行動</t>
        </is>
      </c>
      <c r="F55" s="50" t="inlineStr">
        <is>
          <t>表單已明說「公司行動會自動套用到所有持有這檔股票的帳戶」——驗證兩個帳戶的股數與均價**都**被調整，且各自的成本基礎獨立守恆</t>
        </is>
      </c>
      <c r="G55" s="50" t="inlineStr">
        <is>
          <t>會改寫多個帳戶的持倉。務必刪除還原並比對兩邊</t>
        </is>
      </c>
      <c r="H55" s="50" t="inlineStr">
        <is>
          <t>否</t>
        </is>
      </c>
      <c r="I55" s="5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51" t="inlineStr">
        <is>
          <t>PASS</t>
        </is>
      </c>
      <c r="K55" s="51" t="n"/>
      <c r="L55" s="52" t="inlineStr">
        <is>
          <t>PASS</t>
        </is>
      </c>
      <c r="M55" s="51" t="inlineStr">
        <is>
          <t>PASS</t>
        </is>
      </c>
      <c r="N55" s="51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</t>
        </is>
      </c>
    </row>
    <row r="56" ht="58.2" customHeight="1" s="34">
      <c r="A56" s="48" t="inlineStr">
        <is>
          <t>D-02c</t>
        </is>
      </c>
      <c r="B56" s="49" t="inlineStr">
        <is>
          <t>D</t>
        </is>
      </c>
      <c r="C56" s="50" t="inlineStr">
        <is>
          <t>重組費用寫成現金支出</t>
        </is>
      </c>
      <c r="D56" s="50" t="inlineStr">
        <is>
          <t>同上，表單的「重組費用（選填）」</t>
        </is>
      </c>
      <c r="E56" s="50" t="inlineStr">
        <is>
          <t>填入重組費用金額後登錄</t>
        </is>
      </c>
      <c r="F56" s="50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0" t="inlineStr">
        <is>
          <t>同時動持倉與現金，兩邊都要還原</t>
        </is>
      </c>
      <c r="H56" s="50" t="inlineStr">
        <is>
          <t>否</t>
        </is>
      </c>
      <c r="I56" s="5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51" t="inlineStr">
        <is>
          <t>PASS</t>
        </is>
      </c>
      <c r="K56" s="51" t="n"/>
      <c r="L56" s="52" t="inlineStr">
        <is>
          <t>PASS</t>
        </is>
      </c>
      <c r="M56" s="51" t="inlineStr">
        <is>
          <t>PASS</t>
        </is>
      </c>
      <c r="N56" s="51" t="inlineStr">
        <is>
          <t>重組費與公司行動是兩支獨立請求（非原子寫入）</t>
        </is>
      </c>
    </row>
    <row r="57" ht="58.2" customHeight="1" s="34">
      <c r="A57" s="48" t="inlineStr">
        <is>
          <t>D-03</t>
        </is>
      </c>
      <c r="B57" s="49" t="inlineStr">
        <is>
          <t>D</t>
        </is>
      </c>
      <c r="C57" s="50" t="inlineStr">
        <is>
          <t>拆股 1→3（SPLIT）</t>
        </is>
      </c>
      <c r="D57" s="50" t="inlineStr">
        <is>
          <t>選一檔持股，記錄股數 S、原始均價 P、原始成本 C、市值 V、已實現</t>
        </is>
      </c>
      <c r="E57" s="50" t="inlineStr">
        <is>
          <t>＋補登公司行動 → 選『同一檔股票，股數變多或變少』→ 每持有 1 股 → 變成 3 股 → 看試算 → 登錄公司行動</t>
        </is>
      </c>
      <c r="F57" s="50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49" t="inlineStr">
        <is>
          <t>**會改寫持倉**。測畢以刪除該公司行動列還原，並比對股數、均價、成本、市值逐位元</t>
        </is>
      </c>
      <c r="H57" s="50" t="inlineStr">
        <is>
          <t>否（本次稽核完全未測）</t>
        </is>
      </c>
      <c r="I57" s="51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51" t="inlineStr">
        <is>
          <t>PASS</t>
        </is>
      </c>
      <c r="K57" s="51" t="n"/>
      <c r="L57" s="52" t="inlineStr">
        <is>
          <t>PASS</t>
        </is>
      </c>
      <c r="M57" s="51" t="inlineStr">
        <is>
          <t>PASS</t>
        </is>
      </c>
      <c r="N57" s="51" t="inlineStr">
        <is>
          <t>持倉 market_value 顯示為 4644.999999999999999999999999（28 位 Decimal 除法殘差），總市值字串不受影響</t>
        </is>
      </c>
    </row>
    <row r="58" ht="44" customHeight="1" s="34">
      <c r="A58" s="48" t="inlineStr">
        <is>
          <t>D-04</t>
        </is>
      </c>
      <c r="B58" s="49" t="inlineStr">
        <is>
          <t>D</t>
        </is>
      </c>
      <c r="C58" s="50" t="inlineStr">
        <is>
          <t>合股 5→1（反向分割）</t>
        </is>
      </c>
      <c r="D58" s="50" t="inlineStr">
        <is>
          <t>同 D-03</t>
        </is>
      </c>
      <c r="E58" s="50" t="inlineStr">
        <is>
          <t>每持有 5 股 → 變成 1 股 → 確認</t>
        </is>
      </c>
      <c r="F58" s="50" t="inlineStr">
        <is>
          <t>① 股數 = S÷5；② 均價 = P×5；③ 原始成本不變；④ **餘數（不足 5 股的零股）如何處理**需明確：現金補償或無條件捨去，畫面須說明</t>
        </is>
      </c>
      <c r="G58" s="50" t="inlineStr">
        <is>
          <t>同 D-03，務必還原</t>
        </is>
      </c>
      <c r="H58" s="50" t="inlineStr">
        <is>
          <t>否</t>
        </is>
      </c>
      <c r="I58" s="51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51" t="inlineStr">
        <is>
          <t>PASS</t>
        </is>
      </c>
      <c r="K58" s="51" t="n"/>
      <c r="L58" s="52" t="inlineStr">
        <is>
          <t>PASS</t>
        </is>
      </c>
      <c r="M58" s="51" t="inlineStr">
        <is>
          <t>PASS</t>
        </is>
      </c>
      <c r="N58" s="51" t="n"/>
    </row>
    <row r="59" ht="29.85" customHeight="1" s="34">
      <c r="A59" s="48" t="inlineStr">
        <is>
          <t>D-05</t>
        </is>
      </c>
      <c r="B59" s="49" t="inlineStr">
        <is>
          <t>D</t>
        </is>
      </c>
      <c r="C59" s="50" t="inlineStr">
        <is>
          <t>合股產生小數股</t>
        </is>
      </c>
      <c r="D59" s="50" t="inlineStr">
        <is>
          <t>選一檔股數不能被比例整除的持倉</t>
        </is>
      </c>
      <c r="E59" s="50" t="inlineStr">
        <is>
          <t>以會產生餘數的比例合股</t>
        </is>
      </c>
      <c r="F59" s="50" t="inlineStr">
        <is>
          <t>系統不得靜默產生小數股或吞掉餘額；需有明確處理與說明</t>
        </is>
      </c>
      <c r="G59" s="50" t="inlineStr">
        <is>
          <t>同上</t>
        </is>
      </c>
      <c r="H59" s="50" t="inlineStr">
        <is>
          <t>否</t>
        </is>
      </c>
      <c r="I59" s="5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51" t="inlineStr">
        <is>
          <t>PASS</t>
        </is>
      </c>
      <c r="K59" s="51" t="n"/>
      <c r="L59" s="52" t="inlineStr">
        <is>
          <t>PASS</t>
        </is>
      </c>
      <c r="M59" s="51" t="inlineStr">
        <is>
          <t>PASS</t>
        </is>
      </c>
      <c r="N59" s="51" t="inlineStr">
        <is>
          <t>提示只在登錄「之後」出現，試算區未預先顯示零股說明（API 已有 fractions）；按取消即留下小數股台股持倉，交 owner 參考</t>
        </is>
      </c>
    </row>
    <row r="60" ht="72.34999999999999" customHeight="1" s="34">
      <c r="A60" s="48" t="inlineStr">
        <is>
          <t>D-06</t>
        </is>
      </c>
      <c r="B60" s="49" t="inlineStr">
        <is>
          <t>D</t>
        </is>
      </c>
      <c r="C60" s="50" t="inlineStr">
        <is>
          <t>換股／更名（EXCHANGE，1:1）</t>
        </is>
      </c>
      <c r="D60" s="50" t="inlineStr">
        <is>
          <t>選一檔持股 X，記錄其股數、成本、目標價、觀察清單狀態</t>
        </is>
      </c>
      <c r="E60" s="50" t="inlineStr">
        <is>
          <t>＋補登公司行動 → 選『整個部位換成另一檔股票』→ 每 1 股 → 換得 1 股新代號 Y → 看試算 → 登錄公司行動</t>
        </is>
      </c>
      <c r="F60" s="49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49" t="inlineStr">
        <is>
          <t>**影響範圍最大**。務必先記錄完整基準，測畢刪除並全面比對</t>
        </is>
      </c>
      <c r="H60" s="50" t="inlineStr">
        <is>
          <t>否</t>
        </is>
      </c>
      <c r="I60" s="51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51" t="inlineStr">
        <is>
          <t>PASS</t>
        </is>
      </c>
      <c r="K60" s="51" t="n"/>
      <c r="L60" s="52" t="inlineStr">
        <is>
          <t>PASS</t>
        </is>
      </c>
      <c r="M60" s="51" t="inlineStr">
        <is>
          <t>PASS</t>
        </is>
      </c>
      <c r="N60" s="51" t="inlineStr">
        <is>
          <t>目標價在刪除換股後不會移回（見 D-10／DEF-021）；目標價設定日期以 UTC 記錄（見 DEF-022）</t>
        </is>
      </c>
    </row>
    <row r="61" ht="29.85" customHeight="1" s="34">
      <c r="A61" s="48" t="inlineStr">
        <is>
          <t>D-07</t>
        </is>
      </c>
      <c r="B61" s="49" t="inlineStr">
        <is>
          <t>D</t>
        </is>
      </c>
      <c r="C61" s="50" t="inlineStr">
        <is>
          <t>換股（非 1:1，含現金找補）</t>
        </is>
      </c>
      <c r="D61" s="50" t="inlineStr">
        <is>
          <t>同上</t>
        </is>
      </c>
      <c r="E61" s="50" t="inlineStr">
        <is>
          <t>＋補登公司行動 → 『整個部位換成另一檔股票』→ 每 2 股 → 換得 1 股新代號</t>
        </is>
      </c>
      <c r="F61" s="50" t="inlineStr">
        <is>
          <t>① 新股數與成本分攤正確；② 重組費用會寫出一筆現金 WITHDRAW（kind=出金），金額與備註正確</t>
        </is>
      </c>
      <c r="G61" s="50" t="inlineStr">
        <is>
          <t>會同時動持倉與現金。兩邊都要還原</t>
        </is>
      </c>
      <c r="H61" s="50" t="inlineStr">
        <is>
          <t>否</t>
        </is>
      </c>
      <c r="I61" s="51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51" t="inlineStr">
        <is>
          <t>PASS</t>
        </is>
      </c>
      <c r="K61" s="51" t="n"/>
      <c r="L61" s="52" t="inlineStr">
        <is>
          <t>PASS</t>
        </is>
      </c>
      <c r="M61" s="51" t="inlineStr">
        <is>
          <t>PASS</t>
        </is>
      </c>
      <c r="N61" s="51" t="inlineStr">
        <is>
          <t>表單沒有「現金找補」欄位，零股以登錄後的補登零股賣出處理。還原：刪除行動 id 9 後重組費出金 #47 仍在（DEF-020 再現），另於資金管理刪除 #47 後逐位元還原</t>
        </is>
      </c>
    </row>
    <row r="62" ht="58.2" customHeight="1" s="34">
      <c r="A62" s="48" t="inlineStr">
        <is>
          <t>D-08</t>
        </is>
      </c>
      <c r="B62" s="49" t="inlineStr">
        <is>
          <t>D</t>
        </is>
      </c>
      <c r="C62" s="50" t="inlineStr">
        <is>
          <t>分拆（SPINOFF）</t>
        </is>
      </c>
      <c r="D62" s="50" t="inlineStr">
        <is>
          <t>選一檔持股</t>
        </is>
      </c>
      <c r="E62" s="50" t="inlineStr">
        <is>
          <t>＋補登公司行動 → 選『原持股不變，另外多拿到一檔新股票』→ 每 1 股 → 另外配發 1 股 Y（比例只收整數）→ 看試算 → 登錄公司行動</t>
        </is>
      </c>
      <c r="F62" s="50" t="inlineStr">
        <is>
          <t>① 原持股股數不變；② 新增 Y 部位；③ **成本在母子之間分攤**，分攤比例需可檢視且母+子 = 原成本；④ 分攤後兩邊均價正確</t>
        </is>
      </c>
      <c r="G62" s="50" t="inlineStr">
        <is>
          <t>同 D-03，務必還原</t>
        </is>
      </c>
      <c r="H62" s="50" t="inlineStr">
        <is>
          <t>否</t>
        </is>
      </c>
      <c r="I62" s="51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51" t="inlineStr">
        <is>
          <t>PASS</t>
        </is>
      </c>
      <c r="K62" s="51" t="n"/>
      <c r="L62" s="52" t="inlineStr">
        <is>
          <t>PASS</t>
        </is>
      </c>
      <c r="M62" s="51" t="inlineStr">
        <is>
          <t>PASS</t>
        </is>
      </c>
      <c r="N62" s="51" t="n"/>
    </row>
    <row r="63" ht="29.85" customHeight="1" s="34">
      <c r="A63" s="48" t="inlineStr">
        <is>
          <t>D-09</t>
        </is>
      </c>
      <c r="B63" s="49" t="inlineStr">
        <is>
          <t>D</t>
        </is>
      </c>
      <c r="C63" s="50" t="inlineStr">
        <is>
          <t>公司行動後再賣出</t>
        </is>
      </c>
      <c r="D63" s="50" t="inlineStr">
        <is>
          <t>承 D-03（已拆股）</t>
        </is>
      </c>
      <c r="E63" s="50" t="inlineStr">
        <is>
          <t>賣出拆股後的部分股數</t>
        </is>
      </c>
      <c r="F63" s="50" t="inlineStr">
        <is>
          <t>已實現損益以**拆股後的均價**計算；成本移除量正確</t>
        </is>
      </c>
      <c r="G63" s="50" t="inlineStr">
        <is>
          <t>兩筆都要刪除還原</t>
        </is>
      </c>
      <c r="H63" s="50" t="inlineStr">
        <is>
          <t>否</t>
        </is>
      </c>
      <c r="I63" s="51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51" t="inlineStr">
        <is>
          <t>PASS</t>
        </is>
      </c>
      <c r="K63" s="51" t="n"/>
      <c r="L63" s="52" t="inlineStr">
        <is>
          <t>PASS</t>
        </is>
      </c>
      <c r="M63" s="51" t="inlineStr">
        <is>
          <t>PASS</t>
        </is>
      </c>
      <c r="N63" s="51" t="n"/>
    </row>
    <row r="64" ht="29.85" customHeight="1" s="34">
      <c r="A64" s="48" t="inlineStr">
        <is>
          <t>D-10</t>
        </is>
      </c>
      <c r="B64" s="49" t="inlineStr">
        <is>
          <t>D</t>
        </is>
      </c>
      <c r="C64" s="50" t="inlineStr">
        <is>
          <t>公司行動的刪除／撤銷</t>
        </is>
      </c>
      <c r="D64" s="50" t="inlineStr">
        <is>
          <t>承任一已寫入的行動</t>
        </is>
      </c>
      <c r="E64" s="50" t="inlineStr">
        <is>
          <t>由公司行動帳本刪除該列</t>
        </is>
      </c>
      <c r="F64" s="50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0" t="inlineStr">
        <is>
          <t>這是還原步驟本身——若還原不完整即為重大缺陷</t>
        </is>
      </c>
      <c r="H64" s="50" t="inlineStr">
        <is>
          <t>否</t>
        </is>
      </c>
      <c r="I64" s="51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51" t="inlineStr">
        <is>
          <t>FAIL</t>
        </is>
      </c>
      <c r="K64" s="51" t="inlineStr">
        <is>
          <t>DEF-020, DEF-021, DEF-040</t>
        </is>
      </c>
      <c r="L64" s="52" t="inlineStr">
        <is>
          <t>FAIL</t>
        </is>
      </c>
      <c r="M64" s="51" t="n"/>
      <c r="N64" s="51" t="inlineStr">
        <is>
          <t>兩處皆以手動方式還原（資金管理刪除出金；觀察清單改回目標價）
R2：DEF-020、DEF-021 複驗通過結案；依 OBS-1 裁定新增期望「刪除分拆時移除子公司起始價」，新開 DEF-040</t>
        </is>
      </c>
    </row>
    <row r="65" ht="29.85" customHeight="1" s="34">
      <c r="A65" s="48" t="inlineStr">
        <is>
          <t>D-11</t>
        </is>
      </c>
      <c r="B65" s="49" t="inlineStr">
        <is>
          <t>D</t>
        </is>
      </c>
      <c r="C65" s="50" t="inlineStr">
        <is>
          <t>未套用行動提示</t>
        </is>
      </c>
      <c r="D65" s="49" t="inlineStr">
        <is>
          <t>—</t>
        </is>
      </c>
      <c r="E65" s="50" t="inlineStr">
        <is>
          <t>檢視儀表板的 `unapplied_actions` 區塊</t>
        </is>
      </c>
      <c r="F65" s="50" t="inlineStr">
        <is>
          <t>① 有未套用行動時提示可見且有入口；② 套用後提示消失</t>
        </is>
      </c>
      <c r="G65" s="50" t="inlineStr">
        <is>
          <t>唯讀</t>
        </is>
      </c>
      <c r="H65" s="50" t="inlineStr">
        <is>
          <t>否</t>
        </is>
      </c>
      <c r="I65" s="51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51" t="inlineStr">
        <is>
          <t>FAIL</t>
        </is>
      </c>
      <c r="K65" s="51" t="inlineStr">
        <is>
          <t>DEF-022, DEF-023</t>
        </is>
      </c>
      <c r="L65" s="52" t="inlineStr">
        <is>
          <t>複驗未過</t>
        </is>
      </c>
      <c r="M65" s="51" t="n"/>
      <c r="N65" s="51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</t>
        </is>
      </c>
    </row>
    <row r="66" ht="44" customHeight="1" s="34">
      <c r="A66" s="48" t="inlineStr">
        <is>
          <t>D-12</t>
        </is>
      </c>
      <c r="B66" s="49" t="inlineStr">
        <is>
          <t>D</t>
        </is>
      </c>
      <c r="C66" s="50" t="inlineStr">
        <is>
          <t>公司行動與賣超防護的連動</t>
        </is>
      </c>
      <c r="D66" s="50" t="inlineStr">
        <is>
          <t>承 B-11（門 3）</t>
        </is>
      </c>
      <c r="E66" s="50" t="inlineStr">
        <is>
          <t>賣超被擋時點擊預覽內的補登提示（或 422 三選一對話框的第一個選項）</t>
        </is>
      </c>
      <c r="F66" s="50" t="inlineStr">
        <is>
          <t>直接帶入該標的、帳戶與**賣出日期作為日期上限**（晚於賣出日的行動不可能是解釋），代號預填正確</t>
        </is>
      </c>
      <c r="G66" s="50" t="inlineStr">
        <is>
          <t>不寫入</t>
        </is>
      </c>
      <c r="H66" s="50" t="inlineStr">
        <is>
          <t>否</t>
        </is>
      </c>
      <c r="I66" s="51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51" t="inlineStr">
        <is>
          <t>PASS</t>
        </is>
      </c>
      <c r="K66" s="51" t="n"/>
      <c r="L66" s="52" t="inlineStr">
        <is>
          <t>PASS</t>
        </is>
      </c>
      <c r="M66" s="51" t="inlineStr">
        <is>
          <t>PASS</t>
        </is>
      </c>
      <c r="N66" s="51" t="inlineStr">
        <is>
          <t>僅開表單未登錄（取消關閉）</t>
        </is>
      </c>
    </row>
    <row r="67" ht="44" customHeight="1" s="34">
      <c r="A67" s="48" t="inlineStr">
        <is>
          <t>D-13</t>
        </is>
      </c>
      <c r="B67" s="49" t="inlineStr">
        <is>
          <t>D</t>
        </is>
      </c>
      <c r="C67" s="50" t="inlineStr">
        <is>
          <t>公司行動帳本匯出</t>
        </is>
      </c>
      <c r="D67" s="50" t="inlineStr">
        <is>
          <t>承任一已寫入的行動</t>
        </is>
      </c>
      <c r="E67" s="50" t="inlineStr">
        <is>
          <t>匯出公司行動帳本 CSV</t>
        </is>
      </c>
      <c r="F67" s="50" t="inlineStr">
        <is>
          <t>列數與欄位正確，比例、日期、代號與畫面一致</t>
        </is>
      </c>
      <c r="G67" s="50" t="inlineStr">
        <is>
          <t>唯讀</t>
        </is>
      </c>
      <c r="H67" s="50" t="inlineStr">
        <is>
          <t>部分（端點已驗 200，內容為空）</t>
        </is>
      </c>
      <c r="I67" s="51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51" t="inlineStr">
        <is>
          <t>PASS</t>
        </is>
      </c>
      <c r="K67" s="51" t="n"/>
      <c r="L67" s="52" t="inlineStr">
        <is>
          <t>PASS</t>
        </is>
      </c>
      <c r="M67" s="51" t="inlineStr">
        <is>
          <t>PASS</t>
        </is>
      </c>
      <c r="N67" s="51" t="inlineStr">
        <is>
          <t>下載以攔截 blob 取得內容，未存到本機</t>
        </is>
      </c>
    </row>
    <row r="68" ht="29.85" customHeight="1" s="34">
      <c r="A68" s="48" t="inlineStr">
        <is>
          <t>D-14</t>
        </is>
      </c>
      <c r="B68" s="49" t="inlineStr">
        <is>
          <t>D</t>
        </is>
      </c>
      <c r="C68" s="50" t="inlineStr">
        <is>
          <t>公司行動後的洞察卡與數值檢核</t>
        </is>
      </c>
      <c r="D68" s="50" t="inlineStr">
        <is>
          <t>承 D-06（換股）</t>
        </is>
      </c>
      <c r="E68" s="50" t="inlineStr">
        <is>
          <t>檢視該標的既有洞察卡</t>
        </is>
      </c>
      <c r="F68" s="50" t="inlineStr">
        <is>
          <t>舊代號的卡片不應被誤標為「未知代號」；若會，需記錄為待處理</t>
        </is>
      </c>
      <c r="G68" s="50" t="inlineStr">
        <is>
          <t>唯讀</t>
        </is>
      </c>
      <c r="H68" s="50" t="inlineStr">
        <is>
          <t>否</t>
        </is>
      </c>
      <c r="I68" s="51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51" t="inlineStr">
        <is>
          <t>PASS</t>
        </is>
      </c>
      <c r="K68" s="51" t="n"/>
      <c r="L68" s="52" t="inlineStr">
        <is>
          <t>PASS</t>
        </is>
      </c>
      <c r="M68" s="51" t="inlineStr">
        <is>
          <t>PASS</t>
        </is>
      </c>
      <c r="N68" s="51" t="inlineStr">
        <is>
          <t>換股後 2884 已無持倉，但持倉健診仍列出其卡片（記錄行為）</t>
        </is>
      </c>
    </row>
    <row r="69" ht="17.15" customHeight="1" s="34">
      <c r="A69" s="45" t="inlineStr">
        <is>
          <t>E. 報價／匯率刷新與成本、報酬重算</t>
        </is>
      </c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7" t="n"/>
    </row>
    <row r="70" ht="58.2" customHeight="1" s="34">
      <c r="A70" s="48" t="inlineStr">
        <is>
          <t>E-01</t>
        </is>
      </c>
      <c r="B70" s="49" t="inlineStr">
        <is>
          <t>E</t>
        </is>
      </c>
      <c r="C70" s="50" t="inlineStr">
        <is>
          <t>手動更新報價</t>
        </is>
      </c>
      <c r="D70" s="50" t="inlineStr">
        <is>
          <t>記錄各檔 `price_as_of` 與 `kpis`</t>
        </is>
      </c>
      <c r="E70" s="50" t="inlineStr">
        <is>
          <t>儀表板 → 更新報價（三市場）</t>
        </is>
      </c>
      <c r="F70" s="50" t="inlineStr">
        <is>
          <t>① 回應每個 job 帶 `instruments`／`instruments_failed`／`held_failed`／`fx_failed`／`lagging`；② 成功者 `price_as_of` 前進；③ 完成 toast 說明清楚</t>
        </is>
      </c>
      <c r="G70" s="50" t="inlineStr">
        <is>
          <t>會更新報價資料（預期內）。不影響帳本</t>
        </is>
      </c>
      <c r="H70" s="50" t="inlineStr">
        <is>
          <t>✅ 已驗（第一輪 ×3）</t>
        </is>
      </c>
      <c r="I70" s="51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51" t="inlineStr">
        <is>
          <t>PASS</t>
        </is>
      </c>
      <c r="K70" s="51" t="inlineStr">
        <is>
          <t>DEF-038</t>
        </is>
      </c>
      <c r="L70" s="52" t="inlineStr">
        <is>
          <t>結案</t>
        </is>
      </c>
      <c r="M70" s="51" t="inlineStr">
        <is>
          <t>PASS</t>
        </is>
      </c>
      <c r="N70" s="51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</t>
        </is>
      </c>
    </row>
    <row r="71" ht="44" customHeight="1" s="34">
      <c r="A71" s="48" t="inlineStr">
        <is>
          <t>E-02</t>
        </is>
      </c>
      <c r="B71" s="49" t="inlineStr">
        <is>
          <t>E</t>
        </is>
      </c>
      <c r="C71" s="50" t="inlineStr">
        <is>
          <t>落後標的（lagging）點名</t>
        </is>
      </c>
      <c r="D71" s="50" t="inlineStr">
        <is>
          <t>製造情境：某檔的來源收盤日落後同市場其他檔</t>
        </is>
      </c>
      <c r="E71" s="50" t="inlineStr">
        <is>
          <t>更新報價</t>
        </is>
      </c>
      <c r="F71" s="50" t="inlineStr">
        <is>
          <t>① 該檔進入 `lagging[]`；② toast 點名並另出一則 warn；③ 工作狀態仍為 `ok`（抓取本身沒失敗）</t>
        </is>
      </c>
      <c r="G71" s="50" t="inlineStr">
        <is>
          <t>唯讀為主</t>
        </is>
      </c>
      <c r="H71" s="50" t="inlineStr">
        <is>
          <t>部分（機制以原始碼確認）</t>
        </is>
      </c>
      <c r="I71" s="5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51" t="inlineStr">
        <is>
          <t>PASS</t>
        </is>
      </c>
      <c r="K71" s="51" t="n"/>
      <c r="L71" s="52" t="inlineStr">
        <is>
          <t>PASS</t>
        </is>
      </c>
      <c r="M71" s="51" t="inlineStr">
        <is>
          <t>PASS</t>
        </is>
      </c>
      <c r="N71" s="51" t="n"/>
    </row>
    <row r="72" ht="44" customHeight="1" s="34">
      <c r="A72" s="48" t="inlineStr">
        <is>
          <t>E-03</t>
        </is>
      </c>
      <c r="B72" s="49" t="inlineStr">
        <is>
          <t>E</t>
        </is>
      </c>
      <c r="C72" s="50" t="inlineStr">
        <is>
          <t>匯率推導與三角一致性</t>
        </is>
      </c>
      <c r="D72" s="49" t="inlineStr">
        <is>
          <t>—</t>
        </is>
      </c>
      <c r="E72" s="50" t="inlineStr">
        <is>
          <t>更新報價後讀 `freshness.fx` 與 `fx_triangulation`</t>
        </is>
      </c>
      <c r="F72" s="49" t="inlineStr">
        <is>
          <t>① `MYR/TWD` 的 `source` = `derived:USD`；② `implied` 與 `direct` 落差 `gap_pct` &lt; 0.001%、`ok: true`</t>
        </is>
      </c>
      <c r="G72" s="50" t="inlineStr">
        <is>
          <t>唯讀</t>
        </is>
      </c>
      <c r="H72" s="50" t="inlineStr">
        <is>
          <t>✅ 已驗（三輪、兩組匯率快照）</t>
        </is>
      </c>
      <c r="I72" s="5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51" t="inlineStr">
        <is>
          <t>PASS</t>
        </is>
      </c>
      <c r="K72" s="51" t="n"/>
      <c r="L72" s="52" t="inlineStr">
        <is>
          <t>PASS</t>
        </is>
      </c>
      <c r="M72" s="51" t="inlineStr">
        <is>
          <t>PASS</t>
        </is>
      </c>
      <c r="N72" s="51" t="inlineStr">
        <is>
          <t>更新報價前讀取；E-01 後再讀一次（見 E-01／E-04）</t>
        </is>
      </c>
    </row>
    <row r="73" ht="44" customHeight="1" s="34">
      <c r="A73" s="48" t="inlineStr">
        <is>
          <t>E-04</t>
        </is>
      </c>
      <c r="B73" s="49" t="inlineStr">
        <is>
          <t>E</t>
        </is>
      </c>
      <c r="C73" s="50" t="inlineStr">
        <is>
          <t>更新後的成本與報酬重算</t>
        </is>
      </c>
      <c r="D73" s="50" t="inlineStr">
        <is>
          <t>記錄更新前的 14 檔成本、未實現、權重</t>
        </is>
      </c>
      <c r="E73" s="50" t="inlineStr">
        <is>
          <t>更新報價後重讀 `/api/dashboard`</t>
        </is>
      </c>
      <c r="F73" s="49" t="inlineStr">
        <is>
          <t>① **原始成本與調整成本不得變動**（只有市值與未實現會變）；② 未實現 = 市值 − 調整成本；③ 權重重算後 Σ = 1；④ 94 項恆等式全過</t>
        </is>
      </c>
      <c r="G73" s="50" t="inlineStr">
        <is>
          <t>唯讀</t>
        </is>
      </c>
      <c r="H73" s="50" t="inlineStr">
        <is>
          <t>✅ 已驗（三組不同價格快照）</t>
        </is>
      </c>
      <c r="I73" s="5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51" t="inlineStr">
        <is>
          <t>PASS</t>
        </is>
      </c>
      <c r="K73" s="51" t="n"/>
      <c r="L73" s="52" t="inlineStr">
        <is>
          <t>PASS</t>
        </is>
      </c>
      <c r="M73" s="51" t="inlineStr">
        <is>
          <t>PASS</t>
        </is>
      </c>
      <c r="N73" s="51" t="n"/>
    </row>
    <row r="74" ht="58.2" customHeight="1" s="34">
      <c r="A74" s="48" t="inlineStr">
        <is>
          <t>E-05</t>
        </is>
      </c>
      <c r="B74" s="49" t="inlineStr">
        <is>
          <t>E</t>
        </is>
      </c>
      <c r="C74" s="50" t="inlineStr">
        <is>
          <t>排程定時執行</t>
        </is>
      </c>
      <c r="D74" s="49" t="inlineStr">
        <is>
          <t>**需在非 demo 環境**（demo 依裁定關閉排程器）</t>
        </is>
      </c>
      <c r="E74" s="50" t="inlineStr">
        <is>
          <t>啟動排程器 → 等待或調整 cron 使 `quotes_tw`／`quotes_us`／`quotes_my`／`dividends_daily`／`digest_daily` 各執行一次</t>
        </is>
      </c>
      <c r="F74" s="49" t="inlineStr">
        <is>
          <t>① `job_runs` 各留下一列，狀態與 detail 正確且為全形標點；② 執行時間符合 cron；③ 失敗時狀態為 partial／failed 並點名失敗標的</t>
        </is>
      </c>
      <c r="G74" s="50" t="inlineStr">
        <is>
          <t>會寫入 job_runs 與報價資料</t>
        </is>
      </c>
      <c r="H74" s="50" t="inlineStr">
        <is>
          <t>否（demo 排程器關閉）</t>
        </is>
      </c>
      <c r="I74" s="51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51" t="inlineStr">
        <is>
          <t>BLOCKED</t>
        </is>
      </c>
      <c r="K74" s="51" t="n"/>
      <c r="L74" s="52" t="inlineStr">
        <is>
          <t>BLOCKED</t>
        </is>
      </c>
      <c r="M74" s="51" t="n"/>
      <c r="N74" s="51" t="inlineStr">
        <is>
          <t>依手冊 §9 環境前置：demo 依裁定關閉排程器，本案為 BLOCKED</t>
        </is>
      </c>
    </row>
    <row r="75" ht="44" customHeight="1" s="34">
      <c r="A75" s="48" t="inlineStr">
        <is>
          <t>E-06</t>
        </is>
      </c>
      <c r="B75" s="49" t="inlineStr">
        <is>
          <t>E</t>
        </is>
      </c>
      <c r="C75" s="50" t="inlineStr">
        <is>
          <t>新鮮度徽章三態</t>
        </is>
      </c>
      <c r="D75" s="49" t="inlineStr">
        <is>
          <t>—</t>
        </is>
      </c>
      <c r="E75" s="50" t="inlineStr">
        <is>
          <t>分別製造：全部新鮮／部分過期／全部過期</t>
        </is>
      </c>
      <c r="F75" s="50" t="inlineStr">
        <is>
          <t>徽章依序顯示「資料新鮮」／「部分過期 n/m」／「全部過期」，tooltip 與計數一致</t>
        </is>
      </c>
      <c r="G75" s="50" t="inlineStr">
        <is>
          <t>唯讀</t>
        </is>
      </c>
      <c r="H75" s="50" t="inlineStr">
        <is>
          <t>✅ 已驗（三態皆實測到）</t>
        </is>
      </c>
      <c r="I75" s="51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51" t="inlineStr">
        <is>
          <t>BLOCKED</t>
        </is>
      </c>
      <c r="K75" s="51" t="n"/>
      <c r="L75" s="52" t="inlineStr">
        <is>
          <t>BLOCKED</t>
        </is>
      </c>
      <c r="M75" s="51" t="n"/>
      <c r="N75" s="51" t="inlineStr">
        <is>
          <t>三態中只能實測一態；未以修改資料的方式硬造其他兩態</t>
        </is>
      </c>
    </row>
    <row r="76" ht="44" customHeight="1" s="34">
      <c r="A76" s="48" t="inlineStr">
        <is>
          <t>E-07</t>
        </is>
      </c>
      <c r="B76" s="49" t="inlineStr">
        <is>
          <t>E</t>
        </is>
      </c>
      <c r="C76" s="49" t="inlineStr">
        <is>
          <t>XIRR 獨立重算</t>
        </is>
      </c>
      <c r="D76" s="50" t="inlineStr">
        <is>
          <t>匯出交易＋股利＋現金收支</t>
        </is>
      </c>
      <c r="E76" s="50" t="inlineStr">
        <is>
          <t>以 Excel `XIRR` 或 `pyxirr` 用同一組現金流重算年化報酬</t>
        </is>
      </c>
      <c r="F76" s="50" t="inlineStr">
        <is>
          <t>與 `kpis.xirr` 相對誤差 &lt; 1e-6；`xirr_window_days` 與現金流首尾日期相符</t>
        </is>
      </c>
      <c r="G76" s="50" t="inlineStr">
        <is>
          <t>唯讀</t>
        </is>
      </c>
      <c r="H76" s="50" t="inlineStr">
        <is>
          <t>否（本次稽核未獨立重算）</t>
        </is>
      </c>
      <c r="I76" s="51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51" t="inlineStr">
        <is>
          <t>PASS</t>
        </is>
      </c>
      <c r="K76" s="51" t="n"/>
      <c r="L76" s="52" t="inlineStr">
        <is>
          <t>PASS</t>
        </is>
      </c>
      <c r="M76" s="51" t="inlineStr">
        <is>
          <t>PASS</t>
        </is>
      </c>
      <c r="N76" s="51" t="inlineStr">
        <is>
          <t>限制：站上沒有歷史匯率 API，外幣日期的換算匯率取自站方 trend（以稅務包 rate_used 兩個日期交叉驗證），故「換匯」這一環不是完全獨立</t>
        </is>
      </c>
    </row>
    <row r="77" ht="44" customHeight="1" s="34">
      <c r="A77" s="48" t="inlineStr">
        <is>
          <t>E-08</t>
        </is>
      </c>
      <c r="B77" s="49" t="inlineStr">
        <is>
          <t>E</t>
        </is>
      </c>
      <c r="C77" s="49" t="inlineStr">
        <is>
          <t>TWR 與績效比較</t>
        </is>
      </c>
      <c r="D77" s="49" t="inlineStr">
        <is>
          <t>—</t>
        </is>
      </c>
      <c r="E77" s="50" t="inlineStr">
        <is>
          <t>切換基準（0050 ↔ S&amp;P 500）與區間（1年／3年／全部）</t>
        </is>
      </c>
      <c r="F77" s="50" t="inlineStr">
        <is>
          <t>① 曲線與區間正確裁切；② TWR 不受現金流進出影響（與 XIRR 的差異可解釋）</t>
        </is>
      </c>
      <c r="G77" s="50" t="inlineStr">
        <is>
          <t>唯讀</t>
        </is>
      </c>
      <c r="H77" s="50" t="inlineStr">
        <is>
          <t>部分（切換已驗，數值未重算）</t>
        </is>
      </c>
      <c r="I77" s="51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51" t="inlineStr">
        <is>
          <t>PASS</t>
        </is>
      </c>
      <c r="K77" s="51" t="n"/>
      <c r="L77" s="52" t="inlineStr">
        <is>
          <t>PASS</t>
        </is>
      </c>
      <c r="M77" s="51" t="inlineStr">
        <is>
          <t>PASS</t>
        </is>
      </c>
      <c r="N77" s="51" t="inlineStr">
        <is>
          <t>效能附記：該端點單次回應 5.8～16.5 秒（連點 6 次時排隊逾 45 秒）；畫面最終正確，未列缺陷</t>
        </is>
      </c>
    </row>
    <row r="78" ht="29.85" customHeight="1" s="34">
      <c r="A78" s="48" t="inlineStr">
        <is>
          <t>E-09</t>
        </is>
      </c>
      <c r="B78" s="49" t="inlineStr">
        <is>
          <t>E</t>
        </is>
      </c>
      <c r="C78" s="50" t="inlineStr">
        <is>
          <t>每日快照</t>
        </is>
      </c>
      <c r="D78" s="49" t="inlineStr">
        <is>
          <t>—</t>
        </is>
      </c>
      <c r="E78" s="50" t="inlineStr">
        <is>
          <t>檢視 `GET /api/snapshots?limit=12` 與趨勢圖</t>
        </is>
      </c>
      <c r="F78" s="50" t="inlineStr">
        <is>
          <t>快照日期連續、市值與當日 `/api/dashboard` 一致</t>
        </is>
      </c>
      <c r="G78" s="50" t="inlineStr">
        <is>
          <t>唯讀</t>
        </is>
      </c>
      <c r="H78" s="50" t="inlineStr">
        <is>
          <t>部分</t>
        </is>
      </c>
      <c r="I78" s="51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51" t="inlineStr">
        <is>
          <t>BLOCKED</t>
        </is>
      </c>
      <c r="K78" s="51" t="n"/>
      <c r="L78" s="52" t="inlineStr">
        <is>
          <t>BLOCKED</t>
        </is>
      </c>
      <c r="M78" s="51" t="n"/>
      <c r="N78" s="51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</t>
        </is>
      </c>
    </row>
    <row r="79" ht="55.2" customHeight="1" s="34">
      <c r="A79" s="48" t="inlineStr">
        <is>
          <t>E-10</t>
        </is>
      </c>
      <c r="B79" s="49" t="inlineStr">
        <is>
          <t>E</t>
        </is>
      </c>
      <c r="C79" s="50" t="inlineStr">
        <is>
          <t>查新代號連帶更新匯率（已裁定）</t>
        </is>
      </c>
      <c r="D79" s="50" t="inlineStr">
        <is>
          <t>記錄 `freshness.fx` 的 as_of</t>
        </is>
      </c>
      <c r="E79" s="50" t="inlineStr">
        <is>
          <t>觀察清單 → 查一個未登錄代號</t>
        </is>
      </c>
      <c r="F79" s="50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0" t="inlineStr">
        <is>
          <t>會更新匯率（已裁定為預期行為）</t>
        </is>
      </c>
      <c r="H79" s="50" t="inlineStr">
        <is>
          <t>✅ 已驗（行為與根因）</t>
        </is>
      </c>
      <c r="I79" s="51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51" t="inlineStr">
        <is>
          <t>PASS</t>
        </is>
      </c>
      <c r="K79" s="51" t="n"/>
      <c r="L79" s="52" t="inlineStr">
        <is>
          <t>PASS</t>
        </is>
      </c>
      <c r="M79" s="51" t="inlineStr">
        <is>
          <t>PASS</t>
        </is>
      </c>
      <c r="N79" s="51" t="inlineStr">
        <is>
          <t>依 §五 G 裁定為預期行為</t>
        </is>
      </c>
    </row>
    <row r="80" ht="44" customHeight="1" s="34">
      <c r="A80" s="48" t="inlineStr">
        <is>
          <t>E-11</t>
        </is>
      </c>
      <c r="B80" s="49" t="inlineStr">
        <is>
          <t>E</t>
        </is>
      </c>
      <c r="C80" s="50" t="inlineStr">
        <is>
          <t>報價來源失敗的降級</t>
        </is>
      </c>
      <c r="D80" s="50" t="inlineStr">
        <is>
          <t>把某個資料來源設為無效（非 demo 環境）</t>
        </is>
      </c>
      <c r="E80" s="50" t="inlineStr">
        <is>
          <t>更新報價</t>
        </is>
      </c>
      <c r="F80" s="50" t="inlineStr">
        <is>
          <t>① 失敗標的進入 `instruments_failed`／`held_failed`；② 畫面明確點名；③ **不得**以舊價假裝成功</t>
        </is>
      </c>
      <c r="G80" s="50" t="inlineStr">
        <is>
          <t>需改資料來源設定，測畢還原</t>
        </is>
      </c>
      <c r="H80" s="50" t="inlineStr">
        <is>
          <t>否</t>
        </is>
      </c>
      <c r="I80" s="51" t="inlineStr">
        <is>
          <t>需要把某個資料來源設為無效的非 demo 環境（手冊前置條件）；demo 站 系統設定 › 資料來源 不開放修改，本輪未變更任何來源設定</t>
        </is>
      </c>
      <c r="J80" s="51" t="inlineStr">
        <is>
          <t>BLOCKED</t>
        </is>
      </c>
      <c r="K80" s="51" t="n"/>
      <c r="L80" s="52" t="inlineStr">
        <is>
          <t>BLOCKED</t>
        </is>
      </c>
      <c r="M80" s="51" t="n"/>
      <c r="N80" s="51" t="n"/>
    </row>
    <row r="81" ht="29.85" customHeight="1" s="34">
      <c r="A81" s="48" t="inlineStr">
        <is>
          <t>E-12</t>
        </is>
      </c>
      <c r="B81" s="49" t="inlineStr">
        <is>
          <t>E</t>
        </is>
      </c>
      <c r="C81" s="50" t="inlineStr">
        <is>
          <t>成本不因匯率變動而改寫</t>
        </is>
      </c>
      <c r="D81" s="50" t="inlineStr">
        <is>
          <t>記錄外幣持倉的原始成本（原幣）</t>
        </is>
      </c>
      <c r="E81" s="50" t="inlineStr">
        <is>
          <t>匯率變動後重讀</t>
        </is>
      </c>
      <c r="F81" s="50" t="inlineStr">
        <is>
          <t>原幣成本不變；只有報告幣別的換算值改變；`principal_fx_effect` 承接差額</t>
        </is>
      </c>
      <c r="G81" s="50" t="inlineStr">
        <is>
          <t>唯讀</t>
        </is>
      </c>
      <c r="H81" s="50" t="inlineStr">
        <is>
          <t>✅ 已驗（恆等式）</t>
        </is>
      </c>
      <c r="I81" s="51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51" t="inlineStr">
        <is>
          <t>PASS</t>
        </is>
      </c>
      <c r="K81" s="51" t="n"/>
      <c r="L81" s="52" t="inlineStr">
        <is>
          <t>PASS</t>
        </is>
      </c>
      <c r="M81" s="51" t="inlineStr">
        <is>
          <t>PASS</t>
        </is>
      </c>
      <c r="N81" s="51" t="n"/>
    </row>
    <row r="82" ht="17.15" customHeight="1" s="34">
      <c r="A82" s="45" t="inlineStr">
        <is>
          <t>F. AI 查詢與輸入（拼湊／辨識／組裝）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7" t="n"/>
    </row>
    <row r="83" ht="58.2" customHeight="1" s="34">
      <c r="A83" s="48" t="inlineStr">
        <is>
          <t>F-01</t>
        </is>
      </c>
      <c r="B83" s="49" t="inlineStr">
        <is>
          <t>F</t>
        </is>
      </c>
      <c r="C83" s="49" t="inlineStr">
        <is>
          <t>AI 代號辨識（名稱 → 代號）</t>
        </is>
      </c>
      <c r="D83" s="50" t="inlineStr">
        <is>
          <t>設定 › AI 與額度 確認額度足夠；記錄目前額度</t>
        </is>
      </c>
      <c r="E83" s="50" t="inlineStr">
        <is>
          <t>觀察清單 › 加入 → 輸入「台積電」→ 按「AI 辨識」</t>
        </is>
      </c>
      <c r="F83" s="50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49" t="inlineStr">
        <is>
          <t>**會花費 AI 額度**（約 $0.002／次）。不寫入帳本</t>
        </is>
      </c>
      <c r="H83" s="50" t="inlineStr">
        <is>
          <t>否（只驗過「不自動觸發」）</t>
        </is>
      </c>
      <c r="I83" s="51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51" t="inlineStr">
        <is>
          <t>PASS</t>
        </is>
      </c>
      <c r="K83" s="51" t="n"/>
      <c r="L83" s="52" t="inlineStr">
        <is>
          <t>PASS</t>
        </is>
      </c>
      <c r="M83" s="51" t="inlineStr">
        <is>
          <t>PASS</t>
        </is>
      </c>
      <c r="N83" s="51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</t>
        </is>
      </c>
    </row>
    <row r="84" ht="44" customHeight="1" s="34">
      <c r="A84" s="48" t="inlineStr">
        <is>
          <t>F-02</t>
        </is>
      </c>
      <c r="B84" s="49" t="inlineStr">
        <is>
          <t>F</t>
        </is>
      </c>
      <c r="C84" s="50" t="inlineStr">
        <is>
          <t>純代號不得自動觸發 AI</t>
        </is>
      </c>
      <c r="D84" s="49" t="inlineStr">
        <is>
          <t>—</t>
        </is>
      </c>
      <c r="E84" s="50" t="inlineStr">
        <is>
          <t>輸入 `ZZZZ9` → 按「加入」</t>
        </is>
      </c>
      <c r="F84" s="50" t="inlineStr">
        <is>
          <t>全程 `POST /api/instruments/ai-resolve` 呼叫 **0 次**；提示為「查無報價 — 請確認代號與市場；若是用名稱找，可按「AI 辨識」（使用 AI 額度）」</t>
        </is>
      </c>
      <c r="G84" s="50" t="inlineStr">
        <is>
          <t>唯讀、零花費</t>
        </is>
      </c>
      <c r="H84" s="50" t="inlineStr">
        <is>
          <t>✅ 已驗（三輪）</t>
        </is>
      </c>
      <c r="I84" s="51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51" t="inlineStr">
        <is>
          <t>PASS</t>
        </is>
      </c>
      <c r="K84" s="51" t="n"/>
      <c r="L84" s="52" t="inlineStr">
        <is>
          <t>PASS</t>
        </is>
      </c>
      <c r="M84" s="51" t="inlineStr">
        <is>
          <t>PASS</t>
        </is>
      </c>
      <c r="N84" s="51" t="n"/>
    </row>
    <row r="85" ht="44" customHeight="1" s="34">
      <c r="A85" s="48" t="inlineStr">
        <is>
          <t>F-03</t>
        </is>
      </c>
      <c r="B85" s="49" t="inlineStr">
        <is>
          <t>F</t>
        </is>
      </c>
      <c r="C85" s="50" t="inlineStr">
        <is>
          <t>自動辨識開關</t>
        </is>
      </c>
      <c r="D85" s="50" t="inlineStr">
        <is>
          <t>設定 › AI 與額度</t>
        </is>
      </c>
      <c r="E85" s="50" t="inlineStr">
        <is>
          <t>關閉「代號查無時自動 AI 辨識」→ 回觀察清單輸入含名稱的字串</t>
        </is>
      </c>
      <c r="F85" s="50" t="inlineStr">
        <is>
          <t>① 不再自動送出；② 提示改為「…（自動辨識已在設定關閉）」；③ `GET /api/ui-prefs` 的 `auto_ai_resolve` 為 false</t>
        </is>
      </c>
      <c r="G85" s="50" t="inlineStr">
        <is>
          <t>改設定，測畢改回</t>
        </is>
      </c>
      <c r="H85" s="50" t="inlineStr">
        <is>
          <t>部分（預設值已驗）</t>
        </is>
      </c>
      <c r="I85" s="51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51" t="inlineStr">
        <is>
          <t>PASS</t>
        </is>
      </c>
      <c r="K85" s="51" t="inlineStr">
        <is>
          <t>DEF-034</t>
        </is>
      </c>
      <c r="L85" s="52" t="inlineStr">
        <is>
          <t>結案</t>
        </is>
      </c>
      <c r="M85" s="51" t="inlineStr">
        <is>
          <t>PASS</t>
        </is>
      </c>
      <c r="N85" s="51" t="inlineStr">
        <is>
          <t>同頁每儲存一次低額度警示閾值，這個開關就多綁一次監聽：儲存兩次後點一下會送 3 次 PUT、跳 3 個 toast（見 DEF-034，不影響本題三項判定）
R2：DEF-034 複驗通過結案</t>
        </is>
      </c>
    </row>
    <row r="86" ht="44" customHeight="1" s="34">
      <c r="A86" s="48" t="inlineStr">
        <is>
          <t>F-04</t>
        </is>
      </c>
      <c r="B86" s="49" t="inlineStr">
        <is>
          <t>F</t>
        </is>
      </c>
      <c r="C86" s="49" t="inlineStr">
        <is>
          <t>AI 交易輸入（自然語言／貼上文字）</t>
        </is>
      </c>
      <c r="D86" s="50" t="inlineStr">
        <is>
          <t>交易帳本 › AI 輸入</t>
        </is>
      </c>
      <c r="E86" s="50" t="inlineStr">
        <is>
          <t>貼上一段交易描述或對帳單文字 → 解析</t>
        </is>
      </c>
      <c r="F86" s="50" t="inlineStr">
        <is>
          <t>① 解析成結構化列並可逐列編輯；② **無法解析的列不得用猜的**，需明確標示；③ 寫入前有預覽；④ 花費記錄到額度</t>
        </is>
      </c>
      <c r="G86" s="49" t="inlineStr">
        <is>
          <t>**會花費額度**；寫入後需刪除</t>
        </is>
      </c>
      <c r="H86" s="50" t="inlineStr">
        <is>
          <t>否</t>
        </is>
      </c>
      <c r="I86" s="51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51" t="inlineStr">
        <is>
          <t>FAIL</t>
        </is>
      </c>
      <c r="K86" s="51" t="inlineStr">
        <is>
          <t>DEF-035</t>
        </is>
      </c>
      <c r="L86" s="52" t="inlineStr">
        <is>
          <t>結案</t>
        </is>
      </c>
      <c r="M86" s="51" t="inlineStr">
        <is>
          <t>PASS</t>
        </is>
      </c>
      <c r="N86" s="51" t="inlineStr">
        <is>
          <t>R2：DEF-035 複驗通過結案</t>
        </is>
      </c>
    </row>
    <row r="87" ht="29.85" customHeight="1" s="34">
      <c r="A87" s="48" t="inlineStr">
        <is>
          <t>F-05</t>
        </is>
      </c>
      <c r="B87" s="49" t="inlineStr">
        <is>
          <t>F</t>
        </is>
      </c>
      <c r="C87" s="49" t="inlineStr">
        <is>
          <t>AI 輸入的幻覺防線</t>
        </is>
      </c>
      <c r="D87" s="50" t="inlineStr">
        <is>
          <t>同上</t>
        </is>
      </c>
      <c r="E87" s="50" t="inlineStr">
        <is>
          <t>貼入一段含有不存在代號或矛盾數字的文字</t>
        </is>
      </c>
      <c r="F87" s="50" t="inlineStr">
        <is>
          <t>系統應拒絕或標示，不得自行補齊；寫入門的驗證（整數股、賣超、日期）同樣生效</t>
        </is>
      </c>
      <c r="G87" s="50" t="inlineStr">
        <is>
          <t>不寫入</t>
        </is>
      </c>
      <c r="H87" s="50" t="inlineStr">
        <is>
          <t>否</t>
        </is>
      </c>
      <c r="I87" s="51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51" t="inlineStr">
        <is>
          <t>FAIL</t>
        </is>
      </c>
      <c r="K87" s="51" t="inlineStr">
        <is>
          <t>DEF-036</t>
        </is>
      </c>
      <c r="L87" s="52" t="inlineStr">
        <is>
          <t>結案</t>
        </is>
      </c>
      <c r="M87" s="51" t="inlineStr">
        <is>
          <t>PASS</t>
        </is>
      </c>
      <c r="N87" s="51" t="inlineStr">
        <is>
          <t>本輪未寫入；賣超列的預設勾選與通用確認同 DEF-025
R2：DEF-036 複驗通過結案</t>
        </is>
      </c>
    </row>
    <row r="88" ht="58.2" customHeight="1" s="34">
      <c r="A88" s="48" t="inlineStr">
        <is>
          <t>F-06</t>
        </is>
      </c>
      <c r="B88" s="49" t="inlineStr">
        <is>
          <t>F</t>
        </is>
      </c>
      <c r="C88" s="50" t="inlineStr">
        <is>
          <t>提示詞組裝預覽</t>
        </is>
      </c>
      <c r="D88" s="50" t="inlineStr">
        <is>
          <t>洞察管線中心</t>
        </is>
      </c>
      <c r="E88" s="50" t="inlineStr">
        <is>
          <t>乾跑預檢 → 「查看組裝後提示詞」</t>
        </is>
      </c>
      <c r="F88" s="50" t="inlineStr">
        <is>
          <t>① 變數已代入快照；② 與實際送出的提示詞一致（可與 `insights.prompt_figures` 的數字比對）；③ **零成本、不呼叫 LLM**</t>
        </is>
      </c>
      <c r="G88" s="50" t="inlineStr">
        <is>
          <t>唯讀、零花費</t>
        </is>
      </c>
      <c r="H88" s="50" t="inlineStr">
        <is>
          <t>✅ 已驗（R1–R8 與零成本聲明）</t>
        </is>
      </c>
      <c r="I88" s="51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51" t="inlineStr">
        <is>
          <t>PASS</t>
        </is>
      </c>
      <c r="K88" s="51" t="n"/>
      <c r="L88" s="52" t="inlineStr">
        <is>
          <t>PASS</t>
        </is>
      </c>
      <c r="M88" s="51" t="inlineStr">
        <is>
          <t>PASS</t>
        </is>
      </c>
      <c r="N88" s="51" t="inlineStr">
        <is>
          <t>站上未提供 insights.prompt_figures 讀取介面，②以失敗紀錄實際送出的 prompt 對照</t>
        </is>
      </c>
    </row>
    <row r="89" ht="29.85" customHeight="1" s="34">
      <c r="A89" s="48" t="inlineStr">
        <is>
          <t>F-07</t>
        </is>
      </c>
      <c r="B89" s="49" t="inlineStr">
        <is>
          <t>F</t>
        </is>
      </c>
      <c r="C89" s="50" t="inlineStr">
        <is>
          <t>額度不足時的降級</t>
        </is>
      </c>
      <c r="D89" s="50" t="inlineStr">
        <is>
          <t>把額度調至極低（非 demo 或可回復的設定）</t>
        </is>
      </c>
      <c r="E89" s="50" t="inlineStr">
        <is>
          <t>觸發任一 AI 功能</t>
        </is>
      </c>
      <c r="F89" s="50" t="inlineStr">
        <is>
          <t>回 402／明確提示「額度不足」，**不得靜默失敗**，也不得產生半成品卡片</t>
        </is>
      </c>
      <c r="G89" s="50" t="inlineStr">
        <is>
          <t>改設定，測畢還原</t>
        </is>
      </c>
      <c r="H89" s="50" t="inlineStr">
        <is>
          <t>否</t>
        </is>
      </c>
      <c r="I89" s="5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51" t="inlineStr">
        <is>
          <t>BLOCKED</t>
        </is>
      </c>
      <c r="K89" s="51" t="n"/>
      <c r="L89" s="52" t="inlineStr">
        <is>
          <t>BLOCKED</t>
        </is>
      </c>
      <c r="M89" s="51" t="n"/>
      <c r="N89" s="51" t="inlineStr">
        <is>
          <t>未把額度真正用罄（需花掉 $3.27，且不可回復）</t>
        </is>
      </c>
    </row>
    <row r="90" ht="29.85" customHeight="1" s="34">
      <c r="A90" s="48" t="inlineStr">
        <is>
          <t>F-08</t>
        </is>
      </c>
      <c r="B90" s="49" t="inlineStr">
        <is>
          <t>F</t>
        </is>
      </c>
      <c r="C90" s="49" t="inlineStr">
        <is>
          <t>AI 失敗紀錄</t>
        </is>
      </c>
      <c r="D90" s="50" t="inlineStr">
        <is>
          <t>承 F-07 或製造一次失敗</t>
        </is>
      </c>
      <c r="E90" s="50" t="inlineStr">
        <is>
          <t>檢視 LLM 失敗紀錄頁 / `llm_fail_log`</t>
        </is>
      </c>
      <c r="F90" s="50" t="inlineStr">
        <is>
          <t>失敗留下可下載的紀錄（時間、模型、錯誤），與畫面一致</t>
        </is>
      </c>
      <c r="G90" s="50" t="inlineStr">
        <is>
          <t>唯讀</t>
        </is>
      </c>
      <c r="H90" s="50" t="inlineStr">
        <is>
          <t>否</t>
        </is>
      </c>
      <c r="I90" s="51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51" t="inlineStr">
        <is>
          <t>PASS</t>
        </is>
      </c>
      <c r="K90" s="51" t="n"/>
      <c r="L90" s="52" t="inlineStr">
        <is>
          <t>PASS</t>
        </is>
      </c>
      <c r="M90" s="51" t="inlineStr">
        <is>
          <t>PASS</t>
        </is>
      </c>
      <c r="N90" s="51" t="inlineStr">
        <is>
          <t>以既有一筆失敗紀錄驗證（未另外製造失敗）</t>
        </is>
      </c>
    </row>
    <row r="91" ht="29.85" customHeight="1" s="34">
      <c r="A91" s="48" t="inlineStr">
        <is>
          <t>F-09</t>
        </is>
      </c>
      <c r="B91" s="49" t="inlineStr">
        <is>
          <t>F</t>
        </is>
      </c>
      <c r="C91" s="50" t="inlineStr">
        <is>
          <t>搜尋（⌘K）模糊比對</t>
        </is>
      </c>
      <c r="D91" s="49" t="inlineStr">
        <is>
          <t>—</t>
        </is>
      </c>
      <c r="E91" s="50" t="inlineStr">
        <is>
          <t>以代號／中文名／英文名各搜一次</t>
        </is>
      </c>
      <c r="F91" s="50" t="inlineStr">
        <is>
          <t>模糊比對正確、標示持倉／觀察、查無時有導引、方向鍵＋Enter 可開抽屜</t>
        </is>
      </c>
      <c r="G91" s="50" t="inlineStr">
        <is>
          <t>唯讀</t>
        </is>
      </c>
      <c r="H91" s="50" t="inlineStr">
        <is>
          <t>✅ 已驗（第一輪）</t>
        </is>
      </c>
      <c r="I91" s="5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51" t="inlineStr">
        <is>
          <t>PASS</t>
        </is>
      </c>
      <c r="K91" s="51" t="n"/>
      <c r="L91" s="52" t="inlineStr">
        <is>
          <t>PASS</t>
        </is>
      </c>
      <c r="M91" s="51" t="inlineStr">
        <is>
          <t>PASS</t>
        </is>
      </c>
      <c r="N91" s="51" t="n"/>
    </row>
    <row r="92" ht="17.15" customHeight="1" s="34">
      <c r="A92" s="45" t="inlineStr">
        <is>
          <t>G. AI 投資推斷建議（洞察卡）</t>
        </is>
      </c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7" t="n"/>
    </row>
    <row r="93" ht="44" customHeight="1" s="34">
      <c r="A93" s="48" t="inlineStr">
        <is>
          <t>G-01</t>
        </is>
      </c>
      <c r="B93" s="49" t="inlineStr">
        <is>
          <t>G</t>
        </is>
      </c>
      <c r="C93" s="50" t="inlineStr">
        <is>
          <t>產生洞察（單一任務）</t>
        </is>
      </c>
      <c r="D93" s="50" t="inlineStr">
        <is>
          <t>洞察管線中心；記錄目前 AI 額度與卡片數</t>
        </is>
      </c>
      <c r="E93" s="50" t="inlineStr">
        <is>
          <t>選一個 per_symbol 任務 → 產生洞察</t>
        </is>
      </c>
      <c r="F93" s="50" t="inlineStr">
        <is>
          <t>① 卡片數與任務標的數相符；② 每張卡記錄 model／token／cost；③ 額度扣減 = 各卡 cost 加總；④ `job_runs` 留下一列</t>
        </is>
      </c>
      <c r="G93" s="49" t="inlineStr">
        <is>
          <t>**會花費額度**（實測一批 13 張約 $0.02）。卡片可留存或刪除</t>
        </is>
      </c>
      <c r="H93" s="50" t="inlineStr">
        <is>
          <t>✅ 已驗（第三輪產 27 張）</t>
        </is>
      </c>
      <c r="I93" s="51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51" t="inlineStr">
        <is>
          <t>PASS</t>
        </is>
      </c>
      <c r="K93" s="51" t="n"/>
      <c r="L93" s="52" t="inlineStr">
        <is>
          <t>PASS</t>
        </is>
      </c>
      <c r="M93" s="51" t="inlineStr">
        <is>
          <t>PASS</t>
        </is>
      </c>
      <c r="N93" s="51" t="inlineStr">
        <is>
          <t>測試任務刪除後其卡片依設計隱藏（/api/insights total 回到 175）</t>
        </is>
      </c>
    </row>
    <row r="94" ht="58.2" customHeight="1" s="34">
      <c r="A94" s="48" t="inlineStr">
        <is>
          <t>G-02</t>
        </is>
      </c>
      <c r="B94" s="49" t="inlineStr">
        <is>
          <t>G</t>
        </is>
      </c>
      <c r="C94" s="50" t="inlineStr">
        <is>
          <t>數值檢核（真陽性）</t>
        </is>
      </c>
      <c r="D94" s="49" t="inlineStr">
        <is>
          <t>—</t>
        </is>
      </c>
      <c r="E94" s="50" t="inlineStr">
        <is>
          <t>找一張卡片文字中的數字，比對 `insights.prompt_figures`</t>
        </is>
      </c>
      <c r="F94" s="50" t="inlineStr">
        <is>
          <t>卡片印出的數字若不在提示詞母體中（任何合理尺度下），必須標「數值待核」，tooltip 列出對不上的數字</t>
        </is>
      </c>
      <c r="G94" s="50" t="inlineStr">
        <is>
          <t>唯讀</t>
        </is>
      </c>
      <c r="H94" s="50" t="inlineStr">
        <is>
          <t>✅ 已驗（#172／#185／#188）</t>
        </is>
      </c>
      <c r="I94" s="5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51" t="inlineStr">
        <is>
          <t>PASS</t>
        </is>
      </c>
      <c r="K94" s="51" t="n"/>
      <c r="L94" s="52" t="inlineStr">
        <is>
          <t>PASS</t>
        </is>
      </c>
      <c r="M94" s="51" t="inlineStr">
        <is>
          <t>PASS</t>
        </is>
      </c>
      <c r="N94" s="5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</t>
        </is>
      </c>
    </row>
    <row r="95" ht="44" customHeight="1" s="34">
      <c r="A95" s="48" t="inlineStr">
        <is>
          <t>G-03</t>
        </is>
      </c>
      <c r="B95" s="49" t="inlineStr">
        <is>
          <t>G</t>
        </is>
      </c>
      <c r="C95" s="50" t="inlineStr">
        <is>
          <t>數值檢核（不得誤報）</t>
        </is>
      </c>
      <c r="D95" s="49" t="inlineStr">
        <is>
          <t>—</t>
        </is>
      </c>
      <c r="E95" s="50" t="inlineStr">
        <is>
          <t>檢視有母體的卡片中含單位的數字（兆／億／萬／千萬／百萬／B／T／混合數字）</t>
        </is>
      </c>
      <c r="F95" s="50" t="inlineStr">
        <is>
          <t>只要與母體數字在 0.5% 內相符即**不得**標記；單位換算需正確（4.51 兆 = 4.51×10¹²）</t>
        </is>
      </c>
      <c r="G95" s="50" t="inlineStr">
        <is>
          <t>唯讀</t>
        </is>
      </c>
      <c r="H95" s="50" t="inlineStr">
        <is>
          <t>✅ 已驗（21 個單位 token）</t>
        </is>
      </c>
      <c r="I95" s="5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51" t="inlineStr">
        <is>
          <t>PASS</t>
        </is>
      </c>
      <c r="K95" s="51" t="n"/>
      <c r="L95" s="52" t="inlineStr">
        <is>
          <t>PASS</t>
        </is>
      </c>
      <c r="M95" s="51" t="inlineStr">
        <is>
          <t>PASS</t>
        </is>
      </c>
      <c r="N95" s="51" t="n"/>
    </row>
    <row r="96" ht="29.85" customHeight="1" s="34">
      <c r="A96" s="48" t="inlineStr">
        <is>
          <t>G-04</t>
        </is>
      </c>
      <c r="B96" s="49" t="inlineStr">
        <is>
          <t>G</t>
        </is>
      </c>
      <c r="C96" s="50" t="inlineStr">
        <is>
          <t>代號檢核</t>
        </is>
      </c>
      <c r="D96" s="49" t="inlineStr">
        <is>
          <t>—</t>
        </is>
      </c>
      <c r="E96" s="50" t="inlineStr">
        <is>
          <t>檢視卡片中括號內的代號</t>
        </is>
      </c>
      <c r="F96" s="50" t="inlineStr">
        <is>
          <t>未註冊代號標示；指標（MA20／RSI14）、縮寫（PE／ETF）、幣別不得誤報</t>
        </is>
      </c>
      <c r="G96" s="50" t="inlineStr">
        <is>
          <t>唯讀</t>
        </is>
      </c>
      <c r="H96" s="50" t="inlineStr">
        <is>
          <t>✅ 已驗（誤報 48 → 1）</t>
        </is>
      </c>
      <c r="I96" s="5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51" t="inlineStr">
        <is>
          <t>PASS</t>
        </is>
      </c>
      <c r="K96" s="51" t="n"/>
      <c r="L96" s="52" t="inlineStr">
        <is>
          <t>PASS</t>
        </is>
      </c>
      <c r="M96" s="51" t="inlineStr">
        <is>
          <t>PASS</t>
        </is>
      </c>
      <c r="N96" s="51" t="n"/>
    </row>
    <row r="97" ht="29.85" customHeight="1" s="34">
      <c r="A97" s="48" t="inlineStr">
        <is>
          <t>G-05</t>
        </is>
      </c>
      <c r="B97" s="49" t="inlineStr">
        <is>
          <t>G</t>
        </is>
      </c>
      <c r="C97" s="50" t="inlineStr">
        <is>
          <t>第三態：無母體</t>
        </is>
      </c>
      <c r="D97" s="49" t="inlineStr">
        <is>
          <t>—</t>
        </is>
      </c>
      <c r="E97" s="50" t="inlineStr">
        <is>
          <t>檢視 `prompt_figures` 為空的舊卡</t>
        </is>
      </c>
      <c r="F97" s="50" t="inlineStr">
        <is>
          <t>顯示「無快照可核」而**不是**乾淨無標記</t>
        </is>
      </c>
      <c r="G97" s="50" t="inlineStr">
        <is>
          <t>唯讀</t>
        </is>
      </c>
      <c r="H97" s="50" t="inlineStr">
        <is>
          <t>✅ 已驗（142 張）</t>
        </is>
      </c>
      <c r="I97" s="5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51" t="inlineStr">
        <is>
          <t>PASS</t>
        </is>
      </c>
      <c r="K97" s="51" t="n"/>
      <c r="L97" s="52" t="inlineStr">
        <is>
          <t>PASS</t>
        </is>
      </c>
      <c r="M97" s="51" t="inlineStr">
        <is>
          <t>PASS</t>
        </is>
      </c>
      <c r="N97" s="51" t="n"/>
    </row>
    <row r="98" ht="44" customHeight="1" s="34">
      <c r="A98" s="48" t="inlineStr">
        <is>
          <t>G-06</t>
        </is>
      </c>
      <c r="B98" s="49" t="inlineStr">
        <is>
          <t>G</t>
        </is>
      </c>
      <c r="C98" s="50" t="inlineStr">
        <is>
          <t>預測欄位顯示</t>
        </is>
      </c>
      <c r="D98" s="49" t="inlineStr">
        <is>
          <t>—</t>
        </is>
      </c>
      <c r="E98" s="50" t="inlineStr">
        <is>
          <t>檢視卡片的信心與預測</t>
        </is>
      </c>
      <c r="F98" s="50" t="inlineStr">
        <is>
          <t>信心以整數百分比顯示；信心 0 有 tooltip「模型自評信心 0%（極低）— 非未提供」；無預測顯示「純描述・無預測」</t>
        </is>
      </c>
      <c r="G98" s="50" t="inlineStr">
        <is>
          <t>唯讀</t>
        </is>
      </c>
      <c r="H98" s="50" t="inlineStr">
        <is>
          <t>✅ 已驗（11 種信心值）</t>
        </is>
      </c>
      <c r="I98" s="51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51" t="inlineStr">
        <is>
          <t>OBSERVE</t>
        </is>
      </c>
      <c r="K98" s="51" t="inlineStr">
        <is>
          <t>DEF-003</t>
        </is>
      </c>
      <c r="L98" s="52" t="inlineStr">
        <is>
          <t>FAIL</t>
        </is>
      </c>
      <c r="M98" s="51" t="n"/>
      <c r="N98" s="51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</t>
        </is>
      </c>
    </row>
    <row r="99" ht="29.85" customHeight="1" s="34">
      <c r="A99" s="48" t="inlineStr">
        <is>
          <t>G-07</t>
        </is>
      </c>
      <c r="B99" s="49" t="inlineStr">
        <is>
          <t>G</t>
        </is>
      </c>
      <c r="C99" s="49" t="inlineStr">
        <is>
          <t>Loop 2 評分</t>
        </is>
      </c>
      <c r="D99" s="50" t="inlineStr">
        <is>
          <t>有已到期的預測卡</t>
        </is>
      </c>
      <c r="E99" s="50" t="inlineStr">
        <is>
          <t>執行 `evaluate_insights` 或等待排程 → 檢視 AI 戰績</t>
        </is>
      </c>
      <c r="F99" s="50" t="inlineStr">
        <is>
          <t>① 到期卡被評分；② 命中率與校準曲線更新；③ 未到期卡不得被評分</t>
        </is>
      </c>
      <c r="G99" s="50" t="inlineStr">
        <is>
          <t>會寫入評分資料</t>
        </is>
      </c>
      <c r="H99" s="50" t="inlineStr">
        <is>
          <t>否</t>
        </is>
      </c>
      <c r="I99" s="51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51" t="inlineStr">
        <is>
          <t>PASS</t>
        </is>
      </c>
      <c r="K99" s="51" t="n"/>
      <c r="L99" s="52" t="inlineStr">
        <is>
          <t>PASS</t>
        </is>
      </c>
      <c r="M99" s="51" t="inlineStr">
        <is>
          <t>PASS</t>
        </is>
      </c>
      <c r="N99" s="51" t="inlineStr">
        <is>
          <t>評分資料為預期寫入（手冊：會寫入評分資料），無法還原</t>
        </is>
      </c>
    </row>
    <row r="100" ht="29.85" customHeight="1" s="34">
      <c r="A100" s="48" t="inlineStr">
        <is>
          <t>G-08</t>
        </is>
      </c>
      <c r="B100" s="49" t="inlineStr">
        <is>
          <t>G</t>
        </is>
      </c>
      <c r="C100" s="50" t="inlineStr">
        <is>
          <t>影子批次與自動晉升</t>
        </is>
      </c>
      <c r="D100" s="50" t="inlineStr">
        <is>
          <t>設定 › 進化設定</t>
        </is>
      </c>
      <c r="E100" s="50" t="inlineStr">
        <is>
          <t>產生一批 shadow 卡 → 檢視是否影響正式卡 → 達標後晉升</t>
        </is>
      </c>
      <c r="F100" s="49" t="inlineStr">
        <is>
          <t>① shadow 卡不出現在正式清單；② 最低樣本數與安全邊界生效；③ 晉升後版本號變更</t>
        </is>
      </c>
      <c r="G100" s="49" t="inlineStr">
        <is>
          <t>**會花費額度**；建議在非 demo 環境</t>
        </is>
      </c>
      <c r="H100" s="50" t="inlineStr">
        <is>
          <t>否</t>
        </is>
      </c>
      <c r="I100" s="51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51" t="inlineStr">
        <is>
          <t>BLOCKED</t>
        </is>
      </c>
      <c r="K100" s="51" t="n"/>
      <c r="L100" s="52" t="inlineStr">
        <is>
          <t>BLOCKED</t>
        </is>
      </c>
      <c r="M100" s="51" t="n"/>
      <c r="N100" s="51" t="inlineStr">
        <is>
          <t>未觸發 generate_calibrations（會花額度且寫入不可回復的校正版本）</t>
        </is>
      </c>
    </row>
    <row r="101" ht="15" customHeight="1" s="34">
      <c r="A101" s="48" t="inlineStr">
        <is>
          <t>G-09</t>
        </is>
      </c>
      <c r="B101" s="49" t="inlineStr">
        <is>
          <t>G</t>
        </is>
      </c>
      <c r="C101" s="49" t="inlineStr">
        <is>
          <t>on_alert 觸發產卡</t>
        </is>
      </c>
      <c r="D101" s="50" t="inlineStr">
        <is>
          <t>設定一條會觸發的預警規則</t>
        </is>
      </c>
      <c r="E101" s="50" t="inlineStr">
        <is>
          <t>觸發預警 → 檢視是否產生對應洞察</t>
        </is>
      </c>
      <c r="F101" s="50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0" t="inlineStr">
        <is>
          <t>會花費額度</t>
        </is>
      </c>
      <c r="H101" s="50" t="inlineStr">
        <is>
          <t>否</t>
        </is>
      </c>
      <c r="I101" s="51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51" t="inlineStr">
        <is>
          <t>FAIL</t>
        </is>
      </c>
      <c r="K101" s="51" t="inlineStr">
        <is>
          <t>DEF-037, DEF-041, DEF-044, DEF-046</t>
        </is>
      </c>
      <c r="L101" s="52" t="inlineStr">
        <is>
          <t>FAIL</t>
        </is>
      </c>
      <c r="M101" s="51" t="n"/>
      <c r="N101" s="51" t="inlineStr">
        <is>
          <t>R2：DEF-037 複驗通過結案；依 OBS-2 裁定新增期望「僅持有中的標的產卡」→ DEF-041；附帶 DEF-044（排程中心原始帳戶 id）、DEF-046（R1 錯誤卡，裁定刪除）</t>
        </is>
      </c>
    </row>
    <row r="102" ht="41" customHeight="1" s="34">
      <c r="A102" s="48" t="inlineStr">
        <is>
          <t>G-10</t>
        </is>
      </c>
      <c r="B102" s="49" t="inlineStr">
        <is>
          <t>G</t>
        </is>
      </c>
      <c r="C102" s="50" t="inlineStr">
        <is>
          <t>推斷品質（不列入缺陷）</t>
        </is>
      </c>
      <c r="D102" s="49" t="inlineStr">
        <is>
          <t>—</t>
        </is>
      </c>
      <c r="E102" s="50" t="inlineStr">
        <is>
          <t>檢視 AI 戰績的命中率與校準缺口</t>
        </is>
      </c>
      <c r="F102" s="49" t="inlineStr">
        <is>
          <t>**僅記錄不判定**：屬模型與提示詞課題（稽核 §五 E 已裁定不在修復範圍）</t>
        </is>
      </c>
      <c r="G102" s="50" t="inlineStr">
        <is>
          <t>唯讀</t>
        </is>
      </c>
      <c r="H102" s="50" t="inlineStr">
        <is>
          <t>✅ 已記錄（13.33% / −46.60%）</t>
        </is>
      </c>
      <c r="I102" s="51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51" t="inlineStr">
        <is>
          <t>N/A</t>
        </is>
      </c>
      <c r="K102" s="51" t="n"/>
      <c r="L102" s="52" t="inlineStr">
        <is>
          <t>N/A</t>
        </is>
      </c>
      <c r="M102" s="51" t="inlineStr">
        <is>
          <t>N/A</t>
        </is>
      </c>
      <c r="N102" s="51" t="inlineStr">
        <is>
          <t>依手冊 G-10「僅記錄不判定」（稽核 §五 E 已裁定不在修復範圍）</t>
        </is>
      </c>
    </row>
    <row r="103" ht="17.15" customHeight="1" s="34">
      <c r="A103" s="45" t="inlineStr">
        <is>
          <t>H. AI 設定與管線</t>
        </is>
      </c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7" t="n"/>
    </row>
    <row r="104" ht="29.85" customHeight="1" s="34">
      <c r="A104" s="48" t="inlineStr">
        <is>
          <t>H-01</t>
        </is>
      </c>
      <c r="B104" s="49" t="inlineStr">
        <is>
          <t>H</t>
        </is>
      </c>
      <c r="C104" s="49" t="inlineStr">
        <is>
          <t>LLM 連線設定與測試</t>
        </is>
      </c>
      <c r="D104" s="49" t="inlineStr">
        <is>
          <t>**非 demo 環境**（demo 的金鑰為專用且受限）</t>
        </is>
      </c>
      <c r="E104" s="50" t="inlineStr">
        <is>
          <t>設定 › AI 與額度 → 填模型與金鑰 → 測試連線</t>
        </is>
      </c>
      <c r="F104" s="50" t="inlineStr">
        <is>
          <t>① 成功／失敗訊息明確；② 金鑰不得以明文回傳到前端；③ 變更寫入 `action_log`</t>
        </is>
      </c>
      <c r="G104" s="50" t="inlineStr">
        <is>
          <t>會改設定，測畢還原</t>
        </is>
      </c>
      <c r="H104" s="50" t="inlineStr">
        <is>
          <t>否</t>
        </is>
      </c>
      <c r="I104" s="51" t="inlineStr">
        <is>
          <t>受測站為 demo（AI 金鑰為 demo 專用且受限），手冊前置條件要求非 demo 環境；本輪未更改模型或金鑰、未按測試連線</t>
        </is>
      </c>
      <c r="J104" s="51" t="inlineStr">
        <is>
          <t>BLOCKED</t>
        </is>
      </c>
      <c r="K104" s="51" t="n"/>
      <c r="L104" s="52" t="inlineStr">
        <is>
          <t>BLOCKED</t>
        </is>
      </c>
      <c r="M104" s="51" t="n"/>
      <c r="N104" s="51" t="inlineStr">
        <is>
          <t>僅確認 設定 › AI 與額度 顯示 4 個已註冊模型（gemini-2.5-flash／gemini-2.5-flash-lite／haiku-4.5／sonnet-5）與角色預設；未讀取或輸入金鑰</t>
        </is>
      </c>
    </row>
    <row r="105" ht="29.85" customHeight="1" s="34">
      <c r="A105" s="48" t="inlineStr">
        <is>
          <t>H-02</t>
        </is>
      </c>
      <c r="B105" s="49" t="inlineStr">
        <is>
          <t>H</t>
        </is>
      </c>
      <c r="C105" s="50" t="inlineStr">
        <is>
          <t>額度與花費對帳</t>
        </is>
      </c>
      <c r="D105" s="50" t="inlineStr">
        <is>
          <t>記錄目前額度</t>
        </is>
      </c>
      <c r="E105" s="50" t="inlineStr">
        <is>
          <t>執行一次 AI 產生 → 匯出 `llm-usage`</t>
        </is>
      </c>
      <c r="F105" s="50" t="inlineStr">
        <is>
          <t>額度扣減 = 匯出檔各列 cost 加總 = 卡片上顯示的 cost 加總（三者一致）</t>
        </is>
      </c>
      <c r="G105" s="50" t="inlineStr">
        <is>
          <t>會花費額度</t>
        </is>
      </c>
      <c r="H105" s="50" t="inlineStr">
        <is>
          <t>部分（額度顯示已驗）</t>
        </is>
      </c>
      <c r="I105" s="51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51" t="inlineStr">
        <is>
          <t>PASS</t>
        </is>
      </c>
      <c r="K105" s="51" t="n"/>
      <c r="L105" s="52" t="inlineStr">
        <is>
          <t>PASS</t>
        </is>
      </c>
      <c r="M105" s="51" t="inlineStr">
        <is>
          <t>PASS</t>
        </is>
      </c>
      <c r="N105" s="51" t="n"/>
    </row>
    <row r="106" ht="29.85" customHeight="1" s="34">
      <c r="A106" s="48" t="inlineStr">
        <is>
          <t>H-03</t>
        </is>
      </c>
      <c r="B106" s="49" t="inlineStr">
        <is>
          <t>H</t>
        </is>
      </c>
      <c r="C106" s="50" t="inlineStr">
        <is>
          <t>提示詞編輯與版本</t>
        </is>
      </c>
      <c r="D106" s="50" t="inlineStr">
        <is>
          <t>設定 › AI 提示詞</t>
        </is>
      </c>
      <c r="E106" s="50" t="inlineStr">
        <is>
          <t>修改一個模板 → 儲存 → 乾跑預檢</t>
        </is>
      </c>
      <c r="F106" s="50" t="inlineStr">
        <is>
          <t>① 版本記錄新增；② 乾跑預檢的組裝結果反映新內容；③ 可回復舊版本</t>
        </is>
      </c>
      <c r="G106" s="50" t="inlineStr">
        <is>
          <t>會改設定，測畢還原</t>
        </is>
      </c>
      <c r="H106" s="50" t="inlineStr">
        <is>
          <t>否</t>
        </is>
      </c>
      <c r="I106" s="51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51" t="inlineStr">
        <is>
          <t>OBSERVE</t>
        </is>
      </c>
      <c r="K106" s="51" t="inlineStr">
        <is>
          <t>DEF-033</t>
        </is>
      </c>
      <c r="L106" s="52" t="inlineStr">
        <is>
          <t>FAIL</t>
        </is>
      </c>
      <c r="M106" s="51" t="n"/>
      <c r="N106" s="51" t="inlineStr">
        <is>
          <t>R2：DEF-033 經 Owner 裁定：策略提示詞完整版本記錄 → 待開發者修</t>
        </is>
      </c>
    </row>
    <row r="107" ht="29.85" customHeight="1" s="34">
      <c r="A107" s="48" t="inlineStr">
        <is>
          <t>H-04</t>
        </is>
      </c>
      <c r="B107" s="49" t="inlineStr">
        <is>
          <t>H</t>
        </is>
      </c>
      <c r="C107" s="50" t="inlineStr">
        <is>
          <t>管線任務 CRUD</t>
        </is>
      </c>
      <c r="D107" s="50" t="inlineStr">
        <is>
          <t>洞察管線中心</t>
        </is>
      </c>
      <c r="E107" s="50" t="inlineStr">
        <is>
          <t>新增任務 → 停用 → 設排程 → 立即執行 → 刪除</t>
        </is>
      </c>
      <c r="F107" s="50" t="inlineStr">
        <is>
          <t>各動作即時反映在清單與 `job_runs`；停用的任務不得被排程觸發</t>
        </is>
      </c>
      <c r="G107" s="50" t="inlineStr">
        <is>
          <t>會寫入任務設定</t>
        </is>
      </c>
      <c r="H107" s="50" t="inlineStr">
        <is>
          <t>否</t>
        </is>
      </c>
      <c r="I107" s="51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51" t="inlineStr">
        <is>
          <t>FAIL</t>
        </is>
      </c>
      <c r="K107" s="51" t="inlineStr">
        <is>
          <t>DEF-030, DEF-031, DEF-032</t>
        </is>
      </c>
      <c r="L107" s="52" t="inlineStr">
        <is>
          <t>結案</t>
        </is>
      </c>
      <c r="M107" s="51" t="inlineStr">
        <is>
          <t>PASS</t>
        </is>
      </c>
      <c r="N107" s="51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</t>
        </is>
      </c>
    </row>
    <row r="108" ht="44" customHeight="1" s="34">
      <c r="A108" s="48" t="inlineStr">
        <is>
          <t>H-05</t>
        </is>
      </c>
      <c r="B108" s="49" t="inlineStr">
        <is>
          <t>H</t>
        </is>
      </c>
      <c r="C108" s="50" t="inlineStr">
        <is>
          <t>乾跑預檢各閘門的阻擋情境</t>
        </is>
      </c>
      <c r="D108" s="50" t="inlineStr">
        <is>
          <t>分別製造：標的宇宙為空／模板停用／缺價／額度不足</t>
        </is>
      </c>
      <c r="E108" s="50" t="inlineStr">
        <is>
          <t>對每種情境跑一次乾跑預檢</t>
        </is>
      </c>
      <c r="F108" s="50" t="inlineStr">
        <is>
          <t>對應的 R1–R8 顯示 ✗ 或 ⓘ 並給出可執行的修正指引；**結論需明確說會不會中斷**</t>
        </is>
      </c>
      <c r="G108" s="50" t="inlineStr">
        <is>
          <t>唯讀（零成本）</t>
        </is>
      </c>
      <c r="H108" s="50" t="inlineStr">
        <is>
          <t>部分（正常路徑與 R4 已驗）</t>
        </is>
      </c>
      <c r="I108" s="51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51" t="inlineStr">
        <is>
          <t>FAIL</t>
        </is>
      </c>
      <c r="K108" s="51" t="inlineStr">
        <is>
          <t>DEF-031, DEF-043</t>
        </is>
      </c>
      <c r="L108" s="52" t="inlineStr">
        <is>
          <t>結案</t>
        </is>
      </c>
      <c r="M108" s="51" t="inlineStr">
        <is>
          <t>PASS</t>
        </is>
      </c>
      <c r="N108" s="51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</t>
        </is>
      </c>
    </row>
    <row r="109" ht="15" customHeight="1" s="34">
      <c r="A109" s="48" t="inlineStr">
        <is>
          <t>H-06</t>
        </is>
      </c>
      <c r="B109" s="49" t="inlineStr">
        <is>
          <t>H</t>
        </is>
      </c>
      <c r="C109" s="50" t="inlineStr">
        <is>
          <t>官方套組啟用</t>
        </is>
      </c>
      <c r="D109" s="50" t="inlineStr">
        <is>
          <t>洞察管線中心</t>
        </is>
      </c>
      <c r="E109" s="50" t="inlineStr">
        <is>
          <t>按「啟用官方套組」</t>
        </is>
      </c>
      <c r="F109" s="50" t="inlineStr">
        <is>
          <t>套組內任務全部建立、可逐一檢視與停用</t>
        </is>
      </c>
      <c r="G109" s="50" t="inlineStr">
        <is>
          <t>會建立多個任務，測畢清理</t>
        </is>
      </c>
      <c r="H109" s="50" t="inlineStr">
        <is>
          <t>否</t>
        </is>
      </c>
      <c r="I109" s="51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51" t="inlineStr">
        <is>
          <t>PASS</t>
        </is>
      </c>
      <c r="K109" s="51" t="n"/>
      <c r="L109" s="52" t="inlineStr">
        <is>
          <t>PASS</t>
        </is>
      </c>
      <c r="M109" s="51" t="inlineStr">
        <is>
          <t>PASS</t>
        </is>
      </c>
      <c r="N109" s="51" t="inlineStr">
        <is>
          <t>「從無到有建立」需先刪除官方任務（會把其歷史卡片隱藏），本輪未做；以冪等性與現有 5 個任務驗證</t>
        </is>
      </c>
    </row>
    <row r="110" ht="29.85" customHeight="1" s="34">
      <c r="A110" s="48" t="inlineStr">
        <is>
          <t>H-07</t>
        </is>
      </c>
      <c r="B110" s="49" t="inlineStr">
        <is>
          <t>H</t>
        </is>
      </c>
      <c r="C110" s="49" t="inlineStr">
        <is>
          <t>AI 戰績頁</t>
        </is>
      </c>
      <c r="D110" s="49" t="inlineStr">
        <is>
          <t>—</t>
        </is>
      </c>
      <c r="E110" s="50" t="inlineStr">
        <is>
          <t>檢視 AI 戰績分頁</t>
        </is>
      </c>
      <c r="F110" s="50" t="inlineStr">
        <is>
          <t>命中率、校準曲線、樣本數與 `ai-predictions` 匯出一致</t>
        </is>
      </c>
      <c r="G110" s="50" t="inlineStr">
        <is>
          <t>唯讀</t>
        </is>
      </c>
      <c r="H110" s="50" t="inlineStr">
        <is>
          <t>部分</t>
        </is>
      </c>
      <c r="I110" s="5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51" t="inlineStr">
        <is>
          <t>PASS</t>
        </is>
      </c>
      <c r="K110" s="51" t="n"/>
      <c r="L110" s="52" t="inlineStr">
        <is>
          <t>PASS</t>
        </is>
      </c>
      <c r="M110" s="51" t="inlineStr">
        <is>
          <t>PASS</t>
        </is>
      </c>
      <c r="N110" s="51" t="n"/>
    </row>
    <row r="111" ht="44" customHeight="1" s="34">
      <c r="A111" s="48" t="inlineStr">
        <is>
          <t>H-08</t>
        </is>
      </c>
      <c r="B111" s="49" t="inlineStr">
        <is>
          <t>H</t>
        </is>
      </c>
      <c r="C111" s="50" t="inlineStr">
        <is>
          <t>通知中心的 demo 防護</t>
        </is>
      </c>
      <c r="D111" s="49" t="inlineStr">
        <is>
          <t>—</t>
        </is>
      </c>
      <c r="E111" s="50" t="inlineStr">
        <is>
          <t>檢視系統設定 › 通知中心</t>
        </is>
      </c>
      <c r="F111" s="49" t="inlineStr">
        <is>
          <t>demo 站多數控制項 disabled 並顯示「示範站不開放通知設定」</t>
        </is>
      </c>
      <c r="G111" s="50" t="inlineStr">
        <is>
          <t>唯讀</t>
        </is>
      </c>
      <c r="H111" s="50" t="inlineStr">
        <is>
          <t>✅ 已驗（62 中 48 disabled）</t>
        </is>
      </c>
      <c r="I111" s="51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51" t="inlineStr">
        <is>
          <t>PASS</t>
        </is>
      </c>
      <c r="K111" s="51" t="n"/>
      <c r="L111" s="52" t="inlineStr">
        <is>
          <t>PASS</t>
        </is>
      </c>
      <c r="M111" s="51" t="inlineStr">
        <is>
          <t>PASS</t>
        </is>
      </c>
      <c r="N111" s="51" t="inlineStr">
        <is>
          <t>前一輪記錄為「62 中 48」，本輪以 #view-notify 範圍計數為 48／48</t>
        </is>
      </c>
    </row>
    <row r="112" ht="17.15" customHeight="1" s="34">
      <c r="A112" s="45" t="inlineStr">
        <is>
          <t>I. 帳本匯出與匯入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7" t="n"/>
    </row>
    <row r="113" ht="58.2" customHeight="1" s="34">
      <c r="A113" s="48" t="inlineStr">
        <is>
          <t>I-01</t>
        </is>
      </c>
      <c r="B113" s="49" t="inlineStr">
        <is>
          <t>I</t>
        </is>
      </c>
      <c r="C113" s="50" t="inlineStr">
        <is>
          <t>匯出端點全覆蓋</t>
        </is>
      </c>
      <c r="D113" s="49" t="inlineStr">
        <is>
          <t>—</t>
        </is>
      </c>
      <c r="E113" s="50" t="inlineStr">
        <is>
          <t>逐一觸發：持倉／已實現／帳本 6 類／現金對帳單／持倉報告／帳本報告／再平衡報告／個股明細／稅務包／工作紀錄／LLM 用量／AI 預測</t>
        </is>
      </c>
      <c r="F113" s="50" t="inlineStr">
        <is>
          <t>全部回 200，`Content-Disposition` 檔名正確（UTF-8），內容非空</t>
        </is>
      </c>
      <c r="G113" s="50" t="inlineStr">
        <is>
          <t>唯讀</t>
        </is>
      </c>
      <c r="H113" s="50" t="inlineStr">
        <is>
          <t>✅ 已驗（三輪、19–20 個回應）</t>
        </is>
      </c>
      <c r="I113" s="51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51" t="inlineStr">
        <is>
          <t>PASS</t>
        </is>
      </c>
      <c r="K113" s="51" t="n"/>
      <c r="L113" s="52" t="inlineStr">
        <is>
          <t>PASS</t>
        </is>
      </c>
      <c r="M113" s="51" t="inlineStr">
        <is>
          <t>PASS</t>
        </is>
      </c>
      <c r="N113" s="51" t="n"/>
    </row>
    <row r="114" ht="58.2" customHeight="1" s="34">
      <c r="A114" s="48" t="inlineStr">
        <is>
          <t>I-02</t>
        </is>
      </c>
      <c r="B114" s="49" t="inlineStr">
        <is>
          <t>I</t>
        </is>
      </c>
      <c r="C114" s="50" t="inlineStr">
        <is>
          <t>匯出內容逐位元對帳</t>
        </is>
      </c>
      <c r="D114" s="49" t="inlineStr">
        <is>
          <t>—</t>
        </is>
      </c>
      <c r="E114" s="50" t="inlineStr">
        <is>
          <t>取 持倉／已實現／交易帳本 三個 CSV，與畫面及 API 逐列比對</t>
        </is>
      </c>
      <c r="F114" s="50" t="inlineStr">
        <is>
          <t>數字為原始精度（非畫面格式化後的值）；列數、排序、欄位名一致</t>
        </is>
      </c>
      <c r="G114" s="50" t="inlineStr">
        <is>
          <t>唯讀</t>
        </is>
      </c>
      <c r="H114" s="50" t="inlineStr">
        <is>
          <t>部分（端點已驗，內容未逐列比對）</t>
        </is>
      </c>
      <c r="I114" s="51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51" t="inlineStr">
        <is>
          <t>PASS</t>
        </is>
      </c>
      <c r="K114" s="51" t="n"/>
      <c r="L114" s="52" t="inlineStr">
        <is>
          <t>PASS</t>
        </is>
      </c>
      <c r="M114" s="51" t="inlineStr">
        <is>
          <t>PASS</t>
        </is>
      </c>
      <c r="N114" s="51" t="n"/>
    </row>
    <row r="115" ht="29.85" customHeight="1" s="34">
      <c r="A115" s="48" t="inlineStr">
        <is>
          <t>I-03</t>
        </is>
      </c>
      <c r="B115" s="49" t="inlineStr">
        <is>
          <t>I</t>
        </is>
      </c>
      <c r="C115" s="50" t="inlineStr">
        <is>
          <t>稅務包 ZIP</t>
        </is>
      </c>
      <c r="D115" s="49" t="inlineStr">
        <is>
          <t>—</t>
        </is>
      </c>
      <c r="E115" s="50" t="inlineStr">
        <is>
          <t>匯出 2026 年度稅務包並解壓</t>
        </is>
      </c>
      <c r="F115" s="50" t="inlineStr">
        <is>
          <t>① 內含檔案清單符合規格；② 只含該年度資料；③ 股利預扣稅、已實現損益、匯率換算可交叉對帳</t>
        </is>
      </c>
      <c r="G115" s="50" t="inlineStr">
        <is>
          <t>唯讀</t>
        </is>
      </c>
      <c r="H115" s="50" t="inlineStr">
        <is>
          <t>部分（端點已驗）</t>
        </is>
      </c>
      <c r="I115" s="51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51" t="inlineStr">
        <is>
          <t>FAIL</t>
        </is>
      </c>
      <c r="K115" s="51" t="inlineStr">
        <is>
          <t>DEF-001</t>
        </is>
      </c>
      <c r="L115" s="52" t="inlineStr">
        <is>
          <t>結案</t>
        </is>
      </c>
      <c r="M115" s="51" t="inlineStr">
        <is>
          <t>PASS</t>
        </is>
      </c>
      <c r="N115" s="5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</t>
        </is>
      </c>
    </row>
    <row r="116" ht="29.85" customHeight="1" s="34">
      <c r="A116" s="48" t="inlineStr">
        <is>
          <t>I-04</t>
        </is>
      </c>
      <c r="B116" s="49" t="inlineStr">
        <is>
          <t>I</t>
        </is>
      </c>
      <c r="C116" s="49" t="inlineStr">
        <is>
          <t>CSV 範本下載</t>
        </is>
      </c>
      <c r="D116" s="50" t="inlineStr">
        <is>
          <t>交易帳本 › CSV 匯入</t>
        </is>
      </c>
      <c r="E116" s="50" t="inlineStr">
        <is>
          <t>逐一下載 交易／股利／換匯／期初／公司行動／資金 範本</t>
        </is>
      </c>
      <c r="F116" s="50" t="inlineStr">
        <is>
          <t>欄位名與匯入解析器接受的欄位**完全一致**（用範本原樣填值應可匯入）</t>
        </is>
      </c>
      <c r="G116" s="50" t="inlineStr">
        <is>
          <t>唯讀</t>
        </is>
      </c>
      <c r="H116" s="50" t="inlineStr">
        <is>
          <t>否</t>
        </is>
      </c>
      <c r="I116" s="51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51" t="inlineStr">
        <is>
          <t>PASS</t>
        </is>
      </c>
      <c r="K116" s="51" t="inlineStr">
        <is>
          <t>DEF-004</t>
        </is>
      </c>
      <c r="L116" s="52" t="inlineStr">
        <is>
          <t>結案</t>
        </is>
      </c>
      <c r="M116" s="51" t="inlineStr">
        <is>
          <t>PASS</t>
        </is>
      </c>
      <c r="N116" s="51" t="inlineStr">
        <is>
          <t>附帶發現：解析預覽表對股利／換匯／期初／公司行動／資金 5 類沿用交易欄位，金額不顯示（見 DEF-004，不影響本案判定）
R2：DEF-004 複驗通過結案</t>
        </is>
      </c>
    </row>
    <row r="117" ht="29.85" customHeight="1" s="34">
      <c r="A117" s="48" t="inlineStr">
        <is>
          <t>I-05</t>
        </is>
      </c>
      <c r="B117" s="49" t="inlineStr">
        <is>
          <t>I</t>
        </is>
      </c>
      <c r="C117" s="49" t="inlineStr">
        <is>
          <t>CSV 匯入預覽（合法）</t>
        </is>
      </c>
      <c r="D117" s="50" t="inlineStr">
        <is>
          <t>用 I-04 的範本填 3 列合法資料</t>
        </is>
      </c>
      <c r="E117" s="50" t="inlineStr">
        <is>
          <t>貼上或上傳 → 預覽</t>
        </is>
      </c>
      <c r="F117" s="50" t="inlineStr">
        <is>
          <t>逐列顯示「✓ 可寫入」，金額、費用、帳戶、代號解析正確</t>
        </is>
      </c>
      <c r="G117" s="50" t="inlineStr">
        <is>
          <t>不寫入</t>
        </is>
      </c>
      <c r="H117" s="50" t="inlineStr">
        <is>
          <t>✅ 已驗（第一輪）</t>
        </is>
      </c>
      <c r="I117" s="51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51" t="inlineStr">
        <is>
          <t>PASS</t>
        </is>
      </c>
      <c r="K117" s="51" t="n"/>
      <c r="L117" s="52" t="inlineStr">
        <is>
          <t>PASS</t>
        </is>
      </c>
      <c r="M117" s="51" t="inlineStr">
        <is>
          <t>PASS</t>
        </is>
      </c>
      <c r="N117" s="51" t="inlineStr">
        <is>
          <t>畫面預覽表不顯示費用欄（僅 API 回應有），費用正確性以 API 回應核對</t>
        </is>
      </c>
    </row>
    <row r="118" ht="44" customHeight="1" s="34">
      <c r="A118" s="48" t="inlineStr">
        <is>
          <t>I-06</t>
        </is>
      </c>
      <c r="B118" s="49" t="inlineStr">
        <is>
          <t>I</t>
        </is>
      </c>
      <c r="C118" s="49" t="inlineStr">
        <is>
          <t>CSV 匯入預覽（非法）</t>
        </is>
      </c>
      <c r="D118" s="50" t="inlineStr">
        <is>
          <t>故意填錯：缺欄位、代號未註冊、台股 0.5 股、日期格式錯、賣超</t>
        </is>
      </c>
      <c r="E118" s="50" t="inlineStr">
        <is>
          <t>預覽</t>
        </is>
      </c>
      <c r="F118" s="50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0" t="inlineStr">
        <is>
          <t>不寫入</t>
        </is>
      </c>
      <c r="H118" s="50" t="inlineStr">
        <is>
          <t>部分（已驗數種）</t>
        </is>
      </c>
      <c r="I118" s="51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51" t="inlineStr">
        <is>
          <t>FAIL</t>
        </is>
      </c>
      <c r="K118" s="51" t="inlineStr">
        <is>
          <t>DEF-024, DEF-025</t>
        </is>
      </c>
      <c r="L118" s="52" t="inlineStr">
        <is>
          <t>FAIL</t>
        </is>
      </c>
      <c r="M118" s="51" t="n"/>
      <c r="N118" s="51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</t>
        </is>
      </c>
    </row>
    <row r="119" ht="29.85" customHeight="1" s="34">
      <c r="A119" s="48" t="inlineStr">
        <is>
          <t>I-07</t>
        </is>
      </c>
      <c r="B119" s="49" t="inlineStr">
        <is>
          <t>I</t>
        </is>
      </c>
      <c r="C119" s="49" t="inlineStr">
        <is>
          <t>CSV 匯入寫入（選擇性）</t>
        </is>
      </c>
      <c r="D119" s="50" t="inlineStr">
        <is>
          <t>承 I-05；記錄基準</t>
        </is>
      </c>
      <c r="E119" s="50" t="inlineStr">
        <is>
          <t>只勾選其中 2 列 → 確認寫入</t>
        </is>
      </c>
      <c r="F119" s="49" t="inlineStr">
        <is>
          <t>① **只寫入勾選的列**；② 批次記錄在「匯入批次」清單；③ 持倉與現金依寫入列重算</t>
        </is>
      </c>
      <c r="G119" s="49" t="inlineStr">
        <is>
          <t>**會寫入帳本**。測畢用批次復原</t>
        </is>
      </c>
      <c r="H119" s="50" t="inlineStr">
        <is>
          <t>否</t>
        </is>
      </c>
      <c r="I119" s="51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51" t="inlineStr">
        <is>
          <t>PASS</t>
        </is>
      </c>
      <c r="K119" s="51" t="n"/>
      <c r="L119" s="52" t="inlineStr">
        <is>
          <t>PASS</t>
        </is>
      </c>
      <c r="M119" s="51" t="inlineStr">
        <is>
          <t>PASS</t>
        </is>
      </c>
      <c r="N119" s="51" t="n"/>
    </row>
    <row r="120" ht="29.85" customHeight="1" s="34">
      <c r="A120" s="48" t="inlineStr">
        <is>
          <t>I-08</t>
        </is>
      </c>
      <c r="B120" s="49" t="inlineStr">
        <is>
          <t>I</t>
        </is>
      </c>
      <c r="C120" s="50" t="inlineStr">
        <is>
          <t>匯入批次復原</t>
        </is>
      </c>
      <c r="D120" s="50" t="inlineStr">
        <is>
          <t>承 I-07</t>
        </is>
      </c>
      <c r="E120" s="50" t="inlineStr">
        <is>
          <t>匯入批次 → 復原該批</t>
        </is>
      </c>
      <c r="F120" s="50" t="inlineStr">
        <is>
          <t>該批所有列消失；`kpis`／`holdings`／`realized`／`allocation` 與匯入前**字串完全相同**</t>
        </is>
      </c>
      <c r="G120" s="50" t="inlineStr">
        <is>
          <t>這是還原步驟</t>
        </is>
      </c>
      <c r="H120" s="50" t="inlineStr">
        <is>
          <t>否</t>
        </is>
      </c>
      <c r="I120" s="51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51" t="inlineStr">
        <is>
          <t>PASS</t>
        </is>
      </c>
      <c r="K120" s="51" t="inlineStr">
        <is>
          <t>DEF-019</t>
        </is>
      </c>
      <c r="L120" s="52" t="inlineStr">
        <is>
          <t>結案</t>
        </is>
      </c>
      <c r="M120" s="51" t="inlineStr">
        <is>
          <t>PASS</t>
        </is>
      </c>
      <c r="N120" s="51" t="inlineStr">
        <is>
          <t>復原後交易表單代號清單未重載的問題見 DEF-019（C 組已登記）
R2：DEF-019 複驗通過結案</t>
        </is>
      </c>
    </row>
    <row r="121" ht="29.85" customHeight="1" s="34">
      <c r="A121" s="48" t="inlineStr">
        <is>
          <t>I-09</t>
        </is>
      </c>
      <c r="B121" s="49" t="inlineStr">
        <is>
          <t>I</t>
        </is>
      </c>
      <c r="C121" s="50" t="inlineStr">
        <is>
          <t>重複匯入偵測</t>
        </is>
      </c>
      <c r="D121" s="50" t="inlineStr">
        <is>
          <t>承 I-07</t>
        </is>
      </c>
      <c r="E121" s="50" t="inlineStr">
        <is>
          <t>把同一份檔案再匯入一次</t>
        </is>
      </c>
      <c r="F121" s="50" t="inlineStr">
        <is>
          <t>系統應偵測重複並提示（或明確說明會重複寫入）；不得靜默產生兩份相同帳本列</t>
        </is>
      </c>
      <c r="G121" s="50" t="inlineStr">
        <is>
          <t>若寫入需復原</t>
        </is>
      </c>
      <c r="H121" s="50" t="inlineStr">
        <is>
          <t>否</t>
        </is>
      </c>
      <c r="I121" s="51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51" t="inlineStr">
        <is>
          <t>PASS</t>
        </is>
      </c>
      <c r="K121" s="51" t="n"/>
      <c r="L121" s="52" t="inlineStr">
        <is>
          <t>PASS</t>
        </is>
      </c>
      <c r="M121" s="51" t="inlineStr">
        <is>
          <t>PASS</t>
        </is>
      </c>
      <c r="N121" s="51" t="inlineStr">
        <is>
          <t>重複列預設為勾選；確認框文字固定為「部分列有警告（如賣超）」，未點名是重複列</t>
        </is>
      </c>
    </row>
    <row r="122" ht="44" customHeight="1" s="34">
      <c r="A122" s="48" t="inlineStr">
        <is>
          <t>I-10</t>
        </is>
      </c>
      <c r="B122" s="49" t="inlineStr">
        <is>
          <t>I</t>
        </is>
      </c>
      <c r="C122" s="50" t="inlineStr">
        <is>
          <t>券商對帳單匯入（Schwab）</t>
        </is>
      </c>
      <c r="D122" s="50" t="inlineStr">
        <is>
          <t>取得一份 Schwab 匯出 CSV；記錄基準</t>
        </is>
      </c>
      <c r="E122" s="50" t="inlineStr">
        <is>
          <t>交易帳本 › CSV 匯入 › 券商對帳單 → 選券商與匯入到帳戶 → 上傳 → 轉換</t>
        </is>
      </c>
      <c r="F122" s="50" t="inlineStr">
        <is>
          <t>① 轉換報告逐列可檢視；② 無法對應的交易類型**不得用猜的**（應回 `broker_row_unmapped` 並說明）；③ 確認後寫入、可復原</t>
        </is>
      </c>
      <c r="G122" s="49" t="inlineStr">
        <is>
          <t>**會寫入帳本**；務必復原</t>
        </is>
      </c>
      <c r="H122" s="50" t="inlineStr">
        <is>
          <t>否</t>
        </is>
      </c>
      <c r="I122" s="51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51" t="inlineStr">
        <is>
          <t>FAIL</t>
        </is>
      </c>
      <c r="K122" s="51" t="inlineStr">
        <is>
          <t>DEF-027, DEF-028, DEF-039</t>
        </is>
      </c>
      <c r="L122" s="52" t="inlineStr">
        <is>
          <t>結案</t>
        </is>
      </c>
      <c r="M122" s="51" t="inlineStr">
        <is>
          <t>PASS</t>
        </is>
      </c>
      <c r="N122" s="51" t="inlineStr">
        <is>
          <t>一次匯入會拆成多個批次（交易／資金各一），需逐批復原
R2：DEF-027、DEF-028 複驗通過結案；附帶新開 DEF-039（期初缺口提示 28 位小數，低）</t>
        </is>
      </c>
    </row>
    <row r="123" ht="29.85" customHeight="1" s="34">
      <c r="A123" s="48" t="inlineStr">
        <is>
          <t>I-11</t>
        </is>
      </c>
      <c r="B123" s="49" t="inlineStr">
        <is>
          <t>I</t>
        </is>
      </c>
      <c r="C123" s="50" t="inlineStr">
        <is>
          <t>匯入到錯誤帳戶的防護</t>
        </is>
      </c>
      <c r="D123" s="50" t="inlineStr">
        <is>
          <t>同上</t>
        </is>
      </c>
      <c r="E123" s="50" t="inlineStr">
        <is>
          <t>故意選一個與對帳單幣別／市場不符的帳戶</t>
        </is>
      </c>
      <c r="F123" s="50" t="inlineStr">
        <is>
          <t>系統需警告或阻擋（例如把美股對帳單匯入馬股帳戶）</t>
        </is>
      </c>
      <c r="G123" s="50" t="inlineStr">
        <is>
          <t>不寫入</t>
        </is>
      </c>
      <c r="H123" s="50" t="inlineStr">
        <is>
          <t>否</t>
        </is>
      </c>
      <c r="I123" s="51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51" t="inlineStr">
        <is>
          <t>FAIL</t>
        </is>
      </c>
      <c r="K123" s="51" t="inlineStr">
        <is>
          <t>DEF-029</t>
        </is>
      </c>
      <c r="L123" s="52" t="inlineStr">
        <is>
          <t>結案</t>
        </is>
      </c>
      <c r="M123" s="51" t="inlineStr">
        <is>
          <t>PASS</t>
        </is>
      </c>
      <c r="N123" s="51" t="inlineStr">
        <is>
          <t>R2：DEF-029 複驗通過結案</t>
        </is>
      </c>
    </row>
    <row r="124" ht="29.85" customHeight="1" s="34">
      <c r="A124" s="48" t="inlineStr">
        <is>
          <t>I-12</t>
        </is>
      </c>
      <c r="B124" s="49" t="inlineStr">
        <is>
          <t>I</t>
        </is>
      </c>
      <c r="C124" s="50" t="inlineStr">
        <is>
          <t>匯入的費用與稅重算</t>
        </is>
      </c>
      <c r="D124" s="50" t="inlineStr">
        <is>
          <t>承 I-07</t>
        </is>
      </c>
      <c r="E124" s="50" t="inlineStr">
        <is>
          <t>匯入含手續費欄位的列，以及不含費用欄位的列</t>
        </is>
      </c>
      <c r="F124" s="50" t="inlineStr">
        <is>
          <t>① 有填的照用；② 沒填的依該帳戶費率規則重算；③ 與手動輸入同一路徑的結果一致</t>
        </is>
      </c>
      <c r="G124" s="50" t="inlineStr">
        <is>
          <t>同 I-07</t>
        </is>
      </c>
      <c r="H124" s="50" t="inlineStr">
        <is>
          <t>否</t>
        </is>
      </c>
      <c r="I124" s="51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51" t="inlineStr">
        <is>
          <t>PASS</t>
        </is>
      </c>
      <c r="K124" s="51" t="n"/>
      <c r="L124" s="52" t="inlineStr">
        <is>
          <t>PASS</t>
        </is>
      </c>
      <c r="M124" s="51" t="inlineStr">
        <is>
          <t>PASS</t>
        </is>
      </c>
      <c r="N124" s="51" t="inlineStr">
        <is>
          <t>手動草稿只試算不寫入，已按清除</t>
        </is>
      </c>
    </row>
    <row r="125" ht="29.85" customHeight="1" s="34">
      <c r="A125" s="48" t="inlineStr">
        <is>
          <t>I-13</t>
        </is>
      </c>
      <c r="B125" s="49" t="inlineStr">
        <is>
          <t>I</t>
        </is>
      </c>
      <c r="C125" s="50" t="inlineStr">
        <is>
          <t>匯出→匯入往返一致</t>
        </is>
      </c>
      <c r="D125" s="49" t="inlineStr">
        <is>
          <t>—</t>
        </is>
      </c>
      <c r="E125" s="50" t="inlineStr">
        <is>
          <t>把交易帳本匯出成 CSV，於測試帳戶原樣匯入</t>
        </is>
      </c>
      <c r="F125" s="50" t="inlineStr">
        <is>
          <t>往返後的列內容與原列一致（此案用於驗證匯出欄位足以重建帳本）</t>
        </is>
      </c>
      <c r="G125" s="49" t="inlineStr">
        <is>
          <t>**會寫入**；務必復原</t>
        </is>
      </c>
      <c r="H125" s="50" t="inlineStr">
        <is>
          <t>否</t>
        </is>
      </c>
      <c r="I125" s="51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51" t="inlineStr">
        <is>
          <t>FAIL</t>
        </is>
      </c>
      <c r="K125" s="51" t="inlineStr">
        <is>
          <t>DEF-026</t>
        </is>
      </c>
      <c r="L125" s="52" t="inlineStr">
        <is>
          <t>結案</t>
        </is>
      </c>
      <c r="M125" s="51" t="inlineStr">
        <is>
          <t>PASS</t>
        </is>
      </c>
      <c r="N125" s="51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</t>
        </is>
      </c>
    </row>
    <row r="126" ht="17.15" customHeight="1" s="34">
      <c r="A126" s="45" t="inlineStr">
        <is>
          <t>J. 回歸快篩（每次改版後跑一次）</t>
        </is>
      </c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</row>
    <row r="127" ht="29.85" customHeight="1" s="34">
      <c r="A127" s="48" t="inlineStr">
        <is>
          <t>J-01</t>
        </is>
      </c>
      <c r="B127" s="49" t="inlineStr">
        <is>
          <t>J</t>
        </is>
      </c>
      <c r="C127" s="50" t="inlineStr">
        <is>
          <t>金額恆等式</t>
        </is>
      </c>
      <c r="D127" s="49" t="inlineStr">
        <is>
          <t>—</t>
        </is>
      </c>
      <c r="E127" s="50" t="inlineStr">
        <is>
          <t>以 `/api/dashboard` 原始 Decimal 字串重算 94 項恆等式（14 檔 × 6 ＋ 10 組總表）</t>
        </is>
      </c>
      <c r="F127" s="49" t="inlineStr">
        <is>
          <t>94 / 94 全過；任何一項不過都必須查到原因</t>
        </is>
      </c>
      <c r="G127" s="50" t="inlineStr">
        <is>
          <t>唯讀</t>
        </is>
      </c>
      <c r="H127" s="50" t="inlineStr">
        <is>
          <t>✅ 已驗（三輪）</t>
        </is>
      </c>
      <c r="I127" s="51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51" t="inlineStr">
        <is>
          <t>PASS</t>
        </is>
      </c>
      <c r="K127" s="51" t="n"/>
      <c r="L127" s="52" t="inlineStr">
        <is>
          <t>PASS</t>
        </is>
      </c>
      <c r="M127" s="51" t="inlineStr">
        <is>
          <t>PASS</t>
        </is>
      </c>
      <c r="N127" s="51" t="inlineStr">
        <is>
          <t>排除：先以自測確認比對器會抓錯（1 vs 1.000000001 → ok=false；100 vs 100.5 → ok=false），再重算
R2：94/94 全過，最大誤差 1.01e−20</t>
        </is>
      </c>
    </row>
    <row r="128" ht="29.85" customHeight="1" s="34">
      <c r="A128" s="48" t="inlineStr">
        <is>
          <t>J-02</t>
        </is>
      </c>
      <c r="B128" s="49" t="inlineStr">
        <is>
          <t>J</t>
        </is>
      </c>
      <c r="C128" s="50" t="inlineStr">
        <is>
          <t>費稅四情境手算</t>
        </is>
      </c>
      <c r="D128" s="49" t="inlineStr">
        <is>
          <t>—</t>
        </is>
      </c>
      <c r="E128" s="50" t="inlineStr">
        <is>
          <t>以試算重跑：台股買／台股賣／當沖賣／零股最低手續費</t>
        </is>
      </c>
      <c r="F128" s="50" t="inlineStr">
        <is>
          <t>與手算相符（0.1425%／最低 20／0.3%／0.15%／無條件捨去）</t>
        </is>
      </c>
      <c r="G128" s="50" t="inlineStr">
        <is>
          <t>唯讀</t>
        </is>
      </c>
      <c r="H128" s="50" t="inlineStr">
        <is>
          <t>✅ 已驗</t>
        </is>
      </c>
      <c r="I128" s="51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51" t="inlineStr">
        <is>
          <t>PASS</t>
        </is>
      </c>
      <c r="K128" s="51" t="n"/>
      <c r="L128" s="52" t="inlineStr">
        <is>
          <t>PASS</t>
        </is>
      </c>
      <c r="M128" s="51" t="inlineStr">
        <is>
          <t>PASS</t>
        </is>
      </c>
      <c r="N128" s="51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</t>
        </is>
      </c>
    </row>
    <row r="129" ht="29.85" customHeight="1" s="34">
      <c r="A129" s="48" t="inlineStr">
        <is>
          <t>J-03</t>
        </is>
      </c>
      <c r="B129" s="49" t="inlineStr">
        <is>
          <t>J</t>
        </is>
      </c>
      <c r="C129" s="50" t="inlineStr">
        <is>
          <t>寫入→編輯→刪除還原</t>
        </is>
      </c>
      <c r="D129" s="50" t="inlineStr">
        <is>
          <t>記錄基準</t>
        </is>
      </c>
      <c r="E129" s="50" t="inlineStr">
        <is>
          <t>建一筆交易 → 編輯 → 刪除</t>
        </is>
      </c>
      <c r="F129" s="50" t="inlineStr">
        <is>
          <t>四組 JSON 與基準**字串完全相同**</t>
        </is>
      </c>
      <c r="G129" s="50" t="inlineStr">
        <is>
          <t>會寫入，步驟本身含還原</t>
        </is>
      </c>
      <c r="H129" s="50" t="inlineStr">
        <is>
          <t>✅ 已驗（三輪）</t>
        </is>
      </c>
      <c r="I129" s="51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51" t="inlineStr">
        <is>
          <t>PASS</t>
        </is>
      </c>
      <c r="K129" s="51" t="n"/>
      <c r="L129" s="52" t="inlineStr">
        <is>
          <t>PASS</t>
        </is>
      </c>
      <c r="M129" s="51" t="inlineStr">
        <is>
          <t>PASS</t>
        </is>
      </c>
      <c r="N129" s="51" t="inlineStr">
        <is>
          <t>R2：寫入 #104 → 編輯價格 46→50（均價 69.7→71.7、成本 13,940→14,340）→ 刪除，六段 JSON 與基準相同</t>
        </is>
      </c>
    </row>
    <row r="130" ht="29.85" customHeight="1" s="34">
      <c r="A130" s="48" t="inlineStr">
        <is>
          <t>J-04</t>
        </is>
      </c>
      <c r="B130" s="49" t="inlineStr">
        <is>
          <t>J</t>
        </is>
      </c>
      <c r="C130" s="50" t="inlineStr">
        <is>
          <t>匯出全端點</t>
        </is>
      </c>
      <c r="D130" s="49" t="inlineStr">
        <is>
          <t>—</t>
        </is>
      </c>
      <c r="E130" s="50" t="inlineStr">
        <is>
          <t>逐一觸發所有匯出</t>
        </is>
      </c>
      <c r="F130" s="50" t="inlineStr">
        <is>
          <t>全部 200、檔名正確</t>
        </is>
      </c>
      <c r="G130" s="50" t="inlineStr">
        <is>
          <t>唯讀</t>
        </is>
      </c>
      <c r="H130" s="50" t="inlineStr">
        <is>
          <t>✅ 已驗（三輪）</t>
        </is>
      </c>
      <c r="I130" s="51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51" t="inlineStr">
        <is>
          <t>PASS</t>
        </is>
      </c>
      <c r="K130" s="51" t="inlineStr">
        <is>
          <t>DEF-045</t>
        </is>
      </c>
      <c r="L130" s="52" t="inlineStr">
        <is>
          <t>PASS</t>
        </is>
      </c>
      <c r="M130" s="51" t="inlineStr">
        <is>
          <t>PASS</t>
        </is>
      </c>
      <c r="N130" s="51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</t>
        </is>
      </c>
    </row>
    <row r="131" ht="29.85" customHeight="1" s="34">
      <c r="A131" s="48" t="inlineStr">
        <is>
          <t>J-05</t>
        </is>
      </c>
      <c r="B131" s="49" t="inlineStr">
        <is>
          <t>J</t>
        </is>
      </c>
      <c r="C131" s="49" t="inlineStr">
        <is>
          <t>RWD 與 console</t>
        </is>
      </c>
      <c r="D131" s="49" t="inlineStr">
        <is>
          <t>—</t>
        </is>
      </c>
      <c r="E131" s="49" t="inlineStr">
        <is>
          <t>390px 走訪 10 個分頁 ＋ 設定 8 個子分頁；全新分頁連續走訪讀 console</t>
        </is>
      </c>
      <c r="F131" s="49" t="inlineStr">
        <is>
          <t>0 處橫向溢位；0 則 console 訊息</t>
        </is>
      </c>
      <c r="G131" s="50" t="inlineStr">
        <is>
          <t>唯讀</t>
        </is>
      </c>
      <c r="H131" s="50" t="inlineStr">
        <is>
          <t>✅ 已驗（三輪）</t>
        </is>
      </c>
      <c r="I131" s="5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51" t="inlineStr">
        <is>
          <t>FAIL</t>
        </is>
      </c>
      <c r="K131" s="51" t="inlineStr">
        <is>
          <t>DEF-002</t>
        </is>
      </c>
      <c r="L131" s="52" t="inlineStr">
        <is>
          <t>結案</t>
        </is>
      </c>
      <c r="M131" s="51" t="inlineStr">
        <is>
          <t>PASS</t>
        </is>
      </c>
      <c r="N131" s="51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</t>
        </is>
      </c>
    </row>
    <row r="132" ht="29.85" customHeight="1" s="34">
      <c r="A132" s="48" t="inlineStr">
        <is>
          <t>J-06</t>
        </is>
      </c>
      <c r="B132" s="49" t="inlineStr">
        <is>
          <t>J</t>
        </is>
      </c>
      <c r="C132" s="50" t="inlineStr">
        <is>
          <t>守門測試</t>
        </is>
      </c>
      <c r="D132" s="50" t="inlineStr">
        <is>
          <t>開發機</t>
        </is>
      </c>
      <c r="E132" s="49" t="inlineStr">
        <is>
          <t>`pytest`（非 e2e 全套）＋ `mypy --strict` ＋ `ruff`</t>
        </is>
      </c>
      <c r="F132" s="50" t="inlineStr">
        <is>
          <t>全綠；帳戶名稱與中文標點兩支守門測試需包含變異測試（把修復前的寫法放回去會失敗）</t>
        </is>
      </c>
      <c r="G132" s="50" t="inlineStr">
        <is>
          <t>唯讀</t>
        </is>
      </c>
      <c r="H132" s="50" t="inlineStr">
        <is>
          <t>✅ 已驗（變異測試）</t>
        </is>
      </c>
      <c r="I132" s="51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51" t="inlineStr">
        <is>
          <t>PASS</t>
        </is>
      </c>
      <c r="K132" s="51" t="n"/>
      <c r="L132" s="52" t="inlineStr">
        <is>
          <t>PASS</t>
        </is>
      </c>
      <c r="M132" s="51" t="inlineStr">
        <is>
          <t>PASS</t>
        </is>
      </c>
      <c r="N132" s="51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2"/>
    <col width="34" customWidth="1" style="33" min="3" max="3"/>
    <col width="9" customWidth="1" style="33" min="4" max="4"/>
    <col width="11" customWidth="1" style="33" min="5" max="5"/>
    <col width="10" customWidth="1" style="33" min="6" max="6"/>
    <col width="44" customWidth="1" style="33" min="7" max="7"/>
    <col width="40" customWidth="1" style="33" min="8" max="8"/>
    <col width="11" customWidth="1" style="33" min="9" max="9"/>
    <col width="10" customWidth="1" style="33" min="10" max="10"/>
    <col width="22" customWidth="1" style="33" min="11" max="11"/>
  </cols>
  <sheetData>
    <row r="1" ht="31.5" customHeight="1" s="34">
      <c r="A1" s="42" t="inlineStr">
        <is>
          <t>缺陷 ID</t>
        </is>
      </c>
      <c r="B1" s="42" t="inlineStr">
        <is>
          <t>關聯案例</t>
        </is>
      </c>
      <c r="C1" s="42" t="inlineStr">
        <is>
          <t>標題</t>
        </is>
      </c>
      <c r="D1" s="42" t="inlineStr">
        <is>
          <t>嚴重度</t>
        </is>
      </c>
      <c r="E1" s="42" t="inlineStr">
        <is>
          <t>分類</t>
        </is>
      </c>
      <c r="F1" s="42" t="inlineStr">
        <is>
          <t>發現輪次</t>
        </is>
      </c>
      <c r="G1" s="42" t="inlineStr">
        <is>
          <t>重現步驟</t>
        </is>
      </c>
      <c r="H1" s="42" t="inlineStr">
        <is>
          <t>根因（檔案:行）</t>
        </is>
      </c>
      <c r="I1" s="42" t="inlineStr">
        <is>
          <t>目前狀態</t>
        </is>
      </c>
      <c r="J1" s="42" t="inlineStr">
        <is>
          <t>結案輪次</t>
        </is>
      </c>
      <c r="K1" s="42" t="inlineStr">
        <is>
          <t>備註</t>
        </is>
      </c>
    </row>
    <row r="2" ht="44" customHeight="1" s="34">
      <c r="A2" s="44" t="inlineStr">
        <is>
          <t>DEF-範例</t>
        </is>
      </c>
      <c r="B2" s="44" t="inlineStr">
        <is>
          <t>B-15（範例，非實際案例）</t>
        </is>
      </c>
      <c r="C2" s="43" t="inlineStr">
        <is>
          <t>券商對帳單匯入的「匯入到帳戶」下拉顯示英文帳戶名＋原始 id</t>
        </is>
      </c>
      <c r="D2" s="43" t="inlineStr">
        <is>
          <t>低</t>
        </is>
      </c>
      <c r="E2" s="43" t="inlineStr">
        <is>
          <t>程式缺陷</t>
        </is>
      </c>
      <c r="F2" s="44" t="inlineStr">
        <is>
          <t>R1</t>
        </is>
      </c>
      <c r="G2" s="43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44" t="inlineStr">
        <is>
          <t>web/broker-import.js:498 `el('option', null, a.name + '（' + a.id + '）')` — 直接用 API 原始 a.name 併原始 id，全檔未引用 pdNames</t>
        </is>
      </c>
      <c r="I2" s="43" t="inlineStr">
        <is>
          <t>結案</t>
        </is>
      </c>
      <c r="J2" s="44" t="inlineStr">
        <is>
          <t>R2</t>
        </is>
      </c>
      <c r="K2" s="43" t="inlineStr">
        <is>
          <t>（填寫範例，取自本次稽核真實缺陷 M5-b）</t>
        </is>
      </c>
    </row>
    <row r="3" ht="15" customHeight="1" s="34">
      <c r="A3" s="51" t="inlineStr">
        <is>
          <t>DEF-001</t>
        </is>
      </c>
      <c r="B3" s="51" t="inlineStr">
        <is>
          <t>I-03</t>
        </is>
      </c>
      <c r="C3" s="51" t="inlineStr">
        <is>
          <t>稅務包 summary.md「對帳用：績效基礎已實現」與儀表板已實現對不上（TWD 差 5,200，未說明）</t>
        </is>
      </c>
      <c r="D3" s="51" t="inlineStr">
        <is>
          <t>中</t>
        </is>
      </c>
      <c r="E3" s="51" t="inlineStr">
        <is>
          <t>程式缺陷</t>
        </is>
      </c>
      <c r="F3" s="51" t="inlineStr">
        <is>
          <t>R1</t>
        </is>
      </c>
      <c r="G3" s="51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5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1" t="inlineStr">
        <is>
          <t>結案</t>
        </is>
      </c>
      <c r="J3" s="51" t="inlineStr">
        <is>
          <t>R2</t>
        </is>
      </c>
      <c r="K3" s="51" t="n"/>
    </row>
    <row r="4" ht="15" customHeight="1" s="34">
      <c r="A4" s="51" t="inlineStr">
        <is>
          <t>DEF-002</t>
        </is>
      </c>
      <c r="B4" s="51" t="inlineStr">
        <is>
          <t>J-05</t>
        </is>
      </c>
      <c r="C4" s="51" t="inlineStr">
        <is>
          <t>390px 寬度下展開「設定 › AI 提示詞 › 數據變數總表」，11 張變數表撐破頁面，整頁橫向捲動（scrollWidth 3,673px）</t>
        </is>
      </c>
      <c r="D4" s="51" t="inlineStr">
        <is>
          <t>低</t>
        </is>
      </c>
      <c r="E4" s="51" t="inlineStr">
        <is>
          <t>程式缺陷</t>
        </is>
      </c>
      <c r="F4" s="51" t="inlineStr">
        <is>
          <t>R1</t>
        </is>
      </c>
      <c r="G4" s="51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5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1" t="inlineStr">
        <is>
          <t>結案</t>
        </is>
      </c>
      <c r="J4" s="51" t="inlineStr">
        <is>
          <t>R2</t>
        </is>
      </c>
      <c r="K4" s="51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34">
      <c r="A5" s="51" t="inlineStr">
        <is>
          <t>DEF-003</t>
        </is>
      </c>
      <c r="B5" s="51" t="inlineStr">
        <is>
          <t>G-06</t>
        </is>
      </c>
      <c r="C5" s="51" t="inlineStr">
        <is>
          <t>沒有預測（prediction=null）但有信心值的洞察卡顯示「信心 N%」，不顯示「純描述・無預測」（25 張）</t>
        </is>
      </c>
      <c r="D5" s="51" t="inlineStr">
        <is>
          <t>低</t>
        </is>
      </c>
      <c r="E5" s="51" t="inlineStr">
        <is>
          <t>規格未定</t>
        </is>
      </c>
      <c r="F5" s="51" t="inlineStr">
        <is>
          <t>R1</t>
        </is>
      </c>
      <c r="G5" s="5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51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51" t="inlineStr">
        <is>
          <t>待複驗</t>
        </is>
      </c>
      <c r="J5" s="51" t="n"/>
      <c r="K5" s="51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</t>
        </is>
      </c>
    </row>
    <row r="6" ht="15" customHeight="1" s="34">
      <c r="A6" s="51" t="inlineStr">
        <is>
          <t>DEF-004</t>
        </is>
      </c>
      <c r="B6" s="51" t="inlineStr">
        <is>
          <t>I-04（附帶發現）</t>
        </is>
      </c>
      <c r="C6" s="5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1" t="inlineStr">
        <is>
          <t>低</t>
        </is>
      </c>
      <c r="E6" s="51" t="inlineStr">
        <is>
          <t>程式缺陷</t>
        </is>
      </c>
      <c r="F6" s="51" t="inlineStr">
        <is>
          <t>R1</t>
        </is>
      </c>
      <c r="G6" s="51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5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1" t="inlineStr">
        <is>
          <t>結案</t>
        </is>
      </c>
      <c r="J6" s="51" t="inlineStr">
        <is>
          <t>R2</t>
        </is>
      </c>
      <c r="K6" s="51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34">
      <c r="A7" s="51" t="inlineStr">
        <is>
          <t>DEF-005</t>
        </is>
      </c>
      <c r="B7" s="51" t="inlineStr">
        <is>
          <t>D-02</t>
        </is>
      </c>
      <c r="C7" s="51" t="inlineStr">
        <is>
          <t>公司行動比例欄輸入小數不會被擋，小數點被前端直接刪掉：輸入 1.5 變成 15，試算與登錄都用 15</t>
        </is>
      </c>
      <c r="D7" s="51" t="inlineStr">
        <is>
          <t>中</t>
        </is>
      </c>
      <c r="E7" s="51" t="inlineStr">
        <is>
          <t>程式缺陷</t>
        </is>
      </c>
      <c r="F7" s="51" t="inlineStr">
        <is>
          <t>R1</t>
        </is>
      </c>
      <c r="G7" s="51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5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1" t="inlineStr">
        <is>
          <t>結案</t>
        </is>
      </c>
      <c r="J7" s="51" t="inlineStr">
        <is>
          <t>R2</t>
        </is>
      </c>
      <c r="K7" s="51" t="n"/>
    </row>
    <row r="8" ht="15" customHeight="1" s="34">
      <c r="A8" s="51" t="inlineStr">
        <is>
          <t>DEF-006</t>
        </is>
      </c>
      <c r="B8" s="51" t="inlineStr">
        <is>
          <t>A-01（亦影響 A-04、A-09 的 chip 判準）</t>
        </is>
      </c>
      <c r="C8" s="51" t="inlineStr">
        <is>
          <t>資金收支方向 chip 為中性灰（入金實心、出金外框），與手冊「入金綠色／出金扣款色」不符</t>
        </is>
      </c>
      <c r="D8" s="51" t="inlineStr">
        <is>
          <t>低</t>
        </is>
      </c>
      <c r="E8" s="51" t="inlineStr">
        <is>
          <t>規格未定</t>
        </is>
      </c>
      <c r="F8" s="51" t="inlineStr">
        <is>
          <t>R1</t>
        </is>
      </c>
      <c r="G8" s="51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51" t="n"/>
      <c r="I8" s="51" t="inlineStr">
        <is>
          <t>非缺陷</t>
        </is>
      </c>
      <c r="J8" s="51" t="inlineStr">
        <is>
          <t>R2</t>
        </is>
      </c>
      <c r="K8" s="51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34">
      <c r="A9" s="51" t="inlineStr">
        <is>
          <t>DEF-007</t>
        </is>
      </c>
      <c r="B9" s="51" t="inlineStr">
        <is>
          <t>A-02</t>
        </is>
      </c>
      <c r="C9" s="51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1" t="inlineStr">
        <is>
          <t>中</t>
        </is>
      </c>
      <c r="E9" s="51" t="inlineStr">
        <is>
          <t>程式缺陷</t>
        </is>
      </c>
      <c r="F9" s="51" t="inlineStr">
        <is>
          <t>R1</t>
        </is>
      </c>
      <c r="G9" s="51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5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1" t="inlineStr">
        <is>
          <t>結案</t>
        </is>
      </c>
      <c r="J9" s="51" t="inlineStr">
        <is>
          <t>R2</t>
        </is>
      </c>
      <c r="K9" s="51" t="n"/>
    </row>
    <row r="10" ht="15" customHeight="1" s="34">
      <c r="A10" s="51" t="inlineStr">
        <is>
          <t>DEF-008</t>
        </is>
      </c>
      <c r="B10" s="51" t="inlineStr">
        <is>
          <t>A-05（附帶 A-06）</t>
        </is>
      </c>
      <c r="C10" s="51" t="inlineStr">
        <is>
          <t>出金透支的後端訊息：當日透支不指出日期；帳戶名用 API 英文原名「TW Broker」；toast 帶原始錯誤碼與 4 位小數原值</t>
        </is>
      </c>
      <c r="D10" s="51" t="inlineStr">
        <is>
          <t>低</t>
        </is>
      </c>
      <c r="E10" s="51" t="inlineStr">
        <is>
          <t>程式缺陷</t>
        </is>
      </c>
      <c r="F10" s="51" t="inlineStr">
        <is>
          <t>R1</t>
        </is>
      </c>
      <c r="G10" s="51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5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1" t="inlineStr">
        <is>
          <t>結案</t>
        </is>
      </c>
      <c r="J10" s="51" t="inlineStr">
        <is>
          <t>R2</t>
        </is>
      </c>
      <c r="K10" s="51" t="n"/>
    </row>
    <row r="11" ht="15" customHeight="1" s="34">
      <c r="A11" s="51" t="inlineStr">
        <is>
          <t>DEF-009</t>
        </is>
      </c>
      <c r="B11" s="51" t="inlineStr">
        <is>
          <t>A-11</t>
        </is>
      </c>
      <c r="C11" s="51" t="inlineStr">
        <is>
          <t>折讓款列可以編輯金額（日期／類型／備註鎖定），手冊期望整列鎖定不可編輯</t>
        </is>
      </c>
      <c r="D11" s="51" t="inlineStr">
        <is>
          <t>低</t>
        </is>
      </c>
      <c r="E11" s="51" t="inlineStr">
        <is>
          <t>規格未定</t>
        </is>
      </c>
      <c r="F11" s="51" t="inlineStr">
        <is>
          <t>R1</t>
        </is>
      </c>
      <c r="G11" s="51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51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51" t="inlineStr">
        <is>
          <t>待複驗</t>
        </is>
      </c>
      <c r="J11" s="51" t="n"/>
      <c r="K11" s="51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</t>
        </is>
      </c>
    </row>
    <row r="12" ht="15" customHeight="1" s="34">
      <c r="A12" s="51" t="inlineStr">
        <is>
          <t>DEF-010</t>
        </is>
      </c>
      <c r="B12" s="51" t="inlineStr">
        <is>
          <t>B-16（附帶發現）</t>
        </is>
      </c>
      <c r="C12" s="51" t="inlineStr">
        <is>
          <t>折讓款預估對「費率快照 discount=0.23（下單已打折）」的交易仍預估 77% 退款，同一優惠被算兩次</t>
        </is>
      </c>
      <c r="D12" s="51" t="inlineStr">
        <is>
          <t>低</t>
        </is>
      </c>
      <c r="E12" s="51" t="inlineStr">
        <is>
          <t>資料殘留</t>
        </is>
      </c>
      <c r="F12" s="51" t="inlineStr">
        <is>
          <t>R1</t>
        </is>
      </c>
      <c r="G12" s="5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51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51" t="inlineStr">
        <is>
          <t>待複驗</t>
        </is>
      </c>
      <c r="J12" s="51" t="n"/>
      <c r="K12" s="51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</t>
        </is>
      </c>
    </row>
    <row r="13" ht="15" customHeight="1" s="34">
      <c r="A13" s="51" t="inlineStr">
        <is>
          <t>DEF-011</t>
        </is>
      </c>
      <c r="B13" s="51" t="inlineStr">
        <is>
          <t>A-16（附帶發現）</t>
        </is>
      </c>
      <c r="C13" s="51" t="inlineStr">
        <is>
          <t>收件匣折讓款文案寫「不計入成本／損益／XIRR」，但確認入帳後 XIRR 與「含匯兌總損益」都會變動</t>
        </is>
      </c>
      <c r="D13" s="51" t="inlineStr">
        <is>
          <t>中</t>
        </is>
      </c>
      <c r="E13" s="51" t="inlineStr">
        <is>
          <t>程式缺陷</t>
        </is>
      </c>
      <c r="F13" s="51" t="inlineStr">
        <is>
          <t>R1</t>
        </is>
      </c>
      <c r="G13" s="51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5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1" t="inlineStr">
        <is>
          <t>結案</t>
        </is>
      </c>
      <c r="J13" s="51" t="inlineStr">
        <is>
          <t>R2</t>
        </is>
      </c>
      <c r="K13" s="51" t="n"/>
    </row>
    <row r="14" ht="15" customHeight="1" s="34">
      <c r="A14" s="51" t="inlineStr">
        <is>
          <t>DEF-012</t>
        </is>
      </c>
      <c r="B14" s="51" t="inlineStr">
        <is>
          <t>B-18</t>
        </is>
      </c>
      <c r="C14" s="51" t="inlineStr">
        <is>
          <t>同日多筆買賣不依輸入（時間）順序重播：當日所有買進先於賣出套用，賣出的已實現損益與成本移除用到之後才輸入的買進</t>
        </is>
      </c>
      <c r="D14" s="51" t="inlineStr">
        <is>
          <t>高</t>
        </is>
      </c>
      <c r="E14" s="51" t="inlineStr">
        <is>
          <t>程式缺陷</t>
        </is>
      </c>
      <c r="F14" s="51" t="inlineStr">
        <is>
          <t>R1</t>
        </is>
      </c>
      <c r="G14" s="51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5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1" t="inlineStr">
        <is>
          <t>結案</t>
        </is>
      </c>
      <c r="J14" s="51" t="inlineStr">
        <is>
          <t>R2</t>
        </is>
      </c>
      <c r="K14" s="51" t="n"/>
    </row>
    <row r="15" ht="15" customHeight="1" s="34">
      <c r="A15" s="51" t="inlineStr">
        <is>
          <t>DEF-013</t>
        </is>
      </c>
      <c r="B15" s="51" t="inlineStr">
        <is>
          <t>B-10</t>
        </is>
      </c>
      <c r="C15" s="51" t="inlineStr">
        <is>
          <t>「當沖」與「放空」可同時勾選，沒有互斥或組合說明；交易帳本列也不標示放空</t>
        </is>
      </c>
      <c r="D15" s="51" t="inlineStr">
        <is>
          <t>低</t>
        </is>
      </c>
      <c r="E15" s="51" t="inlineStr">
        <is>
          <t>規格未定</t>
        </is>
      </c>
      <c r="F15" s="51" t="inlineStr">
        <is>
          <t>R1</t>
        </is>
      </c>
      <c r="G15" s="51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51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51" t="inlineStr">
        <is>
          <t>待複驗</t>
        </is>
      </c>
      <c r="J15" s="51" t="n"/>
      <c r="K15" s="51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</t>
        </is>
      </c>
    </row>
    <row r="16" ht="15" customHeight="1" s="34">
      <c r="A16" s="51" t="inlineStr">
        <is>
          <t>DEF-014</t>
        </is>
      </c>
      <c r="B16" s="51" t="inlineStr">
        <is>
          <t>B-17</t>
        </is>
      </c>
      <c r="C16" s="51" t="inlineStr">
        <is>
          <t>交易日期早於期初庫存建檔日（或早於帳本所有紀錄）時，草稿與寫入皆無任何提示，靜默接受</t>
        </is>
      </c>
      <c r="D16" s="51" t="inlineStr">
        <is>
          <t>中</t>
        </is>
      </c>
      <c r="E16" s="51" t="inlineStr">
        <is>
          <t>程式缺陷</t>
        </is>
      </c>
      <c r="F16" s="51" t="inlineStr">
        <is>
          <t>R1</t>
        </is>
      </c>
      <c r="G16" s="51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5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1" t="inlineStr">
        <is>
          <t>結案</t>
        </is>
      </c>
      <c r="J16" s="51" t="inlineStr">
        <is>
          <t>R2</t>
        </is>
      </c>
      <c r="K16" s="51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34">
      <c r="A17" s="51" t="inlineStr">
        <is>
          <t>DEF-015</t>
        </is>
      </c>
      <c r="B17" s="51" t="inlineStr">
        <is>
          <t>C-01</t>
        </is>
      </c>
      <c r="C17" s="51" t="inlineStr">
        <is>
          <t>配息「重新偵測」只回報「1 檔失敗」，不說明是哪一檔、失敗原因</t>
        </is>
      </c>
      <c r="D17" s="51" t="inlineStr">
        <is>
          <t>低</t>
        </is>
      </c>
      <c r="E17" s="51" t="inlineStr">
        <is>
          <t>程式缺陷</t>
        </is>
      </c>
      <c r="F17" s="51" t="inlineStr">
        <is>
          <t>R1</t>
        </is>
      </c>
      <c r="G17" s="51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5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1" t="inlineStr">
        <is>
          <t>結案</t>
        </is>
      </c>
      <c r="J17" s="51" t="inlineStr">
        <is>
          <t>R2</t>
        </is>
      </c>
      <c r="K17" s="51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34">
      <c r="A18" s="51" t="inlineStr">
        <is>
          <t>DEF-016</t>
        </is>
      </c>
      <c r="B18" s="51" t="inlineStr">
        <is>
          <t>C-02（附帶發現）</t>
        </is>
      </c>
      <c r="C18" s="51" t="inlineStr">
        <is>
          <t>已確認但入帳日（pay_date）在未來的股利，被放進 XIRR 現金流且日期晚於期末估值日</t>
        </is>
      </c>
      <c r="D18" s="51" t="inlineStr">
        <is>
          <t>低</t>
        </is>
      </c>
      <c r="E18" s="51" t="inlineStr">
        <is>
          <t>規格未定</t>
        </is>
      </c>
      <c r="F18" s="51" t="inlineStr">
        <is>
          <t>R1</t>
        </is>
      </c>
      <c r="G18" s="51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51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51" t="inlineStr">
        <is>
          <t>待複驗</t>
        </is>
      </c>
      <c r="J18" s="51" t="n"/>
      <c r="K18" s="51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</t>
        </is>
      </c>
    </row>
    <row r="19" ht="15" customHeight="1" s="34">
      <c r="A19" s="51" t="inlineStr">
        <is>
          <t>DEF-017</t>
        </is>
      </c>
      <c r="B19" s="51" t="inlineStr">
        <is>
          <t>C-04（附帶發現）</t>
        </is>
      </c>
      <c r="C19" s="51" t="inlineStr">
        <is>
          <t>手動「股利」表單以 CSV 匯入路徑寫入，會在「最近匯入」產生一筆批次；從帳本刪除該股利後批次仍殘留（row_count 1、committed）</t>
        </is>
      </c>
      <c r="D19" s="51" t="inlineStr">
        <is>
          <t>低</t>
        </is>
      </c>
      <c r="E19" s="51" t="inlineStr">
        <is>
          <t>程式缺陷</t>
        </is>
      </c>
      <c r="F19" s="51" t="inlineStr">
        <is>
          <t>R1</t>
        </is>
      </c>
      <c r="G19" s="51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5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51" t="inlineStr">
        <is>
          <t>待複驗</t>
        </is>
      </c>
      <c r="J19" s="51" t="n"/>
      <c r="K19" s="51" t="inlineStr">
        <is>
          <t>R2 部分通過：帳本任一刪除（交易／股利／換匯／資金／公司行動）成功後，同頁「最近匯入」清單需重抓 /api/import/batches；或復原對話框開啟前先重抓該批次最新 row_count</t>
        </is>
      </c>
    </row>
    <row r="20" ht="15" customHeight="1" s="34">
      <c r="A20" s="51" t="inlineStr">
        <is>
          <t>DEF-018</t>
        </is>
      </c>
      <c r="B20" s="51" t="inlineStr">
        <is>
          <t>C-04b</t>
        </is>
      </c>
      <c r="C20" s="51" t="inlineStr">
        <is>
          <t>DRIP 再投資股數以 $0 成本入帳（原始成本不變），手冊期望「股數與成本同時增加」</t>
        </is>
      </c>
      <c r="D20" s="51" t="inlineStr">
        <is>
          <t>中</t>
        </is>
      </c>
      <c r="E20" s="51" t="inlineStr">
        <is>
          <t>規格未定</t>
        </is>
      </c>
      <c r="F20" s="51" t="inlineStr">
        <is>
          <t>R1</t>
        </is>
      </c>
      <c r="G20" s="51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51" t="n"/>
      <c r="I20" s="51" t="inlineStr">
        <is>
          <t>非缺陷</t>
        </is>
      </c>
      <c r="J20" s="51" t="inlineStr">
        <is>
          <t>R2</t>
        </is>
      </c>
      <c r="K20" s="51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34">
      <c r="A21" s="51" t="inlineStr">
        <is>
          <t>DEF-019</t>
        </is>
      </c>
      <c r="B21" s="51" t="inlineStr">
        <is>
          <t>C-04b／C-05（附帶發現，影響 I-08）</t>
        </is>
      </c>
      <c r="C21" s="51" t="inlineStr">
        <is>
          <t>「最近匯入 › 復原」後，交易輸入表單的代號挑選清單沒有重新載入，仍顯示復原前的股數／均價</t>
        </is>
      </c>
      <c r="D21" s="51" t="inlineStr">
        <is>
          <t>低</t>
        </is>
      </c>
      <c r="E21" s="51" t="inlineStr">
        <is>
          <t>程式缺陷</t>
        </is>
      </c>
      <c r="F21" s="51" t="inlineStr">
        <is>
          <t>R1</t>
        </is>
      </c>
      <c r="G21" s="51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5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1" t="inlineStr">
        <is>
          <t>結案</t>
        </is>
      </c>
      <c r="J21" s="51" t="inlineStr">
        <is>
          <t>R2</t>
        </is>
      </c>
      <c r="K21" s="51" t="n"/>
    </row>
    <row r="22" ht="15" customHeight="1" s="34">
      <c r="A22" s="51" t="inlineStr">
        <is>
          <t>DEF-020</t>
        </is>
      </c>
      <c r="B22" s="51" t="inlineStr">
        <is>
          <t>D-10（D-02c／D-07 路徑）</t>
        </is>
      </c>
      <c r="C22" s="51" t="inlineStr">
        <is>
          <t>刪除含重組費用的公司行動時，連帶寫出的「重組費用」出金不會一起刪除，現金停在行動前不存在的扣款；兩者寫入也非原子</t>
        </is>
      </c>
      <c r="D22" s="51" t="inlineStr">
        <is>
          <t>中</t>
        </is>
      </c>
      <c r="E22" s="51" t="inlineStr">
        <is>
          <t>程式缺陷</t>
        </is>
      </c>
      <c r="F22" s="51" t="inlineStr">
        <is>
          <t>R1</t>
        </is>
      </c>
      <c r="G22" s="51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5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1" t="inlineStr">
        <is>
          <t>結案</t>
        </is>
      </c>
      <c r="J22" s="51" t="inlineStr">
        <is>
          <t>R2</t>
        </is>
      </c>
      <c r="K22" s="51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34">
      <c r="A23" s="51" t="inlineStr">
        <is>
          <t>DEF-021</t>
        </is>
      </c>
      <c r="B23" s="51" t="inlineStr">
        <is>
          <t>D-10（D-06 路徑）</t>
        </is>
      </c>
      <c r="C23" s="51" t="inlineStr">
        <is>
          <t>刪除換股（EXCHANGE）後，隨行動移到新代號的目標價不會移回原代號；試算與刪除確認框都沒有告知這一點</t>
        </is>
      </c>
      <c r="D23" s="51" t="inlineStr">
        <is>
          <t>中</t>
        </is>
      </c>
      <c r="E23" s="51" t="inlineStr">
        <is>
          <t>程式缺陷</t>
        </is>
      </c>
      <c r="F23" s="51" t="inlineStr">
        <is>
          <t>R1</t>
        </is>
      </c>
      <c r="G23" s="51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5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1" t="inlineStr">
        <is>
          <t>結案</t>
        </is>
      </c>
      <c r="J23" s="51" t="inlineStr">
        <is>
          <t>R2</t>
        </is>
      </c>
      <c r="K23" s="51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34">
      <c r="A24" s="51" t="inlineStr">
        <is>
          <t>DEF-022</t>
        </is>
      </c>
      <c r="B24" s="51" t="inlineStr">
        <is>
          <t>D-11（前置 D-06）</t>
        </is>
      </c>
      <c r="C24" s="51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1" t="inlineStr">
        <is>
          <t>低</t>
        </is>
      </c>
      <c r="E24" s="51" t="inlineStr">
        <is>
          <t>程式缺陷</t>
        </is>
      </c>
      <c r="F24" s="51" t="inlineStr">
        <is>
          <t>R1</t>
        </is>
      </c>
      <c r="G24" s="51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5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1" t="inlineStr">
        <is>
          <t>結案</t>
        </is>
      </c>
      <c r="J24" s="51" t="inlineStr">
        <is>
          <t>R2</t>
        </is>
      </c>
      <c r="K24" s="51" t="n"/>
    </row>
    <row r="25" ht="15" customHeight="1" s="34">
      <c r="A25" s="51" t="inlineStr">
        <is>
          <t>DEF-023</t>
        </is>
      </c>
      <c r="B25" s="51" t="inlineStr">
        <is>
          <t>D-11</t>
        </is>
      </c>
      <c r="C25" s="51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1" t="inlineStr">
        <is>
          <t>中</t>
        </is>
      </c>
      <c r="E25" s="51" t="inlineStr">
        <is>
          <t>程式缺陷</t>
        </is>
      </c>
      <c r="F25" s="51" t="inlineStr">
        <is>
          <t>R1</t>
        </is>
      </c>
      <c r="G25" s="51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5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51" t="inlineStr">
        <is>
          <t>待複驗</t>
        </is>
      </c>
      <c r="J25" s="51" t="n"/>
      <c r="K25" s="51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</row>
    <row r="26" ht="15" customHeight="1" s="34">
      <c r="A26" s="51" t="inlineStr">
        <is>
          <t>DEF-024</t>
        </is>
      </c>
      <c r="B26" s="51" t="inlineStr">
        <is>
          <t>I-06</t>
        </is>
      </c>
      <c r="C26" s="5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1" t="inlineStr">
        <is>
          <t>中</t>
        </is>
      </c>
      <c r="E26" s="51" t="inlineStr">
        <is>
          <t>程式缺陷</t>
        </is>
      </c>
      <c r="F26" s="51" t="inlineStr">
        <is>
          <t>R1</t>
        </is>
      </c>
      <c r="G26" s="51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5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1" t="inlineStr">
        <is>
          <t>結案</t>
        </is>
      </c>
      <c r="J26" s="51" t="inlineStr">
        <is>
          <t>R2</t>
        </is>
      </c>
      <c r="K26" s="51" t="inlineStr">
        <is>
          <t>R2 複驗通過。附註：小瑕疵（不另開）：toast 顯示「! ⚠」雙符號</t>
        </is>
      </c>
    </row>
    <row r="27" ht="15" customHeight="1" s="34">
      <c r="A27" s="51" t="inlineStr">
        <is>
          <t>DEF-025</t>
        </is>
      </c>
      <c r="B27" s="51" t="inlineStr">
        <is>
          <t>I-06</t>
        </is>
      </c>
      <c r="C27" s="5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1" t="inlineStr">
        <is>
          <t>中</t>
        </is>
      </c>
      <c r="E27" s="51" t="inlineStr">
        <is>
          <t>規格未定</t>
        </is>
      </c>
      <c r="F27" s="51" t="inlineStr">
        <is>
          <t>R1</t>
        </is>
      </c>
      <c r="G27" s="51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51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51" t="inlineStr">
        <is>
          <t>待複驗</t>
        </is>
      </c>
      <c r="J27" s="51" t="n"/>
      <c r="K27" s="51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</t>
        </is>
      </c>
    </row>
    <row r="28" ht="15" customHeight="1" s="34">
      <c r="A28" s="51" t="inlineStr">
        <is>
          <t>DEF-026</t>
        </is>
      </c>
      <c r="B28" s="51" t="inlineStr">
        <is>
          <t>I-13</t>
        </is>
      </c>
      <c r="C28" s="51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1" t="inlineStr">
        <is>
          <t>中</t>
        </is>
      </c>
      <c r="E28" s="51" t="inlineStr">
        <is>
          <t>程式缺陷</t>
        </is>
      </c>
      <c r="F28" s="51" t="inlineStr">
        <is>
          <t>R1</t>
        </is>
      </c>
      <c r="G28" s="51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5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1" t="inlineStr">
        <is>
          <t>結案</t>
        </is>
      </c>
      <c r="J28" s="51" t="inlineStr">
        <is>
          <t>R2</t>
        </is>
      </c>
      <c r="K28" s="51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34">
      <c r="A29" s="51" t="inlineStr">
        <is>
          <t>DEF-027</t>
        </is>
      </c>
      <c r="B29" s="51" t="inlineStr">
        <is>
          <t>I-10</t>
        </is>
      </c>
      <c r="C29" s="51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1" t="inlineStr">
        <is>
          <t>高</t>
        </is>
      </c>
      <c r="E29" s="51" t="inlineStr">
        <is>
          <t>程式缺陷</t>
        </is>
      </c>
      <c r="F29" s="51" t="inlineStr">
        <is>
          <t>R1</t>
        </is>
      </c>
      <c r="G29" s="51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5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1" t="inlineStr">
        <is>
          <t>結案</t>
        </is>
      </c>
      <c r="J29" s="51" t="inlineStr">
        <is>
          <t>R2</t>
        </is>
      </c>
      <c r="K29" s="51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34">
      <c r="A30" s="51" t="inlineStr">
        <is>
          <t>DEF-028</t>
        </is>
      </c>
      <c r="B30" s="51" t="inlineStr">
        <is>
          <t>I-10</t>
        </is>
      </c>
      <c r="C30" s="51" t="inlineStr">
        <is>
          <t>券商對帳單轉換結果只顯示筆數，轉出的每一列與被合併／抵銷的原始列都看不到，寫入前無法逐列檢視，也不能挑選</t>
        </is>
      </c>
      <c r="D30" s="51" t="inlineStr">
        <is>
          <t>中</t>
        </is>
      </c>
      <c r="E30" s="51" t="inlineStr">
        <is>
          <t>程式缺陷</t>
        </is>
      </c>
      <c r="F30" s="51" t="inlineStr">
        <is>
          <t>R1</t>
        </is>
      </c>
      <c r="G30" s="51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5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1" t="inlineStr">
        <is>
          <t>結案</t>
        </is>
      </c>
      <c r="J30" s="51" t="inlineStr">
        <is>
          <t>R2</t>
        </is>
      </c>
      <c r="K30" s="51" t="n"/>
    </row>
    <row r="31" ht="15" customHeight="1" s="34">
      <c r="A31" s="51" t="inlineStr">
        <is>
          <t>DEF-029</t>
        </is>
      </c>
      <c r="B31" s="51" t="inlineStr">
        <is>
          <t>I-11</t>
        </is>
      </c>
      <c r="C31" s="51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1" t="inlineStr">
        <is>
          <t>中</t>
        </is>
      </c>
      <c r="E31" s="51" t="inlineStr">
        <is>
          <t>程式缺陷</t>
        </is>
      </c>
      <c r="F31" s="51" t="inlineStr">
        <is>
          <t>R1</t>
        </is>
      </c>
      <c r="G31" s="51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5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1" t="inlineStr">
        <is>
          <t>結案</t>
        </is>
      </c>
      <c r="J31" s="51" t="inlineStr">
        <is>
          <t>R2</t>
        </is>
      </c>
      <c r="K31" s="51" t="n"/>
    </row>
    <row r="32" ht="15" customHeight="1" s="34">
      <c r="A32" s="51" t="inlineStr">
        <is>
          <t>DEF-030</t>
        </is>
      </c>
      <c r="B32" s="51" t="inlineStr">
        <is>
          <t>H-04</t>
        </is>
      </c>
      <c r="C32" s="51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1" t="inlineStr">
        <is>
          <t>中</t>
        </is>
      </c>
      <c r="E32" s="51" t="inlineStr">
        <is>
          <t>程式缺陷</t>
        </is>
      </c>
      <c r="F32" s="51" t="inlineStr">
        <is>
          <t>R1</t>
        </is>
      </c>
      <c r="G32" s="51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5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1" t="inlineStr">
        <is>
          <t>結案</t>
        </is>
      </c>
      <c r="J32" s="51" t="inlineStr">
        <is>
          <t>R2</t>
        </is>
      </c>
      <c r="K32" s="51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34">
      <c r="A33" s="51" t="inlineStr">
        <is>
          <t>DEF-031</t>
        </is>
      </c>
      <c r="B33" s="51" t="inlineStr">
        <is>
          <t>H-04／H-05</t>
        </is>
      </c>
      <c r="C33" s="51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1" t="inlineStr">
        <is>
          <t>中</t>
        </is>
      </c>
      <c r="E33" s="51" t="inlineStr">
        <is>
          <t>程式缺陷</t>
        </is>
      </c>
      <c r="F33" s="51" t="inlineStr">
        <is>
          <t>R1</t>
        </is>
      </c>
      <c r="G33" s="51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5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1" t="inlineStr">
        <is>
          <t>結案</t>
        </is>
      </c>
      <c r="J33" s="51" t="inlineStr">
        <is>
          <t>R2</t>
        </is>
      </c>
      <c r="K33" s="51" t="n"/>
    </row>
    <row r="34" ht="15" customHeight="1" s="34">
      <c r="A34" s="51" t="inlineStr">
        <is>
          <t>DEF-032</t>
        </is>
      </c>
      <c r="B34" s="51" t="inlineStr">
        <is>
          <t>H-04</t>
        </is>
      </c>
      <c r="C34" s="51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1" t="inlineStr">
        <is>
          <t>低</t>
        </is>
      </c>
      <c r="E34" s="51" t="inlineStr">
        <is>
          <t>程式缺陷</t>
        </is>
      </c>
      <c r="F34" s="51" t="inlineStr">
        <is>
          <t>R1</t>
        </is>
      </c>
      <c r="G34" s="51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5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1" t="inlineStr">
        <is>
          <t>結案</t>
        </is>
      </c>
      <c r="J34" s="51" t="inlineStr">
        <is>
          <t>R2</t>
        </is>
      </c>
      <c r="K34" s="51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34">
      <c r="A35" s="51" t="inlineStr">
        <is>
          <t>DEF-033</t>
        </is>
      </c>
      <c r="B35" s="51" t="inlineStr">
        <is>
          <t>H-03</t>
        </is>
      </c>
      <c r="C35" s="51" t="inlineStr">
        <is>
          <t>策略提示詞（分析模板）沒有版本記錄，也不能回復上一版；儲存直接覆寫，唯一的回復是「同步官方」</t>
        </is>
      </c>
      <c r="D35" s="51" t="inlineStr">
        <is>
          <t>中</t>
        </is>
      </c>
      <c r="E35" s="51" t="inlineStr">
        <is>
          <t>規格未定</t>
        </is>
      </c>
      <c r="F35" s="51" t="inlineStr">
        <is>
          <t>R1</t>
        </is>
      </c>
      <c r="G35" s="51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51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51" t="inlineStr">
        <is>
          <t>待複驗</t>
        </is>
      </c>
      <c r="J35" s="51" t="n"/>
      <c r="K35" s="51" t="inlineStr">
        <is>
          <t>Owner 裁定（2026-09-24）：策略提示詞做完整版本記錄：每次儲存留一版，可檢視差異並回復任一版，洞察卡記錄生成時使用的版本。 處置：改程式；H-03 期望不變</t>
        </is>
      </c>
    </row>
    <row r="36" ht="15" customHeight="1" s="34">
      <c r="A36" s="51" t="inlineStr">
        <is>
          <t>DEF-034</t>
        </is>
      </c>
      <c r="B36" s="51" t="inlineStr">
        <is>
          <t>F-03</t>
        </is>
      </c>
      <c r="C36" s="51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1" t="inlineStr">
        <is>
          <t>低</t>
        </is>
      </c>
      <c r="E36" s="51" t="inlineStr">
        <is>
          <t>程式缺陷</t>
        </is>
      </c>
      <c r="F36" s="51" t="inlineStr">
        <is>
          <t>R1</t>
        </is>
      </c>
      <c r="G36" s="51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5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1" t="inlineStr">
        <is>
          <t>結案</t>
        </is>
      </c>
      <c r="J36" s="51" t="inlineStr">
        <is>
          <t>R2</t>
        </is>
      </c>
      <c r="K36" s="51" t="n"/>
    </row>
    <row r="37" ht="15" customHeight="1" s="34">
      <c r="A37" s="51" t="inlineStr">
        <is>
          <t>DEF-035</t>
        </is>
      </c>
      <c r="B37" s="51" t="inlineStr">
        <is>
          <t>F-04</t>
        </is>
      </c>
      <c r="C37" s="51" t="inlineStr">
        <is>
          <t>AI 輸入的解析草稿不能逐列編輯（每格都是純文字，只能勾選），帳戶欄顯示 API 原名「tw_broker」「schwab」</t>
        </is>
      </c>
      <c r="D37" s="51" t="inlineStr">
        <is>
          <t>中</t>
        </is>
      </c>
      <c r="E37" s="51" t="inlineStr">
        <is>
          <t>程式缺陷</t>
        </is>
      </c>
      <c r="F37" s="51" t="inlineStr">
        <is>
          <t>R1</t>
        </is>
      </c>
      <c r="G37" s="51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5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1" t="inlineStr">
        <is>
          <t>結案</t>
        </is>
      </c>
      <c r="J37" s="51" t="inlineStr">
        <is>
          <t>R2</t>
        </is>
      </c>
      <c r="K37" s="51" t="n"/>
    </row>
    <row r="38" ht="15" customHeight="1" s="34">
      <c r="A38" s="51" t="inlineStr">
        <is>
          <t>DEF-036</t>
        </is>
      </c>
      <c r="B38" s="51" t="inlineStr">
        <is>
          <t>F-05</t>
        </is>
      </c>
      <c r="C38" s="51" t="inlineStr">
        <is>
          <t>AI 輸入不檢查文字中的金額矛盾：「100股 成交價 46 成交金額 50,000 元」被判「✓ 解析完整」（實際 4,600 元），50,000 只放進備註、沒有標示</t>
        </is>
      </c>
      <c r="D38" s="51" t="inlineStr">
        <is>
          <t>中</t>
        </is>
      </c>
      <c r="E38" s="51" t="inlineStr">
        <is>
          <t>程式缺陷</t>
        </is>
      </c>
      <c r="F38" s="51" t="inlineStr">
        <is>
          <t>R1</t>
        </is>
      </c>
      <c r="G38" s="51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5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1" t="inlineStr">
        <is>
          <t>結案</t>
        </is>
      </c>
      <c r="J38" s="51" t="inlineStr">
        <is>
          <t>R2</t>
        </is>
      </c>
      <c r="K38" s="51" t="n"/>
    </row>
    <row r="39" ht="15" customHeight="1" s="34">
      <c r="A39" s="51" t="inlineStr">
        <is>
          <t>DEF-037</t>
        </is>
      </c>
      <c r="B39" s="51" t="inlineStr">
        <is>
          <t>G-09</t>
        </is>
      </c>
      <c r="C39" s="51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1" t="inlineStr">
        <is>
          <t>中</t>
        </is>
      </c>
      <c r="E39" s="51" t="inlineStr">
        <is>
          <t>程式缺陷</t>
        </is>
      </c>
      <c r="F39" s="51" t="inlineStr">
        <is>
          <t>R1</t>
        </is>
      </c>
      <c r="G39" s="51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5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1" t="inlineStr">
        <is>
          <t>結案</t>
        </is>
      </c>
      <c r="J39" s="51" t="inlineStr">
        <is>
          <t>R2</t>
        </is>
      </c>
      <c r="K39" s="51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34">
      <c r="A40" s="51" t="inlineStr">
        <is>
          <t>DEF-038</t>
        </is>
      </c>
      <c r="B40" s="51" t="inlineStr">
        <is>
          <t>E-01（附帶）</t>
        </is>
      </c>
      <c r="C40" s="51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1" t="inlineStr">
        <is>
          <t>低</t>
        </is>
      </c>
      <c r="E40" s="51" t="inlineStr">
        <is>
          <t>程式缺陷</t>
        </is>
      </c>
      <c r="F40" s="51" t="inlineStr">
        <is>
          <t>R1</t>
        </is>
      </c>
      <c r="G40" s="51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5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1" t="inlineStr">
        <is>
          <t>結案</t>
        </is>
      </c>
      <c r="J40" s="51" t="inlineStr">
        <is>
          <t>R2</t>
        </is>
      </c>
      <c r="K40" s="51" t="n"/>
    </row>
    <row r="41" ht="15" customHeight="1" s="34">
      <c r="A41" s="51" t="inlineStr">
        <is>
          <t>DEF-039</t>
        </is>
      </c>
      <c r="B41" s="51" t="inlineStr">
        <is>
          <t>I-10（附帶）</t>
        </is>
      </c>
      <c r="C41" s="51" t="inlineStr">
        <is>
          <t>券商對帳單（Schwab）轉換頁的期初缺口／帳本持股提示直接印出後端 Decimal 原文（小數 28 位），未依股數格式化</t>
        </is>
      </c>
      <c r="D41" s="51" t="inlineStr">
        <is>
          <t>低</t>
        </is>
      </c>
      <c r="E41" s="51" t="inlineStr">
        <is>
          <t>程式缺陷</t>
        </is>
      </c>
      <c r="F41" s="51" t="inlineStr">
        <is>
          <t>R2</t>
        </is>
      </c>
      <c r="G41" s="51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51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51" t="inlineStr">
        <is>
          <t>待複驗</t>
        </is>
      </c>
      <c r="J41" s="51" t="n"/>
      <c r="K41" s="51" t="inlineStr">
        <is>
          <t>R2 複驗 DEF-027 時發現。同類：/api/input/holdings 的 shares 本來就是 Decimal 原文（例 AAPL 10.00645756457564575645756458），前端凡直接拼字串處都會出現，建議一併掃描</t>
        </is>
      </c>
    </row>
    <row r="42" ht="15" customHeight="1" s="34">
      <c r="A42" s="51" t="inlineStr">
        <is>
          <t>DEF-040</t>
        </is>
      </c>
      <c r="B42" s="51" t="inlineStr">
        <is>
          <t>D-10（OBS-1 裁定）</t>
        </is>
      </c>
      <c r="C42" s="51" t="inlineStr">
        <is>
          <t>分拆（SPINOFF）登錄時寫入的子公司起始價（_seed_child_price）在刪除該公司行動時不會移除</t>
        </is>
      </c>
      <c r="D42" s="51" t="inlineStr">
        <is>
          <t>低</t>
        </is>
      </c>
      <c r="E42" s="51" t="inlineStr">
        <is>
          <t>規格未定</t>
        </is>
      </c>
      <c r="F42" s="51" t="inlineStr">
        <is>
          <t>R2</t>
        </is>
      </c>
      <c r="G42" s="51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51" t="inlineStr">
        <is>
          <t>portfolio_dash/api/routers/ledgers.py:2172 `delete_corporate_action(conn, a.id, commit=False)`——_delete_actions 沒有對應移除分拆登錄時寫入的子公司起始價（:1954 `close=close, source="manual")],`）</t>
        </is>
      </c>
      <c r="I42" s="51" t="inlineStr">
        <is>
          <t>待複驗</t>
        </is>
      </c>
      <c r="J42" s="51" t="n"/>
      <c r="K42" s="51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</t>
        </is>
      </c>
    </row>
    <row r="43" ht="15" customHeight="1" s="34">
      <c r="A43" s="51" t="inlineStr">
        <is>
          <t>DEF-041</t>
        </is>
      </c>
      <c r="B43" s="51" t="inlineStr">
        <is>
          <t>G-09（OBS-2 裁定）</t>
        </is>
      </c>
      <c r="C43" s="51" t="inlineStr">
        <is>
          <t>預警觸發的「持倉提點」會替只在觀察清單、未持有的標的產卡（drawdown_from_peak）</t>
        </is>
      </c>
      <c r="D43" s="51" t="inlineStr">
        <is>
          <t>低</t>
        </is>
      </c>
      <c r="E43" s="51" t="inlineStr">
        <is>
          <t>規格未定</t>
        </is>
      </c>
      <c r="F43" s="51" t="inlineStr">
        <is>
          <t>R2</t>
        </is>
      </c>
      <c r="G43" s="51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51" t="inlineStr">
        <is>
          <t>portfolio_dash/llm_insight/alerts_bridge.py:375 `for it in subscribers:`（緊接 :368 `scope, fired_symbol = card_target(event)`，中間沒有「是否持有」的判斷）</t>
        </is>
      </c>
      <c r="I43" s="51" t="inlineStr">
        <is>
          <t>待複驗</t>
        </is>
      </c>
      <c r="J43" s="51" t="n"/>
      <c r="K43" s="51" t="inlineStr">
        <is>
          <t>Owner 裁定（2026-09-24）：預警觸發的「持倉提點」只派發持有中的標的；觀察標的的預警仍列在預警清單，但不產卡。手冊 G-09 補「僅持有中的標的會產卡」</t>
        </is>
      </c>
    </row>
    <row r="44" ht="15" customHeight="1" s="34">
      <c r="A44" s="51" t="inlineStr">
        <is>
          <t>DEF-042</t>
        </is>
      </c>
      <c r="B44" s="51" t="inlineStr">
        <is>
          <t>B-17（OBS-3 裁定）</t>
        </is>
      </c>
      <c r="C44" s="51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51" t="inlineStr">
        <is>
          <t>中</t>
        </is>
      </c>
      <c r="E44" s="51" t="inlineStr">
        <is>
          <t>規格未定</t>
        </is>
      </c>
      <c r="F44" s="51" t="inlineStr">
        <is>
          <t>R2</t>
        </is>
      </c>
      <c r="G44" s="51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51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51" t="inlineStr">
        <is>
          <t>待複驗</t>
        </is>
      </c>
      <c r="J44" s="51" t="n"/>
      <c r="K44" s="51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</t>
        </is>
      </c>
    </row>
    <row r="45" ht="15" customHeight="1" s="34">
      <c r="A45" s="51" t="inlineStr">
        <is>
          <t>DEF-043</t>
        </is>
      </c>
      <c r="B45" s="51" t="inlineStr">
        <is>
          <t>H-05（附帶）</t>
        </is>
      </c>
      <c r="C45" s="51" t="inlineStr">
        <is>
          <t>預警觸發（on_alert）任務的觸發節點與乾跑預檢 G1 顯示「未排程（手動）不會自動執行」並列為需注意，實際上它會在預警命中時自動執行</t>
        </is>
      </c>
      <c r="D45" s="51" t="inlineStr">
        <is>
          <t>低</t>
        </is>
      </c>
      <c r="E45" s="51" t="inlineStr">
        <is>
          <t>程式缺陷</t>
        </is>
      </c>
      <c r="F45" s="51" t="inlineStr">
        <is>
          <t>R2</t>
        </is>
      </c>
      <c r="G45" s="51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51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51" t="inlineStr">
        <is>
          <t>待複驗</t>
        </is>
      </c>
      <c r="J45" s="51" t="n"/>
      <c r="K45" s="51" t="inlineStr">
        <is>
          <t>定位：portfolio_dash/llm_insight/pipeline_status.py:86-87 `_trigger` 只看 f.scheduled，未考慮 scope=on_alert（R1 版本 755c88a 同樣寫法，R1 漏報）</t>
        </is>
      </c>
    </row>
    <row r="46" ht="15" customHeight="1" s="34">
      <c r="A46" s="51" t="inlineStr">
        <is>
          <t>DEF-044</t>
        </is>
      </c>
      <c r="B46" s="51" t="inlineStr">
        <is>
          <t>G-09（附帶）／J-06</t>
        </is>
      </c>
      <c r="C46" s="51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51" t="inlineStr">
        <is>
          <t>低</t>
        </is>
      </c>
      <c r="E46" s="51" t="inlineStr">
        <is>
          <t>程式缺陷</t>
        </is>
      </c>
      <c r="F46" s="51" t="inlineStr">
        <is>
          <t>R2</t>
        </is>
      </c>
      <c r="G46" s="51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51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51" t="inlineStr">
        <is>
          <t>待複驗</t>
        </is>
      </c>
      <c r="J46" s="51" t="n"/>
      <c r="K46" s="51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</t>
        </is>
      </c>
    </row>
    <row r="47" ht="15" customHeight="1" s="34">
      <c r="A47" s="51" t="inlineStr">
        <is>
          <t>DEF-045</t>
        </is>
      </c>
      <c r="B47" s="51" t="inlineStr">
        <is>
          <t>J-04（附帶）／J-06</t>
        </is>
      </c>
      <c r="C47" s="51" t="inlineStr">
        <is>
          <t>帳本報告（可列印 HTML）的帳戶欄用 API 英文名「TW Broker」「Charles Schwab」，與畫面的中文顯示名（台灣券商、嘉信 Schwab）不一致</t>
        </is>
      </c>
      <c r="D47" s="51" t="inlineStr">
        <is>
          <t>低</t>
        </is>
      </c>
      <c r="E47" s="51" t="inlineStr">
        <is>
          <t>程式缺陷</t>
        </is>
      </c>
      <c r="F47" s="51" t="inlineStr">
        <is>
          <t>R2</t>
        </is>
      </c>
      <c r="G47" s="51" t="inlineStr">
        <is>
          <t>交易帳本 › ⎙匯出報告 → ledger-report-20260924-0259.html 各帳本表的帳戶欄為「TW Broker」「Charles Schwab」</t>
        </is>
      </c>
      <c r="H47" s="51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51" t="inlineStr">
        <is>
          <t>待複驗</t>
        </is>
      </c>
      <c r="J47" s="51" t="n"/>
      <c r="K47" s="51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</t>
        </is>
      </c>
    </row>
    <row r="48" ht="15" customHeight="1" s="34">
      <c r="A48" s="51" t="inlineStr">
        <is>
          <t>DEF-046</t>
        </is>
      </c>
      <c r="B48" s="51" t="inlineStr">
        <is>
          <t>G-09（資料殘留）</t>
        </is>
      </c>
      <c r="C48" s="51" t="inlineStr">
        <is>
          <t>R1 的 DEF-037 缺陷產生的錯誤洞察卡 #207（symbol＝moomoo_my，內容為模型臆測的「Moomoo 交易商警示」）仍列在 AI 洞察 › 持倉健診</t>
        </is>
      </c>
      <c r="D48" s="51" t="inlineStr">
        <is>
          <t>低</t>
        </is>
      </c>
      <c r="E48" s="51" t="inlineStr">
        <is>
          <t>資料殘留</t>
        </is>
      </c>
      <c r="F48" s="51" t="inlineStr">
        <is>
          <t>R2</t>
        </is>
      </c>
      <c r="G48" s="51" t="inlineStr">
        <is>
          <t>AI 洞察 › 持倉健診 → 仍可看到 moomoo_my 卡；開發者交接備註：卡片表只增不改所以保留，舊卡 trigger=null</t>
        </is>
      </c>
      <c r="H48" s="51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51" t="inlineStr">
        <is>
          <t>待複驗</t>
        </is>
      </c>
      <c r="J48" s="51" t="n"/>
      <c r="K48" s="51" t="inlineStr">
        <is>
          <t>Owner 裁定（2026-09-24）：刪除該卡（先備份，連同其評分紀錄一併處理並寫稽核紀錄）。程式已修（DEF-037 結案），本項只清資料</t>
        </is>
      </c>
    </row>
    <row r="49" ht="15" customHeight="1" s="34">
      <c r="A49" s="51" t="inlineStr">
        <is>
          <t>DEF-047</t>
        </is>
      </c>
      <c r="B49" s="51" t="inlineStr">
        <is>
          <t>C-01（附帶）</t>
        </is>
      </c>
      <c r="C49" s="51" t="inlineStr">
        <is>
          <t>收件匣「重新偵測」把本來就不配息的標的（TSLA：yfinance 無配息資料）算成「失敗」，整次偵測以警告色顯示「部分標的失敗」</t>
        </is>
      </c>
      <c r="D49" s="51" t="inlineStr">
        <is>
          <t>低</t>
        </is>
      </c>
      <c r="E49" s="51" t="inlineStr">
        <is>
          <t>規格未定</t>
        </is>
      </c>
      <c r="F49" s="51" t="inlineStr">
        <is>
          <t>R2</t>
        </is>
      </c>
      <c r="G49" s="51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51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51" t="inlineStr">
        <is>
          <t>待複驗</t>
        </is>
      </c>
      <c r="J49" s="51" t="n"/>
      <c r="K49" s="51" t="inlineStr">
        <is>
          <t>Owner 裁定（2026-09-24）：無配息不算失敗——「來源回應成功但沒有配息紀錄」列為正常（例如顯示「1 檔無配息紀錄」），只有真正抓取失敗才算失敗並用警告色</t>
        </is>
      </c>
    </row>
    <row r="50" ht="15" customHeight="1" s="34">
      <c r="A50" s="51" t="inlineStr">
        <is>
          <t>DEF-048</t>
        </is>
      </c>
      <c r="B50" s="51" t="inlineStr">
        <is>
          <t>B-17（附帶）</t>
        </is>
      </c>
      <c r="C50" s="51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51" t="inlineStr">
        <is>
          <t>低</t>
        </is>
      </c>
      <c r="E50" s="51" t="inlineStr">
        <is>
          <t>規格未定</t>
        </is>
      </c>
      <c r="F50" s="51" t="inlineStr">
        <is>
          <t>R2</t>
        </is>
      </c>
      <c r="G50" s="51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51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51" t="inlineStr">
        <is>
          <t>待複驗</t>
        </is>
      </c>
      <c r="J50" s="51" t="n"/>
      <c r="K50" s="51" t="inlineStr">
        <is>
          <t>Owner 裁定（2026-09-24）：改用交易日持股——草稿依帳本重播到交易日，顯示當時的持股與均價，與寫入後的結果一致。寫入後帳本以日期重播，數字本來就正確，只有預覽會誤導</t>
        </is>
      </c>
    </row>
    <row r="51" ht="15" customHeight="1" s="34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</row>
    <row r="52" ht="15" customHeight="1" s="34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</row>
    <row r="53" ht="15" customHeight="1" s="34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</row>
    <row r="54" ht="15" customHeight="1" s="34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</row>
    <row r="55" ht="15" customHeight="1" s="34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</row>
    <row r="56" ht="15" customHeight="1" s="34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</row>
    <row r="57" ht="15" customHeight="1" s="34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</row>
    <row r="58" ht="15" customHeight="1" s="34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</row>
    <row r="59" ht="15" customHeight="1" s="34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</row>
    <row r="60" ht="15" customHeight="1" s="34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</row>
    <row r="61" ht="15" customHeight="1" s="34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</row>
    <row r="62" ht="15" customHeight="1" s="34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</row>
    <row r="63" ht="15" customHeight="1" s="34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</row>
    <row r="64" ht="15" customHeight="1" s="34">
      <c r="A64" s="51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</row>
    <row r="65" ht="15" customHeight="1" s="34">
      <c r="A65" s="51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</row>
    <row r="66" ht="15" customHeight="1" s="34">
      <c r="A66" s="51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</row>
    <row r="67" ht="15" customHeight="1" s="34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</row>
    <row r="68" ht="15" customHeight="1" s="34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</row>
    <row r="69" ht="15" customHeight="1" s="34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</row>
    <row r="70" ht="15" customHeight="1" s="34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</row>
    <row r="71" ht="15" customHeight="1" s="34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</row>
    <row r="72" ht="15" customHeight="1" s="34">
      <c r="A72" s="51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</row>
    <row r="73" ht="15" customHeight="1" s="34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</row>
    <row r="74" ht="15" customHeight="1" s="34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</row>
    <row r="75" ht="15" customHeight="1" s="34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</row>
    <row r="76" ht="15" customHeight="1" s="34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</row>
    <row r="77" ht="15" customHeight="1" s="34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</row>
    <row r="78" ht="15" customHeight="1" s="34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</row>
    <row r="79" ht="15" customHeight="1" s="34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</row>
    <row r="80" ht="15" customHeight="1" s="34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</row>
    <row r="81" ht="15" customHeight="1" s="34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</row>
    <row r="82" ht="15" customHeight="1" s="34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</row>
  </sheetData>
  <dataValidations count="4">
    <dataValidation sqref="D3:D82" showDropDown="0" showInputMessage="0" showErrorMessage="0" allowBlank="1" type="list" errorStyle="stop" operator="between">
      <formula1>"高,中,低"</formula1>
      <formula2>0</formula2>
    </dataValidation>
    <dataValidation sqref="E3:E82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82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82 J3:J82" showDropDown="0" showInputMessage="0" showErrorMessage="0" allowBlank="1" type="list" errorStyle="stop" operator="between">
      <formula1>"R1,R2,R3,R4,R5,R6"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1" customWidth="1" style="33" min="3" max="4"/>
    <col width="16" customWidth="1" style="33" min="5" max="5"/>
    <col width="32" customWidth="1" style="33" min="6" max="6"/>
    <col width="34" customWidth="1" style="33" min="7" max="7"/>
    <col width="40" customWidth="1" style="33" min="8" max="8"/>
    <col width="22" customWidth="1" style="33" min="9" max="9"/>
    <col width="32" customWidth="1" style="33" min="10" max="10"/>
    <col width="18" customWidth="1" style="33" min="11" max="11"/>
    <col width="26" customWidth="1" style="33" min="12" max="12"/>
    <col width="32" customWidth="1" style="33" min="13" max="13"/>
    <col width="46" customWidth="1" style="33" min="14" max="14"/>
    <col width="38" customWidth="1" style="33" min="15" max="15"/>
    <col width="12" customWidth="1" style="33" min="16" max="16"/>
    <col width="26" customWidth="1" style="33" min="17" max="17"/>
    <col width="16" customWidth="1" style="33" min="18" max="18"/>
  </cols>
  <sheetData>
    <row r="1" ht="15" customHeight="1" s="34">
      <c r="A1" s="53" t="inlineStr">
        <is>
          <t>左半（橘）由修復方填，右半（藍）由檢驗方填。一列 = 一輪；複驗未過就再加一列，輪次 +1</t>
        </is>
      </c>
    </row>
    <row r="2" ht="31.5" customHeight="1" s="34">
      <c r="A2" s="42" t="inlineStr">
        <is>
          <t>輪次</t>
        </is>
      </c>
      <c r="B2" s="42" t="inlineStr">
        <is>
          <t>缺陷 ID</t>
        </is>
      </c>
      <c r="C2" s="42" t="inlineStr">
        <is>
          <t>關聯案例</t>
        </is>
      </c>
      <c r="D2" s="42" t="inlineStr">
        <is>
          <t>日期</t>
        </is>
      </c>
      <c r="E2" s="54" t="inlineStr">
        <is>
          <t>【修】問題判定</t>
        </is>
      </c>
      <c r="F2" s="54" t="inlineStr">
        <is>
          <t>【修】根因（檔案:行）</t>
        </is>
      </c>
      <c r="G2" s="54" t="inlineStr">
        <is>
          <t>【修】為何沒被攔到（防線盲點）</t>
        </is>
      </c>
      <c r="H2" s="54" t="inlineStr">
        <is>
          <t>【修】修法（含同類掃描結果）</t>
        </is>
      </c>
      <c r="I2" s="54" t="inlineStr">
        <is>
          <t>【修】同類掃描數字（共N／修M／白名單K）</t>
        </is>
      </c>
      <c r="J2" s="54" t="inlineStr">
        <is>
          <t>【修】測試與變異測試</t>
        </is>
      </c>
      <c r="K2" s="54" t="inlineStr">
        <is>
          <t>【修】commit・部署版本</t>
        </is>
      </c>
      <c r="L2" s="54" t="inlineStr">
        <is>
          <t>【修】自檢證據</t>
        </is>
      </c>
      <c r="M2" s="55" t="inlineStr">
        <is>
          <t>【驗】複驗方式（真實瀏覽器黑箱）</t>
        </is>
      </c>
      <c r="N2" s="55" t="inlineStr">
        <is>
          <t>【驗】判讀邏輯（觀察→假設→排除→定位→判定）</t>
        </is>
      </c>
      <c r="O2" s="55" t="inlineStr">
        <is>
          <t>【驗】實測結果（含數字）</t>
        </is>
      </c>
      <c r="P2" s="55" t="inlineStr">
        <is>
          <t>【驗】判定</t>
        </is>
      </c>
      <c r="Q2" s="55" t="inlineStr">
        <is>
          <t>【驗】未解／新增問題</t>
        </is>
      </c>
      <c r="R2" s="55" t="inlineStr">
        <is>
          <t>【驗】執行人・日期</t>
        </is>
      </c>
    </row>
    <row r="3" ht="86.55" customHeight="1" s="34">
      <c r="A3" s="44" t="inlineStr">
        <is>
          <t>R1</t>
        </is>
      </c>
      <c r="B3" s="44" t="inlineStr">
        <is>
          <t>DEF-範例</t>
        </is>
      </c>
      <c r="C3" s="44" t="inlineStr">
        <is>
          <t>B-15</t>
        </is>
      </c>
      <c r="D3" s="44" t="inlineStr">
        <is>
          <t>2026-09-22</t>
        </is>
      </c>
      <c r="E3" s="43" t="inlineStr">
        <is>
          <t>—（本輪由檢驗方發現）</t>
        </is>
      </c>
      <c r="F3" s="44" t="inlineStr">
        <is>
          <t>—</t>
        </is>
      </c>
      <c r="G3" s="44" t="inlineStr">
        <is>
          <t>—</t>
        </is>
      </c>
      <c r="H3" s="44" t="inlineStr">
        <is>
          <t>—</t>
        </is>
      </c>
      <c r="I3" s="44" t="inlineStr">
        <is>
          <t>—</t>
        </is>
      </c>
      <c r="J3" s="44" t="inlineStr">
        <is>
          <t>—</t>
        </is>
      </c>
      <c r="K3" s="44" t="inlineStr">
        <is>
          <t>—</t>
        </is>
      </c>
      <c r="L3" s="44" t="inlineStr">
        <is>
          <t>—</t>
        </is>
      </c>
      <c r="M3" s="43" t="inlineStr">
        <is>
          <t>真實瀏覽器走到該下拉，讀 option 文字；同頁六個帳戶下拉一起比對</t>
        </is>
      </c>
      <c r="N3" s="43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44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44" t="inlineStr">
        <is>
          <t>FAIL</t>
        </is>
      </c>
      <c r="Q3" s="43" t="inlineStr">
        <is>
          <t>開 DEF-範例；同時要問：守門測試為何是綠的</t>
        </is>
      </c>
      <c r="R3" s="43" t="inlineStr">
        <is>
          <t>檢驗方 2026-09-22</t>
        </is>
      </c>
    </row>
    <row r="4" ht="86.55" customHeight="1" s="34">
      <c r="A4" s="44" t="inlineStr">
        <is>
          <t>R2</t>
        </is>
      </c>
      <c r="B4" s="44" t="inlineStr">
        <is>
          <t>DEF-範例</t>
        </is>
      </c>
      <c r="C4" s="44" t="inlineStr">
        <is>
          <t>B-15</t>
        </is>
      </c>
      <c r="D4" s="44" t="inlineStr">
        <is>
          <t>2026-09-22</t>
        </is>
      </c>
      <c r="E4" s="43" t="inlineStr">
        <is>
          <t>同意根因</t>
        </is>
      </c>
      <c r="F4" s="44" t="inlineStr">
        <is>
          <t>web/broker-import.js:498（帳戶下拉）、:492（券商下拉硬編碼＋raw id fallback）</t>
        </is>
      </c>
      <c r="G4" s="43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44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43" t="inlineStr">
        <is>
          <t>全 web/*.js 共 6 個帳戶下拉；1 處違規已修，其餘 5 處本來就合規；白名單 0</t>
        </is>
      </c>
      <c r="J4" s="43" t="inlineStr">
        <is>
          <t>變異測試：把 :498 改回舊寫法 → 3 則測試失敗並點名 broker-import.js；改回來 → 全過</t>
        </is>
      </c>
      <c r="K4" s="44" t="inlineStr">
        <is>
          <t>755c88a（已部署 demo）</t>
        </is>
      </c>
      <c r="L4" s="44" t="inlineStr">
        <is>
          <t>ruff clean・mypy --strict 798 檔 0 問題・pytest 非 e2e 5,217 passed／2 skipped</t>
        </is>
      </c>
      <c r="M4" s="43" t="inlineStr">
        <is>
          <t>重放 R1 的原始步驟（同一條使用者路徑），再把六個帳戶下拉逐字比對；另把兩支守門測試取回獨立執行並自行做一次變異測試</t>
        </is>
      </c>
      <c r="N4" s="43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43" t="inlineStr">
        <is>
          <t>六個下拉逐字一致（含 bk-account）；券商下拉為「嘉信 Schwab」；變異測試重現：改回舊寫法 → 3 則失敗、訊息點名該檔</t>
        </is>
      </c>
      <c r="P4" s="43" t="inlineStr">
        <is>
          <t>複驗通過 → 結案</t>
        </is>
      </c>
      <c r="Q4" s="43" t="inlineStr">
        <is>
          <t>無</t>
        </is>
      </c>
      <c r="R4" s="43" t="inlineStr">
        <is>
          <t>檢驗方 2026-09-22</t>
        </is>
      </c>
    </row>
    <row r="5" ht="15" customHeight="1" s="34">
      <c r="A5" s="51" t="inlineStr">
        <is>
          <t>R1</t>
        </is>
      </c>
      <c r="B5" s="51" t="inlineStr">
        <is>
          <t>DEF-001</t>
        </is>
      </c>
      <c r="C5" s="51" t="inlineStr">
        <is>
          <t>I-03</t>
        </is>
      </c>
      <c r="D5" s="51" t="inlineStr">
        <is>
          <t>2026-09-23</t>
        </is>
      </c>
      <c r="E5" s="56" t="inlineStr">
        <is>
          <t>—（本輪由檢驗方發現）</t>
        </is>
      </c>
      <c r="F5" s="56" t="inlineStr">
        <is>
          <t>—</t>
        </is>
      </c>
      <c r="G5" s="56" t="inlineStr">
        <is>
          <t>—</t>
        </is>
      </c>
      <c r="H5" s="56" t="inlineStr">
        <is>
          <t>—</t>
        </is>
      </c>
      <c r="I5" s="56" t="inlineStr">
        <is>
          <t>—</t>
        </is>
      </c>
      <c r="J5" s="56" t="inlineStr">
        <is>
          <t>—</t>
        </is>
      </c>
      <c r="K5" s="56" t="inlineStr">
        <is>
          <t>—</t>
        </is>
      </c>
      <c r="L5" s="56" t="inlineStr">
        <is>
          <t>—</t>
        </is>
      </c>
      <c r="M5" s="57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57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57" t="inlineStr">
        <is>
          <t>對帳欄 TWD 36804.55597014925373134328360 vs 儀表板 42004.55597014925373134328360（差 5200.0000）；USD 兩邊皆 97.300573928633231474982722（相符）</t>
        </is>
      </c>
      <c r="P5" s="57" t="inlineStr">
        <is>
          <t>FAIL</t>
        </is>
      </c>
      <c r="Q5" s="57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57" t="inlineStr">
        <is>
          <t>檢驗方 2026-09-23</t>
        </is>
      </c>
    </row>
    <row r="6" ht="15" customHeight="1" s="34">
      <c r="A6" s="51" t="inlineStr">
        <is>
          <t>R1</t>
        </is>
      </c>
      <c r="B6" s="51" t="inlineStr">
        <is>
          <t>DEF-002</t>
        </is>
      </c>
      <c r="C6" s="51" t="inlineStr">
        <is>
          <t>J-05</t>
        </is>
      </c>
      <c r="D6" s="51" t="inlineStr">
        <is>
          <t>2026-09-23</t>
        </is>
      </c>
      <c r="E6" s="56" t="inlineStr">
        <is>
          <t>—（本輪由檢驗方發現）</t>
        </is>
      </c>
      <c r="F6" s="56" t="inlineStr">
        <is>
          <t>—</t>
        </is>
      </c>
      <c r="G6" s="56" t="inlineStr">
        <is>
          <t>—</t>
        </is>
      </c>
      <c r="H6" s="56" t="inlineStr">
        <is>
          <t>—</t>
        </is>
      </c>
      <c r="I6" s="56" t="inlineStr">
        <is>
          <t>—</t>
        </is>
      </c>
      <c r="J6" s="56" t="inlineStr">
        <is>
          <t>—</t>
        </is>
      </c>
      <c r="K6" s="56" t="inlineStr">
        <is>
          <t>—</t>
        </is>
      </c>
      <c r="L6" s="56" t="inlineStr">
        <is>
          <t>—</t>
        </is>
      </c>
      <c r="M6" s="57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57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57" t="inlineStr">
        <is>
          <t>展開前 scrollWidth 390；展開後 3,673（viewport 390）；11 張表寬 1780／3073／660／707／617／986／1510／747／768／3652／775 px</t>
        </is>
      </c>
      <c r="P6" s="57" t="inlineStr">
        <is>
          <t>FAIL</t>
        </is>
      </c>
      <c r="Q6" s="57" t="inlineStr">
        <is>
          <t>開 DEF-002；請一併掃描其他未包 .table-wrap 的 table（同類），不要只修這一處</t>
        </is>
      </c>
      <c r="R6" s="57" t="inlineStr">
        <is>
          <t>檢驗方 2026-09-23</t>
        </is>
      </c>
    </row>
    <row r="7" ht="15" customHeight="1" s="34">
      <c r="A7" s="51" t="inlineStr">
        <is>
          <t>R1</t>
        </is>
      </c>
      <c r="B7" s="51" t="inlineStr">
        <is>
          <t>DEF-003</t>
        </is>
      </c>
      <c r="C7" s="51" t="inlineStr">
        <is>
          <t>G-06</t>
        </is>
      </c>
      <c r="D7" s="51" t="inlineStr">
        <is>
          <t>2026-09-23</t>
        </is>
      </c>
      <c r="E7" s="56" t="inlineStr">
        <is>
          <t>—（本輪由檢驗方發現）</t>
        </is>
      </c>
      <c r="F7" s="56" t="inlineStr">
        <is>
          <t>—</t>
        </is>
      </c>
      <c r="G7" s="56" t="inlineStr">
        <is>
          <t>—</t>
        </is>
      </c>
      <c r="H7" s="56" t="inlineStr">
        <is>
          <t>—</t>
        </is>
      </c>
      <c r="I7" s="56" t="inlineStr">
        <is>
          <t>—</t>
        </is>
      </c>
      <c r="J7" s="56" t="inlineStr">
        <is>
          <t>—</t>
        </is>
      </c>
      <c r="K7" s="56" t="inlineStr">
        <is>
          <t>—</t>
        </is>
      </c>
      <c r="L7" s="56" t="inlineStr">
        <is>
          <t>—</t>
        </is>
      </c>
      <c r="M7" s="57" t="inlineStr">
        <is>
          <t>真實瀏覽器讀 AI 洞察各分頁卡片的信心 chip 文字與 title；以 GET /api/insights?limit=500 逐卡比對 prediction／confidence 欄位</t>
        </is>
      </c>
      <c r="N7" s="57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57" t="inlineStr">
        <is>
          <t>prediction=null 40 張：confidence=null 15 張（顯示純描述）、confidence 有值 25 張（顯示信心 N%）；prediction 有值但 confidence=null 0 張</t>
        </is>
      </c>
      <c r="P7" s="57" t="inlineStr">
        <is>
          <t>待裁定</t>
        </is>
      </c>
      <c r="Q7" s="57" t="inlineStr">
        <is>
          <t>開 DEF-003；請 owner 裁定：無 prediction 的卡是否仍顯示信心值</t>
        </is>
      </c>
      <c r="R7" s="57" t="inlineStr">
        <is>
          <t>檢驗方 2026-09-23</t>
        </is>
      </c>
    </row>
    <row r="8" ht="15" customHeight="1" s="34">
      <c r="A8" s="51" t="inlineStr">
        <is>
          <t>R1</t>
        </is>
      </c>
      <c r="B8" s="51" t="inlineStr">
        <is>
          <t>DEF-004</t>
        </is>
      </c>
      <c r="C8" s="51" t="inlineStr">
        <is>
          <t>I-04</t>
        </is>
      </c>
      <c r="D8" s="51" t="inlineStr">
        <is>
          <t>2026-09-23</t>
        </is>
      </c>
      <c r="E8" s="56" t="inlineStr">
        <is>
          <t>—（本輪由檢驗方發現）</t>
        </is>
      </c>
      <c r="F8" s="56" t="inlineStr">
        <is>
          <t>—</t>
        </is>
      </c>
      <c r="G8" s="56" t="inlineStr">
        <is>
          <t>—</t>
        </is>
      </c>
      <c r="H8" s="56" t="inlineStr">
        <is>
          <t>—</t>
        </is>
      </c>
      <c r="I8" s="56" t="inlineStr">
        <is>
          <t>—</t>
        </is>
      </c>
      <c r="J8" s="56" t="inlineStr">
        <is>
          <t>—</t>
        </is>
      </c>
      <c r="K8" s="56" t="inlineStr">
        <is>
          <t>—</t>
        </is>
      </c>
      <c r="L8" s="56" t="inlineStr">
        <is>
          <t>—</t>
        </is>
      </c>
      <c r="M8" s="57" t="inlineStr">
        <is>
          <t>真實瀏覽器 CSV 匯入頁，六類範本逐一下載後原文貼回，讀預覽表 &lt;tr&gt; 文字，並對照 POST /api/import/preview 回應 rows[].data</t>
        </is>
      </c>
      <c r="N8" s="57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57" t="inlineStr">
        <is>
          <t>資金 7 列、股利 2 列、換匯 2 列、期初 2 列、公司行動 3 列：金額／比例欄 0 列有顯示；期初列日期 2/2 顯示「—」</t>
        </is>
      </c>
      <c r="P8" s="57" t="inlineStr">
        <is>
          <t>FAIL</t>
        </is>
      </c>
      <c r="Q8" s="57" t="inlineStr">
        <is>
          <t>開 DEF-004；請一併檢查券商對帳單轉換報告的預覽欄位是否同樣只為交易設計</t>
        </is>
      </c>
      <c r="R8" s="57" t="inlineStr">
        <is>
          <t>檢驗方 2026-09-23</t>
        </is>
      </c>
    </row>
    <row r="9" ht="15" customHeight="1" s="34">
      <c r="A9" s="51" t="inlineStr">
        <is>
          <t>R1</t>
        </is>
      </c>
      <c r="B9" s="51" t="inlineStr">
        <is>
          <t>DEF-005</t>
        </is>
      </c>
      <c r="C9" s="51" t="inlineStr">
        <is>
          <t>D-02</t>
        </is>
      </c>
      <c r="D9" s="51" t="inlineStr">
        <is>
          <t>2026-09-23</t>
        </is>
      </c>
      <c r="E9" s="56" t="inlineStr">
        <is>
          <t>—（本輪由檢驗方發現）</t>
        </is>
      </c>
      <c r="F9" s="56" t="inlineStr">
        <is>
          <t>—</t>
        </is>
      </c>
      <c r="G9" s="56" t="inlineStr">
        <is>
          <t>—</t>
        </is>
      </c>
      <c r="H9" s="56" t="inlineStr">
        <is>
          <t>—</t>
        </is>
      </c>
      <c r="I9" s="56" t="inlineStr">
        <is>
          <t>—</t>
        </is>
      </c>
      <c r="J9" s="56" t="inlineStr">
        <is>
          <t>—</t>
        </is>
      </c>
      <c r="K9" s="56" t="inlineStr">
        <is>
          <t>—</t>
        </is>
      </c>
      <c r="L9" s="56" t="inlineStr">
        <is>
          <t>—</t>
        </is>
      </c>
      <c r="M9" s="57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57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57" t="inlineStr">
        <is>
          <t>輸入 1.5 → 欄位 15；試算 100 股→20 股、均價 93.20→466.00；登錄鈕 enabled；0 筆寫入（測畢取消）</t>
        </is>
      </c>
      <c r="P9" s="57" t="inlineStr">
        <is>
          <t>FAIL</t>
        </is>
      </c>
      <c r="Q9" s="57" t="inlineStr">
        <is>
          <t>開 DEF-005；請掃描所有會「清洗」數字輸入的欄位（同類：replace(/[^0-9]/g) 等），確認沒有其他把小數悄悄改成整數的地方</t>
        </is>
      </c>
      <c r="R9" s="57" t="inlineStr">
        <is>
          <t>檢驗方 2026-09-23</t>
        </is>
      </c>
    </row>
    <row r="10" ht="15" customHeight="1" s="34">
      <c r="A10" s="51" t="inlineStr">
        <is>
          <t>R1</t>
        </is>
      </c>
      <c r="B10" s="51" t="inlineStr">
        <is>
          <t>DEF-006</t>
        </is>
      </c>
      <c r="C10" s="51" t="inlineStr">
        <is>
          <t>A-01</t>
        </is>
      </c>
      <c r="D10" s="51" t="inlineStr">
        <is>
          <t>2026-09-23</t>
        </is>
      </c>
      <c r="E10" s="56" t="inlineStr">
        <is>
          <t>—（本輪由檢驗方發現）</t>
        </is>
      </c>
      <c r="F10" s="56" t="inlineStr">
        <is>
          <t>—</t>
        </is>
      </c>
      <c r="G10" s="56" t="inlineStr">
        <is>
          <t>—</t>
        </is>
      </c>
      <c r="H10" s="56" t="inlineStr">
        <is>
          <t>—</t>
        </is>
      </c>
      <c r="I10" s="56" t="inlineStr">
        <is>
          <t>—</t>
        </is>
      </c>
      <c r="J10" s="56" t="inlineStr">
        <is>
          <t>—</t>
        </is>
      </c>
      <c r="K10" s="56" t="inlineStr">
        <is>
          <t>—</t>
        </is>
      </c>
      <c r="L10" s="56" t="inlineStr">
        <is>
          <t>—</t>
        </is>
      </c>
      <c r="M10" s="57" t="inlineStr">
        <is>
          <t>真實瀏覽器讀每種方向 chip 的 className 與 getComputedStyle 背景／文字色</t>
        </is>
      </c>
      <c r="N10" s="57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57" t="inlineStr">
        <is>
          <t>入金／折讓款：實心灰；出金：外框灰；無綠／紅色</t>
        </is>
      </c>
      <c r="P10" s="57" t="inlineStr">
        <is>
          <t>待裁定</t>
        </is>
      </c>
      <c r="Q10" s="57" t="inlineStr">
        <is>
          <t>開 DEF-006；請 owner 裁定：改手冊期望（中性色）或改 CSS（綠／扣款色）</t>
        </is>
      </c>
      <c r="R10" s="57" t="inlineStr">
        <is>
          <t>檢驗方 2026-09-23</t>
        </is>
      </c>
    </row>
    <row r="11" ht="15" customHeight="1" s="34">
      <c r="A11" s="51" t="inlineStr">
        <is>
          <t>R1</t>
        </is>
      </c>
      <c r="B11" s="51" t="inlineStr">
        <is>
          <t>DEF-007</t>
        </is>
      </c>
      <c r="C11" s="51" t="inlineStr">
        <is>
          <t>A-02</t>
        </is>
      </c>
      <c r="D11" s="51" t="inlineStr">
        <is>
          <t>2026-09-23</t>
        </is>
      </c>
      <c r="E11" s="56" t="inlineStr">
        <is>
          <t>—（本輪由檢驗方發現）</t>
        </is>
      </c>
      <c r="F11" s="56" t="inlineStr">
        <is>
          <t>—</t>
        </is>
      </c>
      <c r="G11" s="56" t="inlineStr">
        <is>
          <t>—</t>
        </is>
      </c>
      <c r="H11" s="56" t="inlineStr">
        <is>
          <t>—</t>
        </is>
      </c>
      <c r="I11" s="56" t="inlineStr">
        <is>
          <t>—</t>
        </is>
      </c>
      <c r="J11" s="56" t="inlineStr">
        <is>
          <t>—</t>
        </is>
      </c>
      <c r="K11" s="56" t="inlineStr">
        <is>
          <t>—</t>
        </is>
      </c>
      <c r="L11" s="56" t="inlineStr">
        <is>
          <t>—</t>
        </is>
      </c>
      <c r="M11" s="57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57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57" t="inlineStr">
        <is>
          <t>快速：acq_home_amount 31699（錯）；放慢：31500（對）；提示「參考值：2026-09-23 收盤」vs API as_of 2026-09-22</t>
        </is>
      </c>
      <c r="P11" s="57" t="inlineStr">
        <is>
          <t>FAIL</t>
        </is>
      </c>
      <c r="Q11" s="57" t="inlineStr">
        <is>
          <t>開 DEF-007；同類：換匯中心 fx-estimate 自動回填（web/cash.js:1172 起）是否也會蓋掉使用者手動輸入，請一併掃描</t>
        </is>
      </c>
      <c r="R11" s="57" t="inlineStr">
        <is>
          <t>檢驗方 2026-09-23</t>
        </is>
      </c>
    </row>
    <row r="12" ht="15" customHeight="1" s="34">
      <c r="A12" s="51" t="inlineStr">
        <is>
          <t>R1</t>
        </is>
      </c>
      <c r="B12" s="51" t="inlineStr">
        <is>
          <t>DEF-008</t>
        </is>
      </c>
      <c r="C12" s="51" t="inlineStr">
        <is>
          <t>A-05</t>
        </is>
      </c>
      <c r="D12" s="51" t="inlineStr">
        <is>
          <t>2026-09-23</t>
        </is>
      </c>
      <c r="E12" s="56" t="inlineStr">
        <is>
          <t>—（本輪由檢驗方發現）</t>
        </is>
      </c>
      <c r="F12" s="56" t="inlineStr">
        <is>
          <t>—</t>
        </is>
      </c>
      <c r="G12" s="56" t="inlineStr">
        <is>
          <t>—</t>
        </is>
      </c>
      <c r="H12" s="56" t="inlineStr">
        <is>
          <t>—</t>
        </is>
      </c>
      <c r="I12" s="56" t="inlineStr">
        <is>
          <t>—</t>
        </is>
      </c>
      <c r="J12" s="56" t="inlineStr">
        <is>
          <t>—</t>
        </is>
      </c>
      <c r="K12" s="56" t="inlineStr">
        <is>
          <t>—</t>
        </is>
      </c>
      <c r="L12" s="56" t="inlineStr">
        <is>
          <t>—</t>
        </is>
      </c>
      <c r="M12" s="57" t="inlineStr">
        <is>
          <t>真實瀏覽器操作出金表單（A-06 路徑）＋對當日透支以相同本文直送 API（前端已擋，只用來看後端訊息），讀 422 回應與 toast 文字</t>
        </is>
      </c>
      <c r="N12" s="57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57" t="inlineStr">
        <is>
          <t>當日分支：無日期；兩分支皆「TW Broker」；toast 附 withdraw_insufficient_balance／validation_error</t>
        </is>
      </c>
      <c r="P12" s="57" t="inlineStr">
        <is>
          <t>FAIL</t>
        </is>
      </c>
      <c r="Q12" s="57" t="inlineStr">
        <is>
          <t>開 DEF-008；同類掃描：後端所有使用者可見訊息中直接引用 accounts.name 的地方；toast 是否應顯示錯誤碼</t>
        </is>
      </c>
      <c r="R12" s="57" t="inlineStr">
        <is>
          <t>檢驗方 2026-09-23</t>
        </is>
      </c>
    </row>
    <row r="13" ht="15" customHeight="1" s="34">
      <c r="A13" s="51" t="inlineStr">
        <is>
          <t>R1</t>
        </is>
      </c>
      <c r="B13" s="51" t="inlineStr">
        <is>
          <t>DEF-009</t>
        </is>
      </c>
      <c r="C13" s="51" t="inlineStr">
        <is>
          <t>A-11</t>
        </is>
      </c>
      <c r="D13" s="51" t="inlineStr">
        <is>
          <t>2026-09-23</t>
        </is>
      </c>
      <c r="E13" s="56" t="inlineStr">
        <is>
          <t>—（本輪由檢驗方發現）</t>
        </is>
      </c>
      <c r="F13" s="56" t="inlineStr">
        <is>
          <t>—</t>
        </is>
      </c>
      <c r="G13" s="56" t="inlineStr">
        <is>
          <t>—</t>
        </is>
      </c>
      <c r="H13" s="56" t="inlineStr">
        <is>
          <t>—</t>
        </is>
      </c>
      <c r="I13" s="56" t="inlineStr">
        <is>
          <t>—</t>
        </is>
      </c>
      <c r="J13" s="56" t="inlineStr">
        <is>
          <t>—</t>
        </is>
      </c>
      <c r="K13" s="56" t="inlineStr">
        <is>
          <t>—</t>
        </is>
      </c>
      <c r="L13" s="56" t="inlineStr">
        <is>
          <t>—</t>
        </is>
      </c>
      <c r="M13" s="57" t="inlineStr">
        <is>
          <t>真實瀏覽器點折讓款列的編輯，讀對話框欄位 disabled 狀態與說明文字（未儲存）</t>
        </is>
      </c>
      <c r="N13" s="57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57" t="inlineStr">
        <is>
          <t>日期／類型／備註 disabled；金額 enabled；儲存鈕可按</t>
        </is>
      </c>
      <c r="P13" s="57" t="inlineStr">
        <is>
          <t>待裁定</t>
        </is>
      </c>
      <c r="Q13" s="57" t="inlineStr">
        <is>
          <t>開 DEF-009；請 owner 裁定：折讓款金額能否在資金收支直接修改，或只能從收件匣復原後重新確認</t>
        </is>
      </c>
      <c r="R13" s="57" t="inlineStr">
        <is>
          <t>檢驗方 2026-09-23</t>
        </is>
      </c>
    </row>
    <row r="14" ht="15" customHeight="1" s="34">
      <c r="A14" s="51" t="inlineStr">
        <is>
          <t>R1</t>
        </is>
      </c>
      <c r="B14" s="51" t="inlineStr">
        <is>
          <t>DEF-010</t>
        </is>
      </c>
      <c r="C14" s="51" t="inlineStr">
        <is>
          <t>B-16</t>
        </is>
      </c>
      <c r="D14" s="51" t="inlineStr">
        <is>
          <t>2026-09-23</t>
        </is>
      </c>
      <c r="E14" s="56" t="inlineStr">
        <is>
          <t>—（本輪由檢驗方發現）</t>
        </is>
      </c>
      <c r="F14" s="56" t="inlineStr">
        <is>
          <t>—</t>
        </is>
      </c>
      <c r="G14" s="56" t="inlineStr">
        <is>
          <t>—</t>
        </is>
      </c>
      <c r="H14" s="56" t="inlineStr">
        <is>
          <t>—</t>
        </is>
      </c>
      <c r="I14" s="56" t="inlineStr">
        <is>
          <t>—</t>
        </is>
      </c>
      <c r="J14" s="56" t="inlineStr">
        <is>
          <t>—</t>
        </is>
      </c>
      <c r="K14" s="56" t="inlineStr">
        <is>
          <t>—</t>
        </is>
      </c>
      <c r="L14" s="56" t="inlineStr">
        <is>
          <t>—</t>
        </is>
      </c>
      <c r="M14" s="57" t="inlineStr">
        <is>
          <t>以 GET /api/ledgers/transactions 讀每筆 fee_snapshot，對照 GET /api/rebates 各月 trades 的 expected</t>
        </is>
      </c>
      <c r="N14" s="57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57" t="inlineStr">
        <is>
          <t>8 筆 discount=0.23 交易計入預估：2026-02 月 2×153、2026-06 月 2×30、2026-07 月 322＋219＋32＋341</t>
        </is>
      </c>
      <c r="P14" s="57" t="inlineStr">
        <is>
          <t>待裁定</t>
        </is>
      </c>
      <c r="Q14" s="57" t="inlineStr">
        <is>
          <t>開 DEF-010；請 owner 裁定：清理這批快照，或讓預估器略過 discount&lt;1 的交易</t>
        </is>
      </c>
      <c r="R14" s="57" t="inlineStr">
        <is>
          <t>檢驗方 2026-09-23</t>
        </is>
      </c>
    </row>
    <row r="15" ht="15" customHeight="1" s="34">
      <c r="A15" s="51" t="inlineStr">
        <is>
          <t>R1</t>
        </is>
      </c>
      <c r="B15" s="51" t="inlineStr">
        <is>
          <t>DEF-011</t>
        </is>
      </c>
      <c r="C15" s="51" t="inlineStr">
        <is>
          <t>A-16</t>
        </is>
      </c>
      <c r="D15" s="51" t="inlineStr">
        <is>
          <t>2026-09-23</t>
        </is>
      </c>
      <c r="E15" s="56" t="inlineStr">
        <is>
          <t>—（本輪由檢驗方發現）</t>
        </is>
      </c>
      <c r="F15" s="56" t="inlineStr">
        <is>
          <t>—</t>
        </is>
      </c>
      <c r="G15" s="56" t="inlineStr">
        <is>
          <t>—</t>
        </is>
      </c>
      <c r="H15" s="56" t="inlineStr">
        <is>
          <t>—</t>
        </is>
      </c>
      <c r="I15" s="56" t="inlineStr">
        <is>
          <t>—</t>
        </is>
      </c>
      <c r="J15" s="56" t="inlineStr">
        <is>
          <t>—</t>
        </is>
      </c>
      <c r="K15" s="56" t="inlineStr">
        <is>
          <t>—</t>
        </is>
      </c>
      <c r="L15" s="56" t="inlineStr">
        <is>
          <t>—</t>
        </is>
      </c>
      <c r="M15" s="57" t="inlineStr">
        <is>
          <t>真實瀏覽器確認折讓款入帳前後各取一次 /api/dashboard kpis 逐欄比對；讀收件匣文案；測畢刪除該筆還原</t>
        </is>
      </c>
      <c r="N15" s="57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57" t="inlineStr">
        <is>
          <t>xirr +0.000657、total_return_fx_complete +620、trading_financing_cost +620；total_return 不變；文案仍寫不計入 XIRR／損益</t>
        </is>
      </c>
      <c r="P15" s="57" t="inlineStr">
        <is>
          <t>FAIL</t>
        </is>
      </c>
      <c r="Q15" s="57" t="inlineStr">
        <is>
          <t>開 DEF-011；同類：其他提到「不計入 XIRR」的文案（如 AI-D42 前寫的說明、tooltip）請一併掃描</t>
        </is>
      </c>
      <c r="R15" s="57" t="inlineStr">
        <is>
          <t>檢驗方 2026-09-23</t>
        </is>
      </c>
    </row>
    <row r="16" ht="15" customHeight="1" s="34">
      <c r="A16" s="51" t="inlineStr">
        <is>
          <t>R1</t>
        </is>
      </c>
      <c r="B16" s="51" t="inlineStr">
        <is>
          <t>DEF-012</t>
        </is>
      </c>
      <c r="C16" s="51" t="inlineStr">
        <is>
          <t>B-18</t>
        </is>
      </c>
      <c r="D16" s="51" t="inlineStr">
        <is>
          <t>2026-09-23</t>
        </is>
      </c>
      <c r="E16" s="56" t="inlineStr">
        <is>
          <t>—（本輪由檢驗方發現）</t>
        </is>
      </c>
      <c r="F16" s="56" t="inlineStr">
        <is>
          <t>—</t>
        </is>
      </c>
      <c r="G16" s="56" t="inlineStr">
        <is>
          <t>—</t>
        </is>
      </c>
      <c r="H16" s="56" t="inlineStr">
        <is>
          <t>—</t>
        </is>
      </c>
      <c r="I16" s="56" t="inlineStr">
        <is>
          <t>—</t>
        </is>
      </c>
      <c r="J16" s="56" t="inlineStr">
        <is>
          <t>—</t>
        </is>
      </c>
      <c r="K16" s="56" t="inlineStr">
        <is>
          <t>—</t>
        </is>
      </c>
      <c r="L16" s="56" t="inlineStr">
        <is>
          <t>—</t>
        </is>
      </c>
      <c r="M16" s="57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57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57" t="inlineStr">
        <is>
          <t>系統：cost_removed 5,690.00／realized −1,223.00／期末成本 17,070.00／均價 56.90；時間順序：6,046.67／−1,579.67／16,713.33／55.7111；差額 356.67 TWD</t>
        </is>
      </c>
      <c r="P16" s="57" t="inlineStr">
        <is>
          <t>FAIL</t>
        </is>
      </c>
      <c r="Q16" s="57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57" t="inlineStr">
        <is>
          <t>檢驗方 2026-09-23</t>
        </is>
      </c>
    </row>
    <row r="17" ht="15" customHeight="1" s="34">
      <c r="A17" s="51" t="inlineStr">
        <is>
          <t>R1</t>
        </is>
      </c>
      <c r="B17" s="51" t="inlineStr">
        <is>
          <t>DEF-013</t>
        </is>
      </c>
      <c r="C17" s="51" t="inlineStr">
        <is>
          <t>B-10</t>
        </is>
      </c>
      <c r="D17" s="51" t="inlineStr">
        <is>
          <t>2026-09-23</t>
        </is>
      </c>
      <c r="E17" s="56" t="inlineStr">
        <is>
          <t>—（本輪由檢驗方發現）</t>
        </is>
      </c>
      <c r="F17" s="56" t="inlineStr">
        <is>
          <t>—</t>
        </is>
      </c>
      <c r="G17" s="56" t="inlineStr">
        <is>
          <t>—</t>
        </is>
      </c>
      <c r="H17" s="56" t="inlineStr">
        <is>
          <t>—</t>
        </is>
      </c>
      <c r="I17" s="56" t="inlineStr">
        <is>
          <t>—</t>
        </is>
      </c>
      <c r="J17" s="56" t="inlineStr">
        <is>
          <t>—</t>
        </is>
      </c>
      <c r="K17" s="56" t="inlineStr">
        <is>
          <t>—</t>
        </is>
      </c>
      <c r="L17" s="56" t="inlineStr">
        <is>
          <t>—</t>
        </is>
      </c>
      <c r="M17" s="57" t="inlineStr">
        <is>
          <t>真實瀏覽器切換兩個 checkbox，讀 checked／disabled 狀態與 POST /api/input/manual/preview 本文與回應；檢視 web/input.js 相關邏輯</t>
        </is>
      </c>
      <c r="N17" s="57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57" t="inlineStr">
        <is>
          <t>daytrade＋short 同時送出；tax 679；0 issues；帳本列只有「賣」chip</t>
        </is>
      </c>
      <c r="P17" s="57" t="inlineStr">
        <is>
          <t>待裁定</t>
        </is>
      </c>
      <c r="Q17" s="57" t="inlineStr">
        <is>
          <t>開 DEF-013；請 owner 裁定當沖＋放空的組合規則</t>
        </is>
      </c>
      <c r="R17" s="57" t="inlineStr">
        <is>
          <t>檢驗方 2026-09-23</t>
        </is>
      </c>
    </row>
    <row r="18" ht="15" customHeight="1" s="34">
      <c r="A18" s="51" t="inlineStr">
        <is>
          <t>R1</t>
        </is>
      </c>
      <c r="B18" s="51" t="inlineStr">
        <is>
          <t>DEF-014</t>
        </is>
      </c>
      <c r="C18" s="51" t="inlineStr">
        <is>
          <t>B-17</t>
        </is>
      </c>
      <c r="D18" s="51" t="inlineStr">
        <is>
          <t>2026-09-23</t>
        </is>
      </c>
      <c r="E18" s="56" t="inlineStr">
        <is>
          <t>—（本輪由檢驗方發現）</t>
        </is>
      </c>
      <c r="F18" s="56" t="inlineStr">
        <is>
          <t>—</t>
        </is>
      </c>
      <c r="G18" s="56" t="inlineStr">
        <is>
          <t>—</t>
        </is>
      </c>
      <c r="H18" s="56" t="inlineStr">
        <is>
          <t>—</t>
        </is>
      </c>
      <c r="I18" s="56" t="inlineStr">
        <is>
          <t>—</t>
        </is>
      </c>
      <c r="J18" s="56" t="inlineStr">
        <is>
          <t>—</t>
        </is>
      </c>
      <c r="K18" s="56" t="inlineStr">
        <is>
          <t>—</t>
        </is>
      </c>
      <c r="L18" s="56" t="inlineStr">
        <is>
          <t>—</t>
        </is>
      </c>
      <c r="M18" s="57" t="inlineStr">
        <is>
          <t>真實瀏覽器手動交易表單，讀 POST /api/input/manual/preview issues 與草稿文字，實際寫入一次確認後端也接受，再刪除還原</t>
        </is>
      </c>
      <c r="N18" s="57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57" t="inlineStr">
        <is>
          <t>早於期初庫存日：issues=[]、201 寫入；未來日期：warn 並擋確認鍵</t>
        </is>
      </c>
      <c r="P18" s="57" t="inlineStr">
        <is>
          <t>FAIL</t>
        </is>
      </c>
      <c r="Q18" s="57" t="inlineStr">
        <is>
          <t>開 DEF-014；期初庫存與其建檔日之前的交易如何共存需先定規格；同類：CSV 匯入與券商對帳單匯入的日期檢核是否一致</t>
        </is>
      </c>
      <c r="R18" s="57" t="inlineStr">
        <is>
          <t>檢驗方 2026-09-23</t>
        </is>
      </c>
    </row>
    <row r="19" ht="15" customHeight="1" s="34">
      <c r="A19" s="51" t="inlineStr">
        <is>
          <t>R1</t>
        </is>
      </c>
      <c r="B19" s="51" t="inlineStr">
        <is>
          <t>DEF-015</t>
        </is>
      </c>
      <c r="C19" s="51" t="inlineStr">
        <is>
          <t>C-01</t>
        </is>
      </c>
      <c r="D19" s="51" t="inlineStr">
        <is>
          <t>2026-09-23</t>
        </is>
      </c>
      <c r="E19" s="56" t="inlineStr">
        <is>
          <t>—（本輪由檢驗方發現）</t>
        </is>
      </c>
      <c r="F19" s="56" t="inlineStr">
        <is>
          <t>—</t>
        </is>
      </c>
      <c r="G19" s="56" t="inlineStr">
        <is>
          <t>—</t>
        </is>
      </c>
      <c r="H19" s="56" t="inlineStr">
        <is>
          <t>—</t>
        </is>
      </c>
      <c r="I19" s="56" t="inlineStr">
        <is>
          <t>—</t>
        </is>
      </c>
      <c r="J19" s="56" t="inlineStr">
        <is>
          <t>—</t>
        </is>
      </c>
      <c r="K19" s="56" t="inlineStr">
        <is>
          <t>—</t>
        </is>
      </c>
      <c r="L19" s="56" t="inlineStr">
        <is>
          <t>—</t>
        </is>
      </c>
      <c r="M19" s="57" t="inlineStr">
        <is>
          <t>真實瀏覽器按「重新偵測」，讀 toast（MutationObserver 紀錄）、狀態列文字與 API 回應全文；搜尋頁面上是否有 tooltip 或展開明細</t>
        </is>
      </c>
      <c r="N19" s="57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57" t="inlineStr">
        <is>
          <t>refreshed="14 檔事件已更新，1 檔失敗"；無代號、無原因</t>
        </is>
      </c>
      <c r="P19" s="57" t="inlineStr">
        <is>
          <t>FAIL</t>
        </is>
      </c>
      <c r="Q19" s="57" t="inlineStr">
        <is>
          <t>開 DEF-015；對照 dividends_daily 的訊息會列出失敗代號（「failed: SPCX, TSLA」），兩條路徑口徑不一致</t>
        </is>
      </c>
      <c r="R19" s="57" t="inlineStr">
        <is>
          <t>檢驗方 2026-09-23</t>
        </is>
      </c>
    </row>
    <row r="20" ht="15" customHeight="1" s="34">
      <c r="A20" s="51" t="inlineStr">
        <is>
          <t>R1</t>
        </is>
      </c>
      <c r="B20" s="51" t="inlineStr">
        <is>
          <t>DEF-016</t>
        </is>
      </c>
      <c r="C20" s="51" t="inlineStr">
        <is>
          <t>C-02</t>
        </is>
      </c>
      <c r="D20" s="51" t="inlineStr">
        <is>
          <t>2026-09-23</t>
        </is>
      </c>
      <c r="E20" s="56" t="inlineStr">
        <is>
          <t>—（本輪由檢驗方發現）</t>
        </is>
      </c>
      <c r="F20" s="56" t="inlineStr">
        <is>
          <t>—</t>
        </is>
      </c>
      <c r="G20" s="56" t="inlineStr">
        <is>
          <t>—</t>
        </is>
      </c>
      <c r="H20" s="56" t="inlineStr">
        <is>
          <t>—</t>
        </is>
      </c>
      <c r="I20" s="56" t="inlineStr">
        <is>
          <t>—</t>
        </is>
      </c>
      <c r="J20" s="56" t="inlineStr">
        <is>
          <t>—</t>
        </is>
      </c>
      <c r="K20" s="56" t="inlineStr">
        <is>
          <t>—</t>
        </is>
      </c>
      <c r="L20" s="56" t="inlineStr">
        <is>
          <t>—</t>
        </is>
      </c>
      <c r="M20" s="57" t="inlineStr">
        <is>
          <t>確認前後各讀一次 /api/dashboard kpis 與 trend、/api/cash 與對帳單；再對照 portfolio_dash/portfolio/returns.py xirr_reporting 的現金流組法</t>
        </is>
      </c>
      <c r="N20" s="57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57" t="inlineStr">
        <is>
          <t>xirr 差 +0.0100；該現金流日期晚於估值日 15 天</t>
        </is>
      </c>
      <c r="P20" s="57" t="inlineStr">
        <is>
          <t>待裁定</t>
        </is>
      </c>
      <c r="Q20" s="57" t="inlineStr">
        <is>
          <t>開 DEF-016；同類：總報酬已即時認列這筆股利（調整成本已沖減），現金池要到 10-08 才入帳，三個口徑（損益／現金／XIRR）請一併定義</t>
        </is>
      </c>
      <c r="R20" s="57" t="inlineStr">
        <is>
          <t>檢驗方 2026-09-23</t>
        </is>
      </c>
    </row>
    <row r="21" ht="15" customHeight="1" s="34">
      <c r="A21" s="51" t="inlineStr">
        <is>
          <t>R1</t>
        </is>
      </c>
      <c r="B21" s="51" t="inlineStr">
        <is>
          <t>DEF-017</t>
        </is>
      </c>
      <c r="C21" s="51" t="inlineStr">
        <is>
          <t>C-04</t>
        </is>
      </c>
      <c r="D21" s="51" t="inlineStr">
        <is>
          <t>2026-09-23</t>
        </is>
      </c>
      <c r="E21" s="56" t="inlineStr">
        <is>
          <t>—（本輪由檢驗方發現）</t>
        </is>
      </c>
      <c r="F21" s="56" t="inlineStr">
        <is>
          <t>—</t>
        </is>
      </c>
      <c r="G21" s="56" t="inlineStr">
        <is>
          <t>—</t>
        </is>
      </c>
      <c r="H21" s="56" t="inlineStr">
        <is>
          <t>—</t>
        </is>
      </c>
      <c r="I21" s="56" t="inlineStr">
        <is>
          <t>—</t>
        </is>
      </c>
      <c r="J21" s="56" t="inlineStr">
        <is>
          <t>—</t>
        </is>
      </c>
      <c r="K21" s="56" t="inlineStr">
        <is>
          <t>—</t>
        </is>
      </c>
      <c r="L21" s="56" t="inlineStr">
        <is>
          <t>—</t>
        </is>
      </c>
      <c r="M21" s="57" t="inlineStr">
        <is>
          <t>真實瀏覽器股利表單寫入，記錄網路請求；刪除後讀 /api/import/batches 與畫面「最近匯入」；再以批次復原清除</t>
        </is>
      </c>
      <c r="N21" s="57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57" t="inlineStr">
        <is>
          <t>寫入後 batches 0→1；刪帳本列後仍 1；批次復原 deleted:0 後 0</t>
        </is>
      </c>
      <c r="P21" s="57" t="inlineStr">
        <is>
          <t>FAIL</t>
        </is>
      </c>
      <c r="Q21" s="57" t="inlineStr">
        <is>
          <t>開 DEF-017；同類：期初庫存表單等其他「手動」表單是否也走匯入管線</t>
        </is>
      </c>
      <c r="R21" s="57" t="inlineStr">
        <is>
          <t>檢驗方 2026-09-23</t>
        </is>
      </c>
    </row>
    <row r="22" ht="15" customHeight="1" s="34">
      <c r="A22" s="51" t="inlineStr">
        <is>
          <t>R1</t>
        </is>
      </c>
      <c r="B22" s="51" t="inlineStr">
        <is>
          <t>DEF-018</t>
        </is>
      </c>
      <c r="C22" s="51" t="inlineStr">
        <is>
          <t>C-04b</t>
        </is>
      </c>
      <c r="D22" s="51" t="inlineStr">
        <is>
          <t>2026-09-23</t>
        </is>
      </c>
      <c r="E22" s="56" t="inlineStr">
        <is>
          <t>—（本輪由檢驗方發現）</t>
        </is>
      </c>
      <c r="F22" s="56" t="inlineStr">
        <is>
          <t>—</t>
        </is>
      </c>
      <c r="G22" s="56" t="inlineStr">
        <is>
          <t>—</t>
        </is>
      </c>
      <c r="H22" s="56" t="inlineStr">
        <is>
          <t>—</t>
        </is>
      </c>
      <c r="I22" s="56" t="inlineStr">
        <is>
          <t>—</t>
        </is>
      </c>
      <c r="J22" s="56" t="inlineStr">
        <is>
          <t>—</t>
        </is>
      </c>
      <c r="K22" s="56" t="inlineStr">
        <is>
          <t>—</t>
        </is>
      </c>
      <c r="L22" s="56" t="inlineStr">
        <is>
          <t>—</t>
        </is>
      </c>
      <c r="M22" s="57" t="inlineStr">
        <is>
          <t>真實瀏覽器股利表單寫入，前後讀 /api/dashboard holdings 與 /api/cash；讀表單「套用模式」說明</t>
        </is>
      </c>
      <c r="N22" s="57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57" t="inlineStr">
        <is>
          <t>shares +0.028；original_cost 13,515→13,515；USD 池 0；total_return +296.74 TWD</t>
        </is>
      </c>
      <c r="P22" s="57" t="inlineStr">
        <is>
          <t>待裁定</t>
        </is>
      </c>
      <c r="Q22" s="57" t="inlineStr">
        <is>
          <t>開 DEF-018；若維持 $0 成本模型，請同步修訂手冊 C-04b 期望；若改為計入成本，影響既有 DRIP 列與稅務包</t>
        </is>
      </c>
      <c r="R22" s="57" t="inlineStr">
        <is>
          <t>檢驗方 2026-09-23</t>
        </is>
      </c>
    </row>
    <row r="23" ht="15" customHeight="1" s="34">
      <c r="A23" s="51" t="inlineStr">
        <is>
          <t>R1</t>
        </is>
      </c>
      <c r="B23" s="51" t="inlineStr">
        <is>
          <t>DEF-019</t>
        </is>
      </c>
      <c r="C23" s="51" t="inlineStr">
        <is>
          <t>C-04b／C-05</t>
        </is>
      </c>
      <c r="D23" s="51" t="inlineStr">
        <is>
          <t>2026-09-23</t>
        </is>
      </c>
      <c r="E23" s="56" t="inlineStr">
        <is>
          <t>—（本輪由檢驗方發現）</t>
        </is>
      </c>
      <c r="F23" s="56" t="inlineStr">
        <is>
          <t>—</t>
        </is>
      </c>
      <c r="G23" s="56" t="inlineStr">
        <is>
          <t>—</t>
        </is>
      </c>
      <c r="H23" s="56" t="inlineStr">
        <is>
          <t>—</t>
        </is>
      </c>
      <c r="I23" s="56" t="inlineStr">
        <is>
          <t>—</t>
        </is>
      </c>
      <c r="J23" s="56" t="inlineStr">
        <is>
          <t>—</t>
        </is>
      </c>
      <c r="K23" s="56" t="inlineStr">
        <is>
          <t>—</t>
        </is>
      </c>
      <c r="L23" s="56" t="inlineStr">
        <is>
          <t>—</t>
        </is>
      </c>
      <c r="M23" s="57" t="inlineStr">
        <is>
          <t>真實瀏覽器，復原後讀 .sym-picker 按鈕文字，並同時讀 /api/input/holdings、/api/dashboard 對照；記錄復原後前端重新抓取的端點</t>
        </is>
      </c>
      <c r="N23" s="57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57" t="inlineStr">
        <is>
          <t>復原後挑選清單 85.067255／158.87（應 85.039255／158.93）；重新整理頁面後正確</t>
        </is>
      </c>
      <c r="P23" s="57" t="inlineStr">
        <is>
          <t>FAIL</t>
        </is>
      </c>
      <c r="Q23" s="57" t="inlineStr">
        <is>
          <t>開 DEF-019</t>
        </is>
      </c>
      <c r="R23" s="57" t="inlineStr">
        <is>
          <t>檢驗方 2026-09-23</t>
        </is>
      </c>
    </row>
    <row r="24" ht="15" customHeight="1" s="34">
      <c r="A24" s="51" t="inlineStr">
        <is>
          <t>R1</t>
        </is>
      </c>
      <c r="B24" s="51" t="inlineStr">
        <is>
          <t>DEF-020</t>
        </is>
      </c>
      <c r="C24" s="51" t="inlineStr">
        <is>
          <t>D-10</t>
        </is>
      </c>
      <c r="D24" s="51" t="inlineStr">
        <is>
          <t>2026-09-23</t>
        </is>
      </c>
      <c r="E24" s="56" t="inlineStr">
        <is>
          <t>—（本輪由檢驗方發現）</t>
        </is>
      </c>
      <c r="F24" s="56" t="inlineStr">
        <is>
          <t>—</t>
        </is>
      </c>
      <c r="G24" s="56" t="inlineStr">
        <is>
          <t>—</t>
        </is>
      </c>
      <c r="H24" s="56" t="inlineStr">
        <is>
          <t>—</t>
        </is>
      </c>
      <c r="I24" s="56" t="inlineStr">
        <is>
          <t>—</t>
        </is>
      </c>
      <c r="J24" s="56" t="inlineStr">
        <is>
          <t>—</t>
        </is>
      </c>
      <c r="K24" s="56" t="inlineStr">
        <is>
          <t>—</t>
        </is>
      </c>
      <c r="L24" s="56" t="inlineStr">
        <is>
          <t>—</t>
        </is>
      </c>
      <c r="M24" s="57" t="inlineStr">
        <is>
          <t>真實瀏覽器登錄→刪除，前後以 /api/cash、/api/ledgers/cash 與四段 JSON 比對（持倉還原、現金未還原）</t>
        </is>
      </c>
      <c r="N24" s="57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57" t="inlineStr">
        <is>
          <t>刪行動後 TWD 池 6,067,545（應 6,067,595），出金 #46 殘留</t>
        </is>
      </c>
      <c r="P24" s="57" t="inlineStr">
        <is>
          <t>FAIL</t>
        </is>
      </c>
      <c r="Q24" s="57" t="inlineStr">
        <is>
          <t>開 DEF-020；D-07（EXCHANGE 2 換 1、重組費 30）已再現：刪除行動 id 9 後出金 #47 殘留。編輯行動改費用時是否同步未測</t>
        </is>
      </c>
      <c r="R24" s="57" t="inlineStr">
        <is>
          <t>檢驗方 2026-09-23</t>
        </is>
      </c>
    </row>
    <row r="25" ht="15" customHeight="1" s="34">
      <c r="A25" s="51" t="inlineStr">
        <is>
          <t>R1</t>
        </is>
      </c>
      <c r="B25" s="51" t="inlineStr">
        <is>
          <t>DEF-021</t>
        </is>
      </c>
      <c r="C25" s="51" t="inlineStr">
        <is>
          <t>D-10</t>
        </is>
      </c>
      <c r="D25" s="51" t="inlineStr">
        <is>
          <t>2026-09-23</t>
        </is>
      </c>
      <c r="E25" s="56" t="inlineStr">
        <is>
          <t>—（本輪由檢驗方發現）</t>
        </is>
      </c>
      <c r="F25" s="56" t="inlineStr">
        <is>
          <t>—</t>
        </is>
      </c>
      <c r="G25" s="56" t="inlineStr">
        <is>
          <t>—</t>
        </is>
      </c>
      <c r="H25" s="56" t="inlineStr">
        <is>
          <t>—</t>
        </is>
      </c>
      <c r="I25" s="56" t="inlineStr">
        <is>
          <t>—</t>
        </is>
      </c>
      <c r="J25" s="56" t="inlineStr">
        <is>
          <t>—</t>
        </is>
      </c>
      <c r="K25" s="56" t="inlineStr">
        <is>
          <t>—</t>
        </is>
      </c>
      <c r="L25" s="56" t="inlineStr">
        <is>
          <t>—</t>
        </is>
      </c>
      <c r="M25" s="57" t="inlineStr">
        <is>
          <t>真實瀏覽器登錄→刪除；前後以 /api/instruments 列表與四段 JSON 比對（持倉／成本／現金還原，目標價未還原）</t>
        </is>
      </c>
      <c r="N25" s="57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57" t="inlineStr">
        <is>
          <t>刪除換股後 2882 目標價 40／55 殘留、2884 目標價消失（應為 2884＝40／55、2882＝空）</t>
        </is>
      </c>
      <c r="P25" s="57" t="inlineStr">
        <is>
          <t>FAIL</t>
        </is>
      </c>
      <c r="Q25" s="57" t="inlineStr">
        <is>
          <t>開 DEF-021；若 owner 維持「不可逆」設計，至少要在試算提示與刪除確認框說明；是否改為可逆請 owner 裁定</t>
        </is>
      </c>
      <c r="R25" s="57" t="inlineStr">
        <is>
          <t>檢驗方 2026-09-23</t>
        </is>
      </c>
    </row>
    <row r="26" ht="15" customHeight="1" s="34">
      <c r="A26" s="51" t="inlineStr">
        <is>
          <t>R1</t>
        </is>
      </c>
      <c r="B26" s="51" t="inlineStr">
        <is>
          <t>DEF-022</t>
        </is>
      </c>
      <c r="C26" s="51" t="inlineStr">
        <is>
          <t>D-11</t>
        </is>
      </c>
      <c r="D26" s="51" t="inlineStr">
        <is>
          <t>2026-09-23</t>
        </is>
      </c>
      <c r="E26" s="56" t="inlineStr">
        <is>
          <t>—（本輪由檢驗方發現）</t>
        </is>
      </c>
      <c r="F26" s="56" t="inlineStr">
        <is>
          <t>—</t>
        </is>
      </c>
      <c r="G26" s="56" t="inlineStr">
        <is>
          <t>—</t>
        </is>
      </c>
      <c r="H26" s="56" t="inlineStr">
        <is>
          <t>—</t>
        </is>
      </c>
      <c r="I26" s="56" t="inlineStr">
        <is>
          <t>—</t>
        </is>
      </c>
      <c r="J26" s="56" t="inlineStr">
        <is>
          <t>—</t>
        </is>
      </c>
      <c r="K26" s="56" t="inlineStr">
        <is>
          <t>—</t>
        </is>
      </c>
      <c r="L26" s="56" t="inlineStr">
        <is>
          <t>—</t>
        </is>
      </c>
      <c r="M26" s="57" t="inlineStr">
        <is>
          <t>真實瀏覽器操作，比對瀏覽器本地時間（Wed Sep 23 2026 04:40 GMT+0800）與 API 回應的 set_at；以原始碼確認時區</t>
        </is>
      </c>
      <c r="N26" s="57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57" t="inlineStr">
        <is>
          <t>台北 9/23 設定的目標價被記為 2026-09-22；同日分割誤報「早於這筆分割」</t>
        </is>
      </c>
      <c r="P26" s="57" t="inlineStr">
        <is>
          <t>FAIL</t>
        </is>
      </c>
      <c r="Q26" s="57" t="inlineStr">
        <is>
          <t>開 DEF-022；其他以 datetime.now(UTC).date() 產生「業務日期」的地方未逐一清查</t>
        </is>
      </c>
      <c r="R26" s="57" t="inlineStr">
        <is>
          <t>檢驗方 2026-09-23</t>
        </is>
      </c>
    </row>
    <row r="27" ht="15" customHeight="1" s="34">
      <c r="A27" s="51" t="inlineStr">
        <is>
          <t>R1</t>
        </is>
      </c>
      <c r="B27" s="51" t="inlineStr">
        <is>
          <t>DEF-023</t>
        </is>
      </c>
      <c r="C27" s="51" t="inlineStr">
        <is>
          <t>D-11</t>
        </is>
      </c>
      <c r="D27" s="51" t="inlineStr">
        <is>
          <t>2026-09-23</t>
        </is>
      </c>
      <c r="E27" s="56" t="inlineStr">
        <is>
          <t>—（本輪由檢驗方發現）</t>
        </is>
      </c>
      <c r="F27" s="56" t="inlineStr">
        <is>
          <t>—</t>
        </is>
      </c>
      <c r="G27" s="56" t="inlineStr">
        <is>
          <t>—</t>
        </is>
      </c>
      <c r="H27" s="56" t="inlineStr">
        <is>
          <t>—</t>
        </is>
      </c>
      <c r="I27" s="56" t="inlineStr">
        <is>
          <t>—</t>
        </is>
      </c>
      <c r="J27" s="56" t="inlineStr">
        <is>
          <t>—</t>
        </is>
      </c>
      <c r="K27" s="56" t="inlineStr">
        <is>
          <t>—</t>
        </is>
      </c>
      <c r="L27" s="56" t="inlineStr">
        <is>
          <t>—</t>
        </is>
      </c>
      <c r="M27" s="57" t="inlineStr">
        <is>
          <t>真實瀏覽器製造情境，讀 /api/dashboard.unapplied_actions、儀表板 DOM（含 title 屬性）、公司行動帳本列與個股抽屜</t>
        </is>
      </c>
      <c r="N27" s="57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57" t="inlineStr">
        <is>
          <t>有未套用行動時儀表板無入口；原因句顯示 tw_broker</t>
        </is>
      </c>
      <c r="P27" s="57" t="inlineStr">
        <is>
          <t>FAIL</t>
        </is>
      </c>
      <c r="Q27" s="57" t="inlineStr">
        <is>
          <t>開 DEF-023；刪除交易會讓既有公司行動失去依據時，刪除確認框是否該先警告（目前直接刪除）</t>
        </is>
      </c>
      <c r="R27" s="57" t="inlineStr">
        <is>
          <t>檢驗方 2026-09-23</t>
        </is>
      </c>
    </row>
    <row r="28" ht="15" customHeight="1" s="34">
      <c r="A28" s="51" t="inlineStr">
        <is>
          <t>R1</t>
        </is>
      </c>
      <c r="B28" s="51" t="inlineStr">
        <is>
          <t>DEF-024</t>
        </is>
      </c>
      <c r="C28" s="51" t="inlineStr">
        <is>
          <t>I-06</t>
        </is>
      </c>
      <c r="D28" s="51" t="inlineStr">
        <is>
          <t>2026-09-23</t>
        </is>
      </c>
      <c r="E28" s="56" t="inlineStr">
        <is>
          <t>—（本輪由檢驗方發現）</t>
        </is>
      </c>
      <c r="F28" s="56" t="inlineStr">
        <is>
          <t>—</t>
        </is>
      </c>
      <c r="G28" s="56" t="inlineStr">
        <is>
          <t>—</t>
        </is>
      </c>
      <c r="H28" s="56" t="inlineStr">
        <is>
          <t>—</t>
        </is>
      </c>
      <c r="I28" s="56" t="inlineStr">
        <is>
          <t>—</t>
        </is>
      </c>
      <c r="J28" s="56" t="inlineStr">
        <is>
          <t>—</t>
        </is>
      </c>
      <c r="K28" s="56" t="inlineStr">
        <is>
          <t>—</t>
        </is>
      </c>
      <c r="L28" s="56" t="inlineStr">
        <is>
          <t>—</t>
        </is>
      </c>
      <c r="M28" s="57" t="inlineStr">
        <is>
          <t>真實瀏覽器貼上 CSV → 讀 /api/import/preview 與 /api/import/commit 原始回應；每次寫入後以六段 JSON＋計數比對確認帳本未變</t>
        </is>
      </c>
      <c r="N28" s="57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57" t="inlineStr">
        <is>
          <t>預覽「✓ 可寫入」→ 寫入 0 筆，被勾選的列只顯示「跳過」；賣超訊息的持股數含錯誤列（200.5）</t>
        </is>
      </c>
      <c r="P28" s="57" t="inlineStr">
        <is>
          <t>FAIL</t>
        </is>
      </c>
      <c r="Q28" s="57" t="inlineStr">
        <is>
          <t>開 DEF-024；其他「一定寫不進去」但不在 structural 名單的錯誤（例如日期早於期初、帳戶市場不符）是否也被算進批次持股，未逐一測</t>
        </is>
      </c>
      <c r="R28" s="57" t="inlineStr">
        <is>
          <t>檢驗方 2026-09-23</t>
        </is>
      </c>
    </row>
    <row r="29" ht="15" customHeight="1" s="34">
      <c r="A29" s="51" t="inlineStr">
        <is>
          <t>R1</t>
        </is>
      </c>
      <c r="B29" s="51" t="inlineStr">
        <is>
          <t>DEF-025</t>
        </is>
      </c>
      <c r="C29" s="51" t="inlineStr">
        <is>
          <t>I-06</t>
        </is>
      </c>
      <c r="D29" s="51" t="inlineStr">
        <is>
          <t>2026-09-23</t>
        </is>
      </c>
      <c r="E29" s="56" t="inlineStr">
        <is>
          <t>—（本輪由檢驗方發現）</t>
        </is>
      </c>
      <c r="F29" s="56" t="inlineStr">
        <is>
          <t>—</t>
        </is>
      </c>
      <c r="G29" s="56" t="inlineStr">
        <is>
          <t>—</t>
        </is>
      </c>
      <c r="H29" s="56" t="inlineStr">
        <is>
          <t>—</t>
        </is>
      </c>
      <c r="I29" s="56" t="inlineStr">
        <is>
          <t>—</t>
        </is>
      </c>
      <c r="J29" s="56" t="inlineStr">
        <is>
          <t>—</t>
        </is>
      </c>
      <c r="K29" s="56" t="inlineStr">
        <is>
          <t>—</t>
        </is>
      </c>
      <c r="L29" s="56" t="inlineStr">
        <is>
          <t>—</t>
        </is>
      </c>
      <c r="M29" s="57" t="inlineStr">
        <is>
          <t>真實瀏覽器；讀 preview／commit 回應與對話框文字；與 B-11 手動賣超的確認流程對照</t>
        </is>
      </c>
      <c r="N29" s="57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57" t="inlineStr">
        <is>
          <t>賣超列可經一次通用確認寫入</t>
        </is>
      </c>
      <c r="P29" s="57" t="inlineStr">
        <is>
          <t>待裁定</t>
        </is>
      </c>
      <c r="Q29" s="57" t="inlineStr">
        <is>
          <t>開 DEF-025；若維持可寫入：確認框至少要點名是哪幾列、說明成本基礎歸零的後果，且預設不勾選</t>
        </is>
      </c>
      <c r="R29" s="57" t="inlineStr">
        <is>
          <t>檢驗方 2026-09-23</t>
        </is>
      </c>
    </row>
    <row r="30" ht="15" customHeight="1" s="34">
      <c r="A30" s="51" t="inlineStr">
        <is>
          <t>R1</t>
        </is>
      </c>
      <c r="B30" s="51" t="inlineStr">
        <is>
          <t>DEF-026</t>
        </is>
      </c>
      <c r="C30" s="51" t="inlineStr">
        <is>
          <t>I-13</t>
        </is>
      </c>
      <c r="D30" s="51" t="inlineStr">
        <is>
          <t>2026-09-23</t>
        </is>
      </c>
      <c r="E30" s="56" t="inlineStr">
        <is>
          <t>—（本輪由檢驗方發現）</t>
        </is>
      </c>
      <c r="F30" s="56" t="inlineStr">
        <is>
          <t>—</t>
        </is>
      </c>
      <c r="G30" s="56" t="inlineStr">
        <is>
          <t>—</t>
        </is>
      </c>
      <c r="H30" s="56" t="inlineStr">
        <is>
          <t>—</t>
        </is>
      </c>
      <c r="I30" s="56" t="inlineStr">
        <is>
          <t>—</t>
        </is>
      </c>
      <c r="J30" s="56" t="inlineStr">
        <is>
          <t>—</t>
        </is>
      </c>
      <c r="K30" s="56" t="inlineStr">
        <is>
          <t>—</t>
        </is>
      </c>
      <c r="L30" s="56" t="inlineStr">
        <is>
          <t>—</t>
        </is>
      </c>
      <c r="M30" s="57" t="inlineStr">
        <is>
          <t>真實瀏覽器匯出→貼上預覽；人工改表頭後寫入 2 列，再以匯出檔比對新舊列，最後批次復原並逐位元比對</t>
        </is>
      </c>
      <c r="N30" s="57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57" t="inlineStr">
        <is>
          <t>原樣匯回 0/56 列可寫入；改表頭後 fee_rule_snapshot 遺失</t>
        </is>
      </c>
      <c r="P30" s="57" t="inlineStr">
        <is>
          <t>FAIL</t>
        </is>
      </c>
      <c r="Q30" s="57" t="inlineStr">
        <is>
          <t>開 DEF-026；股利／換匯／期初／公司行動／資金 5 類帳本的匯出→匯回未逐一測（公司行動匯出欄為 ratio_to／ratio_from／from_symbol，推測同類）</t>
        </is>
      </c>
      <c r="R30" s="57" t="inlineStr">
        <is>
          <t>檢驗方 2026-09-23</t>
        </is>
      </c>
    </row>
    <row r="31" ht="15" customHeight="1" s="34">
      <c r="A31" s="51" t="inlineStr">
        <is>
          <t>R1</t>
        </is>
      </c>
      <c r="B31" s="51" t="inlineStr">
        <is>
          <t>DEF-027</t>
        </is>
      </c>
      <c r="C31" s="51" t="inlineStr">
        <is>
          <t>I-10</t>
        </is>
      </c>
      <c r="D31" s="51" t="inlineStr">
        <is>
          <t>2026-09-23</t>
        </is>
      </c>
      <c r="E31" s="56" t="inlineStr">
        <is>
          <t>—（本輪由檢驗方發現）</t>
        </is>
      </c>
      <c r="F31" s="56" t="inlineStr">
        <is>
          <t>—</t>
        </is>
      </c>
      <c r="G31" s="56" t="inlineStr">
        <is>
          <t>—</t>
        </is>
      </c>
      <c r="H31" s="56" t="inlineStr">
        <is>
          <t>—</t>
        </is>
      </c>
      <c r="I31" s="56" t="inlineStr">
        <is>
          <t>—</t>
        </is>
      </c>
      <c r="J31" s="56" t="inlineStr">
        <is>
          <t>—</t>
        </is>
      </c>
      <c r="K31" s="56" t="inlineStr">
        <is>
          <t>—</t>
        </is>
      </c>
      <c r="L31" s="56" t="inlineStr">
        <is>
          <t>—</t>
        </is>
      </c>
      <c r="M31" s="57" t="inlineStr">
        <is>
          <t>真實瀏覽器上傳檔案→全部寫入；讀 /api/import/commit 請求本文與 /api/dashboard；之後以最近匯入 › 復原（批次 8）並逐位元比對</t>
        </is>
      </c>
      <c r="N31" s="57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57" t="inlineStr">
        <is>
          <t>賣超列被自動確認寫入：AAPL −914.96 股、成本 0、XIRR 空白</t>
        </is>
      </c>
      <c r="P31" s="57" t="inlineStr">
        <is>
          <t>FAIL</t>
        </is>
      </c>
      <c r="Q31" s="57" t="inlineStr">
        <is>
          <t>開 DEF-027；同一機制對其他 needs_confirm 類警告（重複交易、日期早於期初等）也一律自動確認，未逐一測</t>
        </is>
      </c>
      <c r="R31" s="57" t="inlineStr">
        <is>
          <t>檢驗方 2026-09-23</t>
        </is>
      </c>
    </row>
    <row r="32" ht="15" customHeight="1" s="34">
      <c r="A32" s="51" t="inlineStr">
        <is>
          <t>R1</t>
        </is>
      </c>
      <c r="B32" s="51" t="inlineStr">
        <is>
          <t>DEF-028</t>
        </is>
      </c>
      <c r="C32" s="51" t="inlineStr">
        <is>
          <t>I-10</t>
        </is>
      </c>
      <c r="D32" s="51" t="inlineStr">
        <is>
          <t>2026-09-23</t>
        </is>
      </c>
      <c r="E32" s="56" t="inlineStr">
        <is>
          <t>—（本輪由檢驗方發現）</t>
        </is>
      </c>
      <c r="F32" s="56" t="inlineStr">
        <is>
          <t>—</t>
        </is>
      </c>
      <c r="G32" s="56" t="inlineStr">
        <is>
          <t>—</t>
        </is>
      </c>
      <c r="H32" s="56" t="inlineStr">
        <is>
          <t>—</t>
        </is>
      </c>
      <c r="I32" s="56" t="inlineStr">
        <is>
          <t>—</t>
        </is>
      </c>
      <c r="J32" s="56" t="inlineStr">
        <is>
          <t>—</t>
        </is>
      </c>
      <c r="K32" s="56" t="inlineStr">
        <is>
          <t>—</t>
        </is>
      </c>
      <c r="L32" s="56" t="inlineStr">
        <is>
          <t>—</t>
        </is>
      </c>
      <c r="M32" s="57" t="inlineStr">
        <is>
          <t>真實瀏覽器上傳，搜尋整頁 DOM（含隱藏元素）是否出現轉出列內容（例如代號 ALFA）；對照 /api/broker/convert 回應</t>
        </is>
      </c>
      <c r="N32" s="57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57" t="inlineStr">
        <is>
          <t>轉換報告只有筆數，無逐列明細</t>
        </is>
      </c>
      <c r="P32" s="57" t="inlineStr">
        <is>
          <t>FAIL</t>
        </is>
      </c>
      <c r="Q32" s="57" t="inlineStr">
        <is>
          <t>開 DEF-028</t>
        </is>
      </c>
      <c r="R32" s="57" t="inlineStr">
        <is>
          <t>檢驗方 2026-09-23</t>
        </is>
      </c>
    </row>
    <row r="33" ht="15" customHeight="1" s="34">
      <c r="A33" s="51" t="inlineStr">
        <is>
          <t>R1</t>
        </is>
      </c>
      <c r="B33" s="51" t="inlineStr">
        <is>
          <t>DEF-029</t>
        </is>
      </c>
      <c r="C33" s="51" t="inlineStr">
        <is>
          <t>I-11</t>
        </is>
      </c>
      <c r="D33" s="51" t="inlineStr">
        <is>
          <t>2026-09-23</t>
        </is>
      </c>
      <c r="E33" s="56" t="inlineStr">
        <is>
          <t>—（本輪由檢驗方發現）</t>
        </is>
      </c>
      <c r="F33" s="56" t="inlineStr">
        <is>
          <t>—</t>
        </is>
      </c>
      <c r="G33" s="56" t="inlineStr">
        <is>
          <t>—</t>
        </is>
      </c>
      <c r="H33" s="56" t="inlineStr">
        <is>
          <t>—</t>
        </is>
      </c>
      <c r="I33" s="56" t="inlineStr">
        <is>
          <t>—</t>
        </is>
      </c>
      <c r="J33" s="56" t="inlineStr">
        <is>
          <t>—</t>
        </is>
      </c>
      <c r="K33" s="56" t="inlineStr">
        <is>
          <t>—</t>
        </is>
      </c>
      <c r="L33" s="56" t="inlineStr">
        <is>
          <t>—</t>
        </is>
      </c>
      <c r="M33" s="57" t="inlineStr">
        <is>
          <t>真實瀏覽器；讀 /api/broker/convert 請求與回應（blocking／advisory 皆為空）；寫入後以批次復原並逐位元比對</t>
        </is>
      </c>
      <c r="N33" s="57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57" t="inlineStr">
        <is>
          <t>嘉信對帳單寫進 Moomoo MY 帳戶無任何警告</t>
        </is>
      </c>
      <c r="P33" s="57" t="inlineStr">
        <is>
          <t>FAIL</t>
        </is>
      </c>
      <c r="Q33" s="57" t="inlineStr">
        <is>
          <t>開 DEF-029；帳戶是否該記錄所屬券商（目前 account 與 broker 沒有對應欄位）由 owner 決定</t>
        </is>
      </c>
      <c r="R33" s="57" t="inlineStr">
        <is>
          <t>檢驗方 2026-09-23</t>
        </is>
      </c>
    </row>
    <row r="34" ht="15" customHeight="1" s="34">
      <c r="A34" s="51" t="inlineStr">
        <is>
          <t>R1</t>
        </is>
      </c>
      <c r="B34" s="51" t="inlineStr">
        <is>
          <t>DEF-030</t>
        </is>
      </c>
      <c r="C34" s="51" t="inlineStr">
        <is>
          <t>H-04</t>
        </is>
      </c>
      <c r="D34" s="51" t="inlineStr">
        <is>
          <t>2026-09-23</t>
        </is>
      </c>
      <c r="E34" s="56" t="inlineStr">
        <is>
          <t>—（本輪由檢驗方發現）</t>
        </is>
      </c>
      <c r="F34" s="56" t="inlineStr">
        <is>
          <t>—</t>
        </is>
      </c>
      <c r="G34" s="56" t="inlineStr">
        <is>
          <t>—</t>
        </is>
      </c>
      <c r="H34" s="56" t="inlineStr">
        <is>
          <t>—</t>
        </is>
      </c>
      <c r="I34" s="56" t="inlineStr">
        <is>
          <t>—</t>
        </is>
      </c>
      <c r="J34" s="56" t="inlineStr">
        <is>
          <t>—</t>
        </is>
      </c>
      <c r="K34" s="56" t="inlineStr">
        <is>
          <t>—</t>
        </is>
      </c>
      <c r="L34" s="56" t="inlineStr">
        <is>
          <t>—</t>
        </is>
      </c>
      <c r="M34" s="57" t="inlineStr">
        <is>
          <t>真實瀏覽器按鈕；讀 /api/scheduler/runs 與 /api/scheduler/jobs；對照 AI 洞察 › 產生洞察（POST /api/insight-types/10/run）同一任務可成功（#156）</t>
        </is>
      </c>
      <c r="N34" s="57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57" t="inlineStr">
        <is>
          <t>insight:7／insight:10 立即執行皆失敗（KeyError）</t>
        </is>
      </c>
      <c r="P34" s="57" t="inlineStr">
        <is>
          <t>FAIL</t>
        </is>
      </c>
      <c r="Q34" s="57" t="inlineStr">
        <is>
          <t>開 DEF-030；排程觸發（cron）走 insight runner，demo 排程器關閉未能實測</t>
        </is>
      </c>
      <c r="R34" s="57" t="inlineStr">
        <is>
          <t>檢驗方 2026-09-23</t>
        </is>
      </c>
    </row>
    <row r="35" ht="15" customHeight="1" s="34">
      <c r="A35" s="51" t="inlineStr">
        <is>
          <t>R1</t>
        </is>
      </c>
      <c r="B35" s="51" t="inlineStr">
        <is>
          <t>DEF-031</t>
        </is>
      </c>
      <c r="C35" s="51" t="inlineStr">
        <is>
          <t>H-04／H-05</t>
        </is>
      </c>
      <c r="D35" s="51" t="inlineStr">
        <is>
          <t>2026-09-23</t>
        </is>
      </c>
      <c r="E35" s="56" t="inlineStr">
        <is>
          <t>—（本輪由檢驗方發現）</t>
        </is>
      </c>
      <c r="F35" s="56" t="inlineStr">
        <is>
          <t>—</t>
        </is>
      </c>
      <c r="G35" s="56" t="inlineStr">
        <is>
          <t>—</t>
        </is>
      </c>
      <c r="H35" s="56" t="inlineStr">
        <is>
          <t>—</t>
        </is>
      </c>
      <c r="I35" s="56" t="inlineStr">
        <is>
          <t>—</t>
        </is>
      </c>
      <c r="J35" s="56" t="inlineStr">
        <is>
          <t>—</t>
        </is>
      </c>
      <c r="K35" s="56" t="inlineStr">
        <is>
          <t>—</t>
        </is>
      </c>
      <c r="L35" s="56" t="inlineStr">
        <is>
          <t>—</t>
        </is>
      </c>
      <c r="M35" s="57" t="inlineStr">
        <is>
          <t>真實瀏覽器點擊兩次，攔截網路請求（0 支）與對話框（0 個）；讀原始碼確認</t>
        </is>
      </c>
      <c r="N35" s="57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57" t="inlineStr">
        <is>
          <t>編輯標的無作用</t>
        </is>
      </c>
      <c r="P35" s="57" t="inlineStr">
        <is>
          <t>FAIL</t>
        </is>
      </c>
      <c r="Q35" s="57" t="inlineStr">
        <is>
          <t>開 DEF-031</t>
        </is>
      </c>
      <c r="R35" s="57" t="inlineStr">
        <is>
          <t>檢驗方 2026-09-23</t>
        </is>
      </c>
    </row>
    <row r="36" ht="15" customHeight="1" s="34">
      <c r="A36" s="51" t="inlineStr">
        <is>
          <t>R1</t>
        </is>
      </c>
      <c r="B36" s="51" t="inlineStr">
        <is>
          <t>DEF-032</t>
        </is>
      </c>
      <c r="C36" s="51" t="inlineStr">
        <is>
          <t>H-04</t>
        </is>
      </c>
      <c r="D36" s="51" t="inlineStr">
        <is>
          <t>2026-09-23</t>
        </is>
      </c>
      <c r="E36" s="56" t="inlineStr">
        <is>
          <t>—（本輪由檢驗方發現）</t>
        </is>
      </c>
      <c r="F36" s="56" t="inlineStr">
        <is>
          <t>—</t>
        </is>
      </c>
      <c r="G36" s="56" t="inlineStr">
        <is>
          <t>—</t>
        </is>
      </c>
      <c r="H36" s="56" t="inlineStr">
        <is>
          <t>—</t>
        </is>
      </c>
      <c r="I36" s="56" t="inlineStr">
        <is>
          <t>—</t>
        </is>
      </c>
      <c r="J36" s="56" t="inlineStr">
        <is>
          <t>—</t>
        </is>
      </c>
      <c r="K36" s="56" t="inlineStr">
        <is>
          <t>—</t>
        </is>
      </c>
      <c r="L36" s="56" t="inlineStr">
        <is>
          <t>—</t>
        </is>
      </c>
      <c r="M36" s="57" t="inlineStr">
        <is>
          <t>真實瀏覽器讀精靈文字與勾選框；對照 /api/insight-tasks/status 的 13 檔與 /api/dashboard holdings 14 列</t>
        </is>
      </c>
      <c r="N36" s="57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57" t="inlineStr">
        <is>
          <t>精靈顯示 14 檔／14 卡，實際 13</t>
        </is>
      </c>
      <c r="P36" s="57" t="inlineStr">
        <is>
          <t>FAIL</t>
        </is>
      </c>
      <c r="Q36" s="57" t="inlineStr">
        <is>
          <t>開 DEF-032</t>
        </is>
      </c>
      <c r="R36" s="57" t="inlineStr">
        <is>
          <t>檢驗方 2026-09-23</t>
        </is>
      </c>
    </row>
    <row r="37" ht="15" customHeight="1" s="34">
      <c r="A37" s="51" t="inlineStr">
        <is>
          <t>R1</t>
        </is>
      </c>
      <c r="B37" s="51" t="inlineStr">
        <is>
          <t>DEF-033</t>
        </is>
      </c>
      <c r="C37" s="51" t="inlineStr">
        <is>
          <t>H-03</t>
        </is>
      </c>
      <c r="D37" s="51" t="inlineStr">
        <is>
          <t>2026-09-23</t>
        </is>
      </c>
      <c r="E37" s="56" t="inlineStr">
        <is>
          <t>—（本輪由檢驗方發現）</t>
        </is>
      </c>
      <c r="F37" s="56" t="inlineStr">
        <is>
          <t>—</t>
        </is>
      </c>
      <c r="G37" s="56" t="inlineStr">
        <is>
          <t>—</t>
        </is>
      </c>
      <c r="H37" s="56" t="inlineStr">
        <is>
          <t>—</t>
        </is>
      </c>
      <c r="I37" s="56" t="inlineStr">
        <is>
          <t>—</t>
        </is>
      </c>
      <c r="J37" s="56" t="inlineStr">
        <is>
          <t>—</t>
        </is>
      </c>
      <c r="K37" s="56" t="inlineStr">
        <is>
          <t>—</t>
        </is>
      </c>
      <c r="L37" s="56" t="inlineStr">
        <is>
          <t>—</t>
        </is>
      </c>
      <c r="M37" s="57" t="inlineStr">
        <is>
          <t>真實瀏覽器檢視策略卡所有控制項；讀 API 回應欄位（id, name, body, enabled, archived, created_at, updated_at, scope）</t>
        </is>
      </c>
      <c r="N37" s="57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57" t="inlineStr">
        <is>
          <t>無版本記錄／回復</t>
        </is>
      </c>
      <c r="P37" s="57" t="inlineStr">
        <is>
          <t>待裁定</t>
        </is>
      </c>
      <c r="Q37" s="57" t="inlineStr">
        <is>
          <t>開 DEF-033</t>
        </is>
      </c>
      <c r="R37" s="57" t="inlineStr">
        <is>
          <t>檢驗方 2026-09-23</t>
        </is>
      </c>
    </row>
    <row r="38" ht="15" customHeight="1" s="34">
      <c r="A38" s="51" t="inlineStr">
        <is>
          <t>R1</t>
        </is>
      </c>
      <c r="B38" s="51" t="inlineStr">
        <is>
          <t>DEF-034</t>
        </is>
      </c>
      <c r="C38" s="51" t="inlineStr">
        <is>
          <t>F-03</t>
        </is>
      </c>
      <c r="D38" s="51" t="inlineStr">
        <is>
          <t>2026-09-23</t>
        </is>
      </c>
      <c r="E38" s="56" t="inlineStr">
        <is>
          <t>—（本輪由檢驗方發現）</t>
        </is>
      </c>
      <c r="F38" s="56" t="inlineStr">
        <is>
          <t>—</t>
        </is>
      </c>
      <c r="G38" s="56" t="inlineStr">
        <is>
          <t>—</t>
        </is>
      </c>
      <c r="H38" s="56" t="inlineStr">
        <is>
          <t>—</t>
        </is>
      </c>
      <c r="I38" s="56" t="inlineStr">
        <is>
          <t>—</t>
        </is>
      </c>
      <c r="J38" s="56" t="inlineStr">
        <is>
          <t>—</t>
        </is>
      </c>
      <c r="K38" s="56" t="inlineStr">
        <is>
          <t>—</t>
        </is>
      </c>
      <c r="L38" s="56" t="inlineStr">
        <is>
          <t>—</t>
        </is>
      </c>
      <c r="M38" s="57" t="inlineStr">
        <is>
          <t>真實瀏覽器；一次用座標實點、一次用 DOM click，攔截 PUT 數量與 toast 數量；在乾淨頁面與切換分頁後各對照一次</t>
        </is>
      </c>
      <c r="N38" s="57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57" t="inlineStr">
        <is>
          <t>一次點擊 3 次 PUT／3 個 toast</t>
        </is>
      </c>
      <c r="P38" s="57" t="inlineStr">
        <is>
          <t>FAIL</t>
        </is>
      </c>
      <c r="Q38" s="57" t="inlineStr">
        <is>
          <t>開 DEF-034；同頁其他在 boot() 內綁定的控制項是否同樣累積監聽，未逐一測</t>
        </is>
      </c>
      <c r="R38" s="57" t="inlineStr">
        <is>
          <t>檢驗方 2026-09-23</t>
        </is>
      </c>
    </row>
    <row r="39" ht="15" customHeight="1" s="34">
      <c r="A39" s="51" t="inlineStr">
        <is>
          <t>R1</t>
        </is>
      </c>
      <c r="B39" s="51" t="inlineStr">
        <is>
          <t>DEF-035</t>
        </is>
      </c>
      <c r="C39" s="51" t="inlineStr">
        <is>
          <t>F-04</t>
        </is>
      </c>
      <c r="D39" s="51" t="inlineStr">
        <is>
          <t>2026-09-23</t>
        </is>
      </c>
      <c r="E39" s="56" t="inlineStr">
        <is>
          <t>—（本輪由檢驗方發現）</t>
        </is>
      </c>
      <c r="F39" s="56" t="inlineStr">
        <is>
          <t>—</t>
        </is>
      </c>
      <c r="G39" s="56" t="inlineStr">
        <is>
          <t>—</t>
        </is>
      </c>
      <c r="H39" s="56" t="inlineStr">
        <is>
          <t>—</t>
        </is>
      </c>
      <c r="I39" s="56" t="inlineStr">
        <is>
          <t>—</t>
        </is>
      </c>
      <c r="J39" s="56" t="inlineStr">
        <is>
          <t>—</t>
        </is>
      </c>
      <c r="K39" s="56" t="inlineStr">
        <is>
          <t>—</t>
        </is>
      </c>
      <c r="L39" s="56" t="inlineStr">
        <is>
          <t>—</t>
        </is>
      </c>
      <c r="M39" s="57" t="inlineStr">
        <is>
          <t>真實瀏覽器解析兩次；檢查每個 td 的子元素與 contenteditable，並模擬點擊／雙擊價格格</t>
        </is>
      </c>
      <c r="N39" s="57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57" t="inlineStr">
        <is>
          <t>草稿不可編輯；帳戶顯示原名</t>
        </is>
      </c>
      <c r="P39" s="57" t="inlineStr">
        <is>
          <t>FAIL</t>
        </is>
      </c>
      <c r="Q39" s="57" t="inlineStr">
        <is>
          <t>開 DEF-035；股利／資金等其他 AI 草稿表格（1808、1825 行）同樣以原名輸出</t>
        </is>
      </c>
      <c r="R39" s="57" t="inlineStr">
        <is>
          <t>檢驗方 2026-09-23</t>
        </is>
      </c>
    </row>
    <row r="40" ht="15" customHeight="1" s="34">
      <c r="A40" s="51" t="inlineStr">
        <is>
          <t>R1</t>
        </is>
      </c>
      <c r="B40" s="51" t="inlineStr">
        <is>
          <t>DEF-036</t>
        </is>
      </c>
      <c r="C40" s="51" t="inlineStr">
        <is>
          <t>F-05</t>
        </is>
      </c>
      <c r="D40" s="51" t="inlineStr">
        <is>
          <t>2026-09-23</t>
        </is>
      </c>
      <c r="E40" s="56" t="inlineStr">
        <is>
          <t>—（本輪由檢驗方發現）</t>
        </is>
      </c>
      <c r="F40" s="56" t="inlineStr">
        <is>
          <t>—</t>
        </is>
      </c>
      <c r="G40" s="56" t="inlineStr">
        <is>
          <t>—</t>
        </is>
      </c>
      <c r="H40" s="56" t="inlineStr">
        <is>
          <t>—</t>
        </is>
      </c>
      <c r="I40" s="56" t="inlineStr">
        <is>
          <t>—</t>
        </is>
      </c>
      <c r="J40" s="56" t="inlineStr">
        <is>
          <t>—</t>
        </is>
      </c>
      <c r="K40" s="56" t="inlineStr">
        <is>
          <t>—</t>
        </is>
      </c>
      <c r="L40" s="56" t="inlineStr">
        <is>
          <t>—</t>
        </is>
      </c>
      <c r="M40" s="57" t="inlineStr">
        <is>
          <t>真實瀏覽器解析；讀 POST /api/input/ai/preview 回應 rows[].status／data</t>
        </is>
      </c>
      <c r="N40" s="57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57" t="inlineStr">
        <is>
          <t>矛盾金額未被標示</t>
        </is>
      </c>
      <c r="P40" s="57" t="inlineStr">
        <is>
          <t>FAIL</t>
        </is>
      </c>
      <c r="Q40" s="57" t="inlineStr">
        <is>
          <t>開 DEF-036</t>
        </is>
      </c>
      <c r="R40" s="57" t="inlineStr">
        <is>
          <t>檢驗方 2026-09-23</t>
        </is>
      </c>
    </row>
    <row r="41" ht="15" customHeight="1" s="34">
      <c r="A41" s="51" t="inlineStr">
        <is>
          <t>R1</t>
        </is>
      </c>
      <c r="B41" s="51" t="inlineStr">
        <is>
          <t>DEF-037</t>
        </is>
      </c>
      <c r="C41" s="51" t="inlineStr">
        <is>
          <t>G-09</t>
        </is>
      </c>
      <c r="D41" s="51" t="inlineStr">
        <is>
          <t>2026-09-23</t>
        </is>
      </c>
      <c r="E41" s="56" t="inlineStr">
        <is>
          <t>—（本輪由檢驗方發現）</t>
        </is>
      </c>
      <c r="F41" s="56" t="inlineStr">
        <is>
          <t>—</t>
        </is>
      </c>
      <c r="G41" s="56" t="inlineStr">
        <is>
          <t>—</t>
        </is>
      </c>
      <c r="H41" s="56" t="inlineStr">
        <is>
          <t>—</t>
        </is>
      </c>
      <c r="I41" s="56" t="inlineStr">
        <is>
          <t>—</t>
        </is>
      </c>
      <c r="J41" s="56" t="inlineStr">
        <is>
          <t>—</t>
        </is>
      </c>
      <c r="K41" s="56" t="inlineStr">
        <is>
          <t>—</t>
        </is>
      </c>
      <c r="L41" s="56" t="inlineStr">
        <is>
          <t>—</t>
        </is>
      </c>
      <c r="M41" s="57" t="inlineStr">
        <is>
          <t>真實瀏覽器設定目標價並觸發排程；比對 /api/alerts 36 條預警、/api/scheduler/runs 18 次派發與 /api/insights 17 張新卡</t>
        </is>
      </c>
      <c r="N41" s="57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57" t="inlineStr">
        <is>
          <t>產生 symbol=moomoo_my 的卡；卡片無觸發預警紀錄</t>
        </is>
      </c>
      <c r="P41" s="57" t="inlineStr">
        <is>
          <t>FAIL</t>
        </is>
      </c>
      <c r="Q41" s="57" t="inlineStr">
        <is>
          <t>開 DEF-037；只持有於觀察清單的標的（1234、2308、AMD…）也因 drawdown_from_peak 產生「持倉提點」卡，是否應派發由 owner 決定</t>
        </is>
      </c>
      <c r="R41" s="57" t="inlineStr">
        <is>
          <t>檢驗方 2026-09-23</t>
        </is>
      </c>
    </row>
    <row r="42" ht="15" customHeight="1" s="34">
      <c r="A42" s="51" t="inlineStr">
        <is>
          <t>R1</t>
        </is>
      </c>
      <c r="B42" s="51" t="inlineStr">
        <is>
          <t>DEF-038</t>
        </is>
      </c>
      <c r="C42" s="51" t="inlineStr">
        <is>
          <t>E-01</t>
        </is>
      </c>
      <c r="D42" s="51" t="inlineStr">
        <is>
          <t>2026-09-23</t>
        </is>
      </c>
      <c r="E42" s="56" t="inlineStr">
        <is>
          <t>—（本輪由檢驗方發現）</t>
        </is>
      </c>
      <c r="F42" s="56" t="inlineStr">
        <is>
          <t>—</t>
        </is>
      </c>
      <c r="G42" s="56" t="inlineStr">
        <is>
          <t>—</t>
        </is>
      </c>
      <c r="H42" s="56" t="inlineStr">
        <is>
          <t>—</t>
        </is>
      </c>
      <c r="I42" s="56" t="inlineStr">
        <is>
          <t>—</t>
        </is>
      </c>
      <c r="J42" s="56" t="inlineStr">
        <is>
          <t>—</t>
        </is>
      </c>
      <c r="K42" s="56" t="inlineStr">
        <is>
          <t>—</t>
        </is>
      </c>
      <c r="L42" s="56" t="inlineStr">
        <is>
          <t>—</t>
        </is>
      </c>
      <c r="M42" s="57" t="inlineStr">
        <is>
          <t>真實瀏覽器讀 button.title 與點擊連結後的 URL／可見內容</t>
        </is>
      </c>
      <c r="N42" s="57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57" t="inlineStr">
        <is>
          <t>tooltip 與功能矛盾；連結落點錯誤</t>
        </is>
      </c>
      <c r="P42" s="57" t="inlineStr">
        <is>
          <t>FAIL</t>
        </is>
      </c>
      <c r="Q42" s="57" t="inlineStr">
        <is>
          <t>開 DEF-038</t>
        </is>
      </c>
      <c r="R42" s="57" t="inlineStr">
        <is>
          <t>檢驗方 2026-09-23</t>
        </is>
      </c>
    </row>
    <row r="43" ht="220" customHeight="1" s="34">
      <c r="A43" s="51" t="inlineStr">
        <is>
          <t>R2</t>
        </is>
      </c>
      <c r="B43" s="51" t="inlineStr">
        <is>
          <t>DEF-012</t>
        </is>
      </c>
      <c r="C43" s="51" t="inlineStr">
        <is>
          <t>B-18</t>
        </is>
      </c>
      <c r="D43" s="51" t="inlineStr">
        <is>
          <t>2026-09-23</t>
        </is>
      </c>
      <c r="E43" s="56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56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56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56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56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56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56" t="inlineStr">
        <is>
          <t>e6fd9f4（已部署 demo）</t>
        </is>
      </c>
      <c r="L4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57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57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57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57" t="inlineStr">
        <is>
          <t>複驗通過 → 結案</t>
        </is>
      </c>
      <c r="Q43" s="57" t="inlineStr">
        <is>
          <t>無</t>
        </is>
      </c>
      <c r="R43" s="57" t="inlineStr">
        <is>
          <t>檢驗方 2026-09-24</t>
        </is>
      </c>
    </row>
    <row r="44" ht="220" customHeight="1" s="34">
      <c r="A44" s="51" t="inlineStr">
        <is>
          <t>R2</t>
        </is>
      </c>
      <c r="B44" s="51" t="inlineStr">
        <is>
          <t>DEF-014</t>
        </is>
      </c>
      <c r="C44" s="51" t="inlineStr">
        <is>
          <t>B-17</t>
        </is>
      </c>
      <c r="D44" s="51" t="inlineStr">
        <is>
          <t>2026-09-23</t>
        </is>
      </c>
      <c r="E44" s="56" t="inlineStr">
        <is>
          <t>同意驗證者。validate_transaction 沒讀 opening_inventory.build_date，也沒有「早於帳戶最早紀錄」的提示。</t>
        </is>
      </c>
      <c r="F44" s="56" t="inlineStr">
        <is>
          <t>portfolio_dash/data_ingestion/validate.py:516 `if today is not None and inp.trade_date &gt; today:`</t>
        </is>
      </c>
      <c r="G44" s="56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56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56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56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56" t="inlineStr">
        <is>
          <t>e6fd9f4（已部署 demo）</t>
        </is>
      </c>
      <c r="L4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57" t="inlineStr">
        <is>
          <t>真實瀏覽器：交易帳本 › 手動交易草稿兩例＋一次實際寫入後刪除；讀 POST /api/input/manual/preview 的 issues</t>
        </is>
      </c>
      <c r="N44" s="57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57" t="inlineStr">
        <is>
          <t>兩種提示依設計出現；勾選確認後寫入 #102 201，刪除後 cmp D014 same:true</t>
        </is>
      </c>
      <c r="P44" s="57" t="inlineStr">
        <is>
          <t>複驗通過 → 結案</t>
        </is>
      </c>
      <c r="Q44" s="57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57" t="inlineStr">
        <is>
          <t>檢驗方 2026-09-24</t>
        </is>
      </c>
    </row>
    <row r="45" ht="220" customHeight="1" s="34">
      <c r="A45" s="51" t="inlineStr">
        <is>
          <t>R2</t>
        </is>
      </c>
      <c r="B45" s="51" t="inlineStr">
        <is>
          <t>DEF-024</t>
        </is>
      </c>
      <c r="C45" s="51" t="inlineStr">
        <is>
          <t>I-06</t>
        </is>
      </c>
      <c r="D45" s="51" t="inlineStr">
        <is>
          <t>2026-09-23</t>
        </is>
      </c>
      <c r="E45" s="56" t="inlineStr">
        <is>
          <t>同意驗證者，兩個根因：預覽把錯誤列的股數算成持股；commit 把被擋下的列算成「跳過」且前端顯示成功。</t>
        </is>
      </c>
      <c r="F45" s="56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56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56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56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56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56" t="inlineStr">
        <is>
          <t>e6fd9f4（已部署 demo）</t>
        </is>
      </c>
      <c r="L4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57" t="inlineStr">
        <is>
          <t>真實瀏覽器：交易帳本 › 貼上 CSV 預覽＋寫入；讀 POST /api/import/preview、/commit 回應 skipped_rows</t>
        </is>
      </c>
      <c r="N45" s="57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57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57" t="inlineStr">
        <is>
          <t>複驗通過 → 結案</t>
        </is>
      </c>
      <c r="Q45" s="57" t="inlineStr">
        <is>
          <t>小瑕疵（不另開）：toast 顯示「! ⚠」雙符號</t>
        </is>
      </c>
      <c r="R45" s="57" t="inlineStr">
        <is>
          <t>檢驗方 2026-09-24</t>
        </is>
      </c>
    </row>
    <row r="46" ht="220" customHeight="1" s="34">
      <c r="A46" s="51" t="inlineStr">
        <is>
          <t>R2</t>
        </is>
      </c>
      <c r="B46" s="51" t="inlineStr">
        <is>
          <t>DEF-023</t>
        </is>
      </c>
      <c r="C46" s="51" t="inlineStr">
        <is>
          <t>D-11</t>
        </is>
      </c>
      <c r="D46" s="51" t="inlineStr">
        <is>
          <t>2026-09-23</t>
        </is>
      </c>
      <c r="E46" s="56" t="inlineStr">
        <is>
          <t>同意驗證者：提示可見但沒有入口，原因句嵌後端裸 id。</t>
        </is>
      </c>
      <c r="F46" s="56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56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56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56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56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56" t="inlineStr">
        <is>
          <t>e6fd9f4（已部署 demo）</t>
        </is>
      </c>
      <c r="L4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57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57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57" t="inlineStr">
        <is>
          <t>badge、刪除警告、深連結、中文名皆 OK；儀表板區塊因提前 return 永不顯示；cmp D023 same:true</t>
        </is>
      </c>
      <c r="P46" s="57" t="inlineStr">
        <is>
          <t>複驗未過</t>
        </is>
      </c>
      <c r="Q46" s="57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57" t="inlineStr">
        <is>
          <t>檢驗方 2026-09-24</t>
        </is>
      </c>
    </row>
    <row r="47" ht="220" customHeight="1" s="34">
      <c r="A47" s="51" t="inlineStr">
        <is>
          <t>R2</t>
        </is>
      </c>
      <c r="B47" s="51" t="inlineStr">
        <is>
          <t>DEF-005</t>
        </is>
      </c>
      <c r="C47" s="51" t="inlineStr">
        <is>
          <t>D-02</t>
        </is>
      </c>
      <c r="D47" s="51" t="inlineStr">
        <is>
          <t>2026-09-23</t>
        </is>
      </c>
      <c r="E47" s="56" t="inlineStr">
        <is>
          <t>同意驗證者。1.5 被洗成 15，試算與登錄鈕照常可用。</t>
        </is>
      </c>
      <c r="F47" s="56" t="inlineStr">
        <is>
          <t>web/corp-action-form.js:158 `const cleaned = n.value.replace(/[^0-9]/g, '');`</t>
        </is>
      </c>
      <c r="G47" s="56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56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56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56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56" t="inlineStr">
        <is>
          <t>e6fd9f4（已部署 demo）</t>
        </is>
      </c>
      <c r="L4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57" t="inlineStr">
        <is>
          <t>真實瀏覽器：交易帳本 › 公司行動 › ＋補登 → 分割，以鍵盤在「每持有」欄鍵入 1.5、「變成」欄鍵入 3</t>
        </is>
      </c>
      <c r="N47" s="57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57" t="inlineStr">
        <is>
          <t>1.5 不再被改寫；紅框＋行內錯誤＋試算不送＋登錄鈕停用</t>
        </is>
      </c>
      <c r="P47" s="57" t="inlineStr">
        <is>
          <t>複驗通過 → 結案</t>
        </is>
      </c>
      <c r="Q47" s="57" t="inlineStr">
        <is>
          <t>無</t>
        </is>
      </c>
      <c r="R47" s="57" t="inlineStr">
        <is>
          <t>檢驗方 2026-09-24</t>
        </is>
      </c>
    </row>
    <row r="48" ht="220" customHeight="1" s="34">
      <c r="A48" s="51" t="inlineStr">
        <is>
          <t>R2</t>
        </is>
      </c>
      <c r="B48" s="51" t="inlineStr">
        <is>
          <t>DEF-020</t>
        </is>
      </c>
      <c r="C48" s="51" t="inlineStr">
        <is>
          <t>D-10</t>
        </is>
      </c>
      <c r="D48" s="51" t="inlineStr">
        <is>
          <t>2026-09-23</t>
        </is>
      </c>
      <c r="E48" s="56" t="inlineStr">
        <is>
          <t>同意驗證者。兩支請求非原子；刪除只刪行動列，出金留在資金收支。</t>
        </is>
      </c>
      <c r="F48" s="56" t="inlineStr">
        <is>
          <t>web/corp-action-form.js:713 `await bookReorgFee(body, fFee.value.trim(), …)`；data_ingestion/store.py:1111 `conn.execute("DELETE FROM corporate_actions WHERE id=?", (action_id,))`</t>
        </is>
      </c>
      <c r="G48" s="56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56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56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56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56" t="inlineStr">
        <is>
          <t>e6fd9f4（已部署 demo）</t>
        </is>
      </c>
      <c r="L4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57" t="inlineStr">
        <is>
          <t>真實瀏覽器：公司行動 2884 每 1 股→2 股＋重組費用 50 登錄 → 刪除；另以重組費用 99,999,999 測原子性</t>
        </is>
      </c>
      <c r="N48" s="57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57" t="inlineStr">
        <is>
          <t>單一請求、刪除連帶刪出金、費用被拒時整筆不寫；cmp D020 same:true</t>
        </is>
      </c>
      <c r="P48" s="57" t="inlineStr">
        <is>
          <t>複驗通過 → 結案</t>
        </is>
      </c>
      <c r="Q48" s="57" t="inlineStr">
        <is>
          <t>觀察（不另開）：公司行動帳本列未顯示該筆的重組費用（只有編輯框有），使用者要到刪除框才知道有連帶出金</t>
        </is>
      </c>
      <c r="R48" s="57" t="inlineStr">
        <is>
          <t>檢驗方 2026-09-24</t>
        </is>
      </c>
    </row>
    <row r="49" ht="220" customHeight="1" s="34">
      <c r="A49" s="51" t="inlineStr">
        <is>
          <t>R2</t>
        </is>
      </c>
      <c r="B49" s="51" t="inlineStr">
        <is>
          <t>DEF-021</t>
        </is>
      </c>
      <c r="C49" s="51" t="inlineStr">
        <is>
          <t>D-10</t>
        </is>
      </c>
      <c r="D49" s="51" t="inlineStr">
        <is>
          <t>2026-09-23</t>
        </is>
      </c>
      <c r="E49" s="56" t="inlineStr">
        <is>
          <t>同意驗證者。docstring 宣稱「入口會說明」，入口從未說；刪除不回搬。</t>
        </is>
      </c>
      <c r="F49" s="56" t="inlineStr">
        <is>
          <t>store.py:220 `⚠ **Not reversible.** Deleting the EXCHANGE does not move the band back.`；ledgers.py:1899 `delete_corporate_action(conn, action_id)`；corp-action-form.js:263-265</t>
        </is>
      </c>
      <c r="G49" s="56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56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56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56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56" t="inlineStr">
        <is>
          <t>e6fd9f4（已部署 demo）</t>
        </is>
      </c>
      <c r="L4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57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57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57" t="inlineStr">
        <is>
          <t>可逆與不可逆兩條路徑的試算、刪除框、API、toast 皆一致；測畢 26 檔目標價全為空，cmp D021 same:true</t>
        </is>
      </c>
      <c r="P49" s="57" t="inlineStr">
        <is>
          <t>複驗通過 → 結案</t>
        </is>
      </c>
      <c r="Q49" s="57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57" t="inlineStr">
        <is>
          <t>檢驗方 2026-09-24</t>
        </is>
      </c>
    </row>
    <row r="50" ht="220" customHeight="1" s="34">
      <c r="A50" s="51" t="inlineStr">
        <is>
          <t>R2</t>
        </is>
      </c>
      <c r="B50" s="51" t="inlineStr">
        <is>
          <t>DEF-022</t>
        </is>
      </c>
      <c r="C50" s="51" t="inlineStr">
        <is>
          <t>D-11</t>
        </is>
      </c>
      <c r="D50" s="51" t="inlineStr">
        <is>
          <t>2026-09-23</t>
        </is>
      </c>
      <c r="E50" s="56" t="inlineStr">
        <is>
          <t>同意驗證者，且是一類：業務日期用非 app 時鐘產生。</t>
        </is>
      </c>
      <c r="F50" s="56" t="inlineStr">
        <is>
          <t>store.py:122 `stamp = (today or datetime.now(UTC).date()).isoformat()`</t>
        </is>
      </c>
      <c r="G50" s="56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56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56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56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56" t="inlineStr">
        <is>
          <t>e6fd9f4（已部署 demo）</t>
        </is>
      </c>
      <c r="L5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57" t="inlineStr">
        <is>
          <t>真實瀏覽器：UTC 2026-09-23T18:32Z（台北 2026-09-24 02:32）於觀察清單設 2884 目標價，再以換股試算／登錄讀 band_move.set_at</t>
        </is>
      </c>
      <c r="N50" s="57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57" t="inlineStr">
        <is>
          <t>set_at＝台北日期 2026-09-24（UTC 仍是 09-23）</t>
        </is>
      </c>
      <c r="P50" s="57" t="inlineStr">
        <is>
          <t>複驗通過 → 結案</t>
        </is>
      </c>
      <c r="Q50" s="57" t="inlineStr">
        <is>
          <t>無</t>
        </is>
      </c>
      <c r="R50" s="57" t="inlineStr">
        <is>
          <t>檢驗方 2026-09-24</t>
        </is>
      </c>
    </row>
    <row r="51" ht="220" customHeight="1" s="34">
      <c r="A51" s="51" t="inlineStr">
        <is>
          <t>R2</t>
        </is>
      </c>
      <c r="B51" s="51" t="inlineStr">
        <is>
          <t>DEF-027</t>
        </is>
      </c>
      <c r="C51" s="51" t="inlineStr">
        <is>
          <t>I-10</t>
        </is>
      </c>
      <c r="D51" s="51" t="inlineStr">
        <is>
          <t>2026-09-23</t>
        </is>
      </c>
      <c r="E51" s="56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56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56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56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56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56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56" t="inlineStr">
        <is>
          <t>e6fd9f4（已部署 demo）</t>
        </is>
      </c>
      <c r="L5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57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57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57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57" t="inlineStr">
        <is>
          <t>複驗通過 → 結案</t>
        </is>
      </c>
      <c r="Q51" s="57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57" t="inlineStr">
        <is>
          <t>檢驗方 2026-09-24</t>
        </is>
      </c>
    </row>
    <row r="52" ht="220" customHeight="1" s="34">
      <c r="A52" s="51" t="inlineStr">
        <is>
          <t>R2</t>
        </is>
      </c>
      <c r="B52" s="51" t="inlineStr">
        <is>
          <t>DEF-028</t>
        </is>
      </c>
      <c r="C52" s="51" t="inlineStr">
        <is>
          <t>I-10</t>
        </is>
      </c>
      <c r="D52" s="51" t="inlineStr">
        <is>
          <t>2026-09-23</t>
        </is>
      </c>
      <c r="E52" s="56" t="inlineStr">
        <is>
          <t>同意驗證者。</t>
        </is>
      </c>
      <c r="F52" s="56" t="inlineStr">
        <is>
          <t>web/broker-import.js:264-266 `const counts = (c.commit_order||[]).map((k) =&gt; KIND_ZH[k] + ' ' + c.counts[k]).join(' · ')`</t>
        </is>
      </c>
      <c r="G52" s="56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56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56" t="inlineStr">
        <is>
          <t>報告只出筆數的轉換結果面 共 1／修 1／白名單 0。</t>
        </is>
      </c>
      <c r="J52" s="56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56" t="inlineStr">
        <is>
          <t>e6fd9f4（已部署 demo）</t>
        </is>
      </c>
      <c r="L5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57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57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57" t="inlineStr">
        <is>
          <t>15 列來源全部可見（9 列可勾選寫入＋3 組被合併／抵銷含去向）；變異 1 failed</t>
        </is>
      </c>
      <c r="P52" s="57" t="inlineStr">
        <is>
          <t>複驗通過 → 結案</t>
        </is>
      </c>
      <c r="Q52" s="57" t="inlineStr">
        <is>
          <t>無</t>
        </is>
      </c>
      <c r="R52" s="57" t="inlineStr">
        <is>
          <t>檢驗方 2026-09-24</t>
        </is>
      </c>
    </row>
    <row r="53" ht="220" customHeight="1" s="34">
      <c r="A53" s="51" t="inlineStr">
        <is>
          <t>R2</t>
        </is>
      </c>
      <c r="B53" s="51" t="inlineStr">
        <is>
          <t>DEF-029</t>
        </is>
      </c>
      <c r="C53" s="51" t="inlineStr">
        <is>
          <t>I-11</t>
        </is>
      </c>
      <c r="D53" s="51" t="inlineStr">
        <is>
          <t>2026-09-23</t>
        </is>
      </c>
      <c r="E53" s="56" t="inlineStr">
        <is>
          <t>同意驗證者。</t>
        </is>
      </c>
      <c r="F53" s="56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56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56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56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56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56" t="inlineStr">
        <is>
          <t>e6fd9f4（已部署 demo）</t>
        </is>
      </c>
      <c r="L5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57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57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57" t="inlineStr">
        <is>
          <t>下拉只列嘉信帳戶；API 錯配回 blocking account_broker_mismatch；變異 2 failed</t>
        </is>
      </c>
      <c r="P53" s="57" t="inlineStr">
        <is>
          <t>複驗通過 → 結案</t>
        </is>
      </c>
      <c r="Q53" s="57" t="inlineStr">
        <is>
          <t>無</t>
        </is>
      </c>
      <c r="R53" s="57" t="inlineStr">
        <is>
          <t>檢驗方 2026-09-24</t>
        </is>
      </c>
    </row>
    <row r="54" ht="220" customHeight="1" s="34">
      <c r="A54" s="51" t="inlineStr">
        <is>
          <t>R2</t>
        </is>
      </c>
      <c r="B54" s="51" t="inlineStr">
        <is>
          <t>DEF-001</t>
        </is>
      </c>
      <c r="C54" s="51" t="inlineStr">
        <is>
          <t>I-03</t>
        </is>
      </c>
      <c r="D54" s="51" t="inlineStr">
        <is>
          <t>2026-09-23</t>
        </is>
      </c>
      <c r="E54" s="56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56" t="inlineStr">
        <is>
          <t>export/tax.py:89 `if r.kind not in ("sale", "short_cover"): continue`（位於 :103 `adjusted_subtotal[r.quote_ccy] += r.realized` 之前）</t>
        </is>
      </c>
      <c r="G54" s="56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56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56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56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56" t="inlineStr">
        <is>
          <t>e6fd9f4（已部署 demo）</t>
        </is>
      </c>
      <c r="L5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57" t="inlineStr">
        <is>
          <t>真實瀏覽器：交易帳本 › 稅務包（2026 年度）→ 攔截下載的 ZIP 於頁內解壓讀 summary.md，與 GET /api/dashboard returns.by_currency 比對</t>
        </is>
      </c>
      <c r="N54" s="57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57" t="inlineStr">
        <is>
          <t>對帳欄與儀表板逐字一致，差額 5,200 有具名拆分</t>
        </is>
      </c>
      <c r="P54" s="57" t="inlineStr">
        <is>
          <t>複驗通過 → 結案</t>
        </is>
      </c>
      <c r="Q54" s="57" t="inlineStr">
        <is>
          <t>無</t>
        </is>
      </c>
      <c r="R54" s="57" t="inlineStr">
        <is>
          <t>檢驗方 2026-09-24</t>
        </is>
      </c>
    </row>
    <row r="55" ht="220" customHeight="1" s="34">
      <c r="A55" s="51" t="inlineStr">
        <is>
          <t>R2</t>
        </is>
      </c>
      <c r="B55" s="51" t="inlineStr">
        <is>
          <t>DEF-026</t>
        </is>
      </c>
      <c r="C55" s="51" t="inlineStr">
        <is>
          <t>I-13</t>
        </is>
      </c>
      <c r="D55" s="51" t="inlineStr">
        <is>
          <t>2026-09-23</t>
        </is>
      </c>
      <c r="E55" s="56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56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56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56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56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56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56" t="inlineStr">
        <is>
          <t>e6fd9f4（已部署 demo）</t>
        </is>
      </c>
      <c r="L5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57" t="inlineStr">
        <is>
          <t>真實瀏覽器：交易帳本 › 匯出 CSV 原檔直接貼回「貼上 CSV」預覽並寫入 2 列，再以批次復原</t>
        </is>
      </c>
      <c r="N55" s="57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57" t="inlineStr">
        <is>
          <t>匯出→貼回可無損往返；復原後 cmp D026 same:true</t>
        </is>
      </c>
      <c r="P55" s="57" t="inlineStr">
        <is>
          <t>複驗通過 → 結案</t>
        </is>
      </c>
      <c r="Q55" s="57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57" t="inlineStr">
        <is>
          <t>檢驗方 2026-09-24</t>
        </is>
      </c>
    </row>
    <row r="56" ht="220" customHeight="1" s="34">
      <c r="A56" s="51" t="inlineStr">
        <is>
          <t>R2</t>
        </is>
      </c>
      <c r="B56" s="51" t="inlineStr">
        <is>
          <t>DEF-004</t>
        </is>
      </c>
      <c r="C56" s="51" t="inlineStr">
        <is>
          <t>I-04</t>
        </is>
      </c>
      <c r="D56" s="51" t="inlineStr">
        <is>
          <t>2026-09-23</t>
        </is>
      </c>
      <c r="E56" s="56" t="inlineStr">
        <is>
          <t>同意驗證者。後端預覽已送出所有值，是前端只有一張交易用的表。</t>
        </is>
      </c>
      <c r="F56" s="56" t="inlineStr">
        <is>
          <t>web/trades.html:205 固定表頭；web/input.js:1256 `tr.appendChild(el('td', 'num', f.shares(d.quantity !== undefined ? d.quantity : d.shares)));`</t>
        </is>
      </c>
      <c r="G56" s="56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56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56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56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56" t="inlineStr">
        <is>
          <t>e6fd9f4（已部署 demo）</t>
        </is>
      </c>
      <c r="L5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57" t="inlineStr">
        <is>
          <t>真實瀏覽器：交易帳本 › 貼上 CSV，逐一選 5 種範本（交易／股利／資金／換匯／公司行動）→ 預覽</t>
        </is>
      </c>
      <c r="N56" s="57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57" t="inlineStr">
        <is>
          <t>5/5 範本預覽使用各自表頭與值</t>
        </is>
      </c>
      <c r="P56" s="57" t="inlineStr">
        <is>
          <t>複驗通過 → 結案</t>
        </is>
      </c>
      <c r="Q56" s="57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57" t="inlineStr">
        <is>
          <t>檢驗方 2026-09-24</t>
        </is>
      </c>
    </row>
    <row r="57" ht="220" customHeight="1" s="34">
      <c r="A57" s="51" t="inlineStr">
        <is>
          <t>R2</t>
        </is>
      </c>
      <c r="B57" s="51" t="inlineStr">
        <is>
          <t>DEF-019</t>
        </is>
      </c>
      <c r="C57" s="51" t="inlineStr">
        <is>
          <t>C-04b／C-05</t>
        </is>
      </c>
      <c r="D57" s="51" t="inlineStr">
        <is>
          <t>2026-09-23</t>
        </is>
      </c>
      <c r="E57" s="56" t="inlineStr">
        <is>
          <t>同意驗證者。復原是 broker-import.js 做的，它只重抓批次清單和帳本表格；交易輸入頁的持倉快取只有 input.js 自己寫入時才會清掉。</t>
        </is>
      </c>
      <c r="F57" s="56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56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56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56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56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56" t="inlineStr">
        <is>
          <t>e6fd9f4（已部署 demo）</t>
        </is>
      </c>
      <c r="L5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57" t="inlineStr">
        <is>
          <t>真實瀏覽器：手動輸入「賣出 2603」草稿開著時，於同頁復原匯入批次 11；讀網路請求與草稿持股提示</t>
        </is>
      </c>
      <c r="N57" s="57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57" t="inlineStr">
        <is>
          <t>復原後草稿持股即時更新；復原對話框文案已改為「將刪除這批匯入寫進帳本的 2 筆交易紀錄（來源：貼上 CSV）…」；cmp 相同</t>
        </is>
      </c>
      <c r="P57" s="57" t="inlineStr">
        <is>
          <t>複驗通過 → 結案</t>
        </is>
      </c>
      <c r="Q57" s="57" t="inlineStr">
        <is>
          <t>無</t>
        </is>
      </c>
      <c r="R57" s="57" t="inlineStr">
        <is>
          <t>檢驗方 2026-09-24</t>
        </is>
      </c>
    </row>
    <row r="58" ht="220" customHeight="1" s="34">
      <c r="A58" s="51" t="inlineStr">
        <is>
          <t>R2</t>
        </is>
      </c>
      <c r="B58" s="51" t="inlineStr">
        <is>
          <t>DEF-035</t>
        </is>
      </c>
      <c r="C58" s="51" t="inlineStr">
        <is>
          <t>F-04</t>
        </is>
      </c>
      <c r="D58" s="51" t="inlineStr">
        <is>
          <t>2026-09-23</t>
        </is>
      </c>
      <c r="E58" s="56" t="inlineStr">
        <is>
          <t>同意驗證者。</t>
        </is>
      </c>
      <c r="F58" s="56" t="inlineStr">
        <is>
          <t>web/input.js:1773/1808/1825 `tr.appendChild(el('td', 'col-text', d.account_id || ''));`；api/routers/input_center.py:1554 `if not body.text.strip() and not images:`</t>
        </is>
      </c>
      <c r="G58" s="56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56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56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56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56" t="inlineStr">
        <is>
          <t>e6fd9f4（已部署 demo）</t>
        </is>
      </c>
      <c r="L5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57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57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57" t="inlineStr">
        <is>
          <t>草稿可逐欄編輯、編輯後重驗不花費、中文帳戶名；未寫入，cmp D035 只差額度 0.0005936（本次解析花費）</t>
        </is>
      </c>
      <c r="P58" s="57" t="inlineStr">
        <is>
          <t>複驗通過 → 結案</t>
        </is>
      </c>
      <c r="Q58" s="57" t="inlineStr">
        <is>
          <t>無</t>
        </is>
      </c>
      <c r="R58" s="57" t="inlineStr">
        <is>
          <t>檢驗方 2026-09-24</t>
        </is>
      </c>
    </row>
    <row r="59" ht="220" customHeight="1" s="34">
      <c r="A59" s="51" t="inlineStr">
        <is>
          <t>R2</t>
        </is>
      </c>
      <c r="B59" s="51" t="inlineStr">
        <is>
          <t>DEF-036</t>
        </is>
      </c>
      <c r="C59" s="51" t="inlineStr">
        <is>
          <t>F-05</t>
        </is>
      </c>
      <c r="D59" s="51" t="inlineStr">
        <is>
          <t>2026-09-23</t>
        </is>
      </c>
      <c r="E59" s="56" t="inlineStr">
        <is>
          <t>同意驗證者。</t>
        </is>
      </c>
      <c r="F59" s="56" t="inlineStr">
        <is>
          <t>agents.py:92 `note: str | None = None`</t>
        </is>
      </c>
      <c r="G59" s="56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56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56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56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56" t="inlineStr">
        <is>
          <t>e6fd9f4（已部署 demo）</t>
        </is>
      </c>
      <c r="L5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57" t="inlineStr">
        <is>
          <t>同上一次 AI 解析：「2026/09/22 台灣券商 買進 玉山金 2884 100股 成交價 46 成交金額 50,000 元」</t>
        </is>
      </c>
      <c r="N59" s="57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57" t="inlineStr">
        <is>
          <t>矛盾被標示 warn、預設不勾；修正後即解除</t>
        </is>
      </c>
      <c r="P59" s="57" t="inlineStr">
        <is>
          <t>複驗通過 → 結案</t>
        </is>
      </c>
      <c r="Q59" s="57" t="inlineStr">
        <is>
          <t>無</t>
        </is>
      </c>
      <c r="R59" s="57" t="inlineStr">
        <is>
          <t>檢驗方 2026-09-24</t>
        </is>
      </c>
    </row>
    <row r="60" ht="220" customHeight="1" s="34">
      <c r="A60" s="51" t="inlineStr">
        <is>
          <t>R2</t>
        </is>
      </c>
      <c r="B60" s="51" t="inlineStr">
        <is>
          <t>DEF-007</t>
        </is>
      </c>
      <c r="C60" s="51" t="inlineStr">
        <is>
          <t>A-02</t>
        </is>
      </c>
      <c r="D60" s="51" t="inlineStr">
        <is>
          <t>2026-09-23</t>
        </is>
      </c>
      <c r="E60" s="56" t="inlineStr">
        <is>
          <t>同意驗證者。攔住 acq-rate 回應、使用者填 31.5 後放行：舊碼欄位變成 33、模式被切回「匯率」；提示句標輸入日。</t>
        </is>
      </c>
      <c r="F60" s="56" t="inlineStr">
        <is>
          <t>web/cash.js:936-939 `if (seq !== acqPrefillSeq) return; … $('#cm-acq-mode').value = 'rate'; $('#cm-acq').value = r.rate;`；:941</t>
        </is>
      </c>
      <c r="G60" s="56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56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56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56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56" t="inlineStr">
        <is>
          <t>e6fd9f4（已部署 demo）</t>
        </is>
      </c>
      <c r="L6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57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57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57" t="inlineStr">
        <is>
          <t>延遲回應不覆寫；提示日期＝匯率實際日；寫入 31,500；刪除後 cmp D007 same:true</t>
        </is>
      </c>
      <c r="P60" s="57" t="inlineStr">
        <is>
          <t>複驗通過 → 結案</t>
        </is>
      </c>
      <c r="Q60" s="57" t="inlineStr">
        <is>
          <t>無</t>
        </is>
      </c>
      <c r="R60" s="57" t="inlineStr">
        <is>
          <t>檢驗方 2026-09-24</t>
        </is>
      </c>
    </row>
    <row r="61" ht="220" customHeight="1" s="34">
      <c r="A61" s="51" t="inlineStr">
        <is>
          <t>R2</t>
        </is>
      </c>
      <c r="B61" s="51" t="inlineStr">
        <is>
          <t>DEF-008</t>
        </is>
      </c>
      <c r="C61" s="51" t="inlineStr">
        <is>
          <t>A-05／A-06</t>
        </is>
      </c>
      <c r="D61" s="51" t="inlineStr">
        <is>
          <t>2026-09-23</t>
        </is>
      </c>
      <c r="E61" s="56" t="inlineStr">
        <is>
          <t>同意驗證者。透支訊息有五個出處三種寫法；toast 副行印出錯誤碼。</t>
        </is>
      </c>
      <c r="F61" s="56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56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56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56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56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56" t="inlineStr">
        <is>
          <t>e6fd9f4（已部署 demo）</t>
        </is>
      </c>
      <c r="L6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57" t="inlineStr">
        <is>
          <t>真實瀏覽器：資金管理 › 台灣券商 2026-07-14 出金 4,000,000（前端放行、後端擋）；另以 API 送今日出金 6,067,596（餘額 6,067,595）</t>
        </is>
      </c>
      <c r="N61" s="57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57" t="inlineStr">
        <is>
          <t>兩條分支句型一致，無英文名、無原始碼、有日期；未寫入任何列（資金 34 列不變）</t>
        </is>
      </c>
      <c r="P61" s="57" t="inlineStr">
        <is>
          <t>複驗通過 → 結案</t>
        </is>
      </c>
      <c r="Q61" s="57" t="inlineStr">
        <is>
          <t>無</t>
        </is>
      </c>
      <c r="R61" s="57" t="inlineStr">
        <is>
          <t>檢驗方 2026-09-24</t>
        </is>
      </c>
    </row>
    <row r="62" ht="220" customHeight="1" s="34">
      <c r="A62" s="51" t="inlineStr">
        <is>
          <t>R2</t>
        </is>
      </c>
      <c r="B62" s="51" t="inlineStr">
        <is>
          <t>DEF-011</t>
        </is>
      </c>
      <c r="C62" s="51" t="inlineStr">
        <is>
          <t>A-16</t>
        </is>
      </c>
      <c r="D62" s="51" t="inlineStr">
        <is>
          <t>2026-09-23</t>
        </is>
      </c>
      <c r="E62" s="56" t="inlineStr">
        <is>
          <t>同意驗證者：是文案錯，行為符合 AI-D42（returns.py XIRR_CASH_KINDS 明列 REBATE）。</t>
        </is>
      </c>
      <c r="F62" s="56" t="inlineStr">
        <is>
          <t>web/dividend-inbox.html:69 `…&lt;b&gt;不計入成本／損益／XIRR&lt;/b&gt;`</t>
        </is>
      </c>
      <c r="G62" s="56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56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56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56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56" t="inlineStr">
        <is>
          <t>e6fd9f4（已部署 demo）</t>
        </is>
      </c>
      <c r="L6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57" t="inlineStr">
        <is>
          <t>真實瀏覽器：收件匣 › 待確認退款（折讓款）區塊標題、每張卡與頁尾說明文字</t>
        </is>
      </c>
      <c r="N62" s="57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57" t="inlineStr">
        <is>
          <t>三處文案與實際影響一致</t>
        </is>
      </c>
      <c r="P62" s="57" t="inlineStr">
        <is>
          <t>複驗通過 → 結案</t>
        </is>
      </c>
      <c r="Q62" s="57" t="inlineStr">
        <is>
          <t>無</t>
        </is>
      </c>
      <c r="R62" s="57" t="inlineStr">
        <is>
          <t>檢驗方 2026-09-24</t>
        </is>
      </c>
    </row>
    <row r="63" ht="220" customHeight="1" s="34">
      <c r="A63" s="51" t="inlineStr">
        <is>
          <t>R2</t>
        </is>
      </c>
      <c r="B63" s="51" t="inlineStr">
        <is>
          <t>DEF-015</t>
        </is>
      </c>
      <c r="C63" s="51" t="inlineStr">
        <is>
          <t>C-01</t>
        </is>
      </c>
      <c r="D63" s="51" t="inlineStr">
        <is>
          <t>2026-09-23</t>
        </is>
      </c>
      <c r="E63" s="56" t="inlineStr">
        <is>
          <t>同意驗證者。</t>
        </is>
      </c>
      <c r="F63" s="56" t="inlineStr">
        <is>
          <t>api/dividend_inbox.py:208 `return f"{len(summary.ok)} 檔事件已更新，{len(summary.failed)} 檔失敗"`；pricing/registry.py:101 `except Exception:  # noqa: BLE001 … continue`</t>
        </is>
      </c>
      <c r="G63" s="56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56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56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56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56" t="inlineStr">
        <is>
          <t>e6fd9f4（已部署 demo）</t>
        </is>
      </c>
      <c r="L6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57" t="inlineStr">
        <is>
          <t>真實瀏覽器：收件匣 › 待確認匯入 › 重新偵測（外部來源 yfinance）</t>
        </is>
      </c>
      <c r="N63" s="57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57" t="inlineStr">
        <is>
          <t>toast 與狀態列點名 TSLA 與原因；收件匣仍 7 筆</t>
        </is>
      </c>
      <c r="P63" s="57" t="inlineStr">
        <is>
          <t>複驗通過 → 結案</t>
        </is>
      </c>
      <c r="Q63" s="57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57" t="inlineStr">
        <is>
          <t>檢驗方 2026-09-24</t>
        </is>
      </c>
    </row>
    <row r="64" ht="220" customHeight="1" s="34">
      <c r="A64" s="51" t="inlineStr">
        <is>
          <t>R2</t>
        </is>
      </c>
      <c r="B64" s="51" t="inlineStr">
        <is>
          <t>DEF-017</t>
        </is>
      </c>
      <c r="C64" s="51" t="inlineStr">
        <is>
          <t>C-04</t>
        </is>
      </c>
      <c r="D64" s="51" t="inlineStr">
        <is>
          <t>2026-09-23</t>
        </is>
      </c>
      <c r="E64" s="56" t="inlineStr">
        <is>
          <t>同意驗證者。手動股利表單走匯入管線（刻意的單一驗證門），但批次計數與帳本脫節。</t>
        </is>
      </c>
      <c r="F64" s="56" t="inlineStr">
        <is>
          <t>input_center.py:1510 `"SELECT id, kind, broker, source_name, source_sha256, imported_at, row_count, status FROM import_batches …"`；ledgers.py:763 remove_dividend（不處理批次）</t>
        </is>
      </c>
      <c r="G64" s="56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56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56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56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56" t="inlineStr">
        <is>
          <t>e6fd9f4（已部署 demo）</t>
        </is>
      </c>
      <c r="L6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57" t="inlineStr">
        <is>
          <t>真實瀏覽器：交易帳本 › 股利表單寫入 2884 現金股利 100（2026-09-23）→ 於帳本股利分頁刪除 → 同頁回 CSV 匯入看「最近匯入」並按復原</t>
        </is>
      </c>
      <c r="N64" s="57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57" t="inlineStr">
        <is>
          <t>API 正確；同頁清單與復原對話框未刷新，仍寫「將刪除 1 筆」而實刪 0 筆；cmp D017 same:true</t>
        </is>
      </c>
      <c r="P64" s="57" t="inlineStr">
        <is>
          <t>部分通過</t>
        </is>
      </c>
      <c r="Q64" s="57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57" t="inlineStr">
        <is>
          <t>檢驗方 2026-09-24</t>
        </is>
      </c>
    </row>
    <row r="65" ht="220" customHeight="1" s="34">
      <c r="A65" s="51" t="inlineStr">
        <is>
          <t>R2</t>
        </is>
      </c>
      <c r="B65" s="51" t="inlineStr">
        <is>
          <t>DEF-002</t>
        </is>
      </c>
      <c r="C65" s="51" t="inlineStr">
        <is>
          <t>J-05</t>
        </is>
      </c>
      <c r="D65" s="51" t="inlineStr">
        <is>
          <t>2026-09-23</t>
        </is>
      </c>
      <c r="E65" s="56" t="inlineStr">
        <is>
          <t>同意驗證者。修前實測 1,440px 時 scrollWidth 3,874、390px 時 3,673；兩層原因：變數表沒包捲動容器＋td nowrap。</t>
        </is>
      </c>
      <c r="F65" s="56" t="inlineStr">
        <is>
          <t>web/settings-prompts.js:724 `const table = el('table', 'data vars-table');`；:777 `sec.appendChild(table);`；web/styles.css:866 `table.data td { white-space: nowrap; }`</t>
        </is>
      </c>
      <c r="G65" s="56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56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56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56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56" t="inlineStr">
        <is>
          <t>e6fd9f4（已部署 demo）</t>
        </is>
      </c>
      <c r="L6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57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57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57" t="inlineStr">
        <is>
          <t>390px 展開後 scrollWidth 390；13 頁皆無整頁橫捲</t>
        </is>
      </c>
      <c r="P65" s="57" t="inlineStr">
        <is>
          <t>複驗通過 → 結案</t>
        </is>
      </c>
      <c r="Q65" s="57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57" t="inlineStr">
        <is>
          <t>檢驗方 2026-09-24</t>
        </is>
      </c>
    </row>
    <row r="66" ht="220" customHeight="1" s="34">
      <c r="A66" s="51" t="inlineStr">
        <is>
          <t>R2</t>
        </is>
      </c>
      <c r="B66" s="51" t="inlineStr">
        <is>
          <t>DEF-031</t>
        </is>
      </c>
      <c r="C66" s="51" t="inlineStr">
        <is>
          <t>H-04／H-05</t>
        </is>
      </c>
      <c r="D66" s="51" t="inlineStr">
        <is>
          <t>2026-09-23</t>
        </is>
      </c>
      <c r="E66" s="56" t="inlineStr">
        <is>
          <t>同意驗證者。按鈕只有 toast；乾跑預檢 R2/R4 的 edit_universe 修正動作導向的也是這顆按鈕。</t>
        </is>
      </c>
      <c r="F66" s="56" t="inlineStr">
        <is>
          <t>web/pipeline.js:463 `be.addEventListener('click', function () { window.toast('編輯標的', 'ok', …); });`；:51 `edit_universe: { … run: function (t) { openDrawer(t, 'input'); } }`</t>
        </is>
      </c>
      <c r="G66" s="56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56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56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56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56" t="inlineStr">
        <is>
          <t>e6fd9f4（已部署 demo）</t>
        </is>
      </c>
      <c r="L6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57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57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57" t="inlineStr">
        <is>
          <t>編輯標的可用且寫回；暫存任務已刪除、無花費</t>
        </is>
      </c>
      <c r="P66" s="57" t="inlineStr">
        <is>
          <t>複驗通過 → 結案</t>
        </is>
      </c>
      <c r="Q66" s="57" t="inlineStr">
        <is>
          <t>無</t>
        </is>
      </c>
      <c r="R66" s="57" t="inlineStr">
        <is>
          <t>檢驗方 2026-09-24</t>
        </is>
      </c>
    </row>
    <row r="67" ht="220" customHeight="1" s="34">
      <c r="A67" s="51" t="inlineStr">
        <is>
          <t>R2</t>
        </is>
      </c>
      <c r="B67" s="51" t="inlineStr">
        <is>
          <t>DEF-032</t>
        </is>
      </c>
      <c r="C67" s="51" t="inlineStr">
        <is>
          <t>H-04</t>
        </is>
      </c>
      <c r="D67" s="51" t="inlineStr">
        <is>
          <t>2026-09-23</t>
        </is>
      </c>
      <c r="E67" s="56" t="inlineStr">
        <is>
          <t>同意驗證者，並發現延伸後果：兩個 AAPL 都勾會存成 ["AAPL","AAPL"]，後端自選模式沒去重 → 同一代號產生 2 張卡、收 2 次費用。</t>
        </is>
      </c>
      <c r="F67" s="56" t="inlineStr">
        <is>
          <t>web/pipeline-wizard.js:82 `REF.held = (…holdings…).map(function (h) { return h.symbol; });`；insight_service.py:142 `return list(syms) if isinstance(syms, list) else []`</t>
        </is>
      </c>
      <c r="G67" s="56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56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56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56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56" t="inlineStr">
        <is>
          <t>e6fd9f4（已部署 demo）</t>
        </is>
      </c>
      <c r="L6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57" t="inlineStr">
        <is>
          <t>真實瀏覽器：洞察管線 › ＋新增洞察任務 → 先不排程 → 單一標的 → 看範圍計數與管線預覽 → 自選標的清單</t>
        </is>
      </c>
      <c r="N67" s="57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57" t="inlineStr">
        <is>
          <t>13 檔／26 檔，AAPL 單一勾選框</t>
        </is>
      </c>
      <c r="P67" s="57" t="inlineStr">
        <is>
          <t>複驗通過 → 結案</t>
        </is>
      </c>
      <c r="Q67" s="57" t="inlineStr">
        <is>
          <t>防護提醒：後端去重的變異測試 5 passed（沒有測試抓到後端回傳重複列），目前靠前端彙整；建議補後端契約測試</t>
        </is>
      </c>
      <c r="R67" s="57" t="inlineStr">
        <is>
          <t>檢驗方 2026-09-24</t>
        </is>
      </c>
    </row>
    <row r="68" ht="220" customHeight="1" s="34">
      <c r="A68" s="51" t="inlineStr">
        <is>
          <t>R2</t>
        </is>
      </c>
      <c r="B68" s="51" t="inlineStr">
        <is>
          <t>DEF-034</t>
        </is>
      </c>
      <c r="C68" s="51" t="inlineStr">
        <is>
          <t>F-03</t>
        </is>
      </c>
      <c r="D68" s="51" t="inlineStr">
        <is>
          <t>2026-09-23</t>
        </is>
      </c>
      <c r="E68" s="56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56" t="inlineStr">
        <is>
          <t>web/settings-llm.js:611 `initAutoAiToggle();`；:627 `t.addEventListener('click', async () =&gt; {`</t>
        </is>
      </c>
      <c r="G68" s="56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56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56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56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56" t="inlineStr">
        <is>
          <t>e6fd9f4（已部署 demo）</t>
        </is>
      </c>
      <c r="L6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57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57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57" t="inlineStr">
        <is>
          <t>兩次儲存後點一下＝1 次 PUT；閾值與開關皆已還原（1.00、true）</t>
        </is>
      </c>
      <c r="P68" s="57" t="inlineStr">
        <is>
          <t>複驗通過 → 結案</t>
        </is>
      </c>
      <c r="Q68" s="57" t="inlineStr">
        <is>
          <t>無</t>
        </is>
      </c>
      <c r="R68" s="57" t="inlineStr">
        <is>
          <t>檢驗方 2026-09-24</t>
        </is>
      </c>
    </row>
    <row r="69" ht="220" customHeight="1" s="34">
      <c r="A69" s="51" t="inlineStr">
        <is>
          <t>R2</t>
        </is>
      </c>
      <c r="B69" s="51" t="inlineStr">
        <is>
          <t>DEF-038</t>
        </is>
      </c>
      <c r="C69" s="51" t="inlineStr">
        <is>
          <t>E-01</t>
        </is>
      </c>
      <c r="D69" s="51" t="inlineStr">
        <is>
          <t>2026-09-23</t>
        </is>
      </c>
      <c r="E69" s="56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56" t="inlineStr">
        <is>
          <t>web/shell.js:425 `btn.title = '更新報價或重建統計（後端接線後生效）';`；web/pipeline-hub.html:47 `&lt;a class="pp-asset" href="settings.html"&gt;`</t>
        </is>
      </c>
      <c r="G69" s="56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56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56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56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56" t="inlineStr">
        <is>
          <t>e6fd9f4（已部署 demo）</t>
        </is>
      </c>
      <c r="L6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57" t="inlineStr">
        <is>
          <t>真實瀏覽器：儀表板「⟳重新整理」tooltip；洞察管線 › 點「進化設定 5 項安全邊界」</t>
        </is>
      </c>
      <c r="N69" s="57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57" t="inlineStr">
        <is>
          <t>tooltip 已改；深連結落在自我進化設定</t>
        </is>
      </c>
      <c r="P69" s="57" t="inlineStr">
        <is>
          <t>複驗通過 → 結案</t>
        </is>
      </c>
      <c r="Q69" s="57" t="inlineStr">
        <is>
          <t>無</t>
        </is>
      </c>
      <c r="R69" s="57" t="inlineStr">
        <is>
          <t>檢驗方 2026-09-24</t>
        </is>
      </c>
    </row>
    <row r="70" ht="220" customHeight="1" s="34">
      <c r="A70" s="51" t="inlineStr">
        <is>
          <t>R2</t>
        </is>
      </c>
      <c r="B70" s="51" t="inlineStr">
        <is>
          <t>DEF-030</t>
        </is>
      </c>
      <c r="C70" s="51" t="inlineStr">
        <is>
          <t>H-04</t>
        </is>
      </c>
      <c r="D70" s="51" t="inlineStr">
        <is>
          <t>2026-09-23</t>
        </is>
      </c>
      <c r="E70" s="56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56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56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56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56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56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56" t="inlineStr">
        <is>
          <t>e6fd9f4（已部署 demo）</t>
        </is>
      </c>
      <c r="L7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57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57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57" t="inlineStr">
        <is>
          <t>立即執行成功、名稱顯示、暫停狀態同步；任務已重新啟用</t>
        </is>
      </c>
      <c r="P70" s="57" t="inlineStr">
        <is>
          <t>複驗通過 → 結案</t>
        </is>
      </c>
      <c r="Q70" s="57" t="inlineStr">
        <is>
          <t>小瑕疵（不另開）：立即執行的 toast 仍寫「✓ 已排入執行 insight:7 #180」（job id 而非任務名）。本案花費 $0.0023063</t>
        </is>
      </c>
      <c r="R70" s="57" t="inlineStr">
        <is>
          <t>檢驗方 2026-09-24</t>
        </is>
      </c>
    </row>
    <row r="71" ht="220" customHeight="1" s="34">
      <c r="A71" s="51" t="inlineStr">
        <is>
          <t>R2</t>
        </is>
      </c>
      <c r="B71" s="51" t="inlineStr">
        <is>
          <t>DEF-037</t>
        </is>
      </c>
      <c r="C71" s="51" t="inlineStr">
        <is>
          <t>G-09</t>
        </is>
      </c>
      <c r="D71" s="51" t="inlineStr">
        <is>
          <t>2026-09-23</t>
        </is>
      </c>
      <c r="E71" s="56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56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56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56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56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56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56" t="inlineStr">
        <is>
          <t>e6fd9f4（已部署 demo）</t>
        </is>
      </c>
      <c r="L7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57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57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57" t="inlineStr">
        <is>
          <t>帳戶層級預警不再產卡；卡片可追溯觸發預警；本案花費 $0.0007319；26 檔目標價皆已改回空白</t>
        </is>
      </c>
      <c r="P71" s="57" t="inlineStr">
        <is>
          <t>複驗通過 → 結案</t>
        </is>
      </c>
      <c r="Q71" s="57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57" t="inlineStr">
        <is>
          <t>檢驗方 2026-09-24</t>
        </is>
      </c>
    </row>
    <row r="72" ht="15" customHeight="1" s="34">
      <c r="A72" s="51" t="inlineStr">
        <is>
          <t>R2</t>
        </is>
      </c>
      <c r="B72" s="51" t="inlineStr">
        <is>
          <t>DEF-003</t>
        </is>
      </c>
      <c r="C72" s="51" t="inlineStr">
        <is>
          <t>G-06</t>
        </is>
      </c>
      <c r="D72" s="51" t="inlineStr">
        <is>
          <t>2026-09-24</t>
        </is>
      </c>
      <c r="E72" s="56" t="inlineStr">
        <is>
          <t>—（Owner 裁定列，本輪未修）</t>
        </is>
      </c>
      <c r="F72" s="56" t="inlineStr">
        <is>
          <t>—</t>
        </is>
      </c>
      <c r="G72" s="56" t="inlineStr">
        <is>
          <t>—</t>
        </is>
      </c>
      <c r="H72" s="56" t="inlineStr">
        <is>
          <t>—</t>
        </is>
      </c>
      <c r="I72" s="56" t="inlineStr">
        <is>
          <t>—</t>
        </is>
      </c>
      <c r="J72" s="56" t="inlineStr">
        <is>
          <t>—</t>
        </is>
      </c>
      <c r="K72" s="56" t="inlineStr">
        <is>
          <t>—</t>
        </is>
      </c>
      <c r="L72" s="56" t="inlineStr">
        <is>
          <t>—</t>
        </is>
      </c>
      <c r="M72" s="57" t="inlineStr">
        <is>
          <t>非複驗：Owner 裁定（驗證者整理 2～3 個方案供選，Owner 選定）</t>
        </is>
      </c>
      <c r="N72" s="57" t="inlineStr">
        <is>
          <t>裁定：以 prediction 為準：prediction 為空的卡一律顯示「純描述・無預測」，不顯示信心值，也不進校準曲線。</t>
        </is>
      </c>
      <c r="O72" s="57" t="inlineStr">
        <is>
          <t>改程式；G-06 期望不變（現行行為不符 → 交開發者）</t>
        </is>
      </c>
      <c r="P72" s="57" t="inlineStr">
        <is>
          <t>FAIL</t>
        </is>
      </c>
      <c r="Q72" s="57" t="inlineStr">
        <is>
          <t>依裁定現行行為不符 → 狀態改「新開」交開發者</t>
        </is>
      </c>
      <c r="R72" s="57" t="inlineStr">
        <is>
          <t>檢驗方 2026-09-24</t>
        </is>
      </c>
    </row>
    <row r="73" ht="15" customHeight="1" s="34">
      <c r="A73" s="51" t="inlineStr">
        <is>
          <t>R2</t>
        </is>
      </c>
      <c r="B73" s="51" t="inlineStr">
        <is>
          <t>DEF-006</t>
        </is>
      </c>
      <c r="C73" s="51" t="inlineStr">
        <is>
          <t>A-01</t>
        </is>
      </c>
      <c r="D73" s="51" t="inlineStr">
        <is>
          <t>2026-09-24</t>
        </is>
      </c>
      <c r="E73" s="56" t="inlineStr">
        <is>
          <t>—（Owner 裁定列，本輪未修）</t>
        </is>
      </c>
      <c r="F73" s="56" t="inlineStr">
        <is>
          <t>—</t>
        </is>
      </c>
      <c r="G73" s="56" t="inlineStr">
        <is>
          <t>—</t>
        </is>
      </c>
      <c r="H73" s="56" t="inlineStr">
        <is>
          <t>—</t>
        </is>
      </c>
      <c r="I73" s="56" t="inlineStr">
        <is>
          <t>—</t>
        </is>
      </c>
      <c r="J73" s="56" t="inlineStr">
        <is>
          <t>—</t>
        </is>
      </c>
      <c r="K73" s="56" t="inlineStr">
        <is>
          <t>—</t>
        </is>
      </c>
      <c r="L73" s="56" t="inlineStr">
        <is>
          <t>—</t>
        </is>
      </c>
      <c r="M73" s="57" t="inlineStr">
        <is>
          <t>非複驗：Owner 裁定（驗證者整理 2～3 個方案供選，Owner 選定）</t>
        </is>
      </c>
      <c r="N73" s="57" t="inlineStr">
        <is>
          <t>裁定：維持中性色：入金實心、出金外框（方向不是損益，不用紅綠），不改 CSS。</t>
        </is>
      </c>
      <c r="O73" s="57" t="inlineStr">
        <is>
          <t>改手冊：A-01／A-04／A-09 期望改為「方向 chip 為中性色：入金實心、出金外框」。依 §5 驗證者不改 .md 與 F 欄，請 owner／開發者下一輪同步</t>
        </is>
      </c>
      <c r="P73" s="57" t="inlineStr">
        <is>
          <t>複驗通過 → 結案</t>
        </is>
      </c>
      <c r="Q73" s="57" t="inlineStr">
        <is>
          <t>依裁定改判非缺陷；手冊期望待同步</t>
        </is>
      </c>
      <c r="R73" s="57" t="inlineStr">
        <is>
          <t>檢驗方 2026-09-24</t>
        </is>
      </c>
    </row>
    <row r="74" ht="15" customHeight="1" s="34">
      <c r="A74" s="51" t="inlineStr">
        <is>
          <t>R2</t>
        </is>
      </c>
      <c r="B74" s="51" t="inlineStr">
        <is>
          <t>DEF-009</t>
        </is>
      </c>
      <c r="C74" s="51" t="inlineStr">
        <is>
          <t>A-11</t>
        </is>
      </c>
      <c r="D74" s="51" t="inlineStr">
        <is>
          <t>2026-09-24</t>
        </is>
      </c>
      <c r="E74" s="56" t="inlineStr">
        <is>
          <t>—（Owner 裁定列，本輪未修）</t>
        </is>
      </c>
      <c r="F74" s="56" t="inlineStr">
        <is>
          <t>—</t>
        </is>
      </c>
      <c r="G74" s="56" t="inlineStr">
        <is>
          <t>—</t>
        </is>
      </c>
      <c r="H74" s="56" t="inlineStr">
        <is>
          <t>—</t>
        </is>
      </c>
      <c r="I74" s="56" t="inlineStr">
        <is>
          <t>—</t>
        </is>
      </c>
      <c r="J74" s="56" t="inlineStr">
        <is>
          <t>—</t>
        </is>
      </c>
      <c r="K74" s="56" t="inlineStr">
        <is>
          <t>—</t>
        </is>
      </c>
      <c r="L74" s="56" t="inlineStr">
        <is>
          <t>—</t>
        </is>
      </c>
      <c r="M74" s="57" t="inlineStr">
        <is>
          <t>非複驗：Owner 裁定（驗證者整理 2～3 個方案供選，Owner 選定）</t>
        </is>
      </c>
      <c r="N74" s="57" t="inlineStr">
        <is>
          <t>裁定：自動入帳類（折讓款等）改為整列可編輯（日期／類型／金額／備註），與手動輸入一致，讓使用者有補救空間；編輯寫入稽核軌跡。</t>
        </is>
      </c>
      <c r="O74" s="57" t="inlineStr">
        <is>
          <t>改程式＋改手冊：A-11② 期望改為「折讓款列整列可編輯（與手動輸入的資金列相同），編輯寫入稽核軌跡」</t>
        </is>
      </c>
      <c r="P74" s="57" t="inlineStr">
        <is>
          <t>FAIL</t>
        </is>
      </c>
      <c r="Q74" s="57" t="inlineStr">
        <is>
          <t>依裁定現行行為不符 → 狀態改「新開」交開發者</t>
        </is>
      </c>
      <c r="R74" s="57" t="inlineStr">
        <is>
          <t>檢驗方 2026-09-24</t>
        </is>
      </c>
    </row>
    <row r="75" ht="15" customHeight="1" s="34">
      <c r="A75" s="51" t="inlineStr">
        <is>
          <t>R2</t>
        </is>
      </c>
      <c r="B75" s="51" t="inlineStr">
        <is>
          <t>DEF-010</t>
        </is>
      </c>
      <c r="C75" s="51" t="inlineStr">
        <is>
          <t>B-16</t>
        </is>
      </c>
      <c r="D75" s="51" t="inlineStr">
        <is>
          <t>2026-09-24</t>
        </is>
      </c>
      <c r="E75" s="56" t="inlineStr">
        <is>
          <t>—（Owner 裁定列，本輪未修）</t>
        </is>
      </c>
      <c r="F75" s="56" t="inlineStr">
        <is>
          <t>—</t>
        </is>
      </c>
      <c r="G75" s="56" t="inlineStr">
        <is>
          <t>—</t>
        </is>
      </c>
      <c r="H75" s="56" t="inlineStr">
        <is>
          <t>—</t>
        </is>
      </c>
      <c r="I75" s="56" t="inlineStr">
        <is>
          <t>—</t>
        </is>
      </c>
      <c r="J75" s="56" t="inlineStr">
        <is>
          <t>—</t>
        </is>
      </c>
      <c r="K75" s="56" t="inlineStr">
        <is>
          <t>—</t>
        </is>
      </c>
      <c r="L75" s="56" t="inlineStr">
        <is>
          <t>—</t>
        </is>
      </c>
      <c r="M75" s="57" t="inlineStr">
        <is>
          <t>非複驗：Owner 裁定（驗證者整理 2～3 個方案供選，Owner 選定）</t>
        </is>
      </c>
      <c r="N75" s="57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57" t="inlineStr">
        <is>
          <t>改程式＋資料清理；B-16 補「快照已打折（discount&lt;1）的交易不列入退款預估」</t>
        </is>
      </c>
      <c r="P75" s="57" t="inlineStr">
        <is>
          <t>FAIL</t>
        </is>
      </c>
      <c r="Q75" s="57" t="inlineStr">
        <is>
          <t>依裁定現行行為不符 → 狀態改「新開」交開發者</t>
        </is>
      </c>
      <c r="R75" s="57" t="inlineStr">
        <is>
          <t>檢驗方 2026-09-24</t>
        </is>
      </c>
    </row>
    <row r="76" ht="15" customHeight="1" s="34">
      <c r="A76" s="51" t="inlineStr">
        <is>
          <t>R2</t>
        </is>
      </c>
      <c r="B76" s="51" t="inlineStr">
        <is>
          <t>DEF-013</t>
        </is>
      </c>
      <c r="C76" s="51" t="inlineStr">
        <is>
          <t>B-10</t>
        </is>
      </c>
      <c r="D76" s="51" t="inlineStr">
        <is>
          <t>2026-09-24</t>
        </is>
      </c>
      <c r="E76" s="56" t="inlineStr">
        <is>
          <t>—（Owner 裁定列，本輪未修）</t>
        </is>
      </c>
      <c r="F76" s="56" t="inlineStr">
        <is>
          <t>—</t>
        </is>
      </c>
      <c r="G76" s="56" t="inlineStr">
        <is>
          <t>—</t>
        </is>
      </c>
      <c r="H76" s="56" t="inlineStr">
        <is>
          <t>—</t>
        </is>
      </c>
      <c r="I76" s="56" t="inlineStr">
        <is>
          <t>—</t>
        </is>
      </c>
      <c r="J76" s="56" t="inlineStr">
        <is>
          <t>—</t>
        </is>
      </c>
      <c r="K76" s="56" t="inlineStr">
        <is>
          <t>—</t>
        </is>
      </c>
      <c r="L76" s="56" t="inlineStr">
        <is>
          <t>—</t>
        </is>
      </c>
      <c r="M76" s="57" t="inlineStr">
        <is>
          <t>非複驗：Owner 裁定（驗證者整理 2～3 個方案供選，Owner 選定）</t>
        </is>
      </c>
      <c r="N76" s="57" t="inlineStr">
        <is>
          <t>裁定：允許「當沖＋放空」組合（台股現股當沖可先賣後買）；表單加組合說明，交易帳本列標示「當沖」「放空」。</t>
        </is>
      </c>
      <c r="O76" s="57" t="inlineStr">
        <is>
          <t>改程式；B-10③ 期望改為「允許組合，表單有組合說明，帳本列可見兩個標示」</t>
        </is>
      </c>
      <c r="P76" s="57" t="inlineStr">
        <is>
          <t>FAIL</t>
        </is>
      </c>
      <c r="Q76" s="57" t="inlineStr">
        <is>
          <t>依裁定現行行為不符 → 狀態改「新開」交開發者</t>
        </is>
      </c>
      <c r="R76" s="57" t="inlineStr">
        <is>
          <t>檢驗方 2026-09-24</t>
        </is>
      </c>
    </row>
    <row r="77" ht="15" customHeight="1" s="34">
      <c r="A77" s="51" t="inlineStr">
        <is>
          <t>R2</t>
        </is>
      </c>
      <c r="B77" s="51" t="inlineStr">
        <is>
          <t>DEF-016</t>
        </is>
      </c>
      <c r="C77" s="51" t="inlineStr">
        <is>
          <t>C-02</t>
        </is>
      </c>
      <c r="D77" s="51" t="inlineStr">
        <is>
          <t>2026-09-24</t>
        </is>
      </c>
      <c r="E77" s="56" t="inlineStr">
        <is>
          <t>—（Owner 裁定列，本輪未修）</t>
        </is>
      </c>
      <c r="F77" s="56" t="inlineStr">
        <is>
          <t>—</t>
        </is>
      </c>
      <c r="G77" s="56" t="inlineStr">
        <is>
          <t>—</t>
        </is>
      </c>
      <c r="H77" s="56" t="inlineStr">
        <is>
          <t>—</t>
        </is>
      </c>
      <c r="I77" s="56" t="inlineStr">
        <is>
          <t>—</t>
        </is>
      </c>
      <c r="J77" s="56" t="inlineStr">
        <is>
          <t>—</t>
        </is>
      </c>
      <c r="K77" s="56" t="inlineStr">
        <is>
          <t>—</t>
        </is>
      </c>
      <c r="L77" s="56" t="inlineStr">
        <is>
          <t>—</t>
        </is>
      </c>
      <c r="M77" s="57" t="inlineStr">
        <is>
          <t>非複驗：Owner 裁定（驗證者整理 2～3 個方案供選，Owner 選定）</t>
        </is>
      </c>
      <c r="N77" s="57" t="inlineStr">
        <is>
          <t>裁定：入帳日（pay_date）晚於估值日的股利不進 XIRR；總報酬、現金池、XIRR 三個口徑都以實際入帳為準。</t>
        </is>
      </c>
      <c r="O77" s="57" t="inlineStr">
        <is>
          <t>改程式；C-02 補「pay_date 在未來的股利：入帳日前不計入 XIRR 與總報酬」</t>
        </is>
      </c>
      <c r="P77" s="57" t="inlineStr">
        <is>
          <t>FAIL</t>
        </is>
      </c>
      <c r="Q77" s="57" t="inlineStr">
        <is>
          <t>依裁定現行行為不符 → 狀態改「新開」交開發者</t>
        </is>
      </c>
      <c r="R77" s="57" t="inlineStr">
        <is>
          <t>檢驗方 2026-09-24</t>
        </is>
      </c>
    </row>
    <row r="78" ht="15" customHeight="1" s="34">
      <c r="A78" s="51" t="inlineStr">
        <is>
          <t>R2</t>
        </is>
      </c>
      <c r="B78" s="51" t="inlineStr">
        <is>
          <t>DEF-018</t>
        </is>
      </c>
      <c r="C78" s="51" t="inlineStr">
        <is>
          <t>C-04b</t>
        </is>
      </c>
      <c r="D78" s="51" t="inlineStr">
        <is>
          <t>2026-09-24</t>
        </is>
      </c>
      <c r="E78" s="56" t="inlineStr">
        <is>
          <t>—（Owner 裁定列，本輪未修）</t>
        </is>
      </c>
      <c r="F78" s="56" t="inlineStr">
        <is>
          <t>—</t>
        </is>
      </c>
      <c r="G78" s="56" t="inlineStr">
        <is>
          <t>—</t>
        </is>
      </c>
      <c r="H78" s="56" t="inlineStr">
        <is>
          <t>—</t>
        </is>
      </c>
      <c r="I78" s="56" t="inlineStr">
        <is>
          <t>—</t>
        </is>
      </c>
      <c r="J78" s="56" t="inlineStr">
        <is>
          <t>—</t>
        </is>
      </c>
      <c r="K78" s="56" t="inlineStr">
        <is>
          <t>—</t>
        </is>
      </c>
      <c r="L78" s="56" t="inlineStr">
        <is>
          <t>—</t>
        </is>
      </c>
      <c r="M78" s="57" t="inlineStr">
        <is>
          <t>非複驗：Owner 裁定（驗證者整理 2～3 個方案供選，Owner 選定）</t>
        </is>
      </c>
      <c r="N78" s="57" t="inlineStr">
        <is>
          <t>裁定：維持 DRIP 以 $0 成本入帳（股利折入成本模型）。</t>
        </is>
      </c>
      <c r="O78" s="57" t="inlineStr">
        <is>
          <t>改手冊：C-04b① 期望改為「股數增加、原始成本不變（$0 成本股），均價依股數重算；表單有說明」。請 owner／開發者下一輪同步 .md 與 F 欄</t>
        </is>
      </c>
      <c r="P78" s="57" t="inlineStr">
        <is>
          <t>複驗通過 → 結案</t>
        </is>
      </c>
      <c r="Q78" s="57" t="inlineStr">
        <is>
          <t>依裁定改判非缺陷；手冊期望待同步</t>
        </is>
      </c>
      <c r="R78" s="57" t="inlineStr">
        <is>
          <t>檢驗方 2026-09-24</t>
        </is>
      </c>
    </row>
    <row r="79" ht="15" customHeight="1" s="34">
      <c r="A79" s="51" t="inlineStr">
        <is>
          <t>R2</t>
        </is>
      </c>
      <c r="B79" s="51" t="inlineStr">
        <is>
          <t>DEF-025</t>
        </is>
      </c>
      <c r="C79" s="51" t="inlineStr">
        <is>
          <t>I-06</t>
        </is>
      </c>
      <c r="D79" s="51" t="inlineStr">
        <is>
          <t>2026-09-24</t>
        </is>
      </c>
      <c r="E79" s="56" t="inlineStr">
        <is>
          <t>—（Owner 裁定列，本輪未修）</t>
        </is>
      </c>
      <c r="F79" s="56" t="inlineStr">
        <is>
          <t>—</t>
        </is>
      </c>
      <c r="G79" s="56" t="inlineStr">
        <is>
          <t>—</t>
        </is>
      </c>
      <c r="H79" s="56" t="inlineStr">
        <is>
          <t>—</t>
        </is>
      </c>
      <c r="I79" s="56" t="inlineStr">
        <is>
          <t>—</t>
        </is>
      </c>
      <c r="J79" s="56" t="inlineStr">
        <is>
          <t>—</t>
        </is>
      </c>
      <c r="K79" s="56" t="inlineStr">
        <is>
          <t>—</t>
        </is>
      </c>
      <c r="L79" s="56" t="inlineStr">
        <is>
          <t>—</t>
        </is>
      </c>
      <c r="M79" s="57" t="inlineStr">
        <is>
          <t>非複驗：Owner 裁定（驗證者整理 2～3 個方案供選，Owner 選定）</t>
        </is>
      </c>
      <c r="N79" s="57" t="inlineStr">
        <is>
          <t>裁定：CSV 賣超列比照手動輸入：預設不勾選，確認框逐列點名並寫明「成本基礎會被永久捨棄」，勾選後才寫入。</t>
        </is>
      </c>
      <c r="O79" s="57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57" t="inlineStr">
        <is>
          <t>FAIL</t>
        </is>
      </c>
      <c r="Q79" s="57" t="inlineStr">
        <is>
          <t>依裁定現行行為不符 → 狀態改「新開」交開發者</t>
        </is>
      </c>
      <c r="R79" s="57" t="inlineStr">
        <is>
          <t>檢驗方 2026-09-24</t>
        </is>
      </c>
    </row>
    <row r="80" ht="15" customHeight="1" s="34">
      <c r="A80" s="51" t="inlineStr">
        <is>
          <t>R2</t>
        </is>
      </c>
      <c r="B80" s="51" t="inlineStr">
        <is>
          <t>DEF-033</t>
        </is>
      </c>
      <c r="C80" s="51" t="inlineStr">
        <is>
          <t>H-03</t>
        </is>
      </c>
      <c r="D80" s="51" t="inlineStr">
        <is>
          <t>2026-09-24</t>
        </is>
      </c>
      <c r="E80" s="56" t="inlineStr">
        <is>
          <t>—（Owner 裁定列，本輪未修）</t>
        </is>
      </c>
      <c r="F80" s="56" t="inlineStr">
        <is>
          <t>—</t>
        </is>
      </c>
      <c r="G80" s="56" t="inlineStr">
        <is>
          <t>—</t>
        </is>
      </c>
      <c r="H80" s="56" t="inlineStr">
        <is>
          <t>—</t>
        </is>
      </c>
      <c r="I80" s="56" t="inlineStr">
        <is>
          <t>—</t>
        </is>
      </c>
      <c r="J80" s="56" t="inlineStr">
        <is>
          <t>—</t>
        </is>
      </c>
      <c r="K80" s="56" t="inlineStr">
        <is>
          <t>—</t>
        </is>
      </c>
      <c r="L80" s="56" t="inlineStr">
        <is>
          <t>—</t>
        </is>
      </c>
      <c r="M80" s="57" t="inlineStr">
        <is>
          <t>非複驗：Owner 裁定（驗證者整理 2～3 個方案供選，Owner 選定）</t>
        </is>
      </c>
      <c r="N80" s="57" t="inlineStr">
        <is>
          <t>裁定：策略提示詞做完整版本記錄：每次儲存留一版，可檢視差異並回復任一版，洞察卡記錄生成時使用的版本。</t>
        </is>
      </c>
      <c r="O80" s="57" t="inlineStr">
        <is>
          <t>改程式；H-03 期望不變</t>
        </is>
      </c>
      <c r="P80" s="57" t="inlineStr">
        <is>
          <t>FAIL</t>
        </is>
      </c>
      <c r="Q80" s="57" t="inlineStr">
        <is>
          <t>依裁定現行行為不符 → 狀態改「新開」交開發者</t>
        </is>
      </c>
      <c r="R80" s="57" t="inlineStr">
        <is>
          <t>檢驗方 2026-09-24</t>
        </is>
      </c>
    </row>
    <row r="81" ht="15" customHeight="1" s="34">
      <c r="A81" s="51" t="inlineStr">
        <is>
          <t>R2</t>
        </is>
      </c>
      <c r="B81" s="51" t="inlineStr">
        <is>
          <t>DEF-039</t>
        </is>
      </c>
      <c r="C81" s="51" t="inlineStr">
        <is>
          <t>I-10</t>
        </is>
      </c>
      <c r="D81" s="51" t="inlineStr">
        <is>
          <t>2026-09-24</t>
        </is>
      </c>
      <c r="E81" s="56" t="inlineStr">
        <is>
          <t>—（本輪由檢驗方發現／Owner 裁定）</t>
        </is>
      </c>
      <c r="F81" s="56" t="inlineStr">
        <is>
          <t>—</t>
        </is>
      </c>
      <c r="G81" s="56" t="inlineStr">
        <is>
          <t>—</t>
        </is>
      </c>
      <c r="H81" s="56" t="inlineStr">
        <is>
          <t>—</t>
        </is>
      </c>
      <c r="I81" s="56" t="inlineStr">
        <is>
          <t>—</t>
        </is>
      </c>
      <c r="J81" s="56" t="inlineStr">
        <is>
          <t>—</t>
        </is>
      </c>
      <c r="K81" s="56" t="inlineStr">
        <is>
          <t>—</t>
        </is>
      </c>
      <c r="L81" s="56" t="inlineStr">
        <is>
          <t>—</t>
        </is>
      </c>
      <c r="M81" s="57" t="inlineStr">
        <is>
          <t>真實瀏覽器走完 DEF-027 的券商對帳單流程，讀賣超列的提示文字</t>
        </is>
      </c>
      <c r="N81" s="57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57" t="inlineStr">
        <is>
          <t>提示顯示 28 位小數；缺口數值正確</t>
        </is>
      </c>
      <c r="P81" s="57" t="inlineStr">
        <is>
          <t>FAIL</t>
        </is>
      </c>
      <c r="Q81" s="57" t="inlineStr">
        <is>
          <t>開 DEF-039</t>
        </is>
      </c>
      <c r="R81" s="57" t="inlineStr">
        <is>
          <t>檢驗方 2026-09-24</t>
        </is>
      </c>
    </row>
    <row r="82" ht="15" customHeight="1" s="34">
      <c r="A82" s="51" t="inlineStr">
        <is>
          <t>R2</t>
        </is>
      </c>
      <c r="B82" s="51" t="inlineStr">
        <is>
          <t>DEF-040</t>
        </is>
      </c>
      <c r="C82" s="51" t="inlineStr">
        <is>
          <t>D-10</t>
        </is>
      </c>
      <c r="D82" s="51" t="inlineStr">
        <is>
          <t>2026-09-24</t>
        </is>
      </c>
      <c r="E82" s="56" t="inlineStr">
        <is>
          <t>—（本輪由檢驗方發現／Owner 裁定）</t>
        </is>
      </c>
      <c r="F82" s="56" t="inlineStr">
        <is>
          <t>—</t>
        </is>
      </c>
      <c r="G82" s="56" t="inlineStr">
        <is>
          <t>—</t>
        </is>
      </c>
      <c r="H82" s="56" t="inlineStr">
        <is>
          <t>—</t>
        </is>
      </c>
      <c r="I82" s="56" t="inlineStr">
        <is>
          <t>—</t>
        </is>
      </c>
      <c r="J82" s="56" t="inlineStr">
        <is>
          <t>—</t>
        </is>
      </c>
      <c r="K82" s="56" t="inlineStr">
        <is>
          <t>—</t>
        </is>
      </c>
      <c r="L82" s="56" t="inlineStr">
        <is>
          <t>—</t>
        </is>
      </c>
      <c r="M82" s="57" t="inlineStr">
        <is>
          <t>開發者交接觀察，未另行黑箱重現（刪除不回收已由程式碼與開發者說明確認）</t>
        </is>
      </c>
      <c r="N82" s="57" t="inlineStr">
        <is>
          <t>Owner 裁定為需修正的行為，轉開發者</t>
        </is>
      </c>
      <c r="O82" s="57" t="inlineStr">
        <is>
          <t>—</t>
        </is>
      </c>
      <c r="P82" s="57" t="inlineStr">
        <is>
          <t>FAIL</t>
        </is>
      </c>
      <c r="Q82" s="57" t="inlineStr">
        <is>
          <t>開 DEF-040（OBS-1）</t>
        </is>
      </c>
      <c r="R82" s="57" t="inlineStr">
        <is>
          <t>檢驗方 2026-09-24</t>
        </is>
      </c>
    </row>
    <row r="83" ht="15" customHeight="1" s="34">
      <c r="A83" s="51" t="inlineStr">
        <is>
          <t>R2</t>
        </is>
      </c>
      <c r="B83" s="51" t="inlineStr">
        <is>
          <t>DEF-041</t>
        </is>
      </c>
      <c r="C83" s="51" t="inlineStr">
        <is>
          <t>G-09</t>
        </is>
      </c>
      <c r="D83" s="51" t="inlineStr">
        <is>
          <t>2026-09-24</t>
        </is>
      </c>
      <c r="E83" s="56" t="inlineStr">
        <is>
          <t>—（本輪由檢驗方發現／Owner 裁定）</t>
        </is>
      </c>
      <c r="F83" s="56" t="inlineStr">
        <is>
          <t>—</t>
        </is>
      </c>
      <c r="G83" s="56" t="inlineStr">
        <is>
          <t>—</t>
        </is>
      </c>
      <c r="H83" s="56" t="inlineStr">
        <is>
          <t>—</t>
        </is>
      </c>
      <c r="I83" s="56" t="inlineStr">
        <is>
          <t>—</t>
        </is>
      </c>
      <c r="J83" s="56" t="inlineStr">
        <is>
          <t>—</t>
        </is>
      </c>
      <c r="K83" s="56" t="inlineStr">
        <is>
          <t>—</t>
        </is>
      </c>
      <c r="L83" s="56" t="inlineStr">
        <is>
          <t>—</t>
        </is>
      </c>
      <c r="M83" s="57" t="inlineStr">
        <is>
          <t>R2 三次 alert_scan（#181～#183）讀 /api/alerts 與派發數</t>
        </is>
      </c>
      <c r="N83" s="57" t="inlineStr">
        <is>
          <t>觀察：觀察標的仍在預警清單且屬 on_alert 訂閱規則；Owner 裁定只派發持有中標的</t>
        </is>
      </c>
      <c r="O83" s="57" t="inlineStr">
        <is>
          <t>19 條預警中 7 條為觀察標的的 drawdown_from_peak</t>
        </is>
      </c>
      <c r="P83" s="57" t="inlineStr">
        <is>
          <t>FAIL</t>
        </is>
      </c>
      <c r="Q83" s="57" t="inlineStr">
        <is>
          <t>開 DEF-041（OBS-2）</t>
        </is>
      </c>
      <c r="R83" s="57" t="inlineStr">
        <is>
          <t>檢驗方 2026-09-24</t>
        </is>
      </c>
    </row>
    <row r="84" ht="15" customHeight="1" s="34">
      <c r="A84" s="51" t="inlineStr">
        <is>
          <t>R2</t>
        </is>
      </c>
      <c r="B84" s="51" t="inlineStr">
        <is>
          <t>DEF-042</t>
        </is>
      </c>
      <c r="C84" s="51" t="inlineStr">
        <is>
          <t>B-17</t>
        </is>
      </c>
      <c r="D84" s="51" t="inlineStr">
        <is>
          <t>2026-09-24</t>
        </is>
      </c>
      <c r="E84" s="56" t="inlineStr">
        <is>
          <t>—（本輪由檢驗方發現／Owner 裁定）</t>
        </is>
      </c>
      <c r="F84" s="56" t="inlineStr">
        <is>
          <t>—</t>
        </is>
      </c>
      <c r="G84" s="56" t="inlineStr">
        <is>
          <t>—</t>
        </is>
      </c>
      <c r="H84" s="56" t="inlineStr">
        <is>
          <t>—</t>
        </is>
      </c>
      <c r="I84" s="56" t="inlineStr">
        <is>
          <t>—</t>
        </is>
      </c>
      <c r="J84" s="56" t="inlineStr">
        <is>
          <t>—</t>
        </is>
      </c>
      <c r="K84" s="56" t="inlineStr">
        <is>
          <t>—</t>
        </is>
      </c>
      <c r="L84" s="56" t="inlineStr">
        <is>
          <t>—</t>
        </is>
      </c>
      <c r="M84" s="57" t="inlineStr">
        <is>
          <t>真實瀏覽器 J-03：寫入 #104 → 編輯價格 → 刪除；讀 PUT 本文與回應</t>
        </is>
      </c>
      <c r="N84" s="57" t="inlineStr">
        <is>
          <t>觀察：PUT 回 {ok, fee, tax}，無 issues；開發者自述 ledgers.py 更正門不走驗證器（跨包白名單 1）。Owner 裁定要統一</t>
        </is>
      </c>
      <c r="O84" s="57" t="inlineStr">
        <is>
          <t>編輯成功、統計正確（均價 69.7→71.7）；無日期類提示</t>
        </is>
      </c>
      <c r="P84" s="57" t="inlineStr">
        <is>
          <t>FAIL</t>
        </is>
      </c>
      <c r="Q84" s="57" t="inlineStr">
        <is>
          <t>開 DEF-042（OBS-3）</t>
        </is>
      </c>
      <c r="R84" s="57" t="inlineStr">
        <is>
          <t>檢驗方 2026-09-24</t>
        </is>
      </c>
    </row>
    <row r="85" ht="15" customHeight="1" s="34">
      <c r="A85" s="51" t="inlineStr">
        <is>
          <t>R2</t>
        </is>
      </c>
      <c r="B85" s="51" t="inlineStr">
        <is>
          <t>DEF-043</t>
        </is>
      </c>
      <c r="C85" s="51" t="inlineStr">
        <is>
          <t>H-05</t>
        </is>
      </c>
      <c r="D85" s="51" t="inlineStr">
        <is>
          <t>2026-09-24</t>
        </is>
      </c>
      <c r="E85" s="56" t="inlineStr">
        <is>
          <t>—（本輪由檢驗方發現／Owner 裁定）</t>
        </is>
      </c>
      <c r="F85" s="56" t="inlineStr">
        <is>
          <t>—</t>
        </is>
      </c>
      <c r="G85" s="56" t="inlineStr">
        <is>
          <t>—</t>
        </is>
      </c>
      <c r="H85" s="56" t="inlineStr">
        <is>
          <t>—</t>
        </is>
      </c>
      <c r="I85" s="56" t="inlineStr">
        <is>
          <t>—</t>
        </is>
      </c>
      <c r="J85" s="56" t="inlineStr">
        <is>
          <t>—</t>
        </is>
      </c>
      <c r="K85" s="56" t="inlineStr">
        <is>
          <t>—</t>
        </is>
      </c>
      <c r="L85" s="56" t="inlineStr">
        <is>
          <t>—</t>
        </is>
      </c>
      <c r="M85" s="57" t="inlineStr">
        <is>
          <t>真實瀏覽器讀洞察管線任務卡；對照 /api/scheduler/runs 的 insight:9 自動 run</t>
        </is>
      </c>
      <c r="N85" s="57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57" t="inlineStr">
        <is>
          <t>觸發節點誤報 warn；需注意計數多 1</t>
        </is>
      </c>
      <c r="P85" s="57" t="inlineStr">
        <is>
          <t>FAIL</t>
        </is>
      </c>
      <c r="Q85" s="57" t="inlineStr">
        <is>
          <t>開 DEF-043</t>
        </is>
      </c>
      <c r="R85" s="57" t="inlineStr">
        <is>
          <t>檢驗方 2026-09-24</t>
        </is>
      </c>
    </row>
    <row r="86" ht="15" customHeight="1" s="34">
      <c r="A86" s="51" t="inlineStr">
        <is>
          <t>R2</t>
        </is>
      </c>
      <c r="B86" s="51" t="inlineStr">
        <is>
          <t>DEF-044</t>
        </is>
      </c>
      <c r="C86" s="51" t="inlineStr">
        <is>
          <t>G-09</t>
        </is>
      </c>
      <c r="D86" s="51" t="inlineStr">
        <is>
          <t>2026-09-24</t>
        </is>
      </c>
      <c r="E86" s="56" t="inlineStr">
        <is>
          <t>—（本輪由檢驗方發現／Owner 裁定）</t>
        </is>
      </c>
      <c r="F86" s="56" t="inlineStr">
        <is>
          <t>—</t>
        </is>
      </c>
      <c r="G86" s="56" t="inlineStr">
        <is>
          <t>—</t>
        </is>
      </c>
      <c r="H86" s="56" t="inlineStr">
        <is>
          <t>—</t>
        </is>
      </c>
      <c r="I86" s="56" t="inlineStr">
        <is>
          <t>—</t>
        </is>
      </c>
      <c r="J86" s="56" t="inlineStr">
        <is>
          <t>—</t>
        </is>
      </c>
      <c r="K86" s="56" t="inlineStr">
        <is>
          <t>—</t>
        </is>
      </c>
      <c r="L86" s="56" t="inlineStr">
        <is>
          <t>—</t>
        </is>
      </c>
      <c r="M86" s="57" t="inlineStr">
        <is>
          <t>真實瀏覽器讀排程中心列文字；grep web/*.html 的 script 標籤</t>
        </is>
      </c>
      <c r="N86" s="57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57" t="inlineStr">
        <is>
          <t>5 頁缺 names.js；排程中心顯示原始 id</t>
        </is>
      </c>
      <c r="P86" s="57" t="inlineStr">
        <is>
          <t>FAIL</t>
        </is>
      </c>
      <c r="Q86" s="57" t="inlineStr">
        <is>
          <t>開 DEF-044</t>
        </is>
      </c>
      <c r="R86" s="57" t="inlineStr">
        <is>
          <t>檢驗方 2026-09-24</t>
        </is>
      </c>
    </row>
    <row r="87" ht="15" customHeight="1" s="34">
      <c r="A87" s="51" t="inlineStr">
        <is>
          <t>R2</t>
        </is>
      </c>
      <c r="B87" s="51" t="inlineStr">
        <is>
          <t>DEF-045</t>
        </is>
      </c>
      <c r="C87" s="51" t="inlineStr">
        <is>
          <t>J-04</t>
        </is>
      </c>
      <c r="D87" s="51" t="inlineStr">
        <is>
          <t>2026-09-24</t>
        </is>
      </c>
      <c r="E87" s="56" t="inlineStr">
        <is>
          <t>—（本輪由檢驗方發現／Owner 裁定）</t>
        </is>
      </c>
      <c r="F87" s="56" t="inlineStr">
        <is>
          <t>—</t>
        </is>
      </c>
      <c r="G87" s="56" t="inlineStr">
        <is>
          <t>—</t>
        </is>
      </c>
      <c r="H87" s="56" t="inlineStr">
        <is>
          <t>—</t>
        </is>
      </c>
      <c r="I87" s="56" t="inlineStr">
        <is>
          <t>—</t>
        </is>
      </c>
      <c r="J87" s="56" t="inlineStr">
        <is>
          <t>—</t>
        </is>
      </c>
      <c r="K87" s="56" t="inlineStr">
        <is>
          <t>—</t>
        </is>
      </c>
      <c r="L87" s="56" t="inlineStr">
        <is>
          <t>—</t>
        </is>
      </c>
      <c r="M87" s="57" t="inlineStr">
        <is>
          <t>真實瀏覽器下載（攔截）帳本報告，搜尋帳戶名</t>
        </is>
      </c>
      <c r="N87" s="57" t="inlineStr">
        <is>
          <t>觀察：報告為英文名
定位：ledgers_report.py:439 取 accounts.name
判定：FAIL（低）</t>
        </is>
      </c>
      <c r="O87" s="57" t="inlineStr">
        <is>
          <t>報告 8 處以上英文帳戶名</t>
        </is>
      </c>
      <c r="P87" s="57" t="inlineStr">
        <is>
          <t>FAIL</t>
        </is>
      </c>
      <c r="Q87" s="57" t="inlineStr">
        <is>
          <t>開 DEF-045</t>
        </is>
      </c>
      <c r="R87" s="57" t="inlineStr">
        <is>
          <t>檢驗方 2026-09-24</t>
        </is>
      </c>
    </row>
    <row r="88" ht="15" customHeight="1" s="34">
      <c r="A88" s="51" t="inlineStr">
        <is>
          <t>R2</t>
        </is>
      </c>
      <c r="B88" s="51" t="inlineStr">
        <is>
          <t>DEF-046</t>
        </is>
      </c>
      <c r="C88" s="51" t="inlineStr">
        <is>
          <t>G-09</t>
        </is>
      </c>
      <c r="D88" s="51" t="inlineStr">
        <is>
          <t>2026-09-24</t>
        </is>
      </c>
      <c r="E88" s="56" t="inlineStr">
        <is>
          <t>—（本輪由檢驗方發現／Owner 裁定）</t>
        </is>
      </c>
      <c r="F88" s="56" t="inlineStr">
        <is>
          <t>—</t>
        </is>
      </c>
      <c r="G88" s="56" t="inlineStr">
        <is>
          <t>—</t>
        </is>
      </c>
      <c r="H88" s="56" t="inlineStr">
        <is>
          <t>—</t>
        </is>
      </c>
      <c r="I88" s="56" t="inlineStr">
        <is>
          <t>—</t>
        </is>
      </c>
      <c r="J88" s="56" t="inlineStr">
        <is>
          <t>—</t>
        </is>
      </c>
      <c r="K88" s="56" t="inlineStr">
        <is>
          <t>—</t>
        </is>
      </c>
      <c r="L88" s="56" t="inlineStr">
        <is>
          <t>—</t>
        </is>
      </c>
      <c r="M88" s="57" t="inlineStr">
        <is>
          <t>真實瀏覽器讀持倉健診清單</t>
        </is>
      </c>
      <c r="N88" s="57" t="inlineStr">
        <is>
          <t>觀察：錯誤卡仍在。屬修復前寫入的舊資料，程式已正確 → 依 §分類為資料殘留，交 owner 裁定</t>
        </is>
      </c>
      <c r="O88" s="57" t="inlineStr">
        <is>
          <t>卡片仍在</t>
        </is>
      </c>
      <c r="P88" s="57" t="inlineStr">
        <is>
          <t>待裁定</t>
        </is>
      </c>
      <c r="Q88" s="57" t="inlineStr">
        <is>
          <t>開 DEF-046，Owner 已裁定刪除</t>
        </is>
      </c>
      <c r="R88" s="57" t="inlineStr">
        <is>
          <t>檢驗方 2026-09-24</t>
        </is>
      </c>
    </row>
    <row r="89" ht="15" customHeight="1" s="34">
      <c r="A89" s="51" t="inlineStr">
        <is>
          <t>R2</t>
        </is>
      </c>
      <c r="B89" s="51" t="inlineStr">
        <is>
          <t>DEF-047</t>
        </is>
      </c>
      <c r="C89" s="51" t="inlineStr">
        <is>
          <t>C-01</t>
        </is>
      </c>
      <c r="D89" s="51" t="inlineStr">
        <is>
          <t>2026-09-24</t>
        </is>
      </c>
      <c r="E89" s="56" t="inlineStr">
        <is>
          <t>—（本輪由檢驗方發現／Owner 裁定）</t>
        </is>
      </c>
      <c r="F89" s="56" t="inlineStr">
        <is>
          <t>—</t>
        </is>
      </c>
      <c r="G89" s="56" t="inlineStr">
        <is>
          <t>—</t>
        </is>
      </c>
      <c r="H89" s="56" t="inlineStr">
        <is>
          <t>—</t>
        </is>
      </c>
      <c r="I89" s="56" t="inlineStr">
        <is>
          <t>—</t>
        </is>
      </c>
      <c r="J89" s="56" t="inlineStr">
        <is>
          <t>—</t>
        </is>
      </c>
      <c r="K89" s="56" t="inlineStr">
        <is>
          <t>—</t>
        </is>
      </c>
      <c r="L89" s="56" t="inlineStr">
        <is>
          <t>—</t>
        </is>
      </c>
      <c r="M89" s="57" t="inlineStr">
        <is>
          <t>真實瀏覽器按重新偵測，讀 refreshed.failed</t>
        </is>
      </c>
      <c r="N89" s="57" t="inlineStr">
        <is>
          <t>觀察：failed 內只有「無配息資料」一類原因
判定：規格未定，交 owner</t>
        </is>
      </c>
      <c r="O89" s="57" t="inlineStr">
        <is>
          <t>TSLA 被列為失敗</t>
        </is>
      </c>
      <c r="P89" s="57" t="inlineStr">
        <is>
          <t>待裁定</t>
        </is>
      </c>
      <c r="Q89" s="57" t="inlineStr">
        <is>
          <t>開 DEF-047，Owner 已裁定</t>
        </is>
      </c>
      <c r="R89" s="57" t="inlineStr">
        <is>
          <t>檢驗方 2026-09-24</t>
        </is>
      </c>
    </row>
    <row r="90" ht="15" customHeight="1" s="34">
      <c r="A90" s="51" t="inlineStr">
        <is>
          <t>R2</t>
        </is>
      </c>
      <c r="B90" s="51" t="inlineStr">
        <is>
          <t>DEF-048</t>
        </is>
      </c>
      <c r="C90" s="51" t="inlineStr">
        <is>
          <t>B-17</t>
        </is>
      </c>
      <c r="D90" s="51" t="inlineStr">
        <is>
          <t>2026-09-24</t>
        </is>
      </c>
      <c r="E90" s="56" t="inlineStr">
        <is>
          <t>—（本輪由檢驗方發現／Owner 裁定）</t>
        </is>
      </c>
      <c r="F90" s="56" t="inlineStr">
        <is>
          <t>—</t>
        </is>
      </c>
      <c r="G90" s="56" t="inlineStr">
        <is>
          <t>—</t>
        </is>
      </c>
      <c r="H90" s="56" t="inlineStr">
        <is>
          <t>—</t>
        </is>
      </c>
      <c r="I90" s="56" t="inlineStr">
        <is>
          <t>—</t>
        </is>
      </c>
      <c r="J90" s="56" t="inlineStr">
        <is>
          <t>—</t>
        </is>
      </c>
      <c r="K90" s="56" t="inlineStr">
        <is>
          <t>—</t>
        </is>
      </c>
      <c r="L90" s="56" t="inlineStr">
        <is>
          <t>—</t>
        </is>
      </c>
      <c r="M90" s="57" t="inlineStr">
        <is>
          <t>真實瀏覽器 DEF-014 複驗時的兩個草稿</t>
        </is>
      </c>
      <c r="N90" s="57" t="inlineStr">
        <is>
          <t>觀察：position_preview.old_shares＝目前持股
判定：規格未定，交 owner</t>
        </is>
      </c>
      <c r="O90" s="57" t="inlineStr">
        <is>
          <t>草稿持股為今天的持股</t>
        </is>
      </c>
      <c r="P90" s="57" t="inlineStr">
        <is>
          <t>待裁定</t>
        </is>
      </c>
      <c r="Q90" s="57" t="inlineStr">
        <is>
          <t>開 DEF-048，Owner 已裁定</t>
        </is>
      </c>
      <c r="R90" s="57" t="inlineStr">
        <is>
          <t>檢驗方 2026-09-24</t>
        </is>
      </c>
    </row>
    <row r="91" ht="220" customHeight="1" s="34">
      <c r="A91" s="51" t="inlineStr">
        <is>
          <t>R3</t>
        </is>
      </c>
      <c r="B91" s="51" t="inlineStr">
        <is>
          <t>DEF-023</t>
        </is>
      </c>
      <c r="C91" s="51" t="inlineStr">
        <is>
          <t>D-11</t>
        </is>
      </c>
      <c r="D91" s="51" t="inlineStr">
        <is>
          <t>2026-09-24</t>
        </is>
      </c>
      <c r="E91" s="56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56" t="inlineStr">
        <is>
          <t>web/app.js:112 `renderUnappliedBanner();`（位於 web/app.js:100 `if (!syms.length || !page) return;` 之後）</t>
        </is>
      </c>
      <c r="G91" s="56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56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56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56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56" t="inlineStr">
        <is>
          <t>4655845（已部署 demo）</t>
        </is>
      </c>
      <c r="L9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57" t="n"/>
      <c r="N91" s="57" t="n"/>
      <c r="O91" s="57" t="n"/>
      <c r="P91" s="57" t="n"/>
      <c r="Q91" s="57" t="n"/>
      <c r="R91" s="57" t="n"/>
    </row>
    <row r="92" ht="220" customHeight="1" s="34">
      <c r="A92" s="51" t="inlineStr">
        <is>
          <t>R3</t>
        </is>
      </c>
      <c r="B92" s="51" t="inlineStr">
        <is>
          <t>DEF-017</t>
        </is>
      </c>
      <c r="C92" s="51" t="inlineStr">
        <is>
          <t>C-04</t>
        </is>
      </c>
      <c r="D92" s="51" t="inlineStr">
        <is>
          <t>2026-09-24</t>
        </is>
      </c>
      <c r="E92" s="56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56" t="inlineStr">
        <is>
          <t>web/input.js:2752 `if (!o.external &amp;&amp; window.pdReloadImportBatches) {`；web/broker-import.js:237 `body: '將刪除這批匯入寫進帳本的 ' + b.row_count + ' 筆'`</t>
        </is>
      </c>
      <c r="G92" s="56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56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56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56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56" t="inlineStr">
        <is>
          <t>4655845（已部署 demo）</t>
        </is>
      </c>
      <c r="L9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57" t="n"/>
      <c r="N92" s="57" t="n"/>
      <c r="O92" s="57" t="n"/>
      <c r="P92" s="57" t="n"/>
      <c r="Q92" s="57" t="n"/>
      <c r="R92" s="57" t="n"/>
    </row>
    <row r="93" ht="220" customHeight="1" s="34">
      <c r="A93" s="51" t="inlineStr">
        <is>
          <t>R3</t>
        </is>
      </c>
      <c r="B93" s="51" t="inlineStr">
        <is>
          <t>DEF-025</t>
        </is>
      </c>
      <c r="C93" s="51" t="inlineStr">
        <is>
          <t>I-06</t>
        </is>
      </c>
      <c r="D93" s="51" t="inlineStr">
        <is>
          <t>2026-09-24</t>
        </is>
      </c>
      <c r="E93" s="56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56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56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56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56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56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56" t="inlineStr">
        <is>
          <t>4655845（已部署 demo）</t>
        </is>
      </c>
      <c r="L9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57" t="n"/>
      <c r="N93" s="57" t="n"/>
      <c r="O93" s="57" t="n"/>
      <c r="P93" s="57" t="n"/>
      <c r="Q93" s="57" t="n"/>
      <c r="R93" s="57" t="n"/>
    </row>
    <row r="94" ht="220" customHeight="1" s="34">
      <c r="A94" s="51" t="inlineStr">
        <is>
          <t>R3</t>
        </is>
      </c>
      <c r="B94" s="51" t="inlineStr">
        <is>
          <t>DEF-033</t>
        </is>
      </c>
      <c r="C94" s="51" t="inlineStr">
        <is>
          <t>H-03</t>
        </is>
      </c>
      <c r="D94" s="51" t="inlineStr">
        <is>
          <t>2026-09-24</t>
        </is>
      </c>
      <c r="E94" s="56" t="inlineStr">
        <is>
          <t>同意，依 owner 裁定實作完整版本記錄。「同步官方」確認框自己寫「你的自訂修改將遺失」；洞察卡也不記錄生成時用了哪一版。</t>
        </is>
      </c>
      <c r="F94" s="56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56" t="inlineStr">
        <is>
          <t>沒有守門（規格未定，從未要求版本記錄）。新守門全部驗行為：store 13 則、API 契約 10 則、Playwright e2e 1 則、Node 執行頁面函式 1 則。</t>
        </is>
      </c>
      <c r="H94" s="56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56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56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56" t="inlineStr">
        <is>
          <t>4655845（已部署 demo）</t>
        </is>
      </c>
      <c r="L9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57" t="n"/>
      <c r="N94" s="57" t="n"/>
      <c r="O94" s="57" t="n"/>
      <c r="P94" s="57" t="n"/>
      <c r="Q94" s="57" t="n"/>
      <c r="R94" s="57" t="n"/>
    </row>
    <row r="95" ht="220" customHeight="1" s="34">
      <c r="A95" s="51" t="inlineStr">
        <is>
          <t>R3</t>
        </is>
      </c>
      <c r="B95" s="51" t="inlineStr">
        <is>
          <t>DEF-042</t>
        </is>
      </c>
      <c r="C95" s="51" t="inlineStr">
        <is>
          <t>B-17</t>
        </is>
      </c>
      <c r="D95" s="51" t="inlineStr">
        <is>
          <t>2026-09-24</t>
        </is>
      </c>
      <c r="E95" s="56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56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56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56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56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56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56" t="inlineStr">
        <is>
          <t>4655845（已部署 demo）</t>
        </is>
      </c>
      <c r="L9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57" t="n"/>
      <c r="N95" s="57" t="n"/>
      <c r="O95" s="57" t="n"/>
      <c r="P95" s="57" t="n"/>
      <c r="Q95" s="57" t="n"/>
      <c r="R95" s="57" t="n"/>
    </row>
    <row r="96" ht="220" customHeight="1" s="34">
      <c r="A96" s="51" t="inlineStr">
        <is>
          <t>R3</t>
        </is>
      </c>
      <c r="B96" s="51" t="inlineStr">
        <is>
          <t>DEF-003</t>
        </is>
      </c>
      <c r="C96" s="51" t="inlineStr">
        <is>
          <t>G-06</t>
        </is>
      </c>
      <c r="D96" s="51" t="inlineStr">
        <is>
          <t>2026-09-24</t>
        </is>
      </c>
      <c r="E96" s="56" t="inlineStr">
        <is>
          <t>同意，依 owner 裁定實作：以 prediction 為準。demo 上 40 張無預測卡有 25 張帶信心值，所以 #182 顯示「信心 0%」。</t>
        </is>
      </c>
      <c r="F96" s="56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56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56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56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56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56" t="inlineStr">
        <is>
          <t>4655845（已部署 demo）</t>
        </is>
      </c>
      <c r="L9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57" t="n"/>
      <c r="N96" s="57" t="n"/>
      <c r="O96" s="57" t="n"/>
      <c r="P96" s="57" t="n"/>
      <c r="Q96" s="57" t="n"/>
      <c r="R96" s="57" t="n"/>
    </row>
    <row r="97" ht="220" customHeight="1" s="34">
      <c r="A97" s="51" t="inlineStr">
        <is>
          <t>R3</t>
        </is>
      </c>
      <c r="B97" s="51" t="inlineStr">
        <is>
          <t>DEF-009</t>
        </is>
      </c>
      <c r="C97" s="51" t="inlineStr">
        <is>
          <t>A-11</t>
        </is>
      </c>
      <c r="D97" s="51" t="inlineStr">
        <is>
          <t>2026-09-24</t>
        </is>
      </c>
      <c r="E97" s="56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56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56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56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56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56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56" t="inlineStr">
        <is>
          <t>4655845（已部署 demo）</t>
        </is>
      </c>
      <c r="L9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57" t="n"/>
      <c r="N97" s="57" t="n"/>
      <c r="O97" s="57" t="n"/>
      <c r="P97" s="57" t="n"/>
      <c r="Q97" s="57" t="n"/>
      <c r="R97" s="57" t="n"/>
    </row>
    <row r="98" ht="220" customHeight="1" s="34">
      <c r="A98" s="51" t="inlineStr">
        <is>
          <t>R3</t>
        </is>
      </c>
      <c r="B98" s="51" t="inlineStr">
        <is>
          <t>DEF-010</t>
        </is>
      </c>
      <c r="C98" s="51" t="inlineStr">
        <is>
          <t>B-16</t>
        </is>
      </c>
      <c r="D98" s="51" t="inlineStr">
        <is>
          <t>2026-09-24</t>
        </is>
      </c>
      <c r="E98" s="56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56" t="inlineStr">
        <is>
          <t>portfolio_dash/api/rebates.py:261 `trade_expected = forecast_tw_rebate(t.fees, rate)`；portfolio_dash/api/routers/input_center.py:901；portfolio_dash/strategy/rebalance.py:403</t>
        </is>
      </c>
      <c r="G98" s="56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56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56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56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56" t="inlineStr">
        <is>
          <t>4655845（已部署 demo）</t>
        </is>
      </c>
      <c r="L9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57" t="n"/>
      <c r="N98" s="57" t="n"/>
      <c r="O98" s="57" t="n"/>
      <c r="P98" s="57" t="n"/>
      <c r="Q98" s="57" t="n"/>
      <c r="R98" s="57" t="n"/>
    </row>
    <row r="99" ht="220" customHeight="1" s="34">
      <c r="A99" s="51" t="inlineStr">
        <is>
          <t>R3</t>
        </is>
      </c>
      <c r="B99" s="51" t="inlineStr">
        <is>
          <t>DEF-013</t>
        </is>
      </c>
      <c r="C99" s="51" t="inlineStr">
        <is>
          <t>B-10</t>
        </is>
      </c>
      <c r="D99" s="51" t="inlineStr">
        <is>
          <t>2026-09-24</t>
        </is>
      </c>
      <c r="E99" s="56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56" t="inlineStr">
        <is>
          <t>web/ledger.js:638 `tdSide.appendChild(dirChip(t.side));`；portfolio_dash/api/routers/ledgers.py:205（交易列 wire 無 daytrade）</t>
        </is>
      </c>
      <c r="G99" s="56" t="inlineStr">
        <is>
          <t>沒有任何測試涵蓋兩旗標同時勾選或帳本列標示。新增契約 4 則＋e2e 1 則。</t>
        </is>
      </c>
      <c r="H99" s="56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56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56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56" t="inlineStr">
        <is>
          <t>4655845（已部署 demo）</t>
        </is>
      </c>
      <c r="L9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57" t="n"/>
      <c r="N99" s="57" t="n"/>
      <c r="O99" s="57" t="n"/>
      <c r="P99" s="57" t="n"/>
      <c r="Q99" s="57" t="n"/>
      <c r="R99" s="57" t="n"/>
    </row>
    <row r="100" ht="220" customHeight="1" s="34">
      <c r="A100" s="51" t="inlineStr">
        <is>
          <t>R3</t>
        </is>
      </c>
      <c r="B100" s="51" t="inlineStr">
        <is>
          <t>DEF-016</t>
        </is>
      </c>
      <c r="C100" s="51" t="inlineStr">
        <is>
          <t>C-02</t>
        </is>
      </c>
      <c r="D100" s="51" t="inlineStr">
        <is>
          <t>2026-09-24</t>
        </is>
      </c>
      <c r="E100" s="56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56" t="inlineStr">
        <is>
          <t>portfolio_dash/portfolio/dashboard.py:491 `book = build_book(bundle, allow_oversell=True)`；portfolio_dash/portfolio/returns.py:215 `add(dv.date, ccy_of(dv.symbol), dv.net)`</t>
        </is>
      </c>
      <c r="G100" s="56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56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56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56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56" t="inlineStr">
        <is>
          <t>4655845（已部署 demo）</t>
        </is>
      </c>
      <c r="L100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57" t="n"/>
      <c r="N100" s="57" t="n"/>
      <c r="O100" s="57" t="n"/>
      <c r="P100" s="57" t="n"/>
      <c r="Q100" s="57" t="n"/>
      <c r="R100" s="57" t="n"/>
    </row>
    <row r="101" ht="220" customHeight="1" s="34">
      <c r="A101" s="51" t="inlineStr">
        <is>
          <t>R3</t>
        </is>
      </c>
      <c r="B101" s="51" t="inlineStr">
        <is>
          <t>DEF-039</t>
        </is>
      </c>
      <c r="C101" s="51" t="inlineStr">
        <is>
          <t>I-10</t>
        </is>
      </c>
      <c r="D101" s="51" t="inlineStr">
        <is>
          <t>2026-09-24</t>
        </is>
      </c>
      <c r="E101" s="56" t="inlineStr">
        <is>
          <t>同意驗證者。</t>
        </is>
      </c>
      <c r="F101" s="56" t="inlineStr">
        <is>
          <t>web/broker-import.js:600 `'帳本' + asOf + '已持有 ' + o.ledger_shares + ' 股'`（同段 :601、:607、:608 同寫法）</t>
        </is>
      </c>
      <c r="G101" s="56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56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56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56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56" t="inlineStr">
        <is>
          <t>4655845（已部署 demo）</t>
        </is>
      </c>
      <c r="L10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57" t="n"/>
      <c r="N101" s="57" t="n"/>
      <c r="O101" s="57" t="n"/>
      <c r="P101" s="57" t="n"/>
      <c r="Q101" s="57" t="n"/>
      <c r="R101" s="57" t="n"/>
    </row>
    <row r="102" ht="220" customHeight="1" s="34">
      <c r="A102" s="51" t="inlineStr">
        <is>
          <t>R3</t>
        </is>
      </c>
      <c r="B102" s="51" t="inlineStr">
        <is>
          <t>DEF-040</t>
        </is>
      </c>
      <c r="C102" s="51" t="inlineStr">
        <is>
          <t>D-10</t>
        </is>
      </c>
      <c r="D102" s="51" t="inlineStr">
        <is>
          <t>2026-09-24</t>
        </is>
      </c>
      <c r="E102" s="56" t="inlineStr">
        <is>
          <t>同意，依 owner 裁定實作：刪除分拆時一併移除它寫入、且之後未被正式報價覆蓋的子公司起始價；不可移除時在刪除框與 toast 說明原因。</t>
        </is>
      </c>
      <c r="F102" s="56" t="inlineStr">
        <is>
          <t>portfolio_dash/api/routers/ledgers.py:2172 `delete_corporate_action(conn, a.id, commit=False)`；:1954 `close=close, source="manual")],`（起始價寫入點）</t>
        </is>
      </c>
      <c r="G102" s="56" t="inlineStr">
        <is>
          <t>沒有守門。新增契約 5 則＋e2e 1 則。</t>
        </is>
      </c>
      <c r="H102" s="56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56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56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56" t="inlineStr">
        <is>
          <t>4655845（已部署 demo）</t>
        </is>
      </c>
      <c r="L10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57" t="n"/>
      <c r="N102" s="57" t="n"/>
      <c r="O102" s="57" t="n"/>
      <c r="P102" s="57" t="n"/>
      <c r="Q102" s="57" t="n"/>
      <c r="R102" s="57" t="n"/>
    </row>
    <row r="103" ht="220" customHeight="1" s="34">
      <c r="A103" s="51" t="inlineStr">
        <is>
          <t>R3</t>
        </is>
      </c>
      <c r="B103" s="51" t="inlineStr">
        <is>
          <t>DEF-041</t>
        </is>
      </c>
      <c r="C103" s="51" t="inlineStr">
        <is>
          <t>G-09</t>
        </is>
      </c>
      <c r="D103" s="51" t="inlineStr">
        <is>
          <t>2026-09-24</t>
        </is>
      </c>
      <c r="E103" s="56" t="inlineStr">
        <is>
          <t>同意，依 owner 裁定實作：預警觸發的持倉提點只派發持有中的標的。</t>
        </is>
      </c>
      <c r="F103" s="56" t="inlineStr">
        <is>
          <t>portfolio_dash/llm_insight/alerts_bridge.py:375 `for it in subscribers:`</t>
        </is>
      </c>
      <c r="G103" s="56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56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56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56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56" t="inlineStr">
        <is>
          <t>4655845（已部署 demo）</t>
        </is>
      </c>
      <c r="L10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57" t="n"/>
      <c r="N103" s="57" t="n"/>
      <c r="O103" s="57" t="n"/>
      <c r="P103" s="57" t="n"/>
      <c r="Q103" s="57" t="n"/>
      <c r="R103" s="57" t="n"/>
    </row>
    <row r="104" ht="220" customHeight="1" s="34">
      <c r="A104" s="51" t="inlineStr">
        <is>
          <t>R3</t>
        </is>
      </c>
      <c r="B104" s="51" t="inlineStr">
        <is>
          <t>DEF-043</t>
        </is>
      </c>
      <c r="C104" s="51" t="inlineStr">
        <is>
          <t>H-05</t>
        </is>
      </c>
      <c r="D104" s="51" t="inlineStr">
        <is>
          <t>2026-09-24</t>
        </is>
      </c>
      <c r="E104" s="56" t="inlineStr">
        <is>
          <t>同意驗證者。乾跑預檢 G1 本身對 on_alert 已回 ok；錯的是觸發節點，以及由它推出的頁首「需注意」計數。</t>
        </is>
      </c>
      <c r="F104" s="56" t="inlineStr">
        <is>
          <t>portfolio_dash/llm_insight/pipeline_status.py:86-87 `if not f.scheduled: return NodeState(lv="warn", text="未排程（手動）", sub="不會自動執行")`</t>
        </is>
      </c>
      <c r="G104" s="56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56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56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56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56" t="inlineStr">
        <is>
          <t>4655845（已部署 demo）</t>
        </is>
      </c>
      <c r="L10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57" t="n"/>
      <c r="N104" s="57" t="n"/>
      <c r="O104" s="57" t="n"/>
      <c r="P104" s="57" t="n"/>
      <c r="Q104" s="57" t="n"/>
      <c r="R104" s="57" t="n"/>
    </row>
    <row r="105" ht="220" customHeight="1" s="34">
      <c r="A105" s="51" t="inlineStr">
        <is>
          <t>R3</t>
        </is>
      </c>
      <c r="B105" s="51" t="inlineStr">
        <is>
          <t>DEF-044</t>
        </is>
      </c>
      <c r="C105" s="51" t="inlineStr">
        <is>
          <t>G-09／J-06</t>
        </is>
      </c>
      <c r="D105" s="51" t="inlineStr">
        <is>
          <t>2026-09-24</t>
        </is>
      </c>
      <c r="E105" s="56" t="inlineStr">
        <is>
          <t>同意驗證者。帳戶記號縫只在有 names.js 的頁面生效，5 頁退化成原始 id（排程中心「fx_drift 帳戶 moomoo_my」）。</t>
        </is>
      </c>
      <c r="F105" s="56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56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56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56" t="inlineStr">
        <is>
          <t>共 11／修 11／白名單 0（5 頁缺 names.js、5 頁順序在後、login 缺）；另 7 頁是無 script 的轉址頁，不在類別內</t>
        </is>
      </c>
      <c r="J105" s="56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56" t="inlineStr">
        <is>
          <t>4655845（已部署 demo）</t>
        </is>
      </c>
      <c r="L10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57" t="n"/>
      <c r="N105" s="57" t="n"/>
      <c r="O105" s="57" t="n"/>
      <c r="P105" s="57" t="n"/>
      <c r="Q105" s="57" t="n"/>
      <c r="R105" s="57" t="n"/>
    </row>
    <row r="106" ht="220" customHeight="1" s="34">
      <c r="A106" s="51" t="inlineStr">
        <is>
          <t>R3</t>
        </is>
      </c>
      <c r="B106" s="51" t="inlineStr">
        <is>
          <t>DEF-045</t>
        </is>
      </c>
      <c r="C106" s="51" t="inlineStr">
        <is>
          <t>J-04／J-06</t>
        </is>
      </c>
      <c r="D106" s="51" t="inlineStr">
        <is>
          <t>2026-09-24</t>
        </is>
      </c>
      <c r="E106" s="56" t="inlineStr">
        <is>
          <t>同意驗證者。同一類問題還出現在「現金收支明細報告」表頭「帳戶 TW Broker（tw_broker）」，一併修。</t>
        </is>
      </c>
      <c r="F106" s="56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56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56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56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56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56" t="inlineStr">
        <is>
          <t>4655845（已部署 demo）</t>
        </is>
      </c>
      <c r="L10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57" t="n"/>
      <c r="N106" s="57" t="n"/>
      <c r="O106" s="57" t="n"/>
      <c r="P106" s="57" t="n"/>
      <c r="Q106" s="57" t="n"/>
      <c r="R106" s="57" t="n"/>
    </row>
    <row r="107" ht="220" customHeight="1" s="34">
      <c r="A107" s="51" t="inlineStr">
        <is>
          <t>R3</t>
        </is>
      </c>
      <c r="B107" s="51" t="inlineStr">
        <is>
          <t>DEF-046</t>
        </is>
      </c>
      <c r="C107" s="51" t="inlineStr">
        <is>
          <t>G-09</t>
        </is>
      </c>
      <c r="D107" s="51" t="inlineStr">
        <is>
          <t>2026-09-24</t>
        </is>
      </c>
      <c r="E107" s="56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56" t="inlineStr">
        <is>
          <t>（R2 前）portfolio_dash/scheduler/jobs.py:918 `conn, rule_id=alert.rule, symbol=_alert_symbol(alert), now=now,`</t>
        </is>
      </c>
      <c r="G107" s="56" t="inlineStr">
        <is>
          <t>資料殘留，沒有程式守門可攔。新守門是清理腳本自己的 9 則測試，其中「卡片 symbol 是已註冊標的就拒絕」專門擋 #207 這種卡號填錯。</t>
        </is>
      </c>
      <c r="H107" s="56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56" t="inlineStr">
        <is>
          <t>含 insight_id 欄的表 共 1（insight_evaluations）／處理 1／白名單 0；不以卡片 id 參照故不刪：alert_dispatch_log、llm_usage（費用已實際發生）、job_runs</t>
        </is>
      </c>
      <c r="J107" s="56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56" t="inlineStr">
        <is>
          <t>4655845（已部署 demo）</t>
        </is>
      </c>
      <c r="L10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57" t="n"/>
      <c r="N107" s="57" t="n"/>
      <c r="O107" s="57" t="n"/>
      <c r="P107" s="57" t="n"/>
      <c r="Q107" s="57" t="n"/>
      <c r="R107" s="57" t="n"/>
    </row>
    <row r="108" ht="220" customHeight="1" s="34">
      <c r="A108" s="51" t="inlineStr">
        <is>
          <t>R3</t>
        </is>
      </c>
      <c r="B108" s="51" t="inlineStr">
        <is>
          <t>DEF-047</t>
        </is>
      </c>
      <c r="C108" s="51" t="inlineStr">
        <is>
          <t>C-01</t>
        </is>
      </c>
      <c r="D108" s="51" t="inlineStr">
        <is>
          <t>2026-09-24</t>
        </is>
      </c>
      <c r="E108" s="56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56" t="inlineStr">
        <is>
          <t>portfolio_dash/pricing/registry.py:144 `failed.append(ref.symbol)`（:142 空回應與 :136-138 例外同一分支）</t>
        </is>
      </c>
      <c r="G108" s="56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56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56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56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56" t="inlineStr">
        <is>
          <t>4655845（已部署 demo）</t>
        </is>
      </c>
      <c r="L10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57" t="n"/>
      <c r="N108" s="57" t="n"/>
      <c r="O108" s="57" t="n"/>
      <c r="P108" s="57" t="n"/>
      <c r="Q108" s="57" t="n"/>
      <c r="R108" s="57" t="n"/>
    </row>
    <row r="109" ht="220" customHeight="1" s="34">
      <c r="A109" s="51" t="inlineStr">
        <is>
          <t>R3</t>
        </is>
      </c>
      <c r="B109" s="51" t="inlineStr">
        <is>
          <t>DEF-048</t>
        </is>
      </c>
      <c r="C109" s="51" t="inlineStr">
        <is>
          <t>B-17</t>
        </is>
      </c>
      <c r="D109" s="51" t="inlineStr">
        <is>
          <t>2026-09-24</t>
        </is>
      </c>
      <c r="E109" s="56" t="inlineStr">
        <is>
          <t>同意，依 owner 裁定實作：草稿依帳本重播到交易日，顯示當時的持股與均價，與寫入後重播到該日的結果一致。</t>
        </is>
      </c>
      <c r="F109" s="56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56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56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56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56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56" t="inlineStr">
        <is>
          <t>4655845（已部署 demo）</t>
        </is>
      </c>
      <c r="L10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57" t="n"/>
      <c r="N109" s="57" t="n"/>
      <c r="O109" s="57" t="n"/>
      <c r="P109" s="57" t="n"/>
      <c r="Q109" s="57" t="n"/>
      <c r="R109" s="57" t="n"/>
    </row>
    <row r="110" ht="15" customHeight="1" s="34">
      <c r="A110" s="51" t="n"/>
      <c r="B110" s="51" t="n"/>
      <c r="C110" s="51" t="n"/>
      <c r="D110" s="51" t="n"/>
      <c r="E110" s="56" t="n"/>
      <c r="F110" s="56" t="n"/>
      <c r="G110" s="56" t="n"/>
      <c r="H110" s="56" t="n"/>
      <c r="I110" s="56" t="n"/>
      <c r="J110" s="56" t="n"/>
      <c r="K110" s="56" t="n"/>
      <c r="L110" s="56" t="n"/>
      <c r="M110" s="57" t="n"/>
      <c r="N110" s="57" t="n"/>
      <c r="O110" s="57" t="n"/>
      <c r="P110" s="57" t="n"/>
      <c r="Q110" s="57" t="n"/>
      <c r="R110" s="57" t="n"/>
    </row>
    <row r="111" ht="15" customHeight="1" s="34">
      <c r="A111" s="51" t="n"/>
      <c r="B111" s="51" t="n"/>
      <c r="C111" s="51" t="n"/>
      <c r="D111" s="51" t="n"/>
      <c r="E111" s="56" t="n"/>
      <c r="F111" s="56" t="n"/>
      <c r="G111" s="56" t="n"/>
      <c r="H111" s="56" t="n"/>
      <c r="I111" s="56" t="n"/>
      <c r="J111" s="56" t="n"/>
      <c r="K111" s="56" t="n"/>
      <c r="L111" s="56" t="n"/>
      <c r="M111" s="57" t="n"/>
      <c r="N111" s="57" t="n"/>
      <c r="O111" s="57" t="n"/>
      <c r="P111" s="57" t="n"/>
      <c r="Q111" s="57" t="n"/>
      <c r="R111" s="57" t="n"/>
    </row>
    <row r="112" ht="15" customHeight="1" s="34">
      <c r="A112" s="51" t="n"/>
      <c r="B112" s="51" t="n"/>
      <c r="C112" s="51" t="n"/>
      <c r="D112" s="51" t="n"/>
      <c r="E112" s="56" t="n"/>
      <c r="F112" s="56" t="n"/>
      <c r="G112" s="56" t="n"/>
      <c r="H112" s="56" t="n"/>
      <c r="I112" s="56" t="n"/>
      <c r="J112" s="56" t="n"/>
      <c r="K112" s="56" t="n"/>
      <c r="L112" s="56" t="n"/>
      <c r="M112" s="57" t="n"/>
      <c r="N112" s="57" t="n"/>
      <c r="O112" s="57" t="n"/>
      <c r="P112" s="57" t="n"/>
      <c r="Q112" s="57" t="n"/>
      <c r="R112" s="57" t="n"/>
    </row>
    <row r="113" ht="15" customHeight="1" s="34">
      <c r="A113" s="51" t="n"/>
      <c r="B113" s="51" t="n"/>
      <c r="C113" s="51" t="n"/>
      <c r="D113" s="51" t="n"/>
      <c r="E113" s="56" t="n"/>
      <c r="F113" s="56" t="n"/>
      <c r="G113" s="56" t="n"/>
      <c r="H113" s="56" t="n"/>
      <c r="I113" s="56" t="n"/>
      <c r="J113" s="56" t="n"/>
      <c r="K113" s="56" t="n"/>
      <c r="L113" s="56" t="n"/>
      <c r="M113" s="57" t="n"/>
      <c r="N113" s="57" t="n"/>
      <c r="O113" s="57" t="n"/>
      <c r="P113" s="57" t="n"/>
      <c r="Q113" s="57" t="n"/>
      <c r="R113" s="57" t="n"/>
    </row>
    <row r="114" ht="15" customHeight="1" s="34">
      <c r="A114" s="51" t="n"/>
      <c r="B114" s="51" t="n"/>
      <c r="C114" s="51" t="n"/>
      <c r="D114" s="51" t="n"/>
      <c r="E114" s="56" t="n"/>
      <c r="F114" s="56" t="n"/>
      <c r="G114" s="56" t="n"/>
      <c r="H114" s="56" t="n"/>
      <c r="I114" s="56" t="n"/>
      <c r="J114" s="56" t="n"/>
      <c r="K114" s="56" t="n"/>
      <c r="L114" s="56" t="n"/>
      <c r="M114" s="57" t="n"/>
      <c r="N114" s="57" t="n"/>
      <c r="O114" s="57" t="n"/>
      <c r="P114" s="57" t="n"/>
      <c r="Q114" s="57" t="n"/>
      <c r="R114" s="57" t="n"/>
    </row>
    <row r="115" ht="15" customHeight="1" s="34">
      <c r="A115" s="51" t="n"/>
      <c r="B115" s="51" t="n"/>
      <c r="C115" s="51" t="n"/>
      <c r="D115" s="51" t="n"/>
      <c r="E115" s="56" t="n"/>
      <c r="F115" s="56" t="n"/>
      <c r="G115" s="56" t="n"/>
      <c r="H115" s="56" t="n"/>
      <c r="I115" s="56" t="n"/>
      <c r="J115" s="56" t="n"/>
      <c r="K115" s="56" t="n"/>
      <c r="L115" s="56" t="n"/>
      <c r="M115" s="57" t="n"/>
      <c r="N115" s="57" t="n"/>
      <c r="O115" s="57" t="n"/>
      <c r="P115" s="57" t="n"/>
      <c r="Q115" s="57" t="n"/>
      <c r="R115" s="57" t="n"/>
    </row>
    <row r="116" ht="15" customHeight="1" s="34">
      <c r="A116" s="51" t="n"/>
      <c r="B116" s="51" t="n"/>
      <c r="C116" s="51" t="n"/>
      <c r="D116" s="51" t="n"/>
      <c r="E116" s="56" t="n"/>
      <c r="F116" s="56" t="n"/>
      <c r="G116" s="56" t="n"/>
      <c r="H116" s="56" t="n"/>
      <c r="I116" s="56" t="n"/>
      <c r="J116" s="56" t="n"/>
      <c r="K116" s="56" t="n"/>
      <c r="L116" s="56" t="n"/>
      <c r="M116" s="57" t="n"/>
      <c r="N116" s="57" t="n"/>
      <c r="O116" s="57" t="n"/>
      <c r="P116" s="57" t="n"/>
      <c r="Q116" s="57" t="n"/>
      <c r="R116" s="57" t="n"/>
    </row>
    <row r="117" ht="15" customHeight="1" s="34">
      <c r="A117" s="51" t="n"/>
      <c r="B117" s="51" t="n"/>
      <c r="C117" s="51" t="n"/>
      <c r="D117" s="51" t="n"/>
      <c r="E117" s="56" t="n"/>
      <c r="F117" s="56" t="n"/>
      <c r="G117" s="56" t="n"/>
      <c r="H117" s="56" t="n"/>
      <c r="I117" s="56" t="n"/>
      <c r="J117" s="56" t="n"/>
      <c r="K117" s="56" t="n"/>
      <c r="L117" s="56" t="n"/>
      <c r="M117" s="57" t="n"/>
      <c r="N117" s="57" t="n"/>
      <c r="O117" s="57" t="n"/>
      <c r="P117" s="57" t="n"/>
      <c r="Q117" s="57" t="n"/>
      <c r="R117" s="57" t="n"/>
    </row>
    <row r="118" ht="15" customHeight="1" s="34">
      <c r="A118" s="51" t="n"/>
      <c r="B118" s="51" t="n"/>
      <c r="C118" s="51" t="n"/>
      <c r="D118" s="51" t="n"/>
      <c r="E118" s="56" t="n"/>
      <c r="F118" s="56" t="n"/>
      <c r="G118" s="56" t="n"/>
      <c r="H118" s="56" t="n"/>
      <c r="I118" s="56" t="n"/>
      <c r="J118" s="56" t="n"/>
      <c r="K118" s="56" t="n"/>
      <c r="L118" s="56" t="n"/>
      <c r="M118" s="57" t="n"/>
      <c r="N118" s="57" t="n"/>
      <c r="O118" s="57" t="n"/>
      <c r="P118" s="57" t="n"/>
      <c r="Q118" s="57" t="n"/>
      <c r="R118" s="57" t="n"/>
    </row>
    <row r="119" ht="15" customHeight="1" s="34">
      <c r="A119" s="51" t="n"/>
      <c r="B119" s="51" t="n"/>
      <c r="C119" s="51" t="n"/>
      <c r="D119" s="51" t="n"/>
      <c r="E119" s="56" t="n"/>
      <c r="F119" s="56" t="n"/>
      <c r="G119" s="56" t="n"/>
      <c r="H119" s="56" t="n"/>
      <c r="I119" s="56" t="n"/>
      <c r="J119" s="56" t="n"/>
      <c r="K119" s="56" t="n"/>
      <c r="L119" s="56" t="n"/>
      <c r="M119" s="57" t="n"/>
      <c r="N119" s="57" t="n"/>
      <c r="O119" s="57" t="n"/>
      <c r="P119" s="57" t="n"/>
      <c r="Q119" s="57" t="n"/>
      <c r="R119" s="57" t="n"/>
    </row>
    <row r="120" ht="15" customHeight="1" s="34">
      <c r="A120" s="51" t="n"/>
      <c r="B120" s="51" t="n"/>
      <c r="C120" s="51" t="n"/>
      <c r="D120" s="51" t="n"/>
      <c r="E120" s="56" t="n"/>
      <c r="F120" s="56" t="n"/>
      <c r="G120" s="56" t="n"/>
      <c r="H120" s="56" t="n"/>
      <c r="I120" s="56" t="n"/>
      <c r="J120" s="56" t="n"/>
      <c r="K120" s="56" t="n"/>
      <c r="L120" s="56" t="n"/>
      <c r="M120" s="57" t="n"/>
      <c r="N120" s="57" t="n"/>
      <c r="O120" s="57" t="n"/>
      <c r="P120" s="57" t="n"/>
      <c r="Q120" s="57" t="n"/>
      <c r="R120" s="57" t="n"/>
    </row>
    <row r="121" ht="15" customHeight="1" s="34">
      <c r="A121" s="51" t="n"/>
      <c r="B121" s="51" t="n"/>
      <c r="C121" s="51" t="n"/>
      <c r="D121" s="51" t="n"/>
      <c r="E121" s="56" t="n"/>
      <c r="F121" s="56" t="n"/>
      <c r="G121" s="56" t="n"/>
      <c r="H121" s="56" t="n"/>
      <c r="I121" s="56" t="n"/>
      <c r="J121" s="56" t="n"/>
      <c r="K121" s="56" t="n"/>
      <c r="L121" s="56" t="n"/>
      <c r="M121" s="57" t="n"/>
      <c r="N121" s="57" t="n"/>
      <c r="O121" s="57" t="n"/>
      <c r="P121" s="57" t="n"/>
      <c r="Q121" s="57" t="n"/>
      <c r="R121" s="57" t="n"/>
    </row>
    <row r="122" ht="15" customHeight="1" s="34">
      <c r="A122" s="51" t="n"/>
      <c r="B122" s="51" t="n"/>
      <c r="C122" s="51" t="n"/>
      <c r="D122" s="51" t="n"/>
      <c r="E122" s="56" t="n"/>
      <c r="F122" s="56" t="n"/>
      <c r="G122" s="56" t="n"/>
      <c r="H122" s="56" t="n"/>
      <c r="I122" s="56" t="n"/>
      <c r="J122" s="56" t="n"/>
      <c r="K122" s="56" t="n"/>
      <c r="L122" s="56" t="n"/>
      <c r="M122" s="57" t="n"/>
      <c r="N122" s="57" t="n"/>
      <c r="O122" s="57" t="n"/>
      <c r="P122" s="57" t="n"/>
      <c r="Q122" s="57" t="n"/>
      <c r="R122" s="57" t="n"/>
    </row>
    <row r="123" ht="15" customHeight="1" s="34">
      <c r="A123" s="51" t="n"/>
      <c r="B123" s="51" t="n"/>
      <c r="C123" s="51" t="n"/>
      <c r="D123" s="51" t="n"/>
      <c r="E123" s="56" t="n"/>
      <c r="F123" s="56" t="n"/>
      <c r="G123" s="56" t="n"/>
      <c r="H123" s="56" t="n"/>
      <c r="I123" s="56" t="n"/>
      <c r="J123" s="56" t="n"/>
      <c r="K123" s="56" t="n"/>
      <c r="L123" s="56" t="n"/>
      <c r="M123" s="57" t="n"/>
      <c r="N123" s="57" t="n"/>
      <c r="O123" s="57" t="n"/>
      <c r="P123" s="57" t="n"/>
      <c r="Q123" s="57" t="n"/>
      <c r="R123" s="57" t="n"/>
    </row>
    <row r="124" ht="15" customHeight="1" s="34">
      <c r="A124" s="51" t="n"/>
      <c r="B124" s="51" t="n"/>
      <c r="C124" s="51" t="n"/>
      <c r="D124" s="51" t="n"/>
      <c r="E124" s="56" t="n"/>
      <c r="F124" s="56" t="n"/>
      <c r="G124" s="56" t="n"/>
      <c r="H124" s="56" t="n"/>
      <c r="I124" s="56" t="n"/>
      <c r="J124" s="56" t="n"/>
      <c r="K124" s="56" t="n"/>
      <c r="L124" s="56" t="n"/>
      <c r="M124" s="57" t="n"/>
      <c r="N124" s="57" t="n"/>
      <c r="O124" s="57" t="n"/>
      <c r="P124" s="57" t="n"/>
      <c r="Q124" s="57" t="n"/>
      <c r="R124" s="57" t="n"/>
    </row>
  </sheetData>
  <mergeCells count="1">
    <mergeCell ref="A1:R1"/>
  </mergeCells>
  <dataValidations count="2">
    <dataValidation sqref="A5:A124" showDropDown="0" showInputMessage="0" showErrorMessage="0" allowBlank="1" type="list" errorStyle="stop" operator="between">
      <formula1>"R1,R2,R3,R4,R5,R6"</formula1>
      <formula2>0</formula2>
    </dataValidation>
    <dataValidation sqref="P5:P124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1"/>
    <col width="18" customWidth="1" style="33" min="2" max="3"/>
    <col width="46" customWidth="1" style="33" min="4" max="4"/>
    <col width="40" customWidth="1" style="33" min="5" max="5"/>
    <col width="24" customWidth="1" style="33" min="6" max="6"/>
  </cols>
  <sheetData>
    <row r="1" ht="15" customHeight="1" s="34">
      <c r="A1" s="53" t="inlineStr">
        <is>
          <t>每次把檔案交出去之前，最後一個動作就是在這裡寫一列。接手的人先看這裡的最後一列。</t>
        </is>
      </c>
    </row>
    <row r="2" ht="31.5" customHeight="1" s="34">
      <c r="A2" s="42" t="inlineStr">
        <is>
          <t>日期</t>
        </is>
      </c>
      <c r="B2" s="42" t="inlineStr">
        <is>
          <t>由誰交給誰</t>
        </is>
      </c>
      <c r="C2" s="42" t="inlineStr">
        <is>
          <t>受測版本(commit)</t>
        </is>
      </c>
      <c r="D2" s="42" t="inlineStr">
        <is>
          <t>本輪摘要</t>
        </is>
      </c>
      <c r="E2" s="42" t="inlineStr">
        <is>
          <t>對方該做什麼</t>
        </is>
      </c>
      <c r="F2" s="42" t="inlineStr">
        <is>
          <t>備註</t>
        </is>
      </c>
    </row>
    <row r="3" ht="15" customHeight="1" s="34">
      <c r="A3" s="44" t="inlineStr">
        <is>
          <t>2026-09-25</t>
        </is>
      </c>
      <c r="B3" s="43" t="inlineStr">
        <is>
          <t>開發者 → 驗證者</t>
        </is>
      </c>
      <c r="C3" s="44" t="inlineStr">
        <is>
          <t>abc1234</t>
        </is>
      </c>
      <c r="D3" s="43" t="inlineStr">
        <is>
          <t>修 DEF-001／002，兩者皆為類別修法，附變異測試</t>
        </is>
      </c>
      <c r="E3" s="43" t="inlineStr">
        <is>
          <t>複驗 DEF-001、DEF-002，並重跑 J 組回歸快篩</t>
        </is>
      </c>
      <c r="F3" s="43" t="inlineStr">
        <is>
          <t>（填寫範例）</t>
        </is>
      </c>
    </row>
    <row r="4" ht="15" customHeight="1" s="34">
      <c r="A4" s="51" t="inlineStr">
        <is>
          <t>2026-09-23</t>
        </is>
      </c>
      <c r="B4" s="51" t="inlineStr">
        <is>
          <t>驗證者 → 開發者</t>
        </is>
      </c>
      <c r="C4" s="51" t="inlineStr">
        <is>
          <t>755c88a</t>
        </is>
      </c>
      <c r="D4" s="5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1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5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60" customHeight="1" s="34">
      <c r="A5" s="51" t="inlineStr">
        <is>
          <t>2026-09-23</t>
        </is>
      </c>
      <c r="B5" s="51" t="inlineStr">
        <is>
          <t>開發者 → 驗證者</t>
        </is>
      </c>
      <c r="C5" s="51" t="inlineStr">
        <is>
          <t>e6fd9f4</t>
        </is>
      </c>
      <c r="D5" s="5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1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5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34">
      <c r="A6" s="51" t="inlineStr">
        <is>
          <t>2026-09-24</t>
        </is>
      </c>
      <c r="B6" s="51" t="inlineStr">
        <is>
          <t>驗證者 → 開發者</t>
        </is>
      </c>
      <c r="C6" s="51" t="inlineStr">
        <is>
          <t>e6fd9f4</t>
        </is>
      </c>
      <c r="D6" s="51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51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51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20" customHeight="1" s="34">
      <c r="A7" s="51" t="inlineStr">
        <is>
          <t>2026-09-24</t>
        </is>
      </c>
      <c r="B7" s="51" t="inlineStr">
        <is>
          <t>開發者 → 驗證者</t>
        </is>
      </c>
      <c r="C7" s="51" t="inlineStr">
        <is>
          <t>4655845</t>
        </is>
      </c>
      <c r="D7" s="51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51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51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34">
      <c r="A8" s="51" t="n"/>
      <c r="B8" s="51" t="n"/>
      <c r="C8" s="51" t="n"/>
      <c r="D8" s="51" t="n"/>
      <c r="E8" s="51" t="n"/>
      <c r="F8" s="51" t="n"/>
    </row>
    <row r="9" ht="15" customHeight="1" s="34">
      <c r="A9" s="51" t="n"/>
      <c r="B9" s="51" t="n"/>
      <c r="C9" s="51" t="n"/>
      <c r="D9" s="51" t="n"/>
      <c r="E9" s="51" t="n"/>
      <c r="F9" s="51" t="n"/>
    </row>
    <row r="10" ht="15" customHeight="1" s="34">
      <c r="A10" s="51" t="n"/>
      <c r="B10" s="51" t="n"/>
      <c r="C10" s="51" t="n"/>
      <c r="D10" s="51" t="n"/>
      <c r="E10" s="51" t="n"/>
      <c r="F10" s="51" t="n"/>
    </row>
    <row r="11" ht="15" customHeight="1" s="34">
      <c r="A11" s="51" t="n"/>
      <c r="B11" s="51" t="n"/>
      <c r="C11" s="51" t="n"/>
      <c r="D11" s="51" t="n"/>
      <c r="E11" s="51" t="n"/>
      <c r="F11" s="51" t="n"/>
    </row>
    <row r="12" ht="15" customHeight="1" s="34">
      <c r="A12" s="51" t="n"/>
      <c r="B12" s="51" t="n"/>
      <c r="C12" s="51" t="n"/>
      <c r="D12" s="51" t="n"/>
      <c r="E12" s="51" t="n"/>
      <c r="F12" s="51" t="n"/>
    </row>
    <row r="13" ht="15" customHeight="1" s="34">
      <c r="A13" s="51" t="n"/>
      <c r="B13" s="51" t="n"/>
      <c r="C13" s="51" t="n"/>
      <c r="D13" s="51" t="n"/>
      <c r="E13" s="51" t="n"/>
      <c r="F13" s="51" t="n"/>
    </row>
    <row r="14" ht="15" customHeight="1" s="34">
      <c r="A14" s="51" t="n"/>
      <c r="B14" s="51" t="n"/>
      <c r="C14" s="51" t="n"/>
      <c r="D14" s="51" t="n"/>
      <c r="E14" s="51" t="n"/>
      <c r="F14" s="51" t="n"/>
    </row>
    <row r="15" ht="15" customHeight="1" s="34">
      <c r="A15" s="51" t="n"/>
      <c r="B15" s="51" t="n"/>
      <c r="C15" s="51" t="n"/>
      <c r="D15" s="51" t="n"/>
      <c r="E15" s="51" t="n"/>
      <c r="F15" s="51" t="n"/>
    </row>
    <row r="16" ht="15" customHeight="1" s="34">
      <c r="A16" s="51" t="n"/>
      <c r="B16" s="51" t="n"/>
      <c r="C16" s="51" t="n"/>
      <c r="D16" s="51" t="n"/>
      <c r="E16" s="51" t="n"/>
      <c r="F16" s="51" t="n"/>
    </row>
    <row r="17" ht="15" customHeight="1" s="34">
      <c r="A17" s="51" t="n"/>
      <c r="B17" s="51" t="n"/>
      <c r="C17" s="51" t="n"/>
      <c r="D17" s="51" t="n"/>
      <c r="E17" s="51" t="n"/>
      <c r="F17" s="51" t="n"/>
    </row>
    <row r="18" ht="15" customHeight="1" s="34">
      <c r="A18" s="51" t="n"/>
      <c r="B18" s="51" t="n"/>
      <c r="C18" s="51" t="n"/>
      <c r="D18" s="51" t="n"/>
      <c r="E18" s="51" t="n"/>
      <c r="F18" s="51" t="n"/>
    </row>
    <row r="19" ht="15" customHeight="1" s="34">
      <c r="A19" s="51" t="n"/>
      <c r="B19" s="51" t="n"/>
      <c r="C19" s="51" t="n"/>
      <c r="D19" s="51" t="n"/>
      <c r="E19" s="51" t="n"/>
      <c r="F19" s="51" t="n"/>
    </row>
    <row r="20" ht="15" customHeight="1" s="34">
      <c r="A20" s="51" t="n"/>
      <c r="B20" s="51" t="n"/>
      <c r="C20" s="51" t="n"/>
      <c r="D20" s="51" t="n"/>
      <c r="E20" s="51" t="n"/>
      <c r="F20" s="51" t="n"/>
    </row>
    <row r="21" ht="15" customHeight="1" s="34">
      <c r="A21" s="51" t="n"/>
      <c r="B21" s="51" t="n"/>
      <c r="C21" s="51" t="n"/>
      <c r="D21" s="51" t="n"/>
      <c r="E21" s="51" t="n"/>
      <c r="F21" s="51" t="n"/>
    </row>
    <row r="22" ht="15" customHeight="1" s="34">
      <c r="A22" s="51" t="n"/>
      <c r="B22" s="51" t="n"/>
      <c r="C22" s="51" t="n"/>
      <c r="D22" s="51" t="n"/>
      <c r="E22" s="51" t="n"/>
      <c r="F22" s="51" t="n"/>
    </row>
    <row r="23" ht="15" customHeight="1" s="34">
      <c r="A23" s="51" t="n"/>
      <c r="B23" s="51" t="n"/>
      <c r="C23" s="51" t="n"/>
      <c r="D23" s="51" t="n"/>
      <c r="E23" s="51" t="n"/>
      <c r="F23" s="51" t="n"/>
    </row>
    <row r="24" ht="15" customHeight="1" s="34">
      <c r="A24" s="51" t="n"/>
      <c r="B24" s="51" t="n"/>
      <c r="C24" s="51" t="n"/>
      <c r="D24" s="51" t="n"/>
      <c r="E24" s="51" t="n"/>
      <c r="F24" s="51" t="n"/>
    </row>
    <row r="25" ht="15" customHeight="1" s="34">
      <c r="A25" s="51" t="n"/>
      <c r="B25" s="51" t="n"/>
      <c r="C25" s="51" t="n"/>
      <c r="D25" s="51" t="n"/>
      <c r="E25" s="51" t="n"/>
      <c r="F25" s="51" t="n"/>
    </row>
    <row r="26" ht="15" customHeight="1" s="34">
      <c r="A26" s="51" t="n"/>
      <c r="B26" s="51" t="n"/>
      <c r="C26" s="51" t="n"/>
      <c r="D26" s="51" t="n"/>
      <c r="E26" s="51" t="n"/>
      <c r="F26" s="51" t="n"/>
    </row>
    <row r="27" ht="15" customHeight="1" s="34">
      <c r="A27" s="51" t="n"/>
      <c r="B27" s="51" t="n"/>
      <c r="C27" s="51" t="n"/>
      <c r="D27" s="51" t="n"/>
      <c r="E27" s="51" t="n"/>
      <c r="F27" s="51" t="n"/>
    </row>
    <row r="28" ht="15" customHeight="1" s="34">
      <c r="A28" s="51" t="n"/>
      <c r="B28" s="51" t="n"/>
      <c r="C28" s="51" t="n"/>
      <c r="D28" s="51" t="n"/>
      <c r="E28" s="51" t="n"/>
      <c r="F28" s="51" t="n"/>
    </row>
    <row r="29" ht="15" customHeight="1" s="34">
      <c r="A29" s="51" t="n"/>
      <c r="B29" s="51" t="n"/>
      <c r="C29" s="51" t="n"/>
      <c r="D29" s="51" t="n"/>
      <c r="E29" s="51" t="n"/>
      <c r="F29" s="51" t="n"/>
    </row>
    <row r="30" ht="15" customHeight="1" s="34">
      <c r="A30" s="51" t="n"/>
      <c r="B30" s="51" t="n"/>
      <c r="C30" s="51" t="n"/>
      <c r="D30" s="51" t="n"/>
      <c r="E30" s="51" t="n"/>
      <c r="F30" s="51" t="n"/>
    </row>
    <row r="31" ht="15" customHeight="1" s="34">
      <c r="A31" s="51" t="n"/>
      <c r="B31" s="51" t="n"/>
      <c r="C31" s="51" t="n"/>
      <c r="D31" s="51" t="n"/>
      <c r="E31" s="51" t="n"/>
      <c r="F31" s="51" t="n"/>
    </row>
    <row r="32" ht="15" customHeight="1" s="34">
      <c r="A32" s="51" t="n"/>
      <c r="B32" s="51" t="n"/>
      <c r="C32" s="51" t="n"/>
      <c r="D32" s="51" t="n"/>
      <c r="E32" s="51" t="n"/>
      <c r="F32" s="51" t="n"/>
    </row>
    <row r="33" ht="15" customHeight="1" s="34">
      <c r="A33" s="51" t="n"/>
      <c r="B33" s="51" t="n"/>
      <c r="C33" s="51" t="n"/>
      <c r="D33" s="51" t="n"/>
      <c r="E33" s="51" t="n"/>
      <c r="F33" s="51" t="n"/>
    </row>
    <row r="34" ht="15" customHeight="1" s="34">
      <c r="A34" s="51" t="n"/>
      <c r="B34" s="51" t="n"/>
      <c r="C34" s="51" t="n"/>
      <c r="D34" s="51" t="n"/>
      <c r="E34" s="51" t="n"/>
      <c r="F34" s="51" t="n"/>
    </row>
    <row r="35" ht="15" customHeight="1" s="34">
      <c r="A35" s="51" t="n"/>
      <c r="B35" s="51" t="n"/>
      <c r="C35" s="51" t="n"/>
      <c r="D35" s="51" t="n"/>
      <c r="E35" s="51" t="n"/>
      <c r="F35" s="51" t="n"/>
    </row>
    <row r="36" ht="15" customHeight="1" s="34">
      <c r="A36" s="51" t="n"/>
      <c r="B36" s="51" t="n"/>
      <c r="C36" s="51" t="n"/>
      <c r="D36" s="51" t="n"/>
      <c r="E36" s="51" t="n"/>
      <c r="F36" s="51" t="n"/>
    </row>
    <row r="37" ht="15" customHeight="1" s="34">
      <c r="A37" s="51" t="n"/>
      <c r="B37" s="51" t="n"/>
      <c r="C37" s="51" t="n"/>
      <c r="D37" s="51" t="n"/>
      <c r="E37" s="51" t="n"/>
      <c r="F37" s="51" t="n"/>
    </row>
    <row r="38" ht="15" customHeight="1" s="34">
      <c r="A38" s="51" t="n"/>
      <c r="B38" s="51" t="n"/>
      <c r="C38" s="51" t="n"/>
      <c r="D38" s="51" t="n"/>
      <c r="E38" s="51" t="n"/>
      <c r="F38" s="51" t="n"/>
    </row>
    <row r="39" ht="15" customHeight="1" s="34">
      <c r="A39" s="51" t="n"/>
      <c r="B39" s="51" t="n"/>
      <c r="C39" s="51" t="n"/>
      <c r="D39" s="51" t="n"/>
      <c r="E39" s="51" t="n"/>
      <c r="F39" s="51" t="n"/>
    </row>
    <row r="40" ht="15" customHeight="1" s="34">
      <c r="A40" s="51" t="n"/>
      <c r="B40" s="51" t="n"/>
      <c r="C40" s="51" t="n"/>
      <c r="D40" s="51" t="n"/>
      <c r="E40" s="51" t="n"/>
      <c r="F40" s="51" t="n"/>
    </row>
    <row r="41" ht="15" customHeight="1" s="34">
      <c r="A41" s="51" t="n"/>
      <c r="B41" s="51" t="n"/>
      <c r="C41" s="51" t="n"/>
      <c r="D41" s="51" t="n"/>
      <c r="E41" s="51" t="n"/>
      <c r="F41" s="51" t="n"/>
    </row>
    <row r="42" ht="15" customHeight="1" s="34">
      <c r="A42" s="51" t="n"/>
      <c r="B42" s="51" t="n"/>
      <c r="C42" s="51" t="n"/>
      <c r="D42" s="51" t="n"/>
      <c r="E42" s="51" t="n"/>
      <c r="F42" s="51" t="n"/>
    </row>
    <row r="43" ht="15" customHeight="1" s="34">
      <c r="A43" s="51" t="n"/>
      <c r="B43" s="51" t="n"/>
      <c r="C43" s="51" t="n"/>
      <c r="D43" s="51" t="n"/>
      <c r="E43" s="51" t="n"/>
      <c r="F43" s="51" t="n"/>
    </row>
    <row r="44" ht="15" customHeight="1" s="34">
      <c r="A44" s="51" t="n"/>
      <c r="B44" s="51" t="n"/>
      <c r="C44" s="51" t="n"/>
      <c r="D44" s="51" t="n"/>
      <c r="E44" s="51" t="n"/>
      <c r="F44" s="51" t="n"/>
    </row>
    <row r="45" ht="15" customHeight="1" s="34">
      <c r="A45" s="51" t="n"/>
      <c r="B45" s="51" t="n"/>
      <c r="C45" s="51" t="n"/>
      <c r="D45" s="51" t="n"/>
      <c r="E45" s="51" t="n"/>
      <c r="F45" s="51" t="n"/>
    </row>
    <row r="46" ht="15" customHeight="1" s="34">
      <c r="A46" s="51" t="n"/>
      <c r="B46" s="51" t="n"/>
      <c r="C46" s="51" t="n"/>
      <c r="D46" s="51" t="n"/>
      <c r="E46" s="51" t="n"/>
      <c r="F46" s="51" t="n"/>
    </row>
    <row r="47" ht="15" customHeight="1" s="34">
      <c r="A47" s="51" t="n"/>
      <c r="B47" s="51" t="n"/>
      <c r="C47" s="51" t="n"/>
      <c r="D47" s="51" t="n"/>
      <c r="E47" s="51" t="n"/>
      <c r="F47" s="51" t="n"/>
    </row>
    <row r="48" ht="15" customHeight="1" s="34">
      <c r="A48" s="51" t="n"/>
      <c r="B48" s="51" t="n"/>
      <c r="C48" s="51" t="n"/>
      <c r="D48" s="51" t="n"/>
      <c r="E48" s="51" t="n"/>
      <c r="F48" s="51" t="n"/>
    </row>
    <row r="49" ht="15" customHeight="1" s="34">
      <c r="A49" s="51" t="n"/>
      <c r="B49" s="51" t="n"/>
      <c r="C49" s="51" t="n"/>
      <c r="D49" s="51" t="n"/>
      <c r="E49" s="51" t="n"/>
      <c r="F49" s="51" t="n"/>
    </row>
    <row r="50" ht="15" customHeight="1" s="34">
      <c r="A50" s="51" t="n"/>
      <c r="B50" s="51" t="n"/>
      <c r="C50" s="51" t="n"/>
      <c r="D50" s="51" t="n"/>
      <c r="E50" s="51" t="n"/>
      <c r="F50" s="51" t="n"/>
    </row>
    <row r="51" ht="15" customHeight="1" s="34">
      <c r="A51" s="51" t="n"/>
      <c r="B51" s="51" t="n"/>
      <c r="C51" s="51" t="n"/>
      <c r="D51" s="51" t="n"/>
      <c r="E51" s="51" t="n"/>
      <c r="F51" s="51" t="n"/>
    </row>
    <row r="52" ht="15" customHeight="1" s="34">
      <c r="A52" s="51" t="n"/>
      <c r="B52" s="51" t="n"/>
      <c r="C52" s="51" t="n"/>
      <c r="D52" s="51" t="n"/>
      <c r="E52" s="51" t="n"/>
      <c r="F52" s="51" t="n"/>
    </row>
    <row r="53" ht="15" customHeight="1" s="34">
      <c r="A53" s="51" t="n"/>
      <c r="B53" s="51" t="n"/>
      <c r="C53" s="51" t="n"/>
      <c r="D53" s="51" t="n"/>
      <c r="E53" s="51" t="n"/>
      <c r="F53" s="51" t="n"/>
    </row>
    <row r="54" ht="15" customHeight="1" s="34">
      <c r="A54" s="51" t="n"/>
      <c r="B54" s="51" t="n"/>
      <c r="C54" s="51" t="n"/>
      <c r="D54" s="51" t="n"/>
      <c r="E54" s="51" t="n"/>
      <c r="F54" s="51" t="n"/>
    </row>
    <row r="55" ht="15" customHeight="1" s="34">
      <c r="A55" s="51" t="n"/>
      <c r="B55" s="51" t="n"/>
      <c r="C55" s="51" t="n"/>
      <c r="D55" s="51" t="n"/>
      <c r="E55" s="51" t="n"/>
      <c r="F55" s="51" t="n"/>
    </row>
    <row r="56" ht="15" customHeight="1" s="34">
      <c r="A56" s="51" t="n"/>
      <c r="B56" s="51" t="n"/>
      <c r="C56" s="51" t="n"/>
      <c r="D56" s="51" t="n"/>
      <c r="E56" s="51" t="n"/>
      <c r="F56" s="51" t="n"/>
    </row>
    <row r="57" ht="15" customHeight="1" s="34">
      <c r="A57" s="51" t="n"/>
      <c r="B57" s="51" t="n"/>
      <c r="C57" s="51" t="n"/>
      <c r="D57" s="51" t="n"/>
      <c r="E57" s="51" t="n"/>
      <c r="F57" s="51" t="n"/>
    </row>
    <row r="58" ht="15" customHeight="1" s="34">
      <c r="A58" s="51" t="n"/>
      <c r="B58" s="51" t="n"/>
      <c r="C58" s="51" t="n"/>
      <c r="D58" s="51" t="n"/>
      <c r="E58" s="51" t="n"/>
      <c r="F58" s="51" t="n"/>
    </row>
    <row r="59" ht="15" customHeight="1" s="34">
      <c r="A59" s="51" t="n"/>
      <c r="B59" s="51" t="n"/>
      <c r="C59" s="51" t="n"/>
      <c r="D59" s="51" t="n"/>
      <c r="E59" s="51" t="n"/>
      <c r="F59" s="51" t="n"/>
    </row>
    <row r="60" ht="15" customHeight="1" s="34">
      <c r="A60" s="51" t="n"/>
      <c r="B60" s="51" t="n"/>
      <c r="C60" s="51" t="n"/>
      <c r="D60" s="51" t="n"/>
      <c r="E60" s="51" t="n"/>
      <c r="F60" s="51" t="n"/>
    </row>
    <row r="61" ht="15" customHeight="1" s="34">
      <c r="A61" s="51" t="n"/>
      <c r="B61" s="51" t="n"/>
      <c r="C61" s="51" t="n"/>
      <c r="D61" s="51" t="n"/>
      <c r="E61" s="51" t="n"/>
      <c r="F61" s="51" t="n"/>
    </row>
    <row r="62" ht="15" customHeight="1" s="34">
      <c r="A62" s="51" t="n"/>
      <c r="B62" s="51" t="n"/>
      <c r="C62" s="51" t="n"/>
      <c r="D62" s="51" t="n"/>
      <c r="E62" s="51" t="n"/>
      <c r="F62" s="51" t="n"/>
    </row>
    <row r="63" ht="15" customHeight="1" s="34">
      <c r="A63" s="51" t="n"/>
      <c r="B63" s="51" t="n"/>
      <c r="C63" s="51" t="n"/>
      <c r="D63" s="51" t="n"/>
      <c r="E63" s="51" t="n"/>
      <c r="F63" s="5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8" customWidth="1" style="33" min="3" max="3"/>
    <col width="14" customWidth="1" style="33" min="4" max="4"/>
    <col width="8" customWidth="1" style="33" min="5" max="6"/>
    <col width="10" customWidth="1" style="33" min="7" max="7"/>
    <col width="8" customWidth="1" style="33" min="8" max="8"/>
    <col width="10" customWidth="1" style="33" min="9" max="9"/>
    <col width="13" customWidth="1" style="33" min="10" max="11"/>
    <col width="12" customWidth="1" style="33" min="12" max="12"/>
    <col width="14" customWidth="1" style="33" min="13" max="13"/>
    <col width="40" customWidth="1" style="33" min="14" max="14"/>
  </cols>
  <sheetData>
    <row r="1" ht="15" customHeight="1" s="34">
      <c r="A1" s="58" t="inlineStr">
        <is>
          <t>輪次彙總（灰底為公式自動統計，其餘請填）</t>
        </is>
      </c>
    </row>
    <row r="3" ht="31.5" customHeight="1" s="34">
      <c r="A3" s="42" t="inlineStr">
        <is>
          <t>輪次</t>
        </is>
      </c>
      <c r="B3" s="42" t="inlineStr">
        <is>
          <t>日期</t>
        </is>
      </c>
      <c r="C3" s="42" t="inlineStr">
        <is>
          <t>受測版本(commit)</t>
        </is>
      </c>
      <c r="D3" s="42" t="inlineStr">
        <is>
          <t>本輪執行案例數</t>
        </is>
      </c>
      <c r="E3" s="41" t="inlineStr">
        <is>
          <t>PASS</t>
        </is>
      </c>
      <c r="F3" s="41" t="inlineStr">
        <is>
          <t>FAIL</t>
        </is>
      </c>
      <c r="G3" s="41" t="inlineStr">
        <is>
          <t>BLOCKED</t>
        </is>
      </c>
      <c r="H3" s="41" t="inlineStr">
        <is>
          <t>N/A</t>
        </is>
      </c>
      <c r="I3" s="41" t="inlineStr">
        <is>
          <t>OBSERVE</t>
        </is>
      </c>
      <c r="J3" s="42" t="inlineStr">
        <is>
          <t>本輪新增缺陷</t>
        </is>
      </c>
      <c r="K3" s="42" t="inlineStr">
        <is>
          <t>本輪結案缺陷</t>
        </is>
      </c>
      <c r="L3" s="42" t="inlineStr">
        <is>
          <t>累計未結案</t>
        </is>
      </c>
      <c r="M3" s="42" t="inlineStr">
        <is>
          <t>是否出現回歸</t>
        </is>
      </c>
      <c r="N3" s="42" t="inlineStr">
        <is>
          <t>本輪結論</t>
        </is>
      </c>
    </row>
    <row r="4" ht="15" customHeight="1" s="34">
      <c r="A4" s="48" t="inlineStr">
        <is>
          <t>R1</t>
        </is>
      </c>
      <c r="B4" s="59" t="inlineStr">
        <is>
          <t>2026-09-23</t>
        </is>
      </c>
      <c r="C4" s="59" t="inlineStr">
        <is>
          <t>755c88a</t>
        </is>
      </c>
      <c r="D4" s="59" t="n">
        <v>120</v>
      </c>
      <c r="E4" s="59" t="n">
        <v>86</v>
      </c>
      <c r="F4" s="59" t="n">
        <v>19</v>
      </c>
      <c r="G4" s="59" t="n">
        <v>8</v>
      </c>
      <c r="H4" s="59" t="n">
        <v>1</v>
      </c>
      <c r="I4" s="59" t="n">
        <v>6</v>
      </c>
      <c r="J4" s="60">
        <f>COUNTIF(缺陷登記!$F$3:$F$82,$A4)</f>
        <v/>
      </c>
      <c r="K4" s="60">
        <f>COUNTIF(缺陷登記!$J$3:$J$82,$A4)</f>
        <v/>
      </c>
      <c r="L4" s="60">
        <f>SUM($J$4:$J4)-SUM($K$4:$K4)</f>
        <v/>
      </c>
      <c r="M4" s="59" t="inlineStr">
        <is>
          <t>否（首輪，無前一輪可比）；J 組 J-01～J-06 本輪皆已跑，J-05 有 1 處溢位（DEF-002）</t>
        </is>
      </c>
      <c r="N4" s="59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34">
      <c r="A5" s="48" t="inlineStr">
        <is>
          <t>R2</t>
        </is>
      </c>
      <c r="B5" s="59" t="inlineStr">
        <is>
          <t>2026-09-24</t>
        </is>
      </c>
      <c r="C5" s="59" t="inlineStr">
        <is>
          <t>e6fd9f4</t>
        </is>
      </c>
      <c r="D5" s="59" t="n">
        <v>31</v>
      </c>
      <c r="E5" s="59" t="n">
        <v>29</v>
      </c>
      <c r="F5" s="59" t="n">
        <v>2</v>
      </c>
      <c r="G5" s="59" t="n">
        <v>0</v>
      </c>
      <c r="H5" s="59" t="n">
        <v>0</v>
      </c>
      <c r="I5" s="59" t="n">
        <v>0</v>
      </c>
      <c r="J5" s="60">
        <f>COUNTIF(缺陷登記!$F$3:$F$82,$A5)</f>
        <v/>
      </c>
      <c r="K5" s="60">
        <f>COUNTIF(缺陷登記!$J$3:$J$82,$A5)</f>
        <v/>
      </c>
      <c r="L5" s="60">
        <f>SUM($J$4:$J5)-SUM($K$4:$K5)</f>
        <v/>
      </c>
      <c r="M5" s="59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59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34">
      <c r="A6" s="48" t="inlineStr">
        <is>
          <t>R3</t>
        </is>
      </c>
      <c r="B6" s="59" t="n"/>
      <c r="C6" s="59" t="n"/>
      <c r="D6" s="59" t="n"/>
      <c r="E6" s="59" t="n"/>
      <c r="F6" s="59" t="n"/>
      <c r="G6" s="59" t="n"/>
      <c r="H6" s="59" t="n"/>
      <c r="I6" s="59" t="n"/>
      <c r="J6" s="60">
        <f>COUNTIF(缺陷登記!$F$3:$F$82,$A6)</f>
        <v/>
      </c>
      <c r="K6" s="60">
        <f>COUNTIF(缺陷登記!$J$3:$J$82,$A6)</f>
        <v/>
      </c>
      <c r="L6" s="60">
        <f>SUM($J$4:$J6)-SUM($K$4:$K6)</f>
        <v/>
      </c>
      <c r="M6" s="59" t="n"/>
      <c r="N6" s="59" t="n"/>
    </row>
    <row r="7" ht="15" customHeight="1" s="34">
      <c r="A7" s="48" t="inlineStr">
        <is>
          <t>R4</t>
        </is>
      </c>
      <c r="B7" s="59" t="n"/>
      <c r="C7" s="59" t="n"/>
      <c r="D7" s="59" t="n"/>
      <c r="E7" s="59" t="n"/>
      <c r="F7" s="59" t="n"/>
      <c r="G7" s="59" t="n"/>
      <c r="H7" s="59" t="n"/>
      <c r="I7" s="59" t="n"/>
      <c r="J7" s="60">
        <f>COUNTIF(缺陷登記!$F$3:$F$82,$A7)</f>
        <v/>
      </c>
      <c r="K7" s="60">
        <f>COUNTIF(缺陷登記!$J$3:$J$82,$A7)</f>
        <v/>
      </c>
      <c r="L7" s="60">
        <f>SUM($J$4:$J7)-SUM($K$4:$K7)</f>
        <v/>
      </c>
      <c r="M7" s="59" t="n"/>
      <c r="N7" s="59" t="n"/>
    </row>
    <row r="8" ht="15" customHeight="1" s="34">
      <c r="A8" s="48" t="inlineStr">
        <is>
          <t>R5</t>
        </is>
      </c>
      <c r="B8" s="59" t="n"/>
      <c r="C8" s="59" t="n"/>
      <c r="D8" s="59" t="n"/>
      <c r="E8" s="59" t="n"/>
      <c r="F8" s="59" t="n"/>
      <c r="G8" s="59" t="n"/>
      <c r="H8" s="59" t="n"/>
      <c r="I8" s="59" t="n"/>
      <c r="J8" s="60">
        <f>COUNTIF(缺陷登記!$F$3:$F$82,$A8)</f>
        <v/>
      </c>
      <c r="K8" s="60">
        <f>COUNTIF(缺陷登記!$J$3:$J$82,$A8)</f>
        <v/>
      </c>
      <c r="L8" s="60">
        <f>SUM($J$4:$J8)-SUM($K$4:$K8)</f>
        <v/>
      </c>
      <c r="M8" s="59" t="n"/>
      <c r="N8" s="59" t="n"/>
    </row>
    <row r="9" ht="15" customHeight="1" s="34">
      <c r="A9" s="48" t="inlineStr">
        <is>
          <t>R6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60">
        <f>COUNTIF(缺陷登記!$F$3:$F$82,$A9)</f>
        <v/>
      </c>
      <c r="K9" s="60">
        <f>COUNTIF(缺陷登記!$J$3:$J$82,$A9)</f>
        <v/>
      </c>
      <c r="L9" s="60">
        <f>SUM($J$4:$J9)-SUM($K$4:$K9)</f>
        <v/>
      </c>
      <c r="M9" s="59" t="n"/>
      <c r="N9" s="59" t="n"/>
    </row>
    <row r="11" ht="15" customHeight="1" s="34">
      <c r="A11" s="61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1:N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26" customWidth="1" style="33" min="2" max="2"/>
    <col width="52" customWidth="1" style="33" min="3" max="3"/>
    <col width="18" customWidth="1" style="33" min="4" max="5"/>
    <col width="10" customWidth="1" style="33" min="6" max="6"/>
  </cols>
  <sheetData>
    <row r="1" ht="15" customHeight="1" s="34">
      <c r="A1" s="58" t="inlineStr">
        <is>
          <t>還原檢查清單（每個測試時段結束前跑一次）</t>
        </is>
      </c>
    </row>
    <row r="3" ht="31.5" customHeight="1" s="34">
      <c r="A3" s="41" t="inlineStr">
        <is>
          <t>#</t>
        </is>
      </c>
      <c r="B3" s="42" t="inlineStr">
        <is>
          <t>檢查</t>
        </is>
      </c>
      <c r="C3" s="42" t="inlineStr">
        <is>
          <t>方法</t>
        </is>
      </c>
      <c r="D3" s="42" t="inlineStr">
        <is>
          <t>基準值</t>
        </is>
      </c>
      <c r="E3" s="42" t="inlineStr">
        <is>
          <t>結束值</t>
        </is>
      </c>
      <c r="F3" s="42" t="inlineStr">
        <is>
          <t>相符？</t>
        </is>
      </c>
    </row>
    <row r="4" ht="15" customHeight="1" s="34">
      <c r="A4" s="48" t="inlineStr">
        <is>
          <t>R-1</t>
        </is>
      </c>
      <c r="B4" s="50" t="inlineStr">
        <is>
          <t>交易帳本列數</t>
        </is>
      </c>
      <c r="C4" s="49" t="inlineStr">
        <is>
          <t>GET /api/ledgers/transactions?limit=1 的 total_count</t>
        </is>
      </c>
      <c r="D4" s="59" t="inlineStr">
        <is>
          <t>56（R2_START 2026-09-24 02:05 台北）</t>
        </is>
      </c>
      <c r="E4" s="59" t="inlineStr">
        <is>
          <t>56</t>
        </is>
      </c>
      <c r="F4" s="59" t="inlineStr">
        <is>
          <t>是</t>
        </is>
      </c>
    </row>
    <row r="5" ht="15" customHeight="1" s="34">
      <c r="A5" s="48" t="inlineStr">
        <is>
          <t>R-2</t>
        </is>
      </c>
      <c r="B5" s="50" t="inlineStr">
        <is>
          <t>股利帳本列數</t>
        </is>
      </c>
      <c r="C5" s="50" t="inlineStr">
        <is>
          <t>同上（dividends）</t>
        </is>
      </c>
      <c r="D5" s="59" t="inlineStr">
        <is>
          <t>23</t>
        </is>
      </c>
      <c r="E5" s="59" t="inlineStr">
        <is>
          <t>23</t>
        </is>
      </c>
      <c r="F5" s="59" t="inlineStr">
        <is>
          <t>是</t>
        </is>
      </c>
    </row>
    <row r="6" ht="15" customHeight="1" s="34">
      <c r="A6" s="48" t="inlineStr">
        <is>
          <t>R-3</t>
        </is>
      </c>
      <c r="B6" s="50" t="inlineStr">
        <is>
          <t>換匯帳本列數</t>
        </is>
      </c>
      <c r="C6" s="50" t="inlineStr">
        <is>
          <t>同上（fx）</t>
        </is>
      </c>
      <c r="D6" s="59" t="inlineStr">
        <is>
          <t>19</t>
        </is>
      </c>
      <c r="E6" s="59" t="inlineStr">
        <is>
          <t>19</t>
        </is>
      </c>
      <c r="F6" s="59" t="inlineStr">
        <is>
          <t>是</t>
        </is>
      </c>
    </row>
    <row r="7" ht="15" customHeight="1" s="34">
      <c r="A7" s="48" t="inlineStr">
        <is>
          <t>R-4</t>
        </is>
      </c>
      <c r="B7" s="50" t="inlineStr">
        <is>
          <t>資金收支列數</t>
        </is>
      </c>
      <c r="C7" s="50" t="inlineStr">
        <is>
          <t>同上（cash）</t>
        </is>
      </c>
      <c r="D7" s="59" t="inlineStr">
        <is>
          <t>34</t>
        </is>
      </c>
      <c r="E7" s="59" t="inlineStr">
        <is>
          <t>34</t>
        </is>
      </c>
      <c r="F7" s="59" t="inlineStr">
        <is>
          <t>是</t>
        </is>
      </c>
    </row>
    <row r="8" ht="15" customHeight="1" s="34">
      <c r="A8" s="48" t="inlineStr">
        <is>
          <t>R-5</t>
        </is>
      </c>
      <c r="B8" s="50" t="inlineStr">
        <is>
          <t>公司行動列數</t>
        </is>
      </c>
      <c r="C8" s="50" t="inlineStr">
        <is>
          <t>同上（actions）／或匯出</t>
        </is>
      </c>
      <c r="D8" s="59" t="inlineStr">
        <is>
          <t>0</t>
        </is>
      </c>
      <c r="E8" s="59" t="inlineStr">
        <is>
          <t>0</t>
        </is>
      </c>
      <c r="F8" s="59" t="inlineStr">
        <is>
          <t>是</t>
        </is>
      </c>
    </row>
    <row r="9" ht="15" customHeight="1" s="34">
      <c r="A9" s="48" t="inlineStr">
        <is>
          <t>R-6</t>
        </is>
      </c>
      <c r="B9" s="50" t="inlineStr">
        <is>
          <t>四段 JSON 相同</t>
        </is>
      </c>
      <c r="C9" s="49" t="inlineStr">
        <is>
          <t>kpis／holdings／realized／allocation 與基準字串完全相同</t>
        </is>
      </c>
      <c r="D9" s="59" t="inlineStr">
        <is>
          <t>R2_START 四段 JSON 原文（kpis／holdings／realized／allocation）</t>
        </is>
      </c>
      <c r="E9" s="59" t="inlineStr">
        <is>
          <t>四段字串完全相同（本輪未更新報價）</t>
        </is>
      </c>
      <c r="F9" s="59" t="inlineStr">
        <is>
          <t>是</t>
        </is>
      </c>
    </row>
    <row r="10" ht="15" customHeight="1" s="34">
      <c r="A10" s="48" t="inlineStr">
        <is>
          <t>R-7</t>
        </is>
      </c>
      <c r="B10" s="50" t="inlineStr">
        <is>
          <t>各現金池餘額</t>
        </is>
      </c>
      <c r="C10" s="49" t="inlineStr">
        <is>
          <t>GET /api/cash</t>
        </is>
      </c>
      <c r="D10" s="59" t="inlineStr">
        <is>
          <t>cash_balances 與 reporting_total 原文</t>
        </is>
      </c>
      <c r="E10" s="59" t="inlineStr">
        <is>
          <t>兩段字串完全相同</t>
        </is>
      </c>
      <c r="F10" s="59" t="inlineStr">
        <is>
          <t>是</t>
        </is>
      </c>
    </row>
    <row r="11" ht="15" customHeight="1" s="34">
      <c r="A11" s="48" t="inlineStr">
        <is>
          <t>R-8</t>
        </is>
      </c>
      <c r="B11" s="50" t="inlineStr">
        <is>
          <t>匯入批次無殘留</t>
        </is>
      </c>
      <c r="C11" s="50" t="inlineStr">
        <is>
          <t>交易帳本 › 匯入批次</t>
        </is>
      </c>
      <c r="D11" s="59" t="inlineStr">
        <is>
          <t>0 批</t>
        </is>
      </c>
      <c r="E11" s="59" t="inlineStr">
        <is>
          <t>0 批（本輪建立的批次 11、12 已復原／隨帳本清除）</t>
        </is>
      </c>
      <c r="F11" s="59" t="inlineStr">
        <is>
          <t>是</t>
        </is>
      </c>
    </row>
    <row r="12" ht="15" customHeight="1" s="34">
      <c r="A12" s="48" t="inlineStr">
        <is>
          <t>R-9</t>
        </is>
      </c>
      <c r="B12" s="50" t="inlineStr">
        <is>
          <t>觀察清單無殘留</t>
        </is>
      </c>
      <c r="C12" s="50" t="inlineStr">
        <is>
          <t>例如 ZZZZ9 未被加入</t>
        </is>
      </c>
      <c r="D12" s="59" t="inlineStr">
        <is>
          <t>26 檔、目標價皆空</t>
        </is>
      </c>
      <c r="E12" s="59" t="inlineStr">
        <is>
          <t>26 檔、目標價皆空（2884／2882／2330 測試用目標價已清回）；暫存洞察任務 #11 已刪，任務清單 1／2／7／8／9 皆啟用；自動 AI 辨識 true、低額度閾值 1.00</t>
        </is>
      </c>
      <c r="F12" s="59" t="inlineStr">
        <is>
          <t>是</t>
        </is>
      </c>
    </row>
    <row r="13" ht="15" customHeight="1" s="34">
      <c r="A13" s="48" t="inlineStr">
        <is>
          <t>R-10</t>
        </is>
      </c>
      <c r="B13" s="49" t="inlineStr">
        <is>
          <t>AI 額度變動已記錄</t>
        </is>
      </c>
      <c r="C13" s="50" t="inlineStr">
        <is>
          <t>與 H-02 對帳</t>
        </is>
      </c>
      <c r="D13" s="59" t="inlineStr">
        <is>
          <t>剩餘額度 $3.2720718</t>
        </is>
      </c>
      <c r="E13" s="59" t="inlineStr">
        <is>
          <t>剩餘額度 $3.2684400；本輪花費 $0.0036318＝insight:7 run #180 $0.0023063＋AI 輸入解析 $0.0005936＋insight:9 run #184 $0.0007319</t>
        </is>
      </c>
      <c r="F13" s="59" t="inlineStr">
        <is>
          <t>是（逐筆對帳）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46" customWidth="1" style="33" min="2" max="2"/>
    <col width="16" customWidth="1" style="33" min="3" max="3"/>
    <col width="46" customWidth="1" style="33" min="4" max="4"/>
  </cols>
  <sheetData>
    <row r="1" ht="16.15" customHeight="1" s="34">
      <c r="A1" s="62" t="inlineStr">
        <is>
          <t>結案簽核</t>
        </is>
      </c>
    </row>
    <row r="3" ht="15" customHeight="1" s="34">
      <c r="A3" s="53" t="inlineStr">
        <is>
          <t>結案條件（全部滿足才可簽）</t>
        </is>
      </c>
      <c r="C3" s="53" t="inlineStr">
        <is>
          <t>達成？</t>
        </is>
      </c>
    </row>
    <row r="4" ht="29.85" customHeight="1" s="34">
      <c r="A4" s="63" t="inlineStr">
        <is>
          <t>1</t>
        </is>
      </c>
      <c r="B4" s="39" t="inlineStr">
        <is>
          <t>全部測試案例的最終判定為 `PASS` 或 `N/A`（`N/A` 需寫依據）</t>
        </is>
      </c>
      <c r="C4" s="64" t="n"/>
    </row>
    <row r="5" ht="29.85" customHeight="1" s="34">
      <c r="A5" s="63" t="inlineStr">
        <is>
          <t>2</t>
        </is>
      </c>
      <c r="B5" s="39" t="inlineStr">
        <is>
          <t>缺陷登記中沒有狀態為『修復中／待複驗／複驗未過』的列</t>
        </is>
      </c>
      <c r="C5" s="64" t="n"/>
    </row>
    <row r="6" ht="44" customHeight="1" s="34">
      <c r="A6" s="63" t="inlineStr">
        <is>
          <t>3</t>
        </is>
      </c>
      <c r="B6" s="39" t="inlineStr">
        <is>
          <t>所有 `OBSERVE` 都有 owner 裁定，並已改判為 `PASS`／`N/A`／或轉為新功能待排期（後者需在簽核頁寫明不影響結案）</t>
        </is>
      </c>
      <c r="C6" s="64" t="n"/>
    </row>
    <row r="7" ht="15" customHeight="1" s="34">
      <c r="A7" s="63" t="inlineStr">
        <is>
          <t>4</t>
        </is>
      </c>
      <c r="B7" s="39" t="inlineStr">
        <is>
          <t>最後一輪的 J 組回歸快篩全過，且與上一輪相比零回歸</t>
        </is>
      </c>
      <c r="C7" s="64" t="n"/>
    </row>
    <row r="8" ht="29.85" customHeight="1" s="34">
      <c r="A8" s="63" t="inlineStr">
        <is>
          <t>5</t>
        </is>
      </c>
      <c r="B8" s="39" t="inlineStr">
        <is>
          <t>還原檢查清單 R-1～R-10 全部相符（受測環境已回到基準）</t>
        </is>
      </c>
      <c r="C8" s="64" t="n"/>
    </row>
    <row r="10" ht="15" customHeight="1" s="34">
      <c r="A10" s="53" t="inlineStr">
        <is>
          <t>統計（自動）</t>
        </is>
      </c>
    </row>
    <row r="11" ht="15" customHeight="1" s="34">
      <c r="A11" s="61" t="inlineStr">
        <is>
          <t>總輪次</t>
        </is>
      </c>
      <c r="B11" s="65">
        <f>COUNTA(輪次彙總!$B$4:$B$9)</f>
        <v/>
      </c>
    </row>
    <row r="12" ht="15" customHeight="1" s="34">
      <c r="A12" s="61" t="inlineStr">
        <is>
          <t>測試案例 最終判定 PASS</t>
        </is>
      </c>
      <c r="B12" s="65">
        <f>COUNTIF(測試案例!$M$3:$M$132,"PASS")</f>
        <v/>
      </c>
    </row>
    <row r="13" ht="15" customHeight="1" s="34">
      <c r="A13" s="61" t="inlineStr">
        <is>
          <t>測試案例 最終判定 N/A</t>
        </is>
      </c>
      <c r="B13" s="65">
        <f>COUNTIF(測試案例!$M$3:$M$132,"N/A")</f>
        <v/>
      </c>
    </row>
    <row r="14" ht="15" customHeight="1" s="34">
      <c r="A14" s="61" t="inlineStr">
        <is>
          <t>測試案例 尚未有最終判定</t>
        </is>
      </c>
      <c r="B14" s="65">
        <f>120-COUNTIF(測試案例!$M$3:$M$132,"PASS")-COUNTIF(測試案例!$M$3:$M$132,"N/A")</f>
        <v/>
      </c>
    </row>
    <row r="15" ht="15" customHeight="1" s="34">
      <c r="A15" s="61" t="inlineStr">
        <is>
          <t>缺陷總數</t>
        </is>
      </c>
      <c r="B15" s="65">
        <f>COUNTA(缺陷登記!$I$3:$I$82)</f>
        <v/>
      </c>
    </row>
    <row r="16" ht="15" customHeight="1" s="34">
      <c r="A16" s="61" t="inlineStr">
        <is>
          <t xml:space="preserve">　其中 高</t>
        </is>
      </c>
      <c r="B16" s="65">
        <f>COUNTIF(缺陷登記!$D$3:$D$82,"高")</f>
        <v/>
      </c>
    </row>
    <row r="17" ht="15" customHeight="1" s="34">
      <c r="A17" s="61" t="inlineStr">
        <is>
          <t xml:space="preserve">　其中 中</t>
        </is>
      </c>
      <c r="B17" s="65">
        <f>COUNTIF(缺陷登記!$D$3:$D$82,"中")</f>
        <v/>
      </c>
    </row>
    <row r="18" ht="15" customHeight="1" s="34">
      <c r="A18" s="61" t="inlineStr">
        <is>
          <t xml:space="preserve">　其中 低</t>
        </is>
      </c>
      <c r="B18" s="65">
        <f>COUNTIF(缺陷登記!$D$3:$D$82,"低")</f>
        <v/>
      </c>
    </row>
    <row r="19" ht="15" customHeight="1" s="34">
      <c r="A19" s="61" t="inlineStr">
        <is>
          <t>已結案缺陷</t>
        </is>
      </c>
      <c r="B19" s="65">
        <f>COUNTIF(缺陷登記!$I$3:$I$82,"結案")+COUNTIF(缺陷登記!$I$3:$I$82,"非缺陷")</f>
        <v/>
      </c>
    </row>
    <row r="20" ht="15" customHeight="1" s="34">
      <c r="A20" s="61" t="inlineStr">
        <is>
          <t>未結案缺陷（應為 0）</t>
        </is>
      </c>
      <c r="B20" s="65">
        <f>COUNTA(缺陷登記!$I$3:$I$82)-COUNTIF(缺陷登記!$I$3:$I$82,"結案")-COUNTIF(缺陷登記!$I$3:$I$82,"非缺陷")</f>
        <v/>
      </c>
    </row>
    <row r="22" ht="15" customHeight="1" s="34">
      <c r="A22" s="53" t="inlineStr">
        <is>
          <t>簽核</t>
        </is>
      </c>
    </row>
    <row r="23" ht="15" customHeight="1" s="34">
      <c r="A23" s="53" t="inlineStr">
        <is>
          <t>角色</t>
        </is>
      </c>
      <c r="B23" s="53" t="inlineStr">
        <is>
          <t>姓名</t>
        </is>
      </c>
      <c r="C23" s="53" t="inlineStr">
        <is>
          <t>日期</t>
        </is>
      </c>
      <c r="D23" s="53" t="inlineStr">
        <is>
          <t>簽署意見</t>
        </is>
      </c>
    </row>
    <row r="24" ht="15" customHeight="1" s="34">
      <c r="A24" s="61" t="inlineStr">
        <is>
          <t>檢驗方</t>
        </is>
      </c>
      <c r="B24" s="64" t="n"/>
      <c r="C24" s="64" t="n"/>
      <c r="D24" s="64" t="n"/>
    </row>
    <row r="25" ht="15" customHeight="1" s="34">
      <c r="A25" s="61" t="inlineStr">
        <is>
          <t>修復方</t>
        </is>
      </c>
      <c r="B25" s="64" t="n"/>
      <c r="C25" s="64" t="n"/>
      <c r="D25" s="64" t="n"/>
    </row>
    <row r="26" ht="15" customHeight="1" s="34">
      <c r="A26" s="66" t="inlineStr">
        <is>
          <t>Owner</t>
        </is>
      </c>
      <c r="B26" s="64" t="n"/>
      <c r="C26" s="64" t="n"/>
      <c r="D26" s="64" t="n"/>
    </row>
    <row r="28" ht="15" customHeight="1" s="34">
      <c r="A28" s="53" t="inlineStr">
        <is>
          <t>最終受測版本（commit）</t>
        </is>
      </c>
      <c r="B28" s="64" t="n"/>
    </row>
    <row r="29" ht="15" customHeight="1" s="34">
      <c r="A29" s="53" t="inlineStr">
        <is>
          <t>結案日期</t>
        </is>
      </c>
      <c r="B29" s="64" t="n"/>
    </row>
    <row r="30" ht="15" customHeight="1" s="34">
      <c r="A30" s="53" t="inlineStr">
        <is>
          <t>結論</t>
        </is>
      </c>
      <c r="B30" s="64" t="n"/>
    </row>
    <row r="32" ht="15" customHeight="1" s="34">
      <c r="A32" s="61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2026-09-22T17:50:57Z</dcterms:created>
  <dcterms:modified xmlns:dcterms="http://purl.org/dc/terms/" xmlns:xsi="http://www.w3.org/2001/XMLSchema-instance" xsi:type="dcterms:W3CDTF">2026-09-24T09:33:09Z</dcterms:modified>
  <cp:revision>0</cp:revision>
</cp:coreProperties>
</file>