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<sst xmlns="http://schemas.openxmlformats.org/spreadsheetml/2006/main" count="6781" uniqueCount="3233">
  <si>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</si>
  <si>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</si>
  <si>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</si>
  <si>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</si>
  <si>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</si>
  <si>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</si>
  <si>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</si>
  <si>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</si>
  <si>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</si>
  <si>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</si>
  <si>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</si>
  <si>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</si>
  <si>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</si>
  <si>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</si>
  <si>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</si>
  <si>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</si>
  <si>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</si>
  <si>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</si>
  <si>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</si>
  <si>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</si>
  <si>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</si>
  <si>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</si>
  <si>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</si>
  <si>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</si>
  <si>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</si>
  <si>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</si>
  <si>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</si>
  <si>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</si>
  <si>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</si>
  <si>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</si>
  <si>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</si>
  <si>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</si>
  <si>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</si>
  <si>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</si>
  <si>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</si>
  <si>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</si>
  <si>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</si>
  <si>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</si>
  <si>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</si>
  <si>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</si>
  <si>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</si>
  <si>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</si>
  <si>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</si>
  <si>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</si>
  <si>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</si>
  <si>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</si>
  <si>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</si>
  <si>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</si>
  <si>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</si>
  <si>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</si>
  <si>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</si>
  <si>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</si>
  <si>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</si>
  <si>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</si>
  <si>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</si>
  <si>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</si>
  <si>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</si>
  <si>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</si>
  <si>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</si>
  <si>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</si>
  <si>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</si>
  <si>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</si>
  <si>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</si>
  <si>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</si>
  <si>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</si>
  <si>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</si>
  <si>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</si>
  <si>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</si>
  <si>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</si>
  <si>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</si>
  <si>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</si>
  <si>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</si>
  <si>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</si>
  <si>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</si>
  <si>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</si>
  <si>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</si>
  <si>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</si>
  <si>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</si>
  <si>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</si>
  <si>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</si>
  <si>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</si>
  <si>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</si>
  <si>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</si>
  <si>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</si>
  <si>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</si>
  <si>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</si>
  <si>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</si>
  <si>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</si>
  <si>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</si>
  <si>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</si>
  <si>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</si>
  <si>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</si>
  <si>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</si>
  <si>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</si>
  <si>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</si>
  <si>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</si>
  <si>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</si>
  <si>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</si>
  <si>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</si>
  <si>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</si>
  <si>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</si>
  <si>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</si>
  <si>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</si>
  <si>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</si>
  <si>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</si>
  <si>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</si>
  <si>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</si>
  <si>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</si>
  <si>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</si>
  <si>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</si>
  <si>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</si>
  <si>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</si>
  <si>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</si>
  <si>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</si>
  <si>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</si>
  <si>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</si>
  <si>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</si>
  <si>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</si>
  <si>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</si>
  <si>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</si>
  <si>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</si>
  <si>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</si>
  <si>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</si>
  <si>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</si>
  <si>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</si>
  <si>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</si>
  <si>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</si>
  <si>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</si>
  <si>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</si>
  <si>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</si>
  <si>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</si>
  <si>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</si>
  <si>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</si>
  <si>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</si>
  <si>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</si>
  <si>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</si>
  <si>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</si>
  <si>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</si>
  <si>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</si>
  <si>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</si>
  <si>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</si>
  <si>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</si>
  <si>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</si>
  <si>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</si>
  <si>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</si>
  <si>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</si>
  <si>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</si>
  <si>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</si>
  <si>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</si>
  <si>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</si>
  <si>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</si>
  <si>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</si>
  <si>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/api/cash/movements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；② 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35 </t>
    </r>
    <r>
      <rPr>
        <sz val="10"/>
        <rFont val="Noto Sans CJK SC"/>
        <family val="2"/>
      </rPr>
      <t xml:space="preserve">列）、列上「入金」中性實心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持倉、總市值（</t>
    </r>
    <r>
      <rPr>
        <sz val="10"/>
        <rFont val="Arial"/>
        <family val="0"/>
        <charset val="1"/>
      </rPr>
      <t xml:space="preserve">34,822,281.49</t>
    </r>
    <r>
      <rPr>
        <sz val="10"/>
        <rFont val="Noto Sans CJK SC"/>
        <family val="2"/>
      </rPr>
      <t xml:space="preserve">）與未實現不變；④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</si>
  <si>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</si>
  <si>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</si>
  <si>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</si>
  <si>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</si>
  <si>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</si>
  <si>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</si>
  <si>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</si>
  <si>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</si>
  <si>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</si>
  <si>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</si>
  <si>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</si>
  <si>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</si>
  <si>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</si>
  <si>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</si>
  <si>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</si>
  <si>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</si>
  <si>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</si>
  <si>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</si>
  <si>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</si>
  <si>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</si>
  <si>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</si>
  <si>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</si>
  <si>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</si>
  <si>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</si>
  <si>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項檢查全過：台灣券商出金半池 </t>
    </r>
    <r>
      <rPr>
        <sz val="10"/>
        <rFont val="Arial"/>
        <family val="0"/>
        <charset val="1"/>
      </rPr>
      <t xml:space="preserve">3,083,797 TWD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6,167,595→3,083,798</t>
    </r>
    <r>
      <rPr>
        <sz val="10"/>
        <rFont val="Noto Sans CJK SC"/>
        <family val="2"/>
      </rPr>
      <t xml:space="preserve">；② 列上「出金」中性外框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持倉不變（依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</si>
  <si>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</si>
  <si>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</si>
  <si>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</si>
  <si>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</si>
  <si>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</si>
  <si>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</si>
  <si>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</si>
  <si>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</si>
  <si>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</si>
  <si>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</si>
  <si>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</si>
  <si>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</si>
  <si>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</si>
  <si>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</si>
  <si>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</si>
  <si>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</si>
  <si>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DEF-090, DEF-091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</si>
  <si>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</si>
  <si>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</si>
  <si>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</si>
  <si>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</si>
  <si>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</si>
  <si>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</si>
  <si>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</si>
  <si>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400,497.90→400,510.24</t>
    </r>
    <r>
      <rPr>
        <sz val="10"/>
        <rFont val="Noto Sans CJK SC"/>
        <family val="2"/>
      </rPr>
      <t xml:space="preserve">；成本不變；② 列顯示「利息」；③ 不進已實現；④ 現金對帳單匯出有該列（</t>
    </r>
    <r>
      <rPr>
        <sz val="10"/>
        <rFont val="Arial"/>
        <family val="0"/>
        <charset val="1"/>
      </rPr>
      <t xml:space="preserve">2026-09-23 interest 12.34</t>
    </r>
    <r>
      <rPr>
        <sz val="10"/>
        <rFont val="Noto Sans CJK SC"/>
        <family val="2"/>
      </rPr>
      <t xml:space="preserve">，當日滾動餘額 </t>
    </r>
    <r>
      <rPr>
        <sz val="10"/>
        <rFont val="Arial"/>
        <family val="0"/>
        <charset val="1"/>
      </rPr>
      <t xml:space="preserve">398,510.24</t>
    </r>
    <r>
      <rPr>
        <sz val="10"/>
        <rFont val="Noto Sans CJK SC"/>
        <family val="2"/>
      </rPr>
      <t xml:space="preserve">）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</si>
  <si>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</si>
  <si>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</si>
  <si>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</si>
  <si>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</si>
  <si>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</si>
  <si>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USD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400,510.24→400,505.24</t>
    </r>
    <r>
      <rPr>
        <sz val="10"/>
        <rFont val="Noto Sans CJK SC"/>
        <family val="2"/>
      </rPr>
      <t xml:space="preserve">；成本不變；② 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「融資利息」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</si>
  <si>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</si>
  <si>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</si>
  <si>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</si>
  <si>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</si>
  <si>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</si>
  <si>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400,505.24→400,502.24</t>
    </r>
    <r>
      <rPr>
        <sz val="10"/>
        <rFont val="Noto Sans CJK SC"/>
        <family val="2"/>
      </rPr>
      <t xml:space="preserve">；成本不變；中性外框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「券商費用」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</si>
  <si>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</si>
  <si>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</si>
  <si>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</si>
  <si>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</si>
  <si>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</si>
  <si>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</si>
  <si>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</si>
  <si>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</si>
  <si>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</si>
  <si>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</si>
  <si>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DEF-009）；③ 池中已有與這筆無關的負值時，修改或刪除一筆不會讓任何一天新轉負、也不會跌破原本最低點的紀錄（例：刪除一筆出金），直接寫入、不要求確認；會造成新負值的修改仍要求確認，訊息點名這次造成的第一個轉負日與最低點（Owner 2026-10-02 裁定 A，DEF-092）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</si>
  <si>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</si>
  <si>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</si>
  <si>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DEF-009, DEF-092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</si>
  <si>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
R15（d8efc07 複驗 DEF-092；手冊 §9 第 2 條，各題測完還原並比對）：PASS — demo 真實瀏覽器（頁首 v0.1.28 · d8efc07），demo 6／6 項：寫入 #141 → 編輯為 150（PUT 200）→ 52 列滾動餘額全部重算（錯 0）；確認折讓款 #142（2026-07、1,083）→ 日期／類型／金額／備註皆可編輯；測後刪除，分段逐字相同。A-11 ③（A-11C，demo 29／29 項；期望句皆先由資金對帳單的日終餘額逐日推算）——嘉信 Schwab TWD 池 2026-01-12 起已有 −220,000（demo 既有、與以下各筆無關）：① 資金管理 › 出金入金 寫入 2026-07-19 出金 100,000（POST 201 #143）→ 刪除：只跳一般的「刪除資金紀錄」確認，DELETE（不帶確認參數）200、提示「已刪除」，沒有「現金將變為負數」（R14 為 422「於 2026-01-12 降至 −220,000」）；② 入金 2026-07-18 300,000（#144）＋出金 07-19 400,000（#145，靠此入金才夠）：入金改 250,000 → PUT 200 直接寫入（07-19 仍 50,000）；改 100,000 → PUT 422 negative_cash，對話框「現金將變為負數｜此筆會使 嘉信 Schwab 的 TWD 現金自 2026-07-19 起為負，最低於 2026-07-20 降至 −105,000 — 通常代表漏記入金或換匯；確認無誤可強制寫入［取消］［我了解，仍要寫入］」，不提 2026-01-12／−220,000，取消後仍為 250,000；刪除該入金 → 422「…自 2026-07-19 起為負，最低於 2026-07-20 降至 −205,000…」，取消後仍在；不帶確認先刪出金、再刪入金 → 皆 200；③ 跌破原本最低點仍詢問：補 2026-01-05 入金 50,000（#146，最低點變 −170,000）→ 刪除 → 422「…於 2026-01-12 降至 −220,000…」→ 按「我了解，仍要寫入」→ DELETE ?ack_negative=true 200；④ 交易帳本 › 換匯 › 刪除：2026-07-22 USD 1,000 → TWD 31,900（#30）→ 只跳「刪除換匯」、DELETE 200 不詢問；2026-07-18 USD 10,000 → TWD 319,000（#31）＋07-19 出金 400,000（#147）→ 刪換匯 → 422「…自 2026-07-19 起為負，最低於 2026-07-20 降至 −205,000…」［我了解，仍要刪除］，取消後仍在；測後嘉信 TWD／USD 對帳單逐日餘額與開始時逐字相同，分段逐字相同。另重跑 A-11X（8／8，此池本身無負值）：台灣券商 TWD 入金 1,000,000 改 100,000 → 422「自 2026-07-16 起為負，最低於 2026-07-17 降至 −653,820」、刪入金 →「…−753,820」，與 R14 相同
R16（d9f1c68 複驗 DEF-093；手冊 §9 第 2 條，各題測完還原並比對）：PASS — demo 真實瀏覽器（頁首 v0.1.28 · d9f1c68），demo 6／6 項：寫入 #156 → 編輯為 150（PUT 200）→ 52 列滾動餘額全部重算（錯 0）；確認折讓款 #157（2026-07、1,083）→ 日期／類型／金額／備註皆可編輯；測後刪除，分段逐字相同。A-11 ③（A-11C，29／29）與 R15 相同：刪嘉信 TWD 出金 #158 → 只跳一般刪除確認、DELETE 200；入金改小 → 422「自 2026-07-19 起為負，最低於 2026-07-20 降至 −105,000」、刪入金 →「…−205,000」；跌破原本最低點 →「於 2026-01-12 降至 −220,000」，確認後 ?ack_negative=true 200；換匯刪除兩向（#34 200 不詢問；#35 422 −205,000）。R15 在此題記下的觀察（編輯 #35 換入金額 319,000 → 1,000）現在回 422 並跳「現金將變為負數…−204,000」，按取消未寫入（DEF-093 已修）。A-11X（8／8）：台灣券商入金改小 → 422「自 2026-07-16 起為負，最低於 2026-07-17 降至 −653,820」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</si>
  <si>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</si>
  <si>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</si>
  <si>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</si>
  <si>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</si>
  <si>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</si>
  <si>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</si>
  <si>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</si>
  <si>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</si>
  <si>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</si>
  <si>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</si>
  <si>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</si>
  <si>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</si>
  <si>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」；⑤ 交易帳本 › 換匯 › 編輯一筆換匯，把換入金額改小到使之後某天轉負 → 跳「現金將變為負數」，訊息點名這次造成的第一個轉負日與最低點，確認後寫入；換出金額超過餘額仍直接擋下、不能強制寫入（</t>
    </r>
    <r>
      <rPr>
        <sz val="10"/>
        <rFont val="Arial"/>
        <family val="0"/>
        <charset val="1"/>
      </rPr>
      <t xml:space="preserve">Owner 2026-10-03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）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</si>
  <si>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</si>
  <si>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</si>
  <si>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</si>
  <si>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t xml:space="preserve">DEF-092, DEF-093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</si>
  <si>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980.63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4.0790 MYR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/api/cash/fx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56,384.10→57,364.73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4.0790 MYR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
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；測後刪除，分段逐字相同。另補驗換匯守門（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項，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同類）：嘉信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USD → 422 fx_insufficient_balance</t>
    </r>
    <r>
      <rPr>
        <sz val="10"/>
        <rFont val="Noto Sans CJK SC"/>
        <family val="2"/>
      </rPr>
      <t xml:space="preserve">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（換匯日早於資金到位）— 換匯不可透支，請先補登入金或換匯」，換匯帳本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；測後由換匯帳本刪除（</t>
    </r>
    <r>
      <rPr>
        <sz val="10"/>
        <rFont val="Arial"/>
        <family val="0"/>
        <charset val="1"/>
      </rPr>
      <t xml:space="preserve">DEF-092 </t>
    </r>
    <r>
      <rPr>
        <sz val="10"/>
        <rFont val="Noto Sans CJK SC"/>
        <family val="2"/>
      </rPr>
      <t xml:space="preserve">改過的換匯刪除門，未詢問），分段逐字相同。換匯刪除門的詢問範圍另見 </t>
    </r>
    <r>
      <rPr>
        <sz val="10"/>
        <rFont val="Arial"/>
        <family val="0"/>
        <charset val="1"/>
      </rPr>
      <t xml:space="preserve">A-11 ③ ④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A-11C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422 fx_insufficient_balance</t>
    </r>
    <r>
      <rPr>
        <sz val="10"/>
        <rFont val="Noto Sans CJK SC"/>
        <family val="2"/>
      </rPr>
      <t xml:space="preserve">「…自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（換匯日早於資金到位）…」，換匯帳本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d9f1c68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；測後刪除，分段逐字相同。</t>
    </r>
    <r>
      <rPr>
        <sz val="10"/>
        <rFont val="Arial"/>
        <family val="0"/>
        <charset val="1"/>
      </rPr>
      <t xml:space="preserve">A-13 ⑤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A-13D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項；期望句皆先由資金對帳單的日終餘額逐日推算）——</t>
    </r>
    <r>
      <rPr>
        <sz val="10"/>
        <rFont val="Arial"/>
        <family val="0"/>
        <charset val="1"/>
      </rPr>
      <t xml:space="preserve">R15 </t>
    </r>
    <r>
      <rPr>
        <sz val="10"/>
        <rFont val="Noto Sans CJK SC"/>
        <family val="2"/>
      </rPr>
      <t xml:space="preserve">情境：嘉信 </t>
    </r>
    <r>
      <rPr>
        <sz val="10"/>
        <rFont val="Arial"/>
        <family val="0"/>
        <charset val="1"/>
      </rPr>
      <t xml:space="preserve">2026-07-18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USD 10,000 → TWD 319,000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#37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400,000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#165</t>
    </r>
    <r>
      <rPr>
        <sz val="10"/>
        <rFont val="Noto Sans CJK SC"/>
        <family val="2"/>
      </rPr>
      <t xml:space="preserve">，靠這筆換匯才夠），嘉信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2026-01-12 </t>
    </r>
    <r>
      <rPr>
        <sz val="10"/>
        <rFont val="Noto Sans CJK SC"/>
        <family val="2"/>
      </rPr>
      <t xml:space="preserve">起另有 −</t>
    </r>
    <r>
      <rPr>
        <sz val="10"/>
        <rFont val="Arial"/>
        <family val="0"/>
        <charset val="1"/>
      </rPr>
      <t xml:space="preserve">220,000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既有、無關）：① 交易帳本 › 換匯 › 編輯，換入金額改成 </t>
    </r>
    <r>
      <rPr>
        <sz val="10"/>
        <rFont val="Arial"/>
        <family val="0"/>
        <charset val="1"/>
      </rPr>
      <t xml:space="preserve">1,000 → </t>
    </r>
    <r>
      <rPr>
        <sz val="10"/>
        <rFont val="Noto Sans CJK SC"/>
        <family val="2"/>
      </rPr>
      <t xml:space="preserve">儲存：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（不帶確認）</t>
    </r>
    <r>
      <rPr>
        <sz val="10"/>
        <rFont val="Arial"/>
        <family val="0"/>
        <charset val="1"/>
      </rPr>
      <t xml:space="preserve">422 negative_cash</t>
    </r>
    <r>
      <rPr>
        <sz val="10"/>
        <rFont val="Noto Sans CJK SC"/>
        <family val="2"/>
      </rPr>
      <t xml:space="preserve">，對話框「現金將變為負數｜此筆會使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204,000 — </t>
    </r>
    <r>
      <rPr>
        <sz val="10"/>
        <rFont val="Noto Sans CJK SC"/>
        <family val="2"/>
      </rPr>
      <t xml:space="preserve">通常代表漏記入金或換匯；確認無誤可強制寫入［取消］［我了解，仍要寫入］」，不提 </t>
    </r>
    <r>
      <rPr>
        <sz val="10"/>
        <rFont val="Arial"/>
        <family val="0"/>
        <charset val="1"/>
      </rPr>
      <t xml:space="preserve">2026-01-12</t>
    </r>
    <r>
      <rPr>
        <sz val="10"/>
        <rFont val="Noto Sans CJK SC"/>
        <family val="2"/>
      </rPr>
      <t xml:space="preserve">，按「取消」不再送出、換入金額仍 </t>
    </r>
    <r>
      <rPr>
        <sz val="10"/>
        <rFont val="Arial"/>
        <family val="0"/>
        <charset val="1"/>
      </rPr>
      <t xml:space="preserve">319,000</t>
    </r>
    <r>
      <rPr>
        <sz val="10"/>
        <rFont val="Noto Sans CJK SC"/>
        <family val="2"/>
      </rPr>
      <t xml:space="preserve">；② 再編輯一次 →「我了解，仍要寫入」→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ack_negative: true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，換入金額 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，對帳單 </t>
    </r>
    <r>
      <rPr>
        <sz val="10"/>
        <rFont val="Arial"/>
        <family val="0"/>
        <charset val="1"/>
      </rPr>
      <t xml:space="preserve">07-19 −199,000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07-20 −204,000</t>
    </r>
    <r>
      <rPr>
        <sz val="10"/>
        <rFont val="Noto Sans CJK SC"/>
        <family val="2"/>
      </rPr>
      <t xml:space="preserve">；③ 換入金額 </t>
    </r>
    <r>
      <rPr>
        <sz val="10"/>
        <rFont val="Arial"/>
        <family val="0"/>
        <charset val="1"/>
      </rPr>
      <t xml:space="preserve">1,000 → 500</t>
    </r>
    <r>
      <rPr>
        <sz val="10"/>
        <rFont val="Noto Sans CJK SC"/>
        <family val="2"/>
      </rPr>
      <t xml:space="preserve">（這兩天已是負值、仍高於原本最低點 −</t>
    </r>
    <r>
      <rPr>
        <sz val="10"/>
        <rFont val="Arial"/>
        <family val="0"/>
        <charset val="1"/>
      </rPr>
      <t xml:space="preserve">220,000</t>
    </r>
    <r>
      <rPr>
        <sz val="10"/>
        <rFont val="Noto Sans CJK SC"/>
        <family val="2"/>
      </rPr>
      <t xml:space="preserve">，無新轉負的日子）→ </t>
    </r>
    <r>
      <rPr>
        <sz val="10"/>
        <rFont val="Arial"/>
        <family val="0"/>
        <charset val="1"/>
      </rPr>
      <t xml:space="preserve">PUT 200 </t>
    </r>
    <r>
      <rPr>
        <sz val="10"/>
        <rFont val="Noto Sans CJK SC"/>
        <family val="2"/>
      </rPr>
      <t xml:space="preserve">不詢問，與刪除門同一範圍；④ 改回 </t>
    </r>
    <r>
      <rPr>
        <sz val="10"/>
        <rFont val="Arial"/>
        <family val="0"/>
        <charset val="1"/>
      </rPr>
      <t xml:space="preserve">319,000 → 200 </t>
    </r>
    <r>
      <rPr>
        <sz val="10"/>
        <rFont val="Noto Sans CJK SC"/>
        <family val="2"/>
      </rPr>
      <t xml:space="preserve">不詢問；⑥ 把這筆改到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 → MYR 40,000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「…嘉信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205,000…</t>
    </r>
    <r>
      <rPr>
        <sz val="10"/>
        <rFont val="Noto Sans CJK SC"/>
        <family val="2"/>
      </rPr>
      <t xml:space="preserve">」（原帳戶的換入池），未寫入；⑤ 換出金額改成 </t>
    </r>
    <r>
      <rPr>
        <sz val="10"/>
        <rFont val="Arial"/>
        <family val="0"/>
        <charset val="1"/>
      </rPr>
      <t xml:space="preserve">500,000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07-18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餘額不含這筆為 </t>
    </r>
    <r>
      <rPr>
        <sz val="10"/>
        <rFont val="Arial"/>
        <family val="0"/>
        <charset val="1"/>
      </rPr>
      <t xml:space="preserve">388,164.91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PUT 422 fx_insufficient_balance</t>
    </r>
    <r>
      <rPr>
        <sz val="10"/>
        <rFont val="Noto Sans CJK SC"/>
        <family val="2"/>
      </rPr>
      <t xml:space="preserve">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2026-07-18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111,835.09</t>
    </r>
    <r>
      <rPr>
        <sz val="10"/>
        <rFont val="Noto Sans CJK SC"/>
        <family val="2"/>
      </rPr>
      <t xml:space="preserve">（換匯當日）— 換匯不可透支（不提供融資）」，畫面以「編輯失敗」提示同句、沒有「現金將變為負數」也沒有「我了解，仍要…」，編輯視窗留著；同一請求在 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ack_negative: true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422 fx_insufficient_balance</t>
    </r>
    <r>
      <rPr>
        <sz val="10"/>
        <rFont val="Noto Sans CJK SC"/>
        <family val="2"/>
      </rPr>
      <t xml:space="preserve">，換匯仍為 </t>
    </r>
    <r>
      <rPr>
        <sz val="10"/>
        <rFont val="Arial"/>
        <family val="0"/>
        <charset val="1"/>
      </rPr>
      <t xml:space="preserve">USD 10,000 → TWD 319,000</t>
    </r>
    <r>
      <rPr>
        <sz val="10"/>
        <rFont val="Noto Sans CJK SC"/>
        <family val="2"/>
      </rPr>
      <t xml:space="preserve">；測後刪除出金與換匯（不帶確認，皆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），嘉信 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對帳單逐日餘額與開始時逐字相同，分段逐字相同。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）：嘉信倒填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422 fx_insufficient_balance</t>
    </r>
    <r>
      <rPr>
        <sz val="10"/>
        <rFont val="Noto Sans CJK SC"/>
        <family val="2"/>
      </rPr>
      <t xml:space="preserve">「…自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（換匯日早於資金到位）…」，換匯帳本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</si>
  <si>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</si>
  <si>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</si>
  <si>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</si>
  <si>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</si>
  <si>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</si>
  <si>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</si>
  <si>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</si>
  <si>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
R16（d9f1c68 複驗 DEF-093；手冊 §9 第 2 條，各題測完還原並比對）：PASS — demo 真實瀏覽器（頁首 v0.1.28 · d9f1c68），demo 3／3 項：買入與賣出同為 MYR → 自動把賣出幣別改為 USD，提示「買賣幣別不可相同 — 已自動將賣出幣別改為 USD，可用餘額也隨之切換」；可用餘額切為 56,384.10 USD；未寫入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</si>
  <si>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</si>
  <si>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</si>
  <si>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</si>
  <si>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</si>
  <si>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</si>
  <si>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</si>
  <si>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
R16（d9f1c68 複驗 DEF-093；手冊 §9 第 2 條，各題測完還原並比對）：PASS — demo 真實瀏覽器（頁首 v0.1.28 · d9f1c68），demo 5／5 項：手動指定買入 985 →「已手動指定買入金額 — 按「重新試算」可依即期匯率回填」、隱含匯率 1 USD = 4.0609 MYR、無殘留「試算中…」；按「重新試算」回填 979.91；未寫入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</si>
  <si>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</si>
  <si>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</si>
  <si>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</si>
  <si>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</si>
  <si>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</si>
  <si>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</si>
  <si>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</si>
  <si>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</si>
  <si>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
R15（d8efc07 複驗 DEF-092；手冊 §9 第 2 條，各題測完還原並比對）：PASS — demo 真實瀏覽器（頁首 v0.1.28 · d8efc07），demo 10／10 項：確認 2026-07 折讓款（台灣券商，當月 7 筆交易、手續費合計 1,412 → 預估 1,083 TWD）→ /api/rebates/confirm 200（#150）、toast「✓ 折讓款已入帳 2026-07・1,083 TWD 已記入現金池」；① TWD 池 6,067,595→6,068,678；② 持倉／成本不變；③ 刪除（「刪除資金紀錄 2026-08-01・折讓款 1,083 TWD（台灣券商）」）→ DELETE /api/cash/movements/150 200、未詢問 → 資金收支回 34 列、池回 6,067,595、該月回到待確認（3 筆）；分段逐字相同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</si>
  <si>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</si>
  <si>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</si>
  <si>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</si>
  <si>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</si>
  <si>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</si>
  <si>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</si>
  <si>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</si>
  <si>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</si>
  <si>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</si>
  <si>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</si>
  <si>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 @45.20</t>
    </r>
    <r>
      <rPr>
        <sz val="10"/>
        <rFont val="Noto Sans CJK SC"/>
        <family val="2"/>
      </rPr>
      <t xml:space="preserve">：① 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；② 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（草稿「持股 </t>
    </r>
    <r>
      <rPr>
        <sz val="10"/>
        <rFont val="Arial"/>
        <family val="0"/>
        <charset val="1"/>
      </rPr>
      <t xml:space="preserve">100 → 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 → 49.62</t>
    </r>
    <r>
      <rPr>
        <sz val="10"/>
        <rFont val="Noto Sans CJK SC"/>
        <family val="2"/>
      </rPr>
      <t xml:space="preserve">」）；寫入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；③ 新均價＝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成本＋</t>
    </r>
    <r>
      <rPr>
        <sz val="10"/>
        <rFont val="Arial"/>
        <family val="0"/>
        <charset val="1"/>
      </rPr>
      <t xml:space="preserve">45,264)÷</t>
    </r>
    <r>
      <rPr>
        <sz val="10"/>
        <rFont val="Noto Sans CJK SC"/>
        <family val="2"/>
      </rPr>
      <t xml:space="preserve">股數＝</t>
    </r>
    <r>
      <rPr>
        <sz val="10"/>
        <rFont val="Arial"/>
        <family val="0"/>
        <charset val="1"/>
      </rPr>
      <t xml:space="preserve">49.62181818…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3,084,521→3,039,257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</si>
  <si>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</si>
  <si>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</si>
  <si>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</si>
  <si>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</si>
  <si>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</si>
  <si>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</si>
  <si>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</si>
  <si>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</si>
  <si>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</si>
  <si>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</si>
  <si>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</si>
  <si>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</si>
  <si>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</si>
  <si>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</si>
  <si>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項是字串比對，依數據改判）：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；② 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；③ 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；④ 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列、移除成本 </t>
    </r>
    <r>
      <rPr>
        <sz val="10"/>
        <rFont val="Arial"/>
        <family val="0"/>
        <charset val="1"/>
      </rPr>
      <t xml:space="preserve">4,927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 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；⑤ 股數 </t>
    </r>
    <r>
      <rPr>
        <sz val="10"/>
        <rFont val="Arial"/>
        <family val="0"/>
        <charset val="1"/>
      </rPr>
      <t xml:space="preserve">1,200→1,100</t>
    </r>
    <r>
      <rPr>
        <sz val="10"/>
        <rFont val="Noto Sans CJK SC"/>
        <family val="2"/>
      </rPr>
      <t xml:space="preserve">、均價不變——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回「</t>
    </r>
    <r>
      <rPr>
        <sz val="10"/>
        <rFont val="Arial"/>
        <family val="0"/>
        <charset val="1"/>
      </rPr>
      <t xml:space="preserve">49.27000000000000000000000</t>
    </r>
    <r>
      <rPr>
        <sz val="10"/>
        <rFont val="Noto Sans CJK SC"/>
        <family val="2"/>
      </rPr>
      <t xml:space="preserve">」，檢查程式以字串與「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」比對而判未過，數值相等。賣出 </t>
    </r>
    <r>
      <rPr>
        <sz val="10"/>
        <rFont val="Arial"/>
        <family val="0"/>
        <charset val="1"/>
      </rPr>
      <t xml:space="preserve">#243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</si>
  <si>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</si>
  <si>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</si>
  <si>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</si>
  <si>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</si>
  <si>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</si>
  <si>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</si>
  <si>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</si>
  <si>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）：未勾當沖 </t>
    </r>
    <r>
      <rPr>
        <sz val="10"/>
        <rFont val="Arial"/>
        <family val="0"/>
        <charset val="1"/>
      </rPr>
      <t xml:space="preserve">0.3% → </t>
    </r>
    <r>
      <rPr>
        <sz val="10"/>
        <rFont val="Noto Sans CJK SC"/>
        <family val="2"/>
      </rPr>
      <t xml:space="preserve">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；勾「當沖」→ </t>
    </r>
    <r>
      <rPr>
        <sz val="10"/>
        <rFont val="Arial"/>
        <family val="0"/>
        <charset val="1"/>
      </rPr>
      <t xml:space="preserve">floor(4,650×0.15%)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；送出本文帶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；帳本列「賣當沖 </t>
    </r>
    <r>
      <rPr>
        <sz val="10"/>
        <rFont val="Arial"/>
        <family val="0"/>
        <charset val="1"/>
      </rPr>
      <t xml:space="preserve">100 46.50 20 6 +4,624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#267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：兩項試算正確，但 </t>
    </r>
    <r>
      <rPr>
        <sz val="10"/>
        <rFont val="Arial"/>
        <family val="0"/>
        <charset val="1"/>
      </rPr>
      <t xml:space="preserve">B-03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留下的同日同價賣出（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）使「確認寫入」被「相同交易已存在」擋下、未送出；改價 </t>
    </r>
    <r>
      <rPr>
        <sz val="10"/>
        <rFont val="Arial"/>
        <family val="0"/>
        <charset val="1"/>
      </rPr>
      <t xml:space="preserve">46.5 </t>
    </r>
    <r>
      <rPr>
        <sz val="10"/>
        <rFont val="Noto Sans CJK SC"/>
        <family val="2"/>
      </rPr>
      <t xml:space="preserve">重跑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</si>
  <si>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</si>
  <si>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</si>
  <si>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</si>
  <si>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</si>
  <si>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</si>
  <si>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</si>
  <si>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」且「確認寫入」停用</t>
    </r>
  </si>
  <si>
    <t xml:space="preserve">B-06</t>
  </si>
  <si>
    <t xml:space="preserve">美股小數股允許</t>
  </si>
  <si>
    <t xml:space="preserve">帳戶=嘉信 Schwab；記錄 USD 池餘額</t>
  </si>
  <si>
    <t xml:space="preserve">買進 AAPL 0.5 股 @ 市價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</si>
  <si>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為刻意允許）；② 費用依美股規則計算；③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池扣款＝交割價金＋費用，交割價金＝</t>
    </r>
    <r>
      <rPr>
        <sz val="10"/>
        <rFont val="Arial"/>
        <family val="0"/>
        <charset val="1"/>
      </rPr>
      <t xml:space="preserve">0.5 × </t>
    </r>
    <r>
      <rPr>
        <sz val="10"/>
        <rFont val="Noto Sans CJK SC"/>
        <family val="2"/>
      </rPr>
      <t xml:space="preserve">價格四捨五入到分（例 </t>
    </r>
    <r>
      <rPr>
        <sz val="10"/>
        <rFont val="Arial"/>
        <family val="0"/>
        <charset val="1"/>
      </rPr>
      <t xml:space="preserve">0.5 × 191.23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95.615 → 95.62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裁定，結案後新增）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</si>
  <si>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</si>
  <si>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</si>
  <si>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</si>
  <si>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</si>
  <si>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</si>
  <si>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</si>
  <si>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</si>
  <si>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</si>
  <si>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@329.40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#245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401,337.54→401,008.14</t>
    </r>
    <r>
      <rPr>
        <sz val="10"/>
        <rFont val="Noto Sans CJK SC"/>
        <family val="2"/>
      </rPr>
      <t xml:space="preserve">、同帳戶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池不變（</t>
    </r>
    <r>
      <rPr>
        <sz val="10"/>
        <rFont val="Arial"/>
        <family val="0"/>
        <charset val="1"/>
      </rPr>
      <t xml:space="preserve">800,000</t>
    </r>
    <r>
      <rPr>
        <sz val="10"/>
        <rFont val="Noto Sans CJK SC"/>
        <family val="2"/>
      </rPr>
      <t xml:space="preserve">）；② 報告市值 </t>
    </r>
    <r>
      <rPr>
        <sz val="10"/>
        <rFont val="Arial"/>
        <family val="0"/>
        <charset val="1"/>
      </rPr>
      <t xml:space="preserve">+329.40×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10,497.32</t>
    </r>
    <r>
      <rPr>
        <sz val="10"/>
        <rFont val="Noto Sans CJK SC"/>
        <family val="2"/>
      </rPr>
      <t xml:space="preserve">；③ 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13,679.70→14,009.10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</si>
  <si>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</si>
  <si>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</si>
  <si>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</si>
  <si>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</si>
  <si>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</si>
  <si>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</si>
  <si>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股被擋（「馬股股數必須是整數…」）；成交 </t>
    </r>
    <r>
      <rPr>
        <sz val="10"/>
        <rFont val="Arial"/>
        <family val="0"/>
        <charset val="1"/>
      </rPr>
      <t xml:space="preserve">1,002 MYR </t>
    </r>
    <r>
      <rPr>
        <sz val="10"/>
        <rFont val="Noto Sans CJK SC"/>
        <family val="2"/>
      </rPr>
      <t xml:space="preserve">印花 </t>
    </r>
    <r>
      <rPr>
        <sz val="10"/>
        <rFont val="Arial"/>
        <family val="0"/>
        <charset val="1"/>
      </rPr>
      <t xml:space="preserve">ceil(1,002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、費用 </t>
    </r>
    <r>
      <rPr>
        <sz val="10"/>
        <rFont val="Arial"/>
        <family val="0"/>
        <charset val="1"/>
      </rPr>
      <t xml:space="preserve">3.89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）；寫入 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504,466.42→503,458.53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1,007.89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</si>
  <si>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</si>
  <si>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</si>
  <si>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</si>
  <si>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</si>
  <si>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</si>
  <si>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</si>
  <si>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</si>
  <si>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</si>
  <si>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</si>
  <si>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</si>
  <si>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</si>
  <si>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</si>
  <si>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</si>
  <si>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</si>
  <si>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</si>
  <si>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</si>
  <si>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</si>
  <si>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</si>
  <si>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</si>
  <si>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</si>
  <si>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</si>
  <si>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</si>
  <si>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</si>
  <si>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</si>
  <si>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</si>
  <si>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</si>
  <si>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</si>
  <si>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</si>
  <si>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</si>
  <si>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</si>
  <si>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</si>
  <si>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</si>
  <si>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</si>
  <si>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</si>
  <si>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</si>
  <si>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</si>
  <si>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</si>
  <si>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</si>
  <si>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</si>
  <si>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 </t>
    </r>
    <r>
      <rPr>
        <sz val="10"/>
        <rFont val="Arial"/>
        <family val="0"/>
        <charset val="1"/>
      </rPr>
      <t xml:space="preserve">#251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→ 2317</t>
    </r>
    <r>
      <rPr>
        <sz val="10"/>
        <rFont val="Noto Sans CJK SC"/>
        <family val="2"/>
      </rPr>
      <t xml:space="preserve">）：對話框警示改代號／帳戶會把交易移到另一持倉並重建、會先做賣超與孤兒紀錄檢核；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；兩邊部位重建（</t>
    </r>
    <r>
      <rPr>
        <sz val="10"/>
        <rFont val="Arial"/>
        <family val="0"/>
        <charset val="1"/>
      </rPr>
      <t xml:space="preserve">2884 1,200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）；改到美股帳戶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</si>
  <si>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</si>
  <si>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</si>
  <si>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</si>
  <si>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</si>
  <si>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</si>
  <si>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</si>
  <si>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</si>
  <si>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</si>
  <si>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</si>
  <si>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</si>
  <si>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</si>
  <si>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</si>
  <si>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</si>
  <si>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</si>
  <si>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項檢查全過：費率規則快照 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，與「帳戶與費率」一致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</si>
  <si>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</si>
  <si>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</si>
  <si>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</si>
  <si>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</si>
  <si>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</si>
  <si>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</si>
  <si>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</si>
  <si>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</si>
  <si>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</si>
  <si>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</si>
  <si>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</si>
  <si>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</si>
  <si>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</si>
  <si>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</si>
  <si>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</si>
  <si>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2026-12-31 →</t>
    </r>
    <r>
      <rPr>
        <sz val="10"/>
        <rFont val="Noto Sans CJK SC"/>
        <family val="2"/>
      </rPr>
      <t xml:space="preserve">「⚠ 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晚於今日，確認無誤？」需勾選才可寫；早於期初建檔日同樣警示並停用；改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確認後寫入 </t>
    </r>
    <r>
      <rPr>
        <sz val="10"/>
        <rFont val="Arial"/>
        <family val="0"/>
        <charset val="1"/>
      </rPr>
      <t xml:space="preserve">#253</t>
    </r>
    <r>
      <rPr>
        <sz val="10"/>
        <rFont val="Noto Sans CJK SC"/>
        <family val="2"/>
      </rPr>
      <t xml:space="preserve">、寫入當日六段不變、帳本列標「未來日期：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起計入」；編輯時同樣警示且需勾選（依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</si>
  <si>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</si>
  <si>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</si>
  <si>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</si>
  <si>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</si>
  <si>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</si>
  <si>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</si>
  <si>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</si>
  <si>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</si>
  <si>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</si>
  <si>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</si>
  <si>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</si>
  <si>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</si>
  <si>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</si>
  <si>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</si>
  <si>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</si>
  <si>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</si>
  <si>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</si>
  <si>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</si>
  <si>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筆」（全形）；待確認數＝清單（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</si>
  <si>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</si>
  <si>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</si>
  <si>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</si>
  <si>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</si>
  <si>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</si>
  <si>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</si>
  <si>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</si>
  <si>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</si>
  <si>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</si>
  <si>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</si>
  <si>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</si>
  <si>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</si>
  <si>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</si>
  <si>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</si>
  <si>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</si>
  <si>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</si>
  <si>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</si>
  <si>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</si>
  <si>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</si>
  <si>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</si>
  <si>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</si>
  <si>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</si>
  <si>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</si>
  <si>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</si>
  <si>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</si>
  <si>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</si>
  <si>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</si>
  <si>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</si>
  <si>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</si>
  <si>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</si>
  <si>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</si>
  <si>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</si>
  <si>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</si>
  <si>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</si>
  <si>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</si>
  <si>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</si>
  <si>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</si>
  <si>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</si>
  <si>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</si>
  <si>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</si>
  <si>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</si>
  <si>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</si>
  <si>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</si>
  <si>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</si>
  <si>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</si>
  <si>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</si>
  <si>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</si>
  <si>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</si>
  <si>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</si>
  <si>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</si>
  <si>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skip 200</t>
    </r>
    <r>
      <rPr>
        <sz val="10"/>
        <rFont val="Noto Sans CJK SC"/>
        <family val="2"/>
      </rPr>
      <t xml:space="preserve">）：離開待確認、股利帳本仍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、列於「已忽略」並提供「取消忽略」（依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留在已忽略）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</si>
  <si>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</si>
  <si>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</si>
  <si>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</si>
  <si>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</si>
  <si>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</si>
  <si>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</si>
  <si>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</si>
  <si>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</si>
  <si>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</si>
  <si>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</si>
  <si>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</si>
  <si>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</si>
  <si>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</si>
  <si>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</si>
  <si>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</si>
  <si>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</si>
  <si>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</si>
  <si>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</si>
  <si>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</si>
  <si>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</si>
  <si>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</si>
  <si>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項檢查全過：股利帳本匯出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列，逐列日期／帳戶／代號／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）；畫面 </t>
    </r>
    <r>
      <rPr>
        <sz val="10"/>
        <rFont val="Arial"/>
        <family val="0"/>
        <charset val="1"/>
      </rPr>
      <t xml:space="preserve">26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</si>
  <si>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</si>
  <si>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</si>
  <si>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</si>
  <si>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</si>
  <si>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</si>
  <si>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</si>
  <si>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</si>
  <si>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</si>
  <si>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</si>
  <si>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</si>
  <si>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</si>
  <si>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</si>
  <si>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</si>
  <si>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</si>
  <si>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</si>
  <si>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</si>
  <si>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</si>
  <si>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</si>
  <si>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</si>
  <si>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</si>
  <si>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</si>
  <si>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</si>
  <si>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</si>
  <si>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</si>
  <si>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</si>
  <si>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</si>
  <si>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</si>
  <si>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</si>
  <si>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</si>
  <si>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</si>
  <si>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</si>
  <si>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</si>
  <si>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</si>
  <si>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</si>
  <si>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</si>
  <si>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</si>
  <si>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</si>
  <si>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</si>
  <si>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</si>
  <si>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</si>
  <si>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</si>
  <si>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</si>
  <si>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</si>
  <si>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</si>
  <si>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</si>
  <si>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</si>
  <si>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</si>
  <si>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</si>
  <si>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</si>
  <si>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</si>
  <si>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</si>
  <si>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</si>
  <si>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</si>
  <si>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</si>
  <si>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</si>
  <si>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</si>
  <si>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</si>
  <si>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</si>
  <si>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</si>
  <si>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</si>
  <si>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</si>
  <si>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</si>
  <si>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</si>
  <si>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</si>
  <si>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</si>
  <si>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</si>
  <si>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2603 5→1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1,500→300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928.8225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278,646.75 </t>
    </r>
    <r>
      <rPr>
        <sz val="10"/>
        <rFont val="Noto Sans CJK SC"/>
        <family val="2"/>
      </rPr>
      <t xml:space="preserve">不變；收盤早於行動日 → 價格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、總市值不變；寫入 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</si>
  <si>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</si>
  <si>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</si>
  <si>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</si>
  <si>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</si>
  <si>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</si>
  <si>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</si>
  <si>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</si>
  <si>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</si>
  <si>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</si>
  <si>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</si>
  <si>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</si>
  <si>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</si>
  <si>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</si>
  <si>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</si>
  <si>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</si>
  <si>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</si>
  <si>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</si>
  <si>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</si>
  <si>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</si>
  <si>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</si>
  <si>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</si>
  <si>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</si>
  <si>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</si>
  <si>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</si>
  <si>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</si>
  <si>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</si>
  <si>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</si>
  <si>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</si>
  <si>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項檢查全過：（子公司代號依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分拆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：試算「行動前 </t>
    </r>
    <r>
      <rPr>
        <sz val="10"/>
        <rFont val="Arial"/>
        <family val="0"/>
        <charset val="1"/>
      </rPr>
      <t xml:space="preserve">2884 1,400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62,708 → </t>
    </r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43,896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2308 18,812 ✓ </t>
    </r>
    <r>
      <rPr>
        <sz val="10"/>
        <rFont val="Noto Sans CJK SC"/>
        <family val="2"/>
      </rPr>
      <t xml:space="preserve">成本合計不變」；寫入 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；① 母股數仍 </t>
    </r>
    <r>
      <rPr>
        <sz val="10"/>
        <rFont val="Arial"/>
        <family val="0"/>
        <charset val="1"/>
      </rPr>
      <t xml:space="preserve">1,400</t>
    </r>
    <r>
      <rPr>
        <sz val="10"/>
        <rFont val="Noto Sans CJK SC"/>
        <family val="2"/>
      </rPr>
      <t xml:space="preserve">；② 子部位 </t>
    </r>
    <r>
      <rPr>
        <sz val="10"/>
        <rFont val="Arial"/>
        <family val="0"/>
        <charset val="1"/>
      </rPr>
      <t xml:space="preserve">1,400 </t>
    </r>
    <r>
      <rPr>
        <sz val="10"/>
        <rFont val="Noto Sans CJK SC"/>
        <family val="2"/>
      </rPr>
      <t xml:space="preserve">股；③ </t>
    </r>
    <r>
      <rPr>
        <sz val="10"/>
        <rFont val="Arial"/>
        <family val="0"/>
        <charset val="1"/>
      </rPr>
      <t xml:space="preserve">43,895.80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18,812.49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62,708.29</t>
    </r>
    <r>
      <rPr>
        <sz val="10"/>
        <rFont val="Noto Sans CJK SC"/>
        <family val="2"/>
      </rPr>
      <t xml:space="preserve">、帳本列可見分拆比例；④ 均價 </t>
    </r>
    <r>
      <rPr>
        <sz val="10"/>
        <rFont val="Arial"/>
        <family val="0"/>
        <charset val="1"/>
      </rPr>
      <t xml:space="preserve">31.354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13.437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</si>
  <si>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</si>
  <si>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</si>
  <si>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</si>
  <si>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</si>
  <si>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</si>
  <si>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</si>
  <si>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</si>
  <si>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已 </t>
    </r>
    <r>
      <rPr>
        <sz val="10"/>
        <rFont val="Arial"/>
        <family val="0"/>
        <charset val="1"/>
      </rPr>
      <t xml:space="preserve">1→3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#86</t>
    </r>
    <r>
      <rPr>
        <sz val="10"/>
        <rFont val="Noto Sans CJK SC"/>
        <family val="2"/>
      </rPr>
      <t xml:space="preserve">）：賣 </t>
    </r>
    <r>
      <rPr>
        <sz val="10"/>
        <rFont val="Arial"/>
        <family val="0"/>
        <charset val="1"/>
      </rPr>
      <t xml:space="preserve">150 @84.3333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#257</t>
    </r>
    <r>
      <rPr>
        <sz val="10"/>
        <rFont val="Noto Sans CJK SC"/>
        <family val="2"/>
      </rPr>
      <t xml:space="preserve">）→ 已實現以拆後均價 </t>
    </r>
    <r>
      <rPr>
        <sz val="10"/>
        <rFont val="Arial"/>
        <family val="0"/>
        <charset val="1"/>
      </rPr>
      <t xml:space="preserve">59.0056 </t>
    </r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8,850.83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</si>
  <si>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</si>
  <si>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</si>
  <si>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</si>
  <si>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</si>
  <si>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</si>
  <si>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</si>
  <si>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</si>
  <si>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</si>
  <si>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</si>
  <si>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</si>
  <si>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</si>
  <si>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</si>
  <si>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</si>
  <si>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</si>
  <si>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</si>
  <si>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</si>
  <si>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</si>
  <si>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</si>
  <si>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</si>
  <si>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</si>
  <si>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</si>
  <si>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</si>
  <si>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</si>
  <si>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</si>
  <si>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</si>
  <si>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</si>
  <si>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</si>
  <si>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</si>
  <si>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</si>
  <si>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</si>
  <si>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</si>
  <si>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</si>
  <si>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</si>
  <si>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</si>
  <si>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</si>
  <si>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</si>
  <si>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</si>
  <si>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</si>
  <si>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</si>
  <si>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</si>
  <si>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</si>
  <si>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</si>
  <si>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</si>
  <si>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</si>
  <si>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</si>
  <si>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</si>
  <si>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</si>
  <si>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</si>
  <si>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</si>
  <si>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</si>
  <si>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</si>
  <si>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</si>
  <si>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</si>
  <si>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</si>
  <si>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</si>
  <si>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</si>
  <si>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</si>
  <si>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」＋獨立警示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</si>
  <si>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</si>
  <si>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</si>
  <si>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</si>
  <si>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</si>
  <si>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</si>
  <si>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</si>
  <si>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</si>
  <si>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</si>
  <si>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</si>
  <si>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</si>
  <si>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</si>
  <si>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</si>
  <si>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</si>
  <si>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</si>
  <si>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的前後兩份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列原始／調整成本皆不變；② 每列 未實現＝市值−調整成本；③ 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權重＝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（差 </t>
    </r>
    <r>
      <rPr>
        <sz val="10"/>
        <rFont val="Arial"/>
        <family val="0"/>
        <charset val="1"/>
      </rPr>
      <t xml:space="preserve">6.3e−29</t>
    </r>
    <r>
      <rPr>
        <sz val="10"/>
        <rFont val="Noto Sans CJK SC"/>
        <family val="2"/>
      </rPr>
      <t xml:space="preserve">）；④ 恆等式 </t>
    </r>
    <r>
      <rPr>
        <sz val="10"/>
        <rFont val="Arial"/>
        <family val="0"/>
        <charset val="1"/>
      </rPr>
      <t xml:space="preserve">106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×6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組總表，最大誤差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持股後恢復可計算；首跑時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市值為空，檢查程式做大數運算遇到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而中止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</si>
  <si>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</si>
  <si>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</si>
  <si>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</si>
  <si>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</si>
  <si>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</si>
  <si>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</si>
  <si>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</si>
  <si>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</si>
  <si>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</si>
  <si>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</si>
  <si>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</si>
  <si>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</si>
  <si>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</si>
  <si>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</si>
  <si>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</si>
  <si>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</si>
  <si>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</si>
  <si>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</si>
  <si>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</si>
  <si>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</si>
  <si>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</si>
  <si>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</si>
  <si>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</si>
  <si>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</si>
  <si>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</si>
  <si>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</si>
  <si>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</si>
  <si>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</si>
  <si>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</si>
  <si>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</si>
  <si>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</si>
  <si>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</si>
  <si>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</si>
  <si>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</si>
  <si>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</si>
  <si>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</si>
  <si>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</si>
  <si>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</si>
  <si>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</si>
  <si>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</si>
  <si>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</si>
  <si>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</si>
  <si>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</si>
  <si>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</si>
  <si>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</si>
  <si>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</si>
  <si>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</si>
  <si>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</si>
  <si>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</si>
  <si>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</si>
  <si>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</si>
  <si>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</si>
  <si>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</si>
  <si>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</si>
  <si>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。仍顯示上次取得的價格…」、無成功字樣；價格雜湊不變（</t>
    </r>
    <r>
      <rPr>
        <sz val="10"/>
        <rFont val="Arial"/>
        <family val="0"/>
        <charset val="1"/>
      </rPr>
      <t xml:space="preserve">9bb0234ce7339e82</t>
    </r>
    <r>
      <rPr>
        <sz val="10"/>
        <rFont val="Noto Sans CJK SC"/>
        <family val="2"/>
      </rPr>
      <t xml:space="preserve">）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</si>
  <si>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</si>
  <si>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</si>
  <si>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</si>
  <si>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</si>
  <si>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</si>
  <si>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</si>
  <si>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</si>
  <si>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的匯率更新前後）：各部位原幣成本／市值欄全不變（只有權重可動）；匯率確有變動（嘉信 </t>
    </r>
    <r>
      <rPr>
        <sz val="10"/>
        <rFont val="Arial"/>
        <family val="0"/>
        <charset val="1"/>
      </rPr>
      <t xml:space="preserve">USD/TWD 31.903999→31.915001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Moomoo 4.082000 </t>
    </r>
    <r>
      <rPr>
        <sz val="10"/>
        <rFont val="Noto Sans CJK SC"/>
        <family val="2"/>
      </rPr>
      <t xml:space="preserve">不變），本金匯率效果 −</t>
    </r>
    <r>
      <rPr>
        <sz val="10"/>
        <rFont val="Arial"/>
        <family val="0"/>
        <charset val="1"/>
      </rPr>
      <t xml:space="preserve">13,185.02→−12,093.36</t>
    </r>
    <r>
      <rPr>
        <sz val="10"/>
        <rFont val="Noto Sans CJK SC"/>
        <family val="2"/>
      </rPr>
      <t xml:space="preserve">、未實現匯差 −</t>
    </r>
    <r>
      <rPr>
        <sz val="10"/>
        <rFont val="Arial"/>
        <family val="0"/>
        <charset val="1"/>
      </rPr>
      <t xml:space="preserve">122,909.20→−120,632.51 </t>
    </r>
    <r>
      <rPr>
        <sz val="10"/>
        <rFont val="Noto Sans CJK SC"/>
        <family val="2"/>
      </rPr>
      <t xml:space="preserve">隨之改變。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雖全過，但當時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為賣超部位、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為空，屬空對空；第一次補做查的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已登錄、匯率未變，再改查 </t>
    </r>
    <r>
      <rPr>
        <sz val="10"/>
        <rFont val="Arial"/>
        <family val="0"/>
        <charset val="1"/>
      </rPr>
      <t xml:space="preserve">2610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</si>
  <si>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</si>
  <si>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</si>
  <si>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</si>
  <si>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</si>
  <si>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確認額度足夠、「代號查無時自動 AI 辨識」為開（預設）；記錄目前額度；選一檔**未登錄**標的的中文名稱（例：長榮航；已登錄就換一檔）</t>
  </si>
  <si>
    <t xml:space="preserve">觀察清單 › 加入 → 輸入該中文名稱，不按任何鍵，等自動辨識 → 檢查後確認加入；再分別輸入「虛構甲乙丙科技」與「台積電」</t>
  </si>
  <si>
    <t xml:space="preserve"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</si>
  <si>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／次）。會登錄一檔標的，不寫入帳本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</si>
  <si>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</si>
  <si>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</si>
  <si>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DEF-088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</si>
  <si>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</si>
  <si>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</si>
  <si>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</si>
  <si>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</si>
  <si>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</si>
  <si>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</si>
  <si>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</si>
  <si>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項檢查全過：輸入 </t>
    </r>
    <r>
      <rPr>
        <sz val="10"/>
        <rFont val="Arial"/>
        <family val="0"/>
        <charset val="1"/>
      </rPr>
      <t xml:space="preserve">ZZZZ9 → </t>
    </r>
    <r>
      <rPr>
        <sz val="10"/>
        <rFont val="Noto Sans CJK SC"/>
        <family val="2"/>
      </rPr>
      <t xml:space="preserve">按「加入」：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次；提示「查無報價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額度）」；額度不變（</t>
    </r>
    <r>
      <rPr>
        <sz val="10"/>
        <rFont val="Arial"/>
        <family val="0"/>
        <charset val="1"/>
      </rPr>
      <t xml:space="preserve">3.1242668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</si>
  <si>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</si>
  <si>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</si>
  <si>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</si>
  <si>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</si>
  <si>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</si>
  <si>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</si>
  <si>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</si>
  <si>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</si>
  <si>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</si>
  <si>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</si>
  <si>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</si>
  <si>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</si>
  <si>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</si>
  <si>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</si>
  <si>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</si>
  <si>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</si>
  <si>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</si>
  <si>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</si>
  <si>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（模型「自動（角色預設）」→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0.0006143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</si>
  <si>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</si>
  <si>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</si>
  <si>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</si>
  <si>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</si>
  <si>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</si>
  <si>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</si>
  <si>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</si>
  <si>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</si>
  <si>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</si>
  <si>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</si>
  <si>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</si>
  <si>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</si>
  <si>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</si>
  <si>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</si>
  <si>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</si>
  <si>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</si>
  <si>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</si>
  <si>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</si>
  <si>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</si>
  <si>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</si>
  <si>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</si>
  <si>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</si>
  <si>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</si>
  <si>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</si>
  <si>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</si>
  <si>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</si>
  <si>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</si>
  <si>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</si>
  <si>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</si>
  <si>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</si>
  <si>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</si>
  <si>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</si>
  <si>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</si>
  <si>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</si>
  <si>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</si>
  <si>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</si>
  <si>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項檢查全過：代號 </t>
    </r>
    <r>
      <rPr>
        <sz val="10"/>
        <rFont val="Arial"/>
        <family val="0"/>
        <charset val="1"/>
      </rPr>
      <t xml:space="preserve">2330 →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台股・持倉」；中文「中華電」→「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中華電信 台股・觀察」；英文 </t>
    </r>
    <r>
      <rPr>
        <sz val="10"/>
        <rFont val="Arial"/>
        <family val="0"/>
        <charset val="1"/>
      </rPr>
      <t xml:space="preserve">Maybank → 1155 </t>
    </r>
    <r>
      <rPr>
        <sz val="10"/>
        <rFont val="Noto Sans CJK SC"/>
        <family val="2"/>
      </rPr>
      <t xml:space="preserve">持倉；查無時「查無標的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#sym=1155</t>
    </r>
    <r>
      <rPr>
        <sz val="10"/>
        <rFont val="Noto Sans CJK SC"/>
        <family val="2"/>
      </rPr>
      <t xml:space="preserve">）；無 </t>
    </r>
    <r>
      <rPr>
        <sz val="10"/>
        <rFont val="Arial"/>
        <family val="0"/>
        <charset val="1"/>
      </rPr>
      <t xml:space="preserve">lookup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：中文名稱用「聯發科」，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留下的放空部位顯示「持倉」而非檢查程式預期的「觀察」；改用觀察標的 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重跑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</si>
  <si>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</si>
  <si>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</si>
  <si>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</si>
  <si>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</si>
  <si>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</si>
  <si>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</si>
  <si>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</si>
  <si>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</si>
  <si>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</si>
  <si>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</si>
  <si>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DEF-086, DEF-089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</si>
  <si>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</si>
  <si>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</si>
  <si>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</si>
  <si>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</si>
  <si>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</si>
  <si>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</si>
  <si>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</si>
  <si>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項檢查全過：數值待核卡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張，每個被標的數字都印在卡上；頁面「數值待核」徽章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列出對不上的數字（例「對不上的數字：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86.15%…</t>
    </r>
    <r>
      <rPr>
        <sz val="10"/>
        <rFont val="Noto Sans CJK SC"/>
        <family val="2"/>
      </rPr>
      <t xml:space="preserve">」）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</si>
  <si>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</si>
  <si>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</si>
  <si>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</si>
  <si>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</si>
  <si>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</si>
  <si>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</si>
  <si>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）含「兆」等單位的數字皆未被標；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張可核卡中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個帶單位數字被標（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已逐一確認屬模型推導）</t>
    </r>
  </si>
  <si>
    <t xml:space="preserve">G-04</t>
  </si>
  <si>
    <t xml:space="preserve">代號與名稱檢核</t>
  </si>
  <si>
    <r>
      <rPr>
        <sz val="10"/>
        <rFont val="Arial"/>
        <family val="0"/>
        <charset val="1"/>
      </rPr>
      <t xml:space="preserve">① demo</t>
    </r>
    <r>
      <rPr>
        <sz val="10"/>
        <rFont val="Noto Sans CJK SC"/>
        <family val="2"/>
      </rPr>
      <t xml:space="preserve">；② 本機專用測試環境（同一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等案例已用），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已登錄且別名含「大立光」</t>
    </r>
  </si>
  <si>
    <t xml:space="preserve"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</si>
  <si>
    <t xml:space="preserve"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</si>
  <si>
    <t xml:space="preserve">① 唯讀；② 只寫本機的資料庫副本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</si>
  <si>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</si>
  <si>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</si>
  <si>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</si>
  <si>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225 </t>
    </r>
    <r>
      <rPr>
        <sz val="10"/>
        <rFont val="Noto Sans CJK SC"/>
        <family val="2"/>
      </rPr>
      <t xml:space="preserve">張卡：指標（</t>
    </r>
    <r>
      <rPr>
        <sz val="10"/>
        <rFont val="Arial"/>
        <family val="0"/>
        <charset val="1"/>
      </rPr>
      <t xml:space="preserve">MA20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RSI14</t>
    </r>
    <r>
      <rPr>
        <sz val="10"/>
        <rFont val="Noto Sans CJK SC"/>
        <family val="2"/>
      </rPr>
      <t xml:space="preserve">）、縮寫（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ETF</t>
    </r>
    <r>
      <rPr>
        <sz val="10"/>
        <rFont val="Noto Sans CJK SC"/>
        <family val="2"/>
      </rPr>
      <t xml:space="preserve">）、幣別與已登錄標的皆未被標未知代碼（被標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」或「大立光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張皆未標；頁面「未知代碼」徽章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種、中文簡稱前段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處（見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DEF-089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」括號內是欄位文字而非名稱，屬掃描誤判。②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並套用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別名「大立光」「大立光電」；假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、非憑證假金鑰）：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回覆提到未登錄「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兩次都回「聯詠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 </t>
    </r>
    <r>
      <rPr>
        <sz val="10"/>
        <rFont val="Noto Sans CJK SC"/>
        <family val="2"/>
      </rPr>
      <t xml:space="preserve">狀態「部分」、明細「產生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＝執行花費＝額度扣減）；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」、重問後回「大立光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），卡片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c9a44ac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張卡：指標、縮寫、幣別與已登錄標的未被標未知代碼（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個。驗證者依 </t>
    </r>
    <r>
      <rPr>
        <sz val="10"/>
        <rFont val="Arial"/>
        <family val="0"/>
        <charset val="1"/>
      </rPr>
      <t xml:space="preserve">1C </t>
    </r>
    <r>
      <rPr>
        <sz val="10"/>
        <rFont val="Noto Sans CJK SC"/>
        <family val="2"/>
      </rPr>
      <t xml:space="preserve">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種、只指向單一標的的開頭簡稱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」括號內是欄位文字，屬掃描誤判，與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相同）。②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2603 Evergreen</t>
    </r>
    <r>
      <rPr>
        <sz val="10"/>
        <rFont val="Noto Sans CJK SC"/>
        <family val="2"/>
      </rPr>
      <t xml:space="preserve">，套用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只記第二次；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以登錄門建立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長榮航（別名 長榮航空，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別名「長榮」「長榮海運」→ 兩次都回「長榮 </t>
    </r>
    <r>
      <rPr>
        <sz val="10"/>
        <rFont val="Arial"/>
        <family val="0"/>
        <charset val="1"/>
      </rPr>
      <t xml:space="preserve">(2618)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＝額度扣減。對照：同一腳本在本機 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跑，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「長榮 </t>
    </r>
    <r>
      <rPr>
        <sz val="10"/>
        <rFont val="Arial"/>
        <family val="0"/>
        <charset val="1"/>
      </rPr>
      <t xml:space="preserve">(2618) </t>
    </r>
    <r>
      <rPr>
        <sz val="10"/>
        <rFont val="Noto Sans CJK SC"/>
        <family val="2"/>
      </rPr>
      <t xml:space="preserve">營運觀察」（舊規則放行），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已擋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</si>
  <si>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</si>
  <si>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</si>
  <si>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</si>
  <si>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</si>
  <si>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</si>
  <si>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</si>
  <si>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prompt_figures </t>
    </r>
    <r>
      <rPr>
        <sz val="10"/>
        <rFont val="Noto Sans CJK SC"/>
        <family val="2"/>
      </rPr>
      <t xml:space="preserve">為空的舊卡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之前產生），無法核對卡片中的數字」；較新卡不顯示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</si>
  <si>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</si>
  <si>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</si>
  <si>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</si>
  <si>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</si>
  <si>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</si>
  <si>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</si>
  <si>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</si>
  <si>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張皆不顯示信心、標「純描述・無預測」；信心為整數百分比（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）；信心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的卡 </t>
    </r>
    <r>
      <rPr>
        <sz val="10"/>
        <rFont val="Arial"/>
        <family val="0"/>
        <charset val="1"/>
      </rPr>
      <t xml:space="preserve">#151 </t>
    </r>
    <r>
      <rPr>
        <sz val="10"/>
        <rFont val="Noto Sans CJK SC"/>
        <family val="2"/>
      </rPr>
      <t xml:space="preserve">不在第一頁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</si>
  <si>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</si>
  <si>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</si>
  <si>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</si>
  <si>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</si>
  <si>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</si>
  <si>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</si>
  <si>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</si>
  <si>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</si>
  <si>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</si>
  <si>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</si>
  <si>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</si>
  <si>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</si>
  <si>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</si>
  <si>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</si>
  <si>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</si>
  <si>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</si>
  <si>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</si>
  <si>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</si>
  <si>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</si>
  <si>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</si>
  <si>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</si>
  <si>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</si>
  <si>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</si>
  <si>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</si>
  <si>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</si>
  <si>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留下的放空部位，觀察標的改用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（持有）與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#259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」；兩個目標價穿越皆列為預警；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產卡、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6205.0000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」可追溯；</t>
    </r>
    <r>
      <rPr>
        <sz val="10"/>
        <rFont val="Arial"/>
        <family val="0"/>
        <charset val="1"/>
      </rPr>
      <t xml:space="preserve">2331 </t>
    </r>
    <r>
      <rPr>
        <sz val="10"/>
        <rFont val="Noto Sans CJK SC"/>
        <family val="2"/>
      </rPr>
      <t xml:space="preserve">未產卡；新卡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張皆為持有標的（</t>
    </r>
    <r>
      <rPr>
        <sz val="10"/>
        <rFont val="Arial"/>
        <family val="0"/>
        <charset val="1"/>
      </rPr>
      <t xml:space="preserve">3008 3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2603 2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）；花費 </t>
    </r>
    <r>
      <rPr>
        <sz val="10"/>
        <rFont val="Arial"/>
        <family val="0"/>
        <charset val="1"/>
      </rPr>
      <t xml:space="preserve">0.0093013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次呼叫，其中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次截斷以估算計費）；兩個目標價依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（之後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小時會為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再派發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張預警卡）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</si>
  <si>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</si>
  <si>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</si>
  <si>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</si>
  <si>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</si>
  <si>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</si>
  <si>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</si>
  <si>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</si>
  <si>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</si>
  <si>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</si>
  <si>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</si>
  <si>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</si>
  <si>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</si>
  <si>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</si>
  <si>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</si>
  <si>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</si>
  <si>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</si>
  <si>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</si>
  <si>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</si>
  <si>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</si>
  <si>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</si>
  <si>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</si>
  <si>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</si>
  <si>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額度扣減＝llm-usage 匯出檔各列 cost 加總＝各次執行花費加總（含重試、名稱不符重問與備援前失敗的呼叫；這些花費記在執行與用量帳本，不在任何一張卡上）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</si>
  <si>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</si>
  <si>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</si>
  <si>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t xml:space="preserve">DEF-086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</si>
  <si>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0.0009989</t>
    </r>
    <r>
      <rPr>
        <sz val="10"/>
        <rFont val="Noto Sans CJK SC"/>
        <family val="2"/>
      </rPr>
      <t xml:space="preserve">〔估算〕＋</t>
    </r>
    <r>
      <rPr>
        <sz val="10"/>
        <rFont val="Arial"/>
        <family val="0"/>
        <charset val="1"/>
      </rPr>
      <t xml:space="preserve">0.0013708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）＝各次執行花費加總（</t>
    </r>
    <r>
      <rPr>
        <sz val="10"/>
        <rFont val="Arial"/>
        <family val="0"/>
        <charset val="1"/>
      </rPr>
      <t xml:space="preserve">insight:32 run #257 0.0393717</t>
    </r>
    <r>
      <rPr>
        <sz val="10"/>
        <rFont val="Noto Sans CJK SC"/>
        <family val="2"/>
      </rPr>
      <t xml:space="preserve">）；全表 </t>
    </r>
    <r>
      <rPr>
        <sz val="10"/>
        <rFont val="Arial"/>
        <family val="0"/>
        <charset val="1"/>
      </rPr>
      <t xml:space="preserve">1,160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1.9282357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3.0717643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</si>
  <si>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</si>
  <si>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</si>
  <si>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</si>
  <si>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</si>
  <si>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</si>
  <si>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</si>
  <si>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</si>
  <si>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儲存：① 版本 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；② 乾跑預檢組裝反映修改；③ 回復舊版後內文回到原文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</si>
  <si>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</si>
  <si>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</si>
  <si>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</si>
  <si>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</si>
  <si>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</si>
  <si>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</si>
  <si>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</si>
  <si>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</si>
  <si>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</si>
  <si>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</si>
  <si>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</si>
  <si>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</si>
  <si>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</si>
  <si>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</si>
  <si>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</si>
  <si>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</si>
  <si>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</si>
  <si>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</si>
  <si>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</si>
  <si>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</si>
  <si>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</si>
  <si>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</si>
  <si>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</si>
  <si>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</si>
  <si>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</si>
  <si>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</si>
  <si>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</si>
  <si>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</si>
  <si>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</si>
  <si>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</si>
  <si>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</si>
  <si>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</si>
  <si>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</si>
  <si>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</si>
  <si>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</si>
  <si>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</si>
  <si>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</si>
  <si>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</si>
  <si>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</si>
  <si>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</si>
  <si>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</si>
  <si>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</si>
  <si>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</si>
  <si>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</si>
  <si>
    <t xml:space="preserve">21 個全部回 200，`Content-Disposition` 檔名正確（UTF-8），內容非空；帳本清單（`GET /api/export/ledgers`）是 JSON 清單、不是檔案，不計入（Owner 2026-10-01 改寫：清單明列，J-04 引用本清單）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</si>
  <si>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</si>
  <si>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</si>
  <si>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明列的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、附件帶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檔名且檔名正確、內容非空（頁內攔截、不存檔）：持倉 </t>
    </r>
    <r>
      <rPr>
        <sz val="10"/>
        <rFont val="Arial"/>
        <family val="0"/>
        <charset val="1"/>
      </rPr>
      <t xml:space="preserve">holdings_snapshot_2026-10-01.csv 5,299B</t>
    </r>
    <r>
      <rPr>
        <sz val="10"/>
        <rFont val="Noto Sans CJK SC"/>
        <family val="2"/>
      </rPr>
      <t xml:space="preserve">、已實現 </t>
    </r>
    <r>
      <rPr>
        <sz val="10"/>
        <rFont val="Arial"/>
        <family val="0"/>
        <charset val="1"/>
      </rPr>
      <t xml:space="preserve">2,004B</t>
    </r>
    <r>
      <rPr>
        <sz val="10"/>
        <rFont val="Noto Sans CJK SC"/>
        <family val="2"/>
      </rPr>
      <t xml:space="preserve">、交易帳本 </t>
    </r>
    <r>
      <rPr>
        <sz val="10"/>
        <rFont val="Arial"/>
        <family val="0"/>
        <charset val="1"/>
      </rPr>
      <t xml:space="preserve">15,138B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2,263B</t>
    </r>
    <r>
      <rPr>
        <sz val="10"/>
        <rFont val="Noto Sans CJK SC"/>
        <family val="2"/>
      </rPr>
      <t xml:space="preserve">、換匯 </t>
    </r>
    <r>
      <rPr>
        <sz val="10"/>
        <rFont val="Arial"/>
        <family val="0"/>
        <charset val="1"/>
      </rPr>
      <t xml:space="preserve">1,003B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98B</t>
    </r>
    <r>
      <rPr>
        <sz val="10"/>
        <rFont val="Noto Sans CJK SC"/>
        <family val="2"/>
      </rPr>
      <t xml:space="preserve">、公司行動 </t>
    </r>
    <r>
      <rPr>
        <sz val="10"/>
        <rFont val="Arial"/>
        <family val="0"/>
        <charset val="1"/>
      </rPr>
      <t xml:space="preserve">830B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2,958B</t>
    </r>
    <r>
      <rPr>
        <sz val="10"/>
        <rFont val="Noto Sans CJK SC"/>
        <family val="2"/>
      </rPr>
      <t xml:space="preserve">、全帳本 </t>
    </r>
    <r>
      <rPr>
        <sz val="10"/>
        <rFont val="Arial"/>
        <family val="0"/>
        <charset val="1"/>
      </rPr>
      <t xml:space="preserve">ZIP 6,123B</t>
    </r>
    <r>
      <rPr>
        <sz val="10"/>
        <rFont val="Noto Sans CJK SC"/>
        <family val="2"/>
      </rPr>
      <t xml:space="preserve">、帳本報告 </t>
    </r>
    <r>
      <rPr>
        <sz val="10"/>
        <rFont val="Arial"/>
        <family val="0"/>
        <charset val="1"/>
      </rPr>
      <t xml:space="preserve">57,691B…</t>
    </r>
    <r>
      <rPr>
        <sz val="10"/>
        <rFont val="Noto Sans CJK SC"/>
        <family val="2"/>
      </rPr>
      <t xml:space="preserve">、稅務包 </t>
    </r>
    <r>
      <rPr>
        <sz val="10"/>
        <rFont val="Arial"/>
        <family val="0"/>
        <charset val="1"/>
      </rPr>
      <t xml:space="preserve">tax_package_2026.zip 2,260B</t>
    </r>
    <r>
      <rPr>
        <sz val="10"/>
        <rFont val="Noto Sans CJK SC"/>
        <family val="2"/>
      </rPr>
      <t xml:space="preserve">、帳本操作稽核 </t>
    </r>
    <r>
      <rPr>
        <sz val="10"/>
        <rFont val="Arial"/>
        <family val="0"/>
        <charset val="1"/>
      </rPr>
      <t xml:space="preserve">ledger_audit_all_all.csv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：⑯稅務包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</si>
  <si>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</si>
  <si>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</si>
  <si>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</si>
  <si>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</si>
  <si>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</si>
  <si>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</si>
  <si>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；原始精度欄位與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逐字相同（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差異）；已實現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CSV 79 </t>
    </r>
    <r>
      <rPr>
        <sz val="10"/>
        <rFont val="Noto Sans CJK SC"/>
        <family val="2"/>
      </rPr>
      <t xml:space="preserve">列＝帳本。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：原始精度比對有差異，當時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</si>
  <si>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</si>
  <si>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</si>
  <si>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</si>
  <si>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</si>
  <si>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</si>
  <si>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</si>
  <si>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</si>
  <si>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 ① 含 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fx_realized_2026.csv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；② 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年的列；③ 預扣稅合計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＝股利帳本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</si>
  <si>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</si>
  <si>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</si>
  <si>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</si>
  <si>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</si>
  <si>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</si>
  <si>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</si>
  <si>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</si>
  <si>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</si>
  <si>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</si>
  <si>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</si>
  <si>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</si>
  <si>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</si>
  <si>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</si>
  <si>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</si>
  <si>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</si>
  <si>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</si>
  <si>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</si>
  <si>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</si>
  <si>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</si>
  <si>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</si>
  <si>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</si>
  <si>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</si>
  <si>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</si>
  <si>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</si>
  <si>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</si>
  <si>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</si>
  <si>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</si>
  <si>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</si>
  <si>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</si>
  <si>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</si>
  <si>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</si>
  <si>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項是檢查程式未計入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留下的分拆，依數據改判）：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列為未勾選略過）；最近匯入列出批次；未勾的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未寫入。③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2,500 </t>
    </r>
    <r>
      <rPr>
        <sz val="10"/>
        <rFont val="Noto Sans CJK SC"/>
        <family val="2"/>
      </rPr>
      <t xml:space="preserve">股 ✓；成本 </t>
    </r>
    <r>
      <rPr>
        <sz val="10"/>
        <rFont val="Arial"/>
        <family val="0"/>
        <charset val="1"/>
      </rPr>
      <t xml:space="preserve">43,895.80→78,748.80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+34,853</t>
    </r>
    <r>
      <rPr>
        <sz val="10"/>
        <rFont val="Noto Sans CJK SC"/>
        <family val="2"/>
      </rPr>
      <t xml:space="preserve">），檢查程式預期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）——匯入列日期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分拆，帳本依日期重播，分拆把這 </t>
    </r>
    <r>
      <rPr>
        <sz val="10"/>
        <rFont val="Arial"/>
        <family val="0"/>
        <charset val="1"/>
      </rPr>
      <t xml:space="preserve">49,790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一併移到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49,790×0.7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34,853</t>
    </r>
    <r>
      <rPr>
        <sz val="10"/>
        <rFont val="Noto Sans CJK SC"/>
        <family val="2"/>
      </rPr>
      <t xml:space="preserve">，數字正確。同一次執行中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列「相同交易已存在」）與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的批次復原皆通過；分段逐字相同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重複警示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批次復原皆通過；分段逐字相同。首跑（批次 </t>
    </r>
    <r>
      <rPr>
        <sz val="10"/>
        <rFont val="Arial"/>
        <family val="0"/>
        <charset val="1"/>
      </rPr>
      <t xml:space="preserve">#53</t>
    </r>
    <r>
      <rPr>
        <sz val="10"/>
        <rFont val="Noto Sans CJK SC"/>
        <family val="2"/>
      </rPr>
      <t xml:space="preserve">）在按「復原」後固定等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秒找對話框，對話框實際約 </t>
    </r>
    <r>
      <rPr>
        <sz val="10"/>
        <rFont val="Arial"/>
        <family val="0"/>
        <charset val="1"/>
      </rPr>
      <t xml:space="preserve">0.7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秒後才出現（先查詢批次是否仍在），檢查程式中斷；</t>
    </r>
    <r>
      <rPr>
        <sz val="10"/>
        <rFont val="Arial"/>
        <family val="0"/>
        <charset val="1"/>
      </rPr>
      <t xml:space="preserve">#53 </t>
    </r>
    <r>
      <rPr>
        <sz val="10"/>
        <rFont val="Noto Sans CJK SC"/>
        <family val="2"/>
      </rPr>
      <t xml:space="preserve">已由測後清理復原、分段逐字相同；改為等到對話框出現後重跑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</si>
  <si>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</si>
  <si>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</si>
  <si>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</si>
  <si>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</si>
  <si>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</si>
  <si>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</si>
  <si>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</si>
  <si>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
R15（d8efc07 複驗 DEF-092；手冊 §9 第 2 條，各題測完還原並比對）：PASS — demo 真實瀏覽器（頁首 v0.1.28 · d8efc07），在 I-07 中執行：最近匯入「2026-10-03 00:14:40 交易 貼上 CSV 2 復原」→ 對話框（0.66 秒後出現）「復原這批匯入…將刪除這批匯入寫進帳本的 2 筆交易紀錄…」→ DELETE /api/import/batches/55 200（deleted 2）→ 四段 JSON 與匯入前逐字相同。另重跑 I-08X（9／9）：CSV 匯入嘉信 Schwab TWD 2026-07-18 入金 300,000（批次 #56）＋倒填 07-19 出金 400,000（#154）→ 復原該批 → 422「…自 2026-07-19 起為負，最低於 2026-07-20 降至 −205,000…」［我了解，仍要復原］，取消後批次仍在；不帶確認刪除該出金 → 200（DEF-092 修正後不再引用 2026-01-12 的既有負值）；再復原同一批 → DELETE 200、不詢問；分段逐字相同（首跑同 I-07 的等待問題，批次 #54 由測後清理復原，重跑通過）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</si>
  <si>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</si>
  <si>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</si>
  <si>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</si>
  <si>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</si>
  <si>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</si>
  <si>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</si>
  <si>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</si>
  <si>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</si>
  <si>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</si>
  <si>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</si>
  <si>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</si>
  <si>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</si>
  <si>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</si>
  <si>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</si>
  <si>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</si>
  <si>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</si>
  <si>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</si>
  <si>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</si>
  <si>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</si>
  <si>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</si>
  <si>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</si>
  <si>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</si>
  <si>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項檢查全過：嘉信對帳單匯入台灣券商 → </t>
    </r>
    <r>
      <rPr>
        <sz val="10"/>
        <rFont val="Arial"/>
        <family val="0"/>
        <charset val="1"/>
      </rPr>
      <t xml:space="preserve">200 ok:false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（「…不屬於券商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（對帳單格式），一列都不會轉換」）、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列轉換；匯入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同樣被擋（</t>
    </r>
    <r>
      <rPr>
        <sz val="10"/>
        <rFont val="Arial"/>
        <family val="0"/>
        <charset val="1"/>
      </rPr>
      <t xml:space="preserve">DEF-029</t>
    </r>
    <r>
      <rPr>
        <sz val="10"/>
        <rFont val="Noto Sans CJK SC"/>
        <family val="2"/>
      </rPr>
      <t xml:space="preserve">）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</si>
  <si>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</si>
  <si>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</si>
  <si>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</si>
  <si>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</si>
  <si>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</si>
  <si>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</si>
  <si>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</si>
  <si>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</si>
  <si>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</si>
  <si>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</si>
  <si>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</si>
  <si>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</si>
  <si>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</si>
  <si>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</si>
  <si>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</si>
  <si>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</si>
  <si>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</si>
  <si>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</si>
  <si>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</si>
  <si>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</si>
  <si>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</si>
  <si>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</si>
  <si>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</si>
  <si>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
R15（d8efc07 複驗 DEF-092；手冊 §9 第 2 條，各題測完還原並比對）：PASS — demo 真實瀏覽器（頁首 v0.1.28 · d8efc07），demo 3／3 項：以 /api/dashboard 原始 Decimal 字串重算恆等式 94／94 全過（14 檔×6＋10 組總表，最大誤差 1e−20）；三幣別市值加總 3／3；匯率三角一致（31.912002 vs 31.912001，2026-10-01）
R16（d9f1c68 複驗 DEF-093；手冊 §9 第 2 條，各題測完還原並比對）：PASS — demo 真實瀏覽器（頁首 v0.1.28 · d9f1c68），demo 3／3 項：以 /api/dashboard 原始 Decimal 字串重算恆等式 94／94 全過（14 檔×6＋10 組總表，最大誤差 1e−20）；三幣別市值加總 3／3；匯率三角一致（31.912002 vs 31.912001，2026-10-01）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</si>
  <si>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</si>
  <si>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</si>
  <si>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</si>
  <si>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</si>
  <si>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</si>
  <si>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</si>
  <si>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項檢查全過：試算（未寫入）：買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floor(1,005,000×0.1425%)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；帳本不變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d9f1c68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</si>
  <si>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</si>
  <si>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</si>
  <si>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</si>
  <si>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 → 開資料中心 › 帳本操作稽核</t>
  </si>
  <si>
    <t xml:space="preserve"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</si>
  <si>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</si>
  <si>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</si>
  <si>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#445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266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#444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445 </t>
    </r>
    <r>
      <rPr>
        <sz val="10"/>
        <rFont val="Noto Sans CJK SC"/>
        <family val="2"/>
      </rPr>
      <t xml:space="preserve">列）（本題本身測刪除）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#434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241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#433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434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#486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247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#485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486 </t>
    </r>
    <r>
      <rPr>
        <sz val="10"/>
        <rFont val="Noto Sans CJK SC"/>
        <family val="2"/>
      </rPr>
      <t xml:space="preserve">列）。首跑橫跨台北午夜（</t>
    </r>
    <r>
      <rPr>
        <sz val="10"/>
        <rFont val="Arial"/>
        <family val="0"/>
        <charset val="1"/>
      </rPr>
      <t xml:space="preserve">23:59:53 </t>
    </r>
    <r>
      <rPr>
        <sz val="10"/>
        <rFont val="Noto Sans CJK SC"/>
        <family val="2"/>
      </rPr>
      <t xml:space="preserve">開始），寫入前後快照只差 </t>
    </r>
    <r>
      <rPr>
        <sz val="10"/>
        <rFont val="Arial"/>
        <family val="0"/>
        <charset val="1"/>
      </rPr>
      <t xml:space="preserve">xirr_window_days 269→270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spark_30d </t>
    </r>
    <r>
      <rPr>
        <sz val="10"/>
        <rFont val="Noto Sans CJK SC"/>
        <family val="2"/>
      </rPr>
      <t xml:space="preserve">視窗後移一天（日期換日），換日後重跑通過
</t>
    </r>
    <r>
      <rPr>
        <sz val="10"/>
        <rFont val="Arial"/>
        <family val="0"/>
        <charset val="1"/>
      </rPr>
      <t xml:space="preserve">R16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d9f1c68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#497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250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#496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497 </t>
    </r>
    <r>
      <rPr>
        <sz val="10"/>
        <rFont val="Noto Sans CJK SC"/>
        <family val="2"/>
      </rPr>
      <t xml:space="preserve">列）</t>
    </r>
  </si>
  <si>
    <t xml:space="preserve">J-04</t>
  </si>
  <si>
    <t xml:space="preserve">匯出全端點</t>
  </si>
  <si>
    <t xml:space="preserve">逐一觸發 I-01 清單上的 21 個匯出</t>
  </si>
  <si>
    <t xml:space="preserve">全部 200、檔名正確（清單只在 I-01 維護）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</si>
  <si>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</si>
  <si>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</si>
  <si>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
R15（d8efc07 複驗 DEF-092；手冊 §9 第 2 條，各題測完還原並比對）：PASS — demo 真實瀏覽器（頁首 v0.1.28 · d8efc07），demo 2／2 項：I-01 清單 21 個匯出全部 200、檔名正確（頁內取得、不存檔）；匯出中心「帳本操作稽核 CSV › 產生並下載」：POST /api/export/ledger-audit 200、ledger_audit_all_all.csv 208,218 bytes（攔截、不存檔）
R16（d9f1c68 複驗 DEF-093；手冊 §9 第 2 條，各題測完還原並比對）：PASS — demo 真實瀏覽器（頁首 v0.1.28 · d9f1c68），demo 2／2 項：I-01 清單 21 個匯出全部 200、檔名正確（頁內取得、不存檔）；匯出中心「帳本操作稽核 CSV › 產生並下載」：POST /api/export/ledger-audit 200、ledger_audit_all_all.csv 221,259 bytes（攔截、不存檔）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</si>
  <si>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</si>
  <si>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</si>
  <si>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</si>
  <si>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</si>
  <si>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</si>
  <si>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</si>
  <si>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
R15（d8efc07 複驗 DEF-092；手冊 §9 第 2 條，各題測完還原並比對）：PASS — demo 真實瀏覽器（頁首 v0.1.28 · d8efc07），demo 2／2 項：390×844 走訪 18 頁（10 個分頁＋設定 8 個子分頁）：scrollWidth ≤ 視窗、溢位元素 0、頁面錯誤 0；設定子分頁以 hash 開啟正確
R16（d9f1c68 複驗 DEF-093；手冊 §9 第 2 條，各題測完還原並比對）：PASS — demo 真實瀏覽器（頁首 v0.1.28 · d9f1c68），demo 2／2 項：390×844 走訪 18 頁（10 個分頁＋設定 8 個子分頁）：scrollWidth ≤ 視窗、溢位元素 0、頁面錯誤 0；設定子分頁以 hash 開啟正確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</si>
  <si>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</si>
  <si>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</si>
  <si>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</si>
  <si>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</si>
  <si>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</si>
  <si>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</si>
  <si>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</si>
  <si>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DEF-065, DEF-087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</si>
  <si>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
R15（d8efc07 複驗 DEF-092；手冊 §9 第 2 條，各題測完還原並比對）：PASS — 本機乾淨 worktree（git worktree d8efc07，無未提交變更），本機 6／6 項：ruff 全過；mypy --strict 986 檔 0；pytest 非 e2e 6,878 passed／5 skipped／0 failed；e2e 322／322（211 個伺服器行程 traceback 0、5xx 0）；守門變異 3 組皆被攔（帳戶名稱 → 2 failed、全形標點 → 1、inline 狀態色 → 1）
R16（d9f1c68 複驗 DEF-093；手冊 §9 第 2 條，各題測完還原並比對）：PASS — 本機乾淨 worktree（git worktree d9f1c68，無未提交變更），本機 6／6 項：ruff 全過；mypy --strict 987 檔 0；pytest 非 e2e 6,881 passed／5 skipped／0 failed；e2e 323／323（212 個伺服器行程 traceback 0、5xx 0）；守門變異 3 組皆被攔（帳戶名稱 → 2 failed、全形標點 → 1、inline 狀態色 → 1）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</si>
  <si>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</si>
  <si>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</si>
  <si>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</si>
  <si>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</si>
  <si>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</si>
  <si>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</si>
  <si>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</si>
  <si>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</si>
  <si>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</si>
  <si>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</si>
  <si>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</si>
  <si>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</si>
  <si>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</si>
  <si>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</si>
  <si>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</si>
  <si>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</si>
  <si>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</si>
  <si>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</si>
  <si>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</si>
  <si>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</si>
  <si>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</si>
  <si>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</si>
  <si>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</si>
  <si>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</si>
  <si>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</si>
  <si>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</si>
  <si>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</si>
  <si>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</si>
  <si>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</si>
  <si>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</si>
  <si>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</si>
  <si>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</si>
  <si>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</si>
  <si>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</si>
  <si>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</si>
  <si>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</si>
  <si>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</si>
  <si>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</si>
  <si>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</si>
  <si>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</si>
  <si>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</si>
  <si>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</si>
  <si>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</si>
  <si>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</si>
  <si>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</si>
  <si>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</si>
  <si>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</si>
  <si>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</si>
  <si>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DEF-009</t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</si>
  <si>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</si>
  <si>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</si>
  <si>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</si>
  <si>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</si>
  <si>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</si>
  <si>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</si>
  <si>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</si>
  <si>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</si>
  <si>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</si>
  <si>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</si>
  <si>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</si>
  <si>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</si>
  <si>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</si>
  <si>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</si>
  <si>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</si>
  <si>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</si>
  <si>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</si>
  <si>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</si>
  <si>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</si>
  <si>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</si>
  <si>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</si>
  <si>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</si>
  <si>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</si>
  <si>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</si>
  <si>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</si>
  <si>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</si>
  <si>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</si>
  <si>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</si>
  <si>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</si>
  <si>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</si>
  <si>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</si>
  <si>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</si>
  <si>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</si>
  <si>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</si>
  <si>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</si>
  <si>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</si>
  <si>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</si>
  <si>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</si>
  <si>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</si>
  <si>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</si>
  <si>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</si>
  <si>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</si>
  <si>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</si>
  <si>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</si>
  <si>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</si>
  <si>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</si>
  <si>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</si>
  <si>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</si>
  <si>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</si>
  <si>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</si>
  <si>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</si>
  <si>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</si>
  <si>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</si>
  <si>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</si>
  <si>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</si>
  <si>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</si>
  <si>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</si>
  <si>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</si>
  <si>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</si>
  <si>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</si>
  <si>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</si>
  <si>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</si>
  <si>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</si>
  <si>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</si>
  <si>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</si>
  <si>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</si>
  <si>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</si>
  <si>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</si>
  <si>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</si>
  <si>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</si>
  <si>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</si>
  <si>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</si>
  <si>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</si>
  <si>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</si>
  <si>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</si>
  <si>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</si>
  <si>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</si>
  <si>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</si>
  <si>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</si>
  <si>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</si>
  <si>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</si>
  <si>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</si>
  <si>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</si>
  <si>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</si>
  <si>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</si>
  <si>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</si>
  <si>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</si>
  <si>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</si>
  <si>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</si>
  <si>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</si>
  <si>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</si>
  <si>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</si>
  <si>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</si>
  <si>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</si>
  <si>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</si>
  <si>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</si>
  <si>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</si>
  <si>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</si>
  <si>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</si>
  <si>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</si>
  <si>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</si>
  <si>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</si>
  <si>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</si>
  <si>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</si>
  <si>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</si>
  <si>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</si>
  <si>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</si>
  <si>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</si>
  <si>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</si>
  <si>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</si>
  <si>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</si>
  <si>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</si>
  <si>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</si>
  <si>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</si>
  <si>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</si>
  <si>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</si>
  <si>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</si>
  <si>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</si>
  <si>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</si>
  <si>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</si>
  <si>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</si>
  <si>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</si>
  <si>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</si>
  <si>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</si>
  <si>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</si>
  <si>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</si>
  <si>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</si>
  <si>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</si>
  <si>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</si>
  <si>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</si>
  <si>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</si>
  <si>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</si>
  <si>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</si>
  <si>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</si>
  <si>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</si>
  <si>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</si>
  <si>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</si>
  <si>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</si>
  <si>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</si>
  <si>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</si>
  <si>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</si>
  <si>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</si>
  <si>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</si>
  <si>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</si>
  <si>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</si>
  <si>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</si>
  <si>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</si>
  <si>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</si>
  <si>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</si>
  <si>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</si>
  <si>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</si>
  <si>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</si>
  <si>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</si>
  <si>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</si>
  <si>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</si>
  <si>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</si>
  <si>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</si>
  <si>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</si>
  <si>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</si>
  <si>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</si>
  <si>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</si>
  <si>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</si>
  <si>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</si>
  <si>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</si>
  <si>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</si>
  <si>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</si>
  <si>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</si>
  <si>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</si>
  <si>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</si>
  <si>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</si>
  <si>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</si>
  <si>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</si>
  <si>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</si>
  <si>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</si>
  <si>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</si>
  <si>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</si>
  <si>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</si>
  <si>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</si>
  <si>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</si>
  <si>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</si>
  <si>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</si>
  <si>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</si>
  <si>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</si>
  <si>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</si>
  <si>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</si>
  <si>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</si>
  <si>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</si>
  <si>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</si>
  <si>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</si>
  <si>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</si>
  <si>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</si>
  <si>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</si>
  <si>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</si>
  <si>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</si>
  <si>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</si>
  <si>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</si>
  <si>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</si>
  <si>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</si>
  <si>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</si>
  <si>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</si>
  <si>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</si>
  <si>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</si>
  <si>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</si>
  <si>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</si>
  <si>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</si>
  <si>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</si>
  <si>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</si>
  <si>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</si>
  <si>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</si>
  <si>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</si>
  <si>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</si>
  <si>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</si>
  <si>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</si>
  <si>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</si>
  <si>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</si>
  <si>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</si>
  <si>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</si>
  <si>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</si>
  <si>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</si>
  <si>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</si>
  <si>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</si>
  <si>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</si>
  <si>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</si>
  <si>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</si>
  <si>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</si>
  <si>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</si>
  <si>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</si>
  <si>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</si>
  <si>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</si>
  <si>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</si>
  <si>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</si>
  <si>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</si>
  <si>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</si>
  <si>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</si>
  <si>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</si>
  <si>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</si>
  <si>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</si>
  <si>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</si>
  <si>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</si>
  <si>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</si>
  <si>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</si>
  <si>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</si>
  <si>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</si>
  <si>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</si>
  <si>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</si>
  <si>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</si>
  <si>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</si>
  <si>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</si>
  <si>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補驗（結案後，依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題；唯讀、不改程式、不另開一輪）——新聞彈窗「整理提示詞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」通過：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web/news.js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未改動（</t>
    </r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比對））：新聞庫 </t>
    </r>
    <r>
      <rPr>
        <sz val="10"/>
        <rFont val="Arial"/>
        <family val="0"/>
        <charset val="1"/>
      </rPr>
      <t xml:space="preserve">70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有值者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則，皆為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開發者手動新聞整理 </t>
    </r>
    <r>
      <rPr>
        <sz val="10"/>
        <rFont val="Arial"/>
        <family val="0"/>
        <charset val="1"/>
      </rPr>
      <t xml:space="preserve">#244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2026-09-30 10:49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則」）產生，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則的花費與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news_organize </t>
    </r>
    <r>
      <rPr>
        <sz val="10"/>
        <rFont val="Noto Sans CJK SC"/>
        <family val="2"/>
      </rPr>
      <t xml:space="preserve">用量逐筆相同；逐則開彈窗，頁尾皆顯示「整理提示詞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」（例「玉山金併購三商美邦人壽後獲利展望樂觀…」：</t>
    </r>
    <r>
      <rPr>
        <sz val="10"/>
        <rFont val="Arial"/>
        <family val="0"/>
        <charset val="1"/>
      </rPr>
      <t xml:space="preserve">gemini-2.5-flash-lite · token 1,319 · $0.0002 </t>
    </r>
    <r>
      <rPr>
        <sz val="10"/>
        <rFont val="Noto Sans CJK SC"/>
        <family val="2"/>
      </rPr>
      <t xml:space="preserve">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），滑鼠提示「此則摘要以新聞整理提示詞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產生…」，連結到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提示詞（</t>
    </r>
    <r>
      <rPr>
        <sz val="10"/>
        <rFont val="Arial"/>
        <family val="0"/>
        <charset val="1"/>
      </rPr>
      <t xml:space="preserve">settings.html#prompts/news-prompt</t>
    </r>
    <r>
      <rPr>
        <sz val="10"/>
        <rFont val="Noto Sans CJK SC"/>
        <family val="2"/>
      </rPr>
      <t xml:space="preserve">），該處「新聞整理提示詞 已自訂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」、版本記錄「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2026-09-25 07:18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）」，與 </t>
    </r>
    <r>
      <rPr>
        <sz val="10"/>
        <rFont val="Arial"/>
        <family val="0"/>
        <charset val="1"/>
      </rPr>
      <t xml:space="preserve">/api/news-prompt current_version 4 </t>
    </r>
    <r>
      <rPr>
        <sz val="10"/>
        <rFont val="Noto Sans CJK SC"/>
        <family val="2"/>
      </rPr>
      <t xml:space="preserve">一致。沒有版本的 </t>
    </r>
    <r>
      <rPr>
        <sz val="10"/>
        <rFont val="Arial"/>
        <family val="0"/>
        <charset val="1"/>
      </rPr>
      <t xml:space="preserve">65 </t>
    </r>
    <r>
      <rPr>
        <sz val="10"/>
        <rFont val="Noto Sans CJK SC"/>
        <family val="2"/>
      </rPr>
      <t xml:space="preserve">則不顯示版本標記（抽樣：有模型無版本、無模型、僅標題各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則開彈窗確認）：其中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則有模型無版本，正是 </t>
    </r>
    <r>
      <rPr>
        <sz val="10"/>
        <rFont val="Arial"/>
        <family val="0"/>
        <charset val="1"/>
      </rPr>
      <t xml:space="preserve">2026-07-16 #76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07-21 #86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08-24 #125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）四次手動整理的合計，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則無模型為 </t>
    </r>
    <r>
      <rPr>
        <sz val="10"/>
        <rFont val="Arial"/>
        <family val="0"/>
        <charset val="1"/>
      </rPr>
      <t xml:space="preserve">07-06 #56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organized 43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則僅標題；這些整理都早於 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部署（</t>
    </r>
    <r>
      <rPr>
        <sz val="10"/>
        <rFont val="Arial"/>
        <family val="0"/>
        <charset val="1"/>
      </rPr>
      <t xml:space="preserve">2026-09-25 R4</t>
    </r>
    <r>
      <rPr>
        <sz val="10"/>
        <rFont val="Noto Sans CJK SC"/>
        <family val="2"/>
      </rPr>
      <t xml:space="preserve">），當時尚無版本欄，空值屬歷史資料，不是漏記——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之後唯一一次新聞整理，它產生的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則全部帶版本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</si>
  <si>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</si>
  <si>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</si>
  <si>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</si>
  <si>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</si>
  <si>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</si>
  <si>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</si>
  <si>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</si>
  <si>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</si>
  <si>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</si>
  <si>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</si>
  <si>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</si>
  <si>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</si>
  <si>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</si>
  <si>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</si>
  <si>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</si>
  <si>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</si>
  <si>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</si>
  <si>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</si>
  <si>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</si>
  <si>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</si>
  <si>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</si>
  <si>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</si>
  <si>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</si>
  <si>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</si>
  <si>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</si>
  <si>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</si>
  <si>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</si>
  <si>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</si>
  <si>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</si>
  <si>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</si>
  <si>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</si>
  <si>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</si>
  <si>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</si>
  <si>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</si>
  <si>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</si>
  <si>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</si>
  <si>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t xml:space="preserve">DEF-065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</si>
  <si>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</si>
  <si>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</si>
  <si>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</si>
  <si>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</si>
  <si>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</si>
  <si>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</si>
  <si>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</si>
  <si>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</si>
  <si>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</si>
  <si>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</si>
  <si>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</si>
  <si>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</si>
  <si>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</si>
  <si>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</si>
  <si>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</si>
  <si>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</si>
  <si>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</si>
  <si>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</si>
  <si>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</si>
  <si>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</si>
  <si>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</si>
  <si>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</si>
  <si>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</si>
  <si>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</si>
  <si>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</si>
  <si>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</si>
  <si>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</si>
  <si>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</si>
  <si>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</si>
  <si>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</si>
  <si>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</si>
  <si>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</si>
  <si>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</si>
  <si>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</si>
  <si>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</si>
  <si>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</si>
  <si>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</si>
  <si>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</si>
  <si>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</si>
  <si>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</si>
  <si>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</si>
  <si>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</si>
  <si>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</si>
  <si>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</si>
  <si>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</si>
  <si>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</si>
  <si>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</si>
  <si>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</si>
  <si>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</si>
  <si>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</si>
  <si>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</si>
  <si>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</si>
  <si>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</si>
  <si>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</si>
  <si>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</si>
  <si>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</si>
  <si>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</si>
  <si>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</si>
  <si>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</si>
  <si>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</si>
  <si>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</si>
  <si>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</si>
  <si>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</si>
  <si>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</si>
  <si>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</si>
  <si>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</si>
  <si>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</si>
  <si>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</si>
  <si>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</si>
  <si>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</si>
  <si>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</si>
  <si>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</si>
  <si>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</si>
  <si>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</si>
  <si>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</si>
  <si>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</si>
  <si>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</si>
  <si>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</si>
  <si>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</si>
  <si>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</si>
  <si>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</si>
  <si>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</si>
  <si>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</si>
  <si>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</si>
  <si>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</si>
  <si>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</si>
  <si>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</si>
  <si>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</si>
  <si>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</si>
  <si>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</si>
  <si>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</si>
  <si>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</si>
  <si>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</si>
  <si>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</si>
  <si>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</si>
  <si>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</si>
  <si>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</si>
  <si>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</si>
  <si>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</si>
  <si>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</si>
  <si>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</si>
  <si>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</si>
  <si>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</si>
  <si>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</si>
  <si>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</si>
  <si>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</si>
  <si>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</si>
  <si>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</si>
  <si>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</si>
  <si>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</si>
  <si>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</si>
  <si>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</si>
  <si>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</si>
  <si>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DEF-087</t>
  </si>
  <si>
    <t xml:space="preserve">守門測試 pytest 1 failed：export 套件出現未列入白名單的裸 str()（ledger_audit.py `_display` 的別名合併），J-06「全綠」不成立</t>
  </si>
  <si>
    <t xml:space="preserve">R13</t>
  </si>
  <si>
    <t xml:space="preserve"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</si>
  <si>
    <r>
      <rPr>
        <sz val="10"/>
        <rFont val="Arial"/>
        <family val="0"/>
        <charset val="1"/>
      </rPr>
      <t xml:space="preserve">portfolio_dash/export/ledger_audit.py:209 `return 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".join(str(a) for a in items) or "</t>
    </r>
    <r>
      <rPr>
        <sz val="10"/>
        <rFont val="Noto Sans CJK SC"/>
        <family val="2"/>
      </rPr>
      <t xml:space="preserve">無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e8bcf53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題加入的別名欄顯示）——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套件內的裸 </t>
    </r>
    <r>
      <rPr>
        <sz val="10"/>
        <rFont val="Arial"/>
        <family val="0"/>
        <charset val="1"/>
      </rPr>
      <t xml:space="preserve">str() </t>
    </r>
    <r>
      <rPr>
        <sz val="10"/>
        <rFont val="Noto Sans CJK SC"/>
        <family val="2"/>
      </rPr>
      <t xml:space="preserve">未列入守門測試的 </t>
    </r>
    <r>
      <rPr>
        <sz val="10"/>
        <rFont val="Arial"/>
        <family val="0"/>
        <charset val="1"/>
      </rPr>
      <t xml:space="preserve">_ALLOWED_STR</t>
    </r>
  </si>
  <si>
    <t xml:space="preserve">R14</t>
  </si>
  <si>
    <t xml:space="preserve"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</si>
  <si>
    <t xml:space="preserve">AI 代號辨識對台股中文名稱回傳的別名一律為空：「別名」欄未預填，登錄後也沒有別名（F-01 ②③）</t>
  </si>
  <si>
    <t xml:space="preserve"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</si>
  <si>
    <r>
      <rPr>
        <sz val="10"/>
        <rFont val="Arial"/>
        <family val="0"/>
        <charset val="1"/>
      </rPr>
      <t xml:space="preserve">portfolio_dash/api/routers/instruments.py:413 `resolved_name = provider_name or reply.name.strip()` </t>
    </r>
    <r>
      <rPr>
        <sz val="10"/>
        <rFont val="Noto Sans CJK SC"/>
        <family val="2"/>
      </rPr>
      <t xml:space="preserve">以報價來源名稱（台股為交易所簡稱）取代模型的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:421 `candidates=reply.aliases` </t>
    </r>
    <r>
      <rPr>
        <sz val="10"/>
        <rFont val="Noto Sans CJK SC"/>
        <family val="2"/>
      </rPr>
      <t xml:space="preserve">只把模型的 </t>
    </r>
    <r>
      <rPr>
        <sz val="10"/>
        <rFont val="Arial"/>
        <family val="0"/>
        <charset val="1"/>
      </rPr>
      <t xml:space="preserve">aliases </t>
    </r>
    <r>
      <rPr>
        <sz val="10"/>
        <rFont val="Noto Sans CJK SC"/>
        <family val="2"/>
      </rPr>
      <t xml:space="preserve">當候選。模型依提示詞範例把正式名稱放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、簡稱放 </t>
    </r>
    <r>
      <rPr>
        <sz val="10"/>
        <rFont val="Arial"/>
        <family val="0"/>
        <charset val="1"/>
      </rPr>
      <t xml:space="preserve">aliases</t>
    </r>
    <r>
      <rPr>
        <sz val="10"/>
        <rFont val="Noto Sans CJK SC"/>
        <family val="2"/>
      </rPr>
      <t xml:space="preserve">，正式名稱被丟掉，簡稱又與登錄名稱相同而被 </t>
    </r>
    <r>
      <rPr>
        <sz val="10"/>
        <rFont val="Arial"/>
        <family val="0"/>
        <charset val="1"/>
      </rPr>
      <t xml:space="preserve">normalize_aliases </t>
    </r>
    <r>
      <rPr>
        <sz val="10"/>
        <rFont val="Noto Sans CJK SC"/>
        <family val="2"/>
      </rPr>
      <t xml:space="preserve">濾掉，結果為空</t>
    </r>
  </si>
  <si>
    <t xml:space="preserve"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</si>
  <si>
    <t xml:space="preserve">DEF-089</t>
  </si>
  <si>
    <t xml:space="preserve">洞察卡以中文名稱的前段稱呼標的（如「玉山金 (2884)」），名稱檢核刻意接受，但手冊 G-01 ⑤ 要求名稱須為標的管理登錄的名稱或別名之一 → G-01 ⑤ 不成立</t>
  </si>
  <si>
    <t xml:space="preserve"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</si>
  <si>
    <r>
      <rPr>
        <sz val="10"/>
        <rFont val="Arial"/>
        <family val="0"/>
        <charset val="1"/>
      </rPr>
      <t xml:space="preserve">portfolio_dash/llm_insight/name_check.py:91-97 `_ends_with_name`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`before.endswith(name[:k])`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從全名到 </t>
    </r>
    <r>
      <rPr>
        <sz val="10"/>
        <rFont val="Arial"/>
        <family val="0"/>
        <charset val="1"/>
      </rPr>
      <t xml:space="preserve">:57 `_MIN_CJK_PREFIX = 2`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:106-110 `_is_name`——</t>
    </r>
    <r>
      <rPr>
        <sz val="10"/>
        <rFont val="Noto Sans CJK SC"/>
        <family val="2"/>
      </rPr>
      <t xml:space="preserve">只看自己的名稱，不看其他標的是否也用這個簡稱</t>
    </r>
  </si>
  <si>
    <t xml:space="preserve"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</si>
  <si>
    <t xml:space="preserve">DEF-090</t>
  </si>
  <si>
    <t xml:space="preserve">倒填出金使之後某幾天轉負卻被寫入：資金池更早已有一段負餘額時，後端只比對整段時間的最低點，新產生的負段只要不比既有最低點深就放行（A-06）</t>
  </si>
  <si>
    <t xml:space="preserve"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</si>
  <si>
    <r>
      <rPr>
        <sz val="10"/>
        <rFont val="Arial"/>
        <family val="0"/>
        <charset val="1"/>
      </rPr>
      <t xml:space="preserve">portfolio_dash/data_ingestion/validate.py:1990 `if after.low &lt; min(before.low, _ZERO):`——</t>
    </r>
    <r>
      <rPr>
        <sz val="10"/>
        <rFont val="Noto Sans CJK SC"/>
        <family val="2"/>
      </rPr>
      <t xml:space="preserve">只比整段時間的最低點；同型 </t>
    </r>
    <r>
      <rPr>
        <sz val="10"/>
        <rFont val="Arial"/>
        <family val="0"/>
        <charset val="1"/>
      </rPr>
      <t xml:space="preserve">portfolio_dash/data_ingestion/fx_import.py:190</t>
    </r>
    <r>
      <rPr>
        <sz val="10"/>
        <rFont val="Noto Sans CJK SC"/>
        <family val="2"/>
      </rPr>
      <t xml:space="preserve">（換匯）、</t>
    </r>
    <r>
      <rPr>
        <sz val="10"/>
        <rFont val="Arial"/>
        <family val="0"/>
        <charset val="1"/>
      </rPr>
      <t xml:space="preserve">portfolio_dash/api/replay_guard.py:343 `if low &lt; pre_low:`</t>
    </r>
    <r>
      <rPr>
        <sz val="10"/>
        <rFont val="Noto Sans CJK SC"/>
        <family val="2"/>
      </rPr>
      <t xml:space="preserve">（匯入批次復原的負現金確認）</t>
    </r>
  </si>
  <si>
    <t xml:space="preserve"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</si>
  <si>
    <t xml:space="preserve">DEF-091</t>
  </si>
  <si>
    <t xml:space="preserve">倒填出金被擋時，訊息點名的是資金池最低點的日期（M5-07 設計），不是第一個轉負的日期；手冊 A-06 要求指出「哪一天開始為負」</t>
  </si>
  <si>
    <t xml:space="preserve"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</si>
  <si>
    <r>
      <rPr>
        <sz val="10"/>
        <rFont val="Arial"/>
        <family val="0"/>
        <charset val="1"/>
      </rPr>
      <t xml:space="preserve">portfolio_dash/data_ingestion/validate.py:1995 `on=after.low_date`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:177 dip_phrase </t>
    </r>
    <r>
      <rPr>
        <sz val="10"/>
        <rFont val="Noto Sans CJK SC"/>
        <family val="2"/>
      </rPr>
      <t xml:space="preserve">只寫最低點日（</t>
    </r>
    <r>
      <rPr>
        <sz val="10"/>
        <rFont val="Arial"/>
        <family val="0"/>
        <charset val="1"/>
      </rPr>
      <t xml:space="preserve">M5-07 </t>
    </r>
    <r>
      <rPr>
        <sz val="10"/>
        <rFont val="Noto Sans CJK SC"/>
        <family val="2"/>
      </rPr>
      <t xml:space="preserve">設計）；同句型 </t>
    </r>
    <r>
      <rPr>
        <sz val="10"/>
        <rFont val="Arial"/>
        <family val="0"/>
        <charset val="1"/>
      </rPr>
      <t xml:space="preserve">fx_import.py:195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api/routers/cash.py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_negative_response</t>
    </r>
    <r>
      <rPr>
        <sz val="10"/>
        <rFont val="Noto Sans CJK SC"/>
        <family val="2"/>
      </rPr>
      <t xml:space="preserve">（編輯／刪除門）</t>
    </r>
  </si>
  <si>
    <t xml:space="preserve"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</si>
  <si>
    <t xml:space="preserve">DEF-092</t>
  </si>
  <si>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</t>
    </r>
  </si>
  <si>
    <t xml:space="preserve">單筆資金紀錄的編輯／刪除與換匯刪除，池中任何負值都要求確認並寫「此筆會使…」——負值與這筆無關時句子不實（例：刪除一筆出金也被說成會使池降至 −220,000）；匯入批次復原只問這次造成的負值</t>
  </si>
  <si>
    <t xml:space="preserve">demo（c9a44ac）嘉信 Schwab TWD 池在 2026-01-12 已有 −220,000（與以下操作無關的既有負值）。資金收支 › 刪除 2026-07-19 的一筆出金（刪除只會讓餘額變高）→ 422 negative_cash「此筆會使 嘉信 Schwab 的 TWD 現金於 2026-01-12 降至 −220,000 — 通常代表漏記入金或換匯；確認無誤可強制寫入」。匯入批次復原則只問這次造成的負值（caused_dip），兩邊不一致。830056c 已如此，非回歸。</t>
  </si>
  <si>
    <r>
      <rPr>
        <sz val="10"/>
        <rFont val="Arial"/>
        <family val="0"/>
        <charset val="1"/>
      </rPr>
      <t xml:space="preserve">portfolio_dash/api/routers/cash.py:125-147 `_pool_dip`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`first_dip(running_eod(lines))`——</t>
    </r>
    <r>
      <rPr>
        <sz val="10"/>
        <rFont val="Noto Sans CJK SC"/>
        <family val="2"/>
      </rPr>
      <t xml:space="preserve">只看變更後的池有沒有任何負值，不比對變更前；三個可確認的門共用它：資金紀錄編輯（</t>
    </r>
    <r>
      <rPr>
        <sz val="10"/>
        <rFont val="Arial"/>
        <family val="0"/>
        <charset val="1"/>
      </rPr>
      <t xml:space="preserve">PUT /api/cash/movements/{id}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:700-712</t>
    </r>
    <r>
      <rPr>
        <sz val="10"/>
        <rFont val="Noto Sans CJK SC"/>
        <family val="2"/>
      </rPr>
      <t xml:space="preserve">）、刪除（</t>
    </r>
    <r>
      <rPr>
        <sz val="10"/>
        <rFont val="Arial"/>
        <family val="0"/>
        <charset val="1"/>
      </rPr>
      <t xml:space="preserve">DELETE /api/cash/movements/{id}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:730-734</t>
    </r>
    <r>
      <rPr>
        <sz val="10"/>
        <rFont val="Noto Sans CJK SC"/>
        <family val="2"/>
      </rPr>
      <t xml:space="preserve">）、換匯刪除（</t>
    </r>
    <r>
      <rPr>
        <sz val="10"/>
        <rFont val="Arial"/>
        <family val="0"/>
        <charset val="1"/>
      </rPr>
      <t xml:space="preserve">fx_delete_guard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:349-353</t>
    </r>
    <r>
      <rPr>
        <sz val="10"/>
        <rFont val="Noto Sans CJK SC"/>
        <family val="2"/>
      </rPr>
      <t xml:space="preserve">）</t>
    </r>
  </si>
  <si>
    <t xml:space="preserve">R15</t>
  </si>
  <si>
    <t xml:space="preserve">驗證者 R14 觀察（交接紀錄第 37 列附註①，未開單）。Owner 2026-10-02 在對話中裁定 A：三個可確認的門改用與匯入批次復原相同的規則（只有這次讓某一天新轉負、或跌破原本最低點才要求確認）。開發者依裁定開立本張並於 R15 修正（d8efc07），待複驗。
驗證者 R15（2026-10-03，d8efc07）依 Owner 2026-10-02 裁定 A 複驗通過結案——①根因到行（cash.py:125-147 _pool_dip，H 欄；修後 :126-156 改為 caused_dip(目前帳本的逐日餘額, 變更後的逐日餘額)）；②同類：驗證者 grep 全部 negative_cash 產生處——cash.py _negative_response 的三個門（資金紀錄編輯 :717／:719、刪除 :741、換匯刪除 fx_delete_guard :360）與 replay_guard._pool_refusal :342（批次復原、公司行動費用刪除）皆為 caused_dip；出金與換匯寫入的硬擋為 new_dip（validate.py:1860、fx_import.py:184），本就只看這筆讓哪幾天變差；first_dip 已無呼叫者。黑箱另驗開發者 3 則新測試未涵蓋的兩種：跌破原本最低點仍詢問（刪 2026-01-05 入金 →「於 2026-01-12 降至 −220,000」）、刪除會擱淺後面出金的換匯仍詢問（→「自 2026-07-19 起為負，最低於 2026-07-20 降至 −205,000」）；③變異（驗證者自做 7 組，乾淨 worktree，基準 92 passed）：三門改回回報任何負值 → 10 failed、改用硬擋的 new_dip → 1、caused_dip 只留「低於舊最低點」→ 5、只留「新轉負」→ 3、只改換匯刪除門 → 1、只改刪除門 → 3、只改編輯門 → 6；④黑箱：A-11C 29／29（刪除嘉信 TWD 出金 → 只跳一般刪除確認、DELETE 200；入金改小到 07-19 起轉負 → 422「自 2026-07-19 起為負，最低於 2026-07-20 降至 −105,000」，不提 2026-01-12）；本機（demo 嘉信 TWD 池逐列複製）同一組情境在修正前 c9a44ac 重現原缺陷 10 處、d8efc07 17／17 符合逐日推算；J 組全過</t>
  </si>
  <si>
    <t xml:space="preserve">DEF-093</t>
  </si>
  <si>
    <t xml:space="preserve">換匯的編輯門只檢查換出池（硬擋），換入池因編輯而減少時完全不檢查——把換入金額改小可讓之後某幾天轉負而不經任何確認；同一筆的刪除則會要求確認</t>
  </si>
  <si>
    <t xml:space="preserve">demo（d8efc07）嘉信 2026-07-18 換匯 USD 10,000 → TWD 319,000，07-19 出金 400,000。交易帳本 › 換匯 › 編輯，把換入金額改成 1,000 → PUT 200、沒有任何對話框，嘉信 TWD 07-19／07-20 變成 −199,000／−204,000（驗證者已改回並刪除）；同一筆按刪除則 422「自 2026-07-19 起為負，最低於 2026-07-20 降至 −205,000」。c9a44ac 同樣如此，非回歸。</t>
  </si>
  <si>
    <r>
      <rPr>
        <sz val="10"/>
        <rFont val="Arial"/>
        <family val="0"/>
        <charset val="1"/>
      </rPr>
      <t xml:space="preserve">portfolio_dash/api/routers/ledgers.py:825 edit_fx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:854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`fx_change_guard`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portfolio_dash/api/routers/cash.py:283 fx_change_guard </t>
    </r>
    <r>
      <rPr>
        <sz val="10"/>
        <rFont val="Noto Sans CJK SC"/>
        <family val="2"/>
      </rPr>
      <t xml:space="preserve">的餘額檢查（</t>
    </r>
    <r>
      <rPr>
        <sz val="10"/>
        <rFont val="Arial"/>
        <family val="0"/>
        <charset val="1"/>
      </rPr>
      <t xml:space="preserve">:331 fx_balance_issues</t>
    </r>
    <r>
      <rPr>
        <sz val="10"/>
        <rFont val="Noto Sans CJK SC"/>
        <family val="2"/>
      </rPr>
      <t xml:space="preserve">）只看換出池（硬擋，</t>
    </r>
    <r>
      <rPr>
        <sz val="10"/>
        <rFont val="Arial"/>
        <family val="0"/>
        <charset val="1"/>
      </rPr>
      <t xml:space="preserve">FU-D34</t>
    </r>
    <r>
      <rPr>
        <sz val="10"/>
        <rFont val="Noto Sans CJK SC"/>
        <family val="2"/>
      </rPr>
      <t xml:space="preserve">）；換入池因編輯而減少（換入金額改小、日期延後、換帳戶或幣別）沒有任何檢查，</t>
    </r>
    <r>
      <rPr>
        <sz val="10"/>
        <rFont val="Arial"/>
        <family val="0"/>
        <charset val="1"/>
      </rPr>
      <t xml:space="preserve">:860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update_fx_conversion</t>
    </r>
    <r>
      <rPr>
        <sz val="10"/>
        <rFont val="Noto Sans CJK SC"/>
        <family val="2"/>
      </rPr>
      <t xml:space="preserve">。同一筆的刪除門 </t>
    </r>
    <r>
      <rPr>
        <sz val="10"/>
        <rFont val="Arial"/>
        <family val="0"/>
        <charset val="1"/>
      </rPr>
      <t xml:space="preserve">fx_delete_guard </t>
    </r>
    <r>
      <rPr>
        <sz val="10"/>
        <rFont val="Noto Sans CJK SC"/>
        <family val="2"/>
      </rPr>
      <t xml:space="preserve">則兩池都查</t>
    </r>
  </si>
  <si>
    <t xml:space="preserve">R16</t>
  </si>
  <si>
    <t xml:space="preserve">驗證者 R15 觀察（交接紀錄第 39 列附註①，未開單）。Owner 2026-10-03 在對話中裁定 A：比照刪除，編輯換匯時對受影響的每個池用相同的可確認規則（這次讓某一天新轉負、或跌破原本最低點才要求確認，確認後可強制寫入）；換出池維持硬擋。開發者依裁定開立本張並於 R16 修正（d9f1c68），待複驗。
驗證者 R16（2026-10-03，d9f1c68）依 Owner 2026-10-03 裁定 A 複驗通過結案——①根因到行（H 欄：d8efc07 的 ledgers.py:825 edit_fx 只在 :854 呼叫 fx_change_guard，cash.py:283／:331 只看換出池，:860 直接寫入；驗證者以 git 逐行核對）；修後 cash.py:366-392 fx_edit_negative_guard 對舊、新帳戶 × 換出、換入四個池用刪除門的 _pool_dip（caused_dip），ledgers.py:868-876 在硬擋之後呼叫；②同類：開發者列 8 個會讓資金池變少的更正門；驗證者另以黑箱驗開發者測試未涵蓋的三種：日期延後（07-18 → 07-25 → 422「自 2026-07-19 起為負，最低於 2026-07-20 降至 −205,000」）、改到另一帳戶與幣別（Moomoo MY USD → MYR → 422 點名原帳戶 嘉信 TWD）、已負的日子再加深但仍高於原本最低點（換入 1,000 → 500 → 200 不詢問，與刪除門同一範圍）；③變異（驗證者自做 6 組，乾淨 worktree，基準 43 passed）：拿掉新檢查 → 2 failed、只查換出兩池 → 2、確認參數不傳入 → 2；只查新帳戶的池、改用硬擋的 new_dip、改回回報任何負值 → 開發者測試 0 failed，但驗證者的本機情境分別抓到（改帳戶、加深、5 處），程式行為正確，建議補契約測試（見來回記錄第 197 列 Q 欄）；④黑箱：A-13D 18／18（換入改 1,000 → 「現金將變為負數…自 2026-07-19 起為負，最低於 2026-07-20 降至 −204,000」，取消未寫入、確認後 PUT 帶 ack_negative 200；換出改 500,000 → 422 fx_insufficient_balance、無確認選項、帶 ack 也 422）；本機（demo 嘉信 TWD 池逐列複製）同一組情境在修正前 d8efc07 重現原缺陷 3 處（換入改小、日期延後、改帳戶皆 200 不詢問），d9f1c68 12／12 符合逐日推算；J 組全過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</si>
  <si>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</si>
  <si>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</si>
  <si>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</si>
  <si>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</si>
  <si>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</si>
  <si>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</si>
  <si>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</si>
  <si>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</si>
  <si>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</si>
  <si>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</si>
  <si>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</si>
  <si>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</si>
  <si>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</si>
  <si>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</si>
  <si>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</si>
  <si>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</si>
  <si>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</si>
  <si>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</si>
  <si>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</si>
  <si>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</si>
  <si>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</si>
  <si>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</si>
  <si>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</si>
  <si>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</si>
  <si>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</si>
  <si>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</si>
  <si>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</si>
  <si>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</si>
  <si>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</si>
  <si>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</si>
  <si>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</si>
  <si>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</si>
  <si>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</si>
  <si>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</si>
  <si>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</si>
  <si>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</si>
  <si>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</si>
  <si>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</si>
  <si>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</si>
  <si>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</si>
  <si>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</si>
  <si>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</si>
  <si>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</si>
  <si>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</si>
  <si>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</si>
  <si>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</si>
  <si>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</si>
  <si>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</si>
  <si>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</si>
  <si>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</si>
  <si>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</si>
  <si>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</si>
  <si>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</si>
  <si>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</si>
  <si>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</si>
  <si>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</si>
  <si>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</si>
  <si>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</si>
  <si>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</si>
  <si>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</si>
  <si>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</si>
  <si>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</si>
  <si>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</si>
  <si>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</si>
  <si>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</si>
  <si>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</si>
  <si>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</si>
  <si>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</si>
  <si>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</si>
  <si>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</si>
  <si>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</si>
  <si>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</si>
  <si>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</si>
  <si>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</si>
  <si>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</si>
  <si>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</si>
  <si>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</si>
  <si>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</si>
  <si>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</si>
  <si>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</si>
  <si>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</si>
  <si>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</si>
  <si>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</si>
  <si>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</si>
  <si>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</si>
  <si>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</si>
  <si>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</si>
  <si>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</si>
  <si>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</si>
  <si>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</si>
  <si>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</si>
  <si>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</si>
  <si>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</si>
  <si>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</si>
  <si>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</si>
  <si>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</si>
  <si>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</si>
  <si>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</si>
  <si>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</si>
  <si>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</si>
  <si>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</si>
  <si>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</si>
  <si>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</si>
  <si>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</si>
  <si>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</si>
  <si>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</si>
  <si>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</si>
  <si>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</si>
  <si>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</si>
  <si>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</si>
  <si>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</si>
  <si>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</si>
  <si>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</si>
  <si>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</si>
  <si>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</si>
  <si>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</si>
  <si>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</si>
  <si>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</si>
  <si>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</si>
  <si>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</si>
  <si>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</si>
  <si>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</si>
  <si>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</si>
  <si>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</si>
  <si>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</si>
  <si>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</si>
  <si>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</si>
  <si>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</si>
  <si>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</si>
  <si>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</si>
  <si>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</si>
  <si>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</si>
  <si>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</si>
  <si>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</si>
  <si>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</si>
  <si>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</si>
  <si>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</si>
  <si>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</si>
  <si>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</si>
  <si>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</si>
  <si>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</si>
  <si>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</si>
  <si>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</si>
  <si>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</si>
  <si>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</si>
  <si>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</si>
  <si>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</si>
  <si>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</si>
  <si>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</si>
  <si>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</si>
  <si>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</si>
  <si>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</si>
  <si>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</si>
  <si>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</si>
  <si>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</si>
  <si>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</si>
  <si>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</si>
  <si>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</si>
  <si>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</si>
  <si>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</si>
  <si>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</si>
  <si>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</si>
  <si>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</si>
  <si>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</si>
  <si>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</si>
  <si>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</si>
  <si>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</si>
  <si>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</si>
  <si>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</si>
  <si>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</si>
  <si>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</si>
  <si>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</si>
  <si>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</si>
  <si>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</si>
  <si>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</si>
  <si>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</si>
  <si>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</si>
  <si>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</si>
  <si>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</si>
  <si>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</si>
  <si>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</si>
  <si>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</si>
  <si>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</si>
  <si>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</si>
  <si>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</si>
  <si>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</si>
  <si>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</si>
  <si>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</si>
  <si>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</si>
  <si>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</si>
  <si>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</si>
  <si>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</si>
  <si>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</si>
  <si>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</si>
  <si>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</si>
  <si>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</si>
  <si>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</si>
  <si>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</si>
  <si>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</si>
  <si>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</si>
  <si>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</si>
  <si>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</si>
  <si>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</si>
  <si>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</si>
  <si>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</si>
  <si>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</si>
  <si>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</si>
  <si>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</si>
  <si>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</si>
  <si>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</si>
  <si>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</si>
  <si>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</si>
  <si>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</si>
  <si>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</si>
  <si>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</si>
  <si>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</si>
  <si>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</si>
  <si>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</si>
  <si>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</si>
  <si>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</si>
  <si>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</si>
  <si>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</si>
  <si>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</si>
  <si>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</si>
  <si>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</si>
  <si>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</si>
  <si>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</si>
  <si>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</si>
  <si>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</si>
  <si>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</si>
  <si>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</si>
  <si>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</si>
  <si>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</si>
  <si>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</si>
  <si>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</si>
  <si>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</si>
  <si>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</si>
  <si>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</si>
  <si>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</si>
  <si>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</si>
  <si>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</si>
  <si>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</si>
  <si>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</si>
  <si>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</si>
  <si>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</si>
  <si>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</si>
  <si>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</si>
  <si>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</si>
  <si>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</si>
  <si>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</si>
  <si>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</si>
  <si>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</si>
  <si>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</si>
  <si>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</si>
  <si>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</si>
  <si>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</si>
  <si>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</si>
  <si>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</si>
  <si>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</si>
  <si>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</si>
  <si>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</si>
  <si>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</si>
  <si>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</si>
  <si>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</si>
  <si>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</si>
  <si>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</si>
  <si>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</si>
  <si>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</si>
  <si>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</si>
  <si>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</si>
  <si>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</si>
  <si>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</si>
  <si>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</si>
  <si>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</si>
  <si>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</si>
  <si>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</si>
  <si>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</si>
  <si>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</si>
  <si>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</si>
  <si>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</si>
  <si>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</si>
  <si>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</si>
  <si>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</si>
  <si>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</si>
  <si>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</si>
  <si>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</si>
  <si>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</si>
  <si>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</si>
  <si>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</si>
  <si>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</si>
  <si>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</si>
  <si>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</si>
  <si>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</si>
  <si>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</si>
  <si>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</si>
  <si>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</si>
  <si>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</si>
  <si>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</si>
  <si>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</si>
  <si>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</si>
  <si>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</si>
  <si>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</si>
  <si>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</si>
  <si>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</si>
  <si>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</si>
  <si>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</si>
  <si>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</si>
  <si>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</si>
  <si>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</si>
  <si>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</si>
  <si>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</si>
  <si>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</si>
  <si>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</si>
  <si>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</si>
  <si>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</si>
  <si>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</si>
  <si>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</si>
  <si>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</si>
  <si>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</si>
  <si>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</si>
  <si>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</si>
  <si>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</si>
  <si>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</si>
  <si>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</si>
  <si>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</si>
  <si>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</si>
  <si>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</si>
  <si>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</si>
  <si>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</si>
  <si>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</si>
  <si>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</si>
  <si>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</si>
  <si>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</si>
  <si>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</si>
  <si>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</si>
  <si>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</si>
  <si>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</si>
  <si>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</si>
  <si>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</si>
  <si>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</si>
  <si>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</si>
  <si>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</si>
  <si>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</si>
  <si>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</si>
  <si>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</si>
  <si>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</si>
  <si>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</si>
  <si>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</si>
  <si>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</si>
  <si>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</si>
  <si>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</si>
  <si>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</si>
  <si>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</si>
  <si>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</si>
  <si>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</si>
  <si>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</si>
  <si>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</si>
  <si>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</si>
  <si>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</si>
  <si>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</si>
  <si>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</si>
  <si>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</si>
  <si>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</si>
  <si>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</si>
  <si>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</si>
  <si>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</si>
  <si>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</si>
  <si>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</si>
  <si>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</si>
  <si>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</si>
  <si>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</si>
  <si>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</si>
  <si>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</si>
  <si>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</si>
  <si>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</si>
  <si>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</si>
  <si>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</si>
  <si>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</si>
  <si>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</si>
  <si>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</si>
  <si>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</si>
  <si>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</si>
  <si>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</si>
  <si>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</si>
  <si>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</si>
  <si>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</si>
  <si>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</si>
  <si>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</si>
  <si>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</si>
  <si>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</si>
  <si>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</si>
  <si>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</si>
  <si>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</si>
  <si>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</si>
  <si>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</si>
  <si>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</si>
  <si>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</si>
  <si>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</si>
  <si>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</si>
  <si>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</si>
  <si>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</si>
  <si>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</si>
  <si>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</si>
  <si>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</si>
  <si>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</si>
  <si>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</si>
  <si>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</si>
  <si>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</si>
  <si>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</si>
  <si>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</si>
  <si>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</si>
  <si>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</si>
  <si>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</si>
  <si>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</si>
  <si>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</si>
  <si>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</si>
  <si>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</si>
  <si>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</si>
  <si>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</si>
  <si>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</si>
  <si>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</si>
  <si>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</si>
  <si>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</si>
  <si>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</si>
  <si>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</si>
  <si>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</si>
  <si>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</si>
  <si>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</si>
  <si>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</si>
  <si>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</si>
  <si>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</si>
  <si>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</si>
  <si>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</si>
  <si>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</si>
  <si>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</si>
  <si>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</si>
  <si>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</si>
  <si>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</si>
  <si>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</si>
  <si>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</si>
  <si>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</si>
  <si>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</si>
  <si>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</si>
  <si>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</si>
  <si>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</si>
  <si>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</si>
  <si>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</si>
  <si>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</si>
  <si>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</si>
  <si>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</si>
  <si>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</si>
  <si>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</si>
  <si>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</si>
  <si>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</si>
  <si>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</si>
  <si>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</si>
  <si>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</si>
  <si>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</si>
  <si>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</si>
  <si>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</si>
  <si>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</si>
  <si>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</si>
  <si>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</si>
  <si>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</si>
  <si>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</si>
  <si>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</si>
  <si>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</si>
  <si>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</si>
  <si>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</si>
  <si>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</si>
  <si>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</si>
  <si>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</si>
  <si>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</si>
  <si>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</si>
  <si>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</si>
  <si>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</si>
  <si>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</si>
  <si>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</si>
  <si>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</si>
  <si>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</si>
  <si>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</si>
  <si>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</si>
  <si>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</si>
  <si>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</si>
  <si>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</si>
  <si>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</si>
  <si>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</si>
  <si>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</si>
  <si>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</si>
  <si>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</si>
  <si>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</si>
  <si>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</si>
  <si>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</si>
  <si>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</si>
  <si>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</si>
  <si>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</si>
  <si>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</si>
  <si>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</si>
  <si>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</si>
  <si>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</si>
  <si>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</si>
  <si>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</si>
  <si>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</si>
  <si>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</si>
  <si>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</si>
  <si>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</si>
  <si>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</si>
  <si>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</si>
  <si>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</si>
  <si>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</si>
  <si>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</si>
  <si>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</si>
  <si>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</si>
  <si>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</si>
  <si>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</si>
  <si>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</si>
  <si>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</si>
  <si>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</si>
  <si>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</si>
  <si>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</si>
  <si>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</si>
  <si>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</si>
  <si>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</si>
  <si>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</si>
  <si>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</si>
  <si>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</si>
  <si>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</si>
  <si>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</si>
  <si>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</si>
  <si>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</si>
  <si>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</si>
  <si>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</si>
  <si>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</si>
  <si>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</si>
  <si>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</si>
  <si>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</si>
  <si>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</si>
  <si>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</si>
  <si>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</si>
  <si>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</si>
  <si>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</si>
  <si>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</si>
  <si>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</si>
  <si>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</si>
  <si>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</si>
  <si>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</si>
  <si>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</si>
  <si>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</si>
  <si>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</si>
  <si>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</si>
  <si>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</si>
  <si>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</si>
  <si>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</si>
  <si>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</si>
  <si>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</si>
  <si>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</si>
  <si>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</si>
  <si>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</si>
  <si>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</si>
  <si>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</si>
  <si>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</si>
  <si>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</si>
  <si>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</si>
  <si>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</si>
  <si>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</si>
  <si>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</si>
  <si>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</si>
  <si>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</si>
  <si>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</si>
  <si>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</si>
  <si>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</si>
  <si>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</si>
  <si>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</si>
  <si>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</si>
  <si>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</si>
  <si>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</si>
  <si>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</si>
  <si>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</si>
  <si>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</si>
  <si>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</si>
  <si>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</si>
  <si>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</si>
  <si>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</si>
  <si>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</si>
  <si>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</si>
  <si>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</si>
  <si>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</si>
  <si>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</si>
  <si>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</si>
  <si>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</si>
  <si>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</si>
  <si>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</si>
  <si>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</si>
  <si>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</si>
  <si>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</si>
  <si>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</si>
  <si>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</si>
  <si>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</si>
  <si>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</si>
  <si>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</si>
  <si>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</si>
  <si>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</si>
  <si>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</si>
  <si>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</si>
  <si>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</si>
  <si>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</si>
  <si>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</si>
  <si>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</si>
  <si>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</si>
  <si>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</si>
  <si>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</si>
  <si>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</si>
  <si>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</si>
  <si>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</si>
  <si>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</si>
  <si>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</si>
  <si>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</si>
  <si>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</si>
  <si>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</si>
  <si>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</si>
  <si>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</si>
  <si>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</si>
  <si>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</si>
  <si>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</si>
  <si>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</si>
  <si>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</si>
  <si>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</si>
  <si>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</si>
  <si>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</si>
  <si>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</si>
  <si>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</si>
  <si>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</si>
  <si>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</si>
  <si>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</si>
  <si>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</si>
  <si>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</si>
  <si>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</si>
  <si>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</si>
  <si>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</si>
  <si>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</si>
  <si>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</si>
  <si>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</si>
  <si>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</si>
  <si>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</si>
  <si>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</si>
  <si>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</si>
  <si>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</si>
  <si>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</si>
  <si>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</si>
  <si>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</si>
  <si>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</si>
  <si>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</si>
  <si>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</si>
  <si>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</si>
  <si>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</si>
  <si>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</si>
  <si>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</si>
  <si>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</si>
  <si>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</si>
  <si>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</si>
  <si>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</si>
  <si>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</si>
  <si>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</si>
  <si>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</si>
  <si>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</si>
  <si>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</si>
  <si>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</si>
  <si>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</si>
  <si>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</si>
  <si>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</si>
  <si>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</si>
  <si>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</si>
  <si>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</si>
  <si>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</si>
  <si>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</si>
  <si>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</si>
  <si>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</si>
  <si>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</si>
  <si>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</si>
  <si>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</si>
  <si>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</si>
  <si>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</si>
  <si>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</si>
  <si>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</si>
  <si>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</si>
  <si>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</si>
  <si>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</si>
  <si>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</si>
  <si>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</si>
  <si>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</si>
  <si>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</si>
  <si>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</si>
  <si>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</si>
  <si>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</si>
  <si>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</si>
  <si>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</si>
  <si>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</si>
  <si>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</si>
  <si>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</si>
  <si>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</si>
  <si>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</si>
  <si>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</si>
  <si>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</si>
  <si>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</si>
  <si>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</si>
  <si>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</si>
  <si>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</si>
  <si>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</si>
  <si>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</si>
  <si>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</si>
  <si>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</si>
  <si>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</si>
  <si>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</si>
  <si>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</si>
  <si>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</si>
  <si>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</si>
  <si>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</si>
  <si>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</si>
  <si>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</si>
  <si>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</si>
  <si>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</si>
  <si>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</si>
  <si>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</si>
  <si>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</si>
  <si>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</si>
  <si>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</si>
  <si>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</si>
  <si>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</si>
  <si>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</si>
  <si>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</si>
  <si>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</si>
  <si>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</si>
  <si>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</si>
  <si>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</si>
  <si>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</si>
  <si>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</si>
  <si>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</si>
  <si>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</si>
  <si>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</si>
  <si>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</si>
  <si>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</si>
  <si>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</si>
  <si>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</si>
  <si>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</si>
  <si>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</si>
  <si>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</si>
  <si>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</si>
  <si>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</si>
  <si>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</si>
  <si>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</si>
  <si>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</si>
  <si>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</si>
  <si>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</si>
  <si>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</si>
  <si>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</si>
  <si>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</si>
  <si>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</si>
  <si>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</si>
  <si>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</si>
  <si>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</si>
  <si>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</si>
  <si>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</si>
  <si>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</si>
  <si>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</si>
  <si>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</si>
  <si>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</si>
  <si>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</si>
  <si>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</si>
  <si>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</si>
  <si>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</si>
  <si>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</si>
  <si>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</si>
  <si>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</si>
  <si>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</si>
  <si>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</si>
  <si>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</si>
  <si>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</si>
  <si>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</si>
  <si>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</si>
  <si>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</si>
  <si>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</si>
  <si>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</si>
  <si>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</si>
  <si>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</si>
  <si>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</si>
  <si>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</si>
  <si>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</si>
  <si>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</si>
  <si>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</si>
  <si>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</si>
  <si>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</si>
  <si>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</si>
  <si>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</si>
  <si>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</si>
  <si>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</si>
  <si>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</si>
  <si>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</si>
  <si>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</si>
  <si>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</si>
  <si>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</si>
  <si>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</si>
  <si>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</si>
  <si>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</si>
  <si>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</si>
  <si>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</si>
  <si>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</si>
  <si>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</si>
  <si>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</si>
  <si>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</si>
  <si>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</si>
  <si>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</si>
  <si>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</si>
  <si>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</si>
  <si>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</si>
  <si>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</si>
  <si>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</si>
  <si>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</si>
  <si>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</si>
  <si>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</si>
  <si>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</si>
  <si>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</si>
  <si>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</si>
  <si>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</si>
  <si>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</si>
  <si>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</si>
  <si>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</si>
  <si>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</si>
  <si>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</si>
  <si>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</si>
  <si>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</si>
  <si>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</si>
  <si>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</si>
  <si>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</si>
  <si>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</si>
  <si>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</si>
  <si>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</si>
  <si>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</si>
  <si>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</si>
  <si>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</si>
  <si>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</si>
  <si>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</si>
  <si>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</si>
  <si>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</si>
  <si>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</si>
  <si>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</si>
  <si>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</si>
  <si>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</si>
  <si>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</si>
  <si>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</si>
  <si>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</si>
  <si>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</si>
  <si>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</si>
  <si>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</si>
  <si>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</si>
  <si>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</si>
  <si>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</si>
  <si>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</si>
  <si>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</si>
  <si>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</si>
  <si>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</si>
  <si>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</si>
  <si>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</si>
  <si>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</si>
  <si>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</si>
  <si>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</si>
  <si>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</si>
  <si>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</si>
  <si>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</si>
  <si>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</si>
  <si>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</si>
  <si>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</si>
  <si>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</si>
  <si>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</si>
  <si>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</si>
  <si>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</si>
  <si>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</si>
  <si>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</si>
  <si>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</si>
  <si>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</si>
  <si>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</si>
  <si>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</si>
  <si>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</si>
  <si>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</si>
  <si>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</si>
  <si>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</si>
  <si>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</si>
  <si>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</si>
  <si>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</si>
  <si>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</si>
  <si>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</si>
  <si>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</si>
  <si>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</si>
  <si>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</si>
  <si>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</si>
  <si>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</si>
  <si>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</si>
  <si>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</si>
  <si>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</si>
  <si>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</si>
  <si>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</si>
  <si>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</si>
  <si>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</si>
  <si>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</si>
  <si>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</si>
  <si>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</si>
  <si>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</si>
  <si>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</si>
  <si>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</si>
  <si>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</si>
  <si>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</si>
  <si>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</si>
  <si>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</si>
  <si>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</si>
  <si>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</si>
  <si>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</si>
  <si>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</si>
  <si>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</si>
  <si>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</si>
  <si>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</si>
  <si>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</si>
  <si>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</si>
  <si>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</si>
  <si>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</si>
  <si>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</si>
  <si>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</si>
  <si>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</si>
  <si>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</si>
  <si>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</si>
  <si>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</si>
  <si>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</si>
  <si>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</si>
  <si>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</si>
  <si>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</si>
  <si>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</si>
  <si>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</si>
  <si>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</si>
  <si>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</si>
  <si>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</si>
  <si>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</si>
  <si>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</si>
  <si>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</si>
  <si>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</si>
  <si>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</si>
  <si>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</si>
  <si>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</si>
  <si>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</si>
  <si>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</si>
  <si>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</si>
  <si>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</si>
  <si>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</si>
  <si>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</si>
  <si>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</si>
  <si>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</si>
  <si>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</si>
  <si>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</si>
  <si>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</si>
  <si>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</si>
  <si>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</si>
  <si>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</si>
  <si>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</si>
  <si>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</si>
  <si>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</si>
  <si>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</si>
  <si>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</si>
  <si>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</si>
  <si>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</si>
  <si>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</si>
  <si>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</si>
  <si>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</si>
  <si>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</si>
  <si>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</si>
  <si>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</si>
  <si>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</si>
  <si>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</si>
  <si>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</si>
  <si>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</si>
  <si>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</si>
  <si>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</si>
  <si>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</si>
  <si>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</si>
  <si>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</si>
  <si>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</si>
  <si>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</si>
  <si>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</si>
  <si>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</si>
  <si>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</si>
  <si>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</si>
  <si>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</si>
  <si>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</si>
  <si>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</si>
  <si>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</si>
  <si>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</si>
  <si>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</si>
  <si>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</si>
  <si>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</si>
  <si>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</si>
  <si>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</si>
  <si>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</si>
  <si>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</si>
  <si>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</si>
  <si>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</si>
  <si>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</si>
  <si>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</si>
  <si>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</si>
  <si>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</si>
  <si>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</si>
  <si>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</si>
  <si>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</si>
  <si>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</si>
  <si>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</si>
  <si>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</si>
  <si>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</si>
  <si>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</si>
  <si>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</si>
  <si>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</si>
  <si>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</si>
  <si>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</si>
  <si>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</si>
  <si>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</si>
  <si>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</si>
  <si>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</si>
  <si>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</si>
  <si>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</si>
  <si>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</si>
  <si>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</si>
  <si>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</si>
  <si>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</si>
  <si>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</si>
  <si>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</si>
  <si>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</si>
  <si>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</si>
  <si>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</si>
  <si>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</si>
  <si>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</si>
  <si>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</si>
  <si>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</si>
  <si>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</si>
  <si>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</si>
  <si>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</si>
  <si>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</si>
  <si>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</si>
  <si>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</si>
  <si>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</si>
  <si>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</si>
  <si>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</si>
  <si>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</si>
  <si>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</si>
  <si>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</si>
  <si>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</si>
  <si>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</si>
  <si>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</si>
  <si>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</si>
  <si>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</si>
  <si>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</si>
  <si>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</si>
  <si>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</si>
  <si>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</si>
  <si>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</si>
  <si>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</si>
  <si>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</si>
  <si>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</si>
  <si>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</si>
  <si>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</si>
  <si>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</si>
  <si>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</si>
  <si>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</si>
  <si>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</si>
  <si>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</si>
  <si>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</si>
  <si>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</si>
  <si>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</si>
  <si>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</si>
  <si>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</si>
  <si>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</si>
  <si>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</si>
  <si>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</si>
  <si>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</si>
  <si>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</si>
  <si>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</si>
  <si>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</si>
  <si>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</si>
  <si>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</si>
  <si>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</si>
  <si>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</si>
  <si>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</si>
  <si>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</si>
  <si>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</si>
  <si>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</si>
  <si>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</si>
  <si>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</si>
  <si>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</si>
  <si>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</si>
  <si>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</si>
  <si>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</si>
  <si>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</si>
  <si>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</si>
  <si>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</si>
  <si>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</si>
  <si>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</si>
  <si>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</si>
  <si>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</si>
  <si>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</si>
  <si>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</si>
  <si>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</si>
  <si>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</si>
  <si>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</si>
  <si>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</si>
  <si>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</si>
  <si>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</si>
  <si>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</si>
  <si>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</si>
  <si>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</si>
  <si>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</si>
  <si>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</si>
  <si>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</si>
  <si>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</si>
  <si>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</si>
  <si>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</si>
  <si>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</si>
  <si>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</si>
  <si>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</si>
  <si>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</si>
  <si>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</si>
  <si>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</si>
  <si>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</si>
  <si>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</si>
  <si>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</si>
  <si>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</si>
  <si>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</si>
  <si>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</si>
  <si>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</si>
  <si>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</si>
  <si>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</si>
  <si>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</si>
  <si>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</si>
  <si>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</si>
  <si>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</si>
  <si>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</si>
  <si>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</si>
  <si>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</si>
  <si>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</si>
  <si>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</si>
  <si>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</si>
  <si>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</si>
  <si>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</si>
  <si>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</si>
  <si>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</si>
  <si>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</si>
  <si>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</si>
  <si>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</si>
  <si>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</si>
  <si>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</si>
  <si>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</si>
  <si>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</si>
  <si>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</si>
  <si>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</si>
  <si>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</si>
  <si>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</si>
  <si>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</si>
  <si>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</si>
  <si>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</si>
  <si>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</si>
  <si>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</si>
  <si>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</si>
  <si>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</si>
  <si>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</si>
  <si>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</si>
  <si>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</si>
  <si>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</si>
  <si>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</si>
  <si>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</si>
  <si>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</si>
  <si>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</si>
  <si>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</si>
  <si>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</si>
  <si>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</si>
  <si>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</si>
  <si>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</si>
  <si>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</si>
  <si>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</si>
  <si>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</si>
  <si>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</si>
  <si>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</si>
  <si>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</si>
  <si>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</si>
  <si>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</si>
  <si>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</si>
  <si>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</si>
  <si>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</si>
  <si>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</si>
  <si>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</si>
  <si>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</si>
  <si>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</si>
  <si>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</si>
  <si>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</si>
  <si>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</si>
  <si>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</si>
  <si>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</si>
  <si>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</si>
  <si>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</si>
  <si>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</si>
  <si>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</si>
  <si>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</si>
  <si>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</si>
  <si>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</si>
  <si>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</si>
  <si>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</si>
  <si>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</si>
  <si>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</si>
  <si>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</si>
  <si>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</si>
  <si>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</si>
  <si>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</si>
  <si>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</si>
  <si>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</si>
  <si>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</si>
  <si>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</si>
  <si>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</si>
  <si>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</si>
  <si>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</si>
  <si>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</si>
  <si>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</si>
  <si>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</si>
  <si>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</si>
  <si>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</si>
  <si>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</si>
  <si>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</si>
  <si>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</si>
  <si>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</si>
  <si>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</si>
  <si>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</si>
  <si>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</si>
  <si>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</si>
  <si>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</si>
  <si>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</si>
  <si>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</si>
  <si>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</si>
  <si>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</si>
  <si>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</si>
  <si>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</si>
  <si>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</si>
  <si>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</si>
  <si>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</si>
  <si>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</si>
  <si>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</si>
  <si>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</si>
  <si>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</si>
  <si>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</si>
  <si>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</si>
  <si>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</si>
  <si>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</si>
  <si>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</si>
  <si>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2026-10-01</t>
  </si>
  <si>
    <t xml:space="preserve"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</si>
  <si>
    <t xml:space="preserve"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</si>
  <si>
    <r>
      <rPr>
        <sz val="10"/>
        <rFont val="Arial"/>
        <family val="0"/>
        <charset val="1"/>
      </rPr>
      <t xml:space="preserve">pytest 1 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6,851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rc=1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662 </t>
    </r>
    <r>
      <rPr>
        <sz val="10"/>
        <rFont val="Noto Sans CJK SC"/>
        <family val="2"/>
      </rPr>
      <t xml:space="preserve">秒）；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）；單獨重跑：</t>
    </r>
    <r>
      <rPr>
        <sz val="10"/>
        <rFont val="Arial"/>
        <family val="0"/>
        <charset val="1"/>
      </rPr>
      <t xml:space="preserve">830056c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e8bcf53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2fe60ce 10 passed</t>
    </r>
  </si>
  <si>
    <t xml:space="preserve">開 DEF-087（低，程式缺陷）；本機檢查程式比對摘要的大小寫錯誤已更正，J-06 以原始紀錄改判</t>
  </si>
  <si>
    <t xml:space="preserve">檢驗方 2026-10-01</t>
  </si>
  <si>
    <t xml:space="preserve"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</si>
  <si>
    <t xml:space="preserve"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</si>
  <si>
    <t xml:space="preserve"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</si>
  <si>
    <t xml:space="preserve">開 DEF-088（低，程式缺陷）；模型原始回覆未留存，根因請修復方以實際回覆確認</t>
  </si>
  <si>
    <t xml:space="preserve">demo 真實瀏覽器（頁首 v0.1.28 · 830056c）：G-01 建立並執行 per_symbol 任務 #32（2884），讀卡 #264 內文、執行明細、標的管理的 2884 名稱與別名；掃描 demo 全部 225 張卡的名稱／代號配對；讀 name_check.py</t>
  </si>
  <si>
    <t xml:space="preserve"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</si>
  <si>
    <r>
      <rPr>
        <sz val="10"/>
        <rFont val="Arial"/>
        <family val="0"/>
        <charset val="1"/>
      </rPr>
      <t xml:space="preserve">run #257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張卡」；卡 </t>
    </r>
    <r>
      <rPr>
        <sz val="10"/>
        <rFont val="Arial"/>
        <family val="0"/>
        <charset val="1"/>
      </rPr>
      <t xml:space="preserve">#264 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9,942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5,412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；「玉山金 </t>
    </r>
    <r>
      <rPr>
        <sz val="10"/>
        <rFont val="Arial"/>
        <family val="0"/>
        <charset val="1"/>
      </rPr>
      <t xml:space="preserve">(2884)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；額度扣減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＝執行花費＝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列用量；</t>
    </r>
    <r>
      <rPr>
        <sz val="10"/>
        <rFont val="Arial"/>
        <family val="0"/>
        <charset val="1"/>
      </rPr>
      <t xml:space="preserve">demo 225 </t>
    </r>
    <r>
      <rPr>
        <sz val="10"/>
        <rFont val="Noto Sans CJK SC"/>
        <family val="2"/>
      </rPr>
      <t xml:space="preserve">張卡：一致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種、前段簡稱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</t>
    </r>
  </si>
  <si>
    <t xml:space="preserve">開 DEF-089（低，規格未定），請 Owner 裁定 A 改期望／B 改程式</t>
  </si>
  <si>
    <t xml:space="preserve"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</si>
  <si>
    <t xml:space="preserve"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</si>
  <si>
    <t xml:space="preserve"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</si>
  <si>
    <t xml:space="preserve">開 DEF-090（中，程式缺陷）；換匯檢查同型，請修復方一併做同類掃描</t>
  </si>
  <si>
    <t xml:space="preserve">demo 真實瀏覽器（頁首 v0.1.28 · 830056c）：A-06M——Moomoo MY MYR 池出金 2026-01-05 423,806（表單不擋）讀 422 訊息與畫面 toast；以資金對帳單匯出逐日推算加上這筆後的餘額；讀 validate.py</t>
  </si>
  <si>
    <t xml:space="preserve"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</si>
  <si>
    <r>
      <rPr>
        <sz val="10"/>
        <rFont val="Arial"/>
        <family val="0"/>
        <charset val="1"/>
      </rPr>
      <t xml:space="preserve">423,806 → 422</t>
    </r>
    <r>
      <rPr>
        <sz val="10"/>
        <rFont val="Noto Sans CJK SC"/>
        <family val="2"/>
      </rPr>
      <t xml:space="preserve">；訊息點名 </t>
    </r>
    <r>
      <rPr>
        <sz val="10"/>
        <rFont val="Arial"/>
        <family val="0"/>
        <charset val="1"/>
      </rPr>
      <t xml:space="preserve">2026-07-19 −78,605.83</t>
    </r>
    <r>
      <rPr>
        <sz val="10"/>
        <rFont val="Noto Sans CJK SC"/>
        <family val="2"/>
      </rPr>
      <t xml:space="preserve">；推算第一個轉負日 </t>
    </r>
    <r>
      <rPr>
        <sz val="10"/>
        <rFont val="Arial"/>
        <family val="0"/>
        <charset val="1"/>
      </rPr>
      <t xml:space="preserve">2026-01-07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3,806</t>
    </r>
    <r>
      <rPr>
        <sz val="10"/>
        <rFont val="Noto Sans CJK SC"/>
        <family val="2"/>
      </rPr>
      <t xml:space="preserve">），之後持續為負到 </t>
    </r>
    <r>
      <rPr>
        <sz val="10"/>
        <rFont val="Arial"/>
        <family val="0"/>
        <charset val="1"/>
      </rPr>
      <t xml:space="preserve">07-21 </t>
    </r>
    <r>
      <rPr>
        <sz val="10"/>
        <rFont val="Noto Sans CJK SC"/>
        <family val="2"/>
      </rPr>
      <t xml:space="preserve">入金；資金收支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列不變、分段相同</t>
    </r>
  </si>
  <si>
    <t xml:space="preserve">開 DEF-091（低，規格未定），請 Owner 裁定 A 改期望（點名最低點）／B 改程式（點名首個轉負日）</t>
  </si>
  <si>
    <t xml:space="preserve">2026-10-02</t>
  </si>
  <si>
    <t xml:space="preserve">同意驗證者：程式缺陷，相對 R12 為回歸（2fe60ce 綠、e8bcf53 起紅）。</t>
  </si>
  <si>
    <t xml:space="preserve"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</si>
  <si>
    <t xml:space="preserve">改為只合併文字（items 中為文字者以「、」相接）——別名唯一的寫入者 store.set_instrument_aliases 只存文字，不需要 str()；不加白名單。</t>
  </si>
  <si>
    <t xml:space="preserve">export 套件所有裸 str() 由該守門測試以 AST 列舉：修後 18 處，全在白名單（ai_predictions／holdings 的 _s、ledgers._read_table、report_html._esc、usage 兩個建檔函式），未列入 0。</t>
  </si>
  <si>
    <t xml:space="preserve">守門測試 test_every_bare_str_in_the_export_package_is_listed 修前 failed、修後 passed。變異 M6（改回 str(a)）→ 該測試 1 failed。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</si>
  <si>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</si>
  <si>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6,859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6,857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組全攔・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4A </t>
    </r>
    <r>
      <rPr>
        <sz val="10"/>
        <rFont val="Noto Sans CJK SC"/>
        <family val="2"/>
      </rPr>
      <t xml:space="preserve">還原到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前的備份（還原後交易／股利／資金／公司行動／卡片／用量／標的／執行各表筆數與備份逐一相同；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後的狀態另存 </t>
    </r>
    <r>
      <rPr>
        <sz val="10"/>
        <rFont val="Arial"/>
        <family val="0"/>
        <charset val="1"/>
      </rPr>
      <t xml:space="preserve">portfolio-post-r13-*.db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</si>
  <si>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</si>
  <si>
    <t xml:space="preserve"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</si>
  <si>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6,875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:209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str(a)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</si>
  <si>
    <t xml:space="preserve">檢驗方 2026-10-02</t>
  </si>
  <si>
    <t xml:space="preserve"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</si>
  <si>
    <t xml:space="preserve">第 8 題的 AI 別名測試只用美股（MSFT：來源名 Microsoft Corporation 與模型 name 不同，中文別名在 aliases），沒有台股「來源名＝模型給的簡稱」的情境。新增台股測試補上這個盲點。</t>
  </si>
  <si>
    <t xml:space="preserve">模型回的名稱若含中文，列為第一個別名候選（auto_aliases 照舊濾掉與登錄名稱相同、他檔已用、過長等）；英文名稱不列——名稱檢核本來就能從登錄英文名推導字詞形式（Microsoft）。</t>
  </si>
  <si>
    <t xml:space="preserve">自動填別名的入口共 3 個：交易所簡稱（lookup／quick_register，簡稱與名稱不同才保留，已正確）、AI 辨識 resolved（本缺陷，修 1）、AI 辨識 candidates（刻意不給別名，維持）。</t>
  </si>
  <si>
    <t xml:space="preserve">新增 test_ai_resolve_keeps_a_chinese_model_name_the_exchange_name_replaced（長榮航 → 別名 [長榮航空]）；變異 M7（候選改回只有模型的 aliases）→ 1 failed。真實模型確認見 E 欄（demo 3 次）。</t>
  </si>
  <si>
    <t xml:space="preserve"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</si>
  <si>
    <t xml:space="preserve"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</si>
  <si>
    <r>
      <rPr>
        <sz val="10"/>
        <rFont val="Arial"/>
        <family val="0"/>
        <charset val="1"/>
      </rPr>
      <t xml:space="preserve">F-01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/api/instruments 201 aliases ["</t>
    </r>
    <r>
      <rPr>
        <sz val="10"/>
        <rFont val="Noto Sans CJK SC"/>
        <family val="2"/>
      </rPr>
      <t xml:space="preserve">長榮航空</t>
    </r>
    <r>
      <rPr>
        <sz val="10"/>
        <rFont val="Arial"/>
        <family val="0"/>
        <charset val="1"/>
      </rPr>
      <t xml:space="preserve">"]</t>
    </r>
    <r>
      <rPr>
        <sz val="10"/>
        <rFont val="Noto Sans CJK SC"/>
        <family val="2"/>
      </rPr>
      <t xml:space="preserve">；額度 </t>
    </r>
    <r>
      <rPr>
        <sz val="10"/>
        <rFont val="Arial"/>
        <family val="0"/>
        <charset val="1"/>
      </rPr>
      <t xml:space="preserve">3.1239155→3.1232083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0.0007072</t>
    </r>
    <r>
      <rPr>
        <sz val="10"/>
        <rFont val="Noto Sans CJK SC"/>
        <family val="2"/>
      </rPr>
      <t xml:space="preserve">；補驗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$0.0005207</t>
    </r>
    <r>
      <rPr>
        <sz val="10"/>
        <rFont val="Noto Sans CJK SC"/>
        <family val="2"/>
      </rPr>
      <t xml:space="preserve">；測後 </t>
    </r>
    <r>
      <rPr>
        <sz val="10"/>
        <rFont val="Arial"/>
        <family val="0"/>
        <charset val="1"/>
      </rPr>
      <t xml:space="preserve">purge 2618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）、標的回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檔。變異 </t>
    </r>
    <r>
      <rPr>
        <sz val="10"/>
        <rFont val="Arial"/>
        <family val="0"/>
        <charset val="1"/>
      </rPr>
      <t xml:space="preserve">V2 → 1 failed</t>
    </r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</si>
  <si>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G-04</t>
    </r>
  </si>
  <si>
    <t xml:space="preserve"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</si>
  <si>
    <t xml:space="preserve"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</si>
  <si>
    <t xml:space="preserve"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</si>
  <si>
    <t xml:space="preserve"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</si>
  <si>
    <t xml:space="preserve"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</si>
  <si>
    <t xml:space="preserve"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</si>
  <si>
    <t xml:space="preserve"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</si>
  <si>
    <r>
      <rPr>
        <sz val="10"/>
        <rFont val="Arial"/>
        <family val="0"/>
        <charset val="1"/>
      </rPr>
      <t xml:space="preserve">G-01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#254 ok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#264 0.0015489</t>
    </r>
    <r>
      <rPr>
        <sz val="10"/>
        <rFont val="Noto Sans CJK SC"/>
        <family val="2"/>
      </rPr>
      <t xml:space="preserve">、⑤ 簡稱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處皆只指向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G-04 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張，一致 </t>
    </r>
    <r>
      <rPr>
        <sz val="10"/>
        <rFont val="Arial"/>
        <family val="0"/>
        <charset val="1"/>
      </rPr>
      <t xml:space="preserve">87</t>
    </r>
    <r>
      <rPr>
        <sz val="10"/>
        <rFont val="Noto Sans CJK SC"/>
        <family val="2"/>
      </rPr>
      <t xml:space="preserve">、簡稱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）；本機 </t>
    </r>
    <r>
      <rPr>
        <sz val="10"/>
        <rFont val="Arial"/>
        <family val="0"/>
        <charset val="1"/>
      </rPr>
      <t xml:space="preserve">(d) 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張因名稱與代號不符未存」、用量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對照存下卡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V3 → 4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 → 2 failed</t>
    </r>
  </si>
  <si>
    <t xml:space="preserve">同意驗證者：程式缺陷（中）。</t>
  </si>
  <si>
    <t xml:space="preserve">既有測試（test_x1_m5_07、test_def008、test_cash_movement_guard_contract）每個情境都只有一段負值，沒有「更早已有一段更深的負值」；只有一段負值時，比最低點與逐日比較的結果相同，所以測不出來。</t>
  </si>
  <si>
    <t xml:space="preserve"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</si>
  <si>
    <t xml:space="preserve"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</si>
  <si>
    <t xml:space="preserve"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</si>
  <si>
    <t xml:space="preserve"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</si>
  <si>
    <t xml:space="preserve"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</si>
  <si>
    <r>
      <rPr>
        <sz val="10"/>
        <rFont val="Arial"/>
        <family val="0"/>
        <charset val="1"/>
      </rPr>
      <t xml:space="preserve">A-06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為檢查程式漏抓對話框，修正後重跑）；三題測後分段逐字相同。變異 </t>
    </r>
    <r>
      <rPr>
        <sz val="10"/>
        <rFont val="Arial"/>
        <family val="0"/>
        <charset val="1"/>
      </rPr>
      <t xml:space="preserve">V5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V7 →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 → 1</t>
    </r>
  </si>
  <si>
    <t xml:space="preserve"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</si>
  <si>
    <t xml:space="preserve">Owner 2026-10-01 裁定 2B：兩個日子都寫——第一個轉負日（最晚要在哪天前補錢）與最低點（至少要補多少）。</t>
  </si>
  <si>
    <t xml:space="preserve">非漏測：M5-07 依當時設計只點名最低點日；R12 以前 A-06 的轉負日剛好等於最低點日。</t>
  </si>
  <si>
    <r>
      <rPr>
        <sz val="10"/>
        <rFont val="Arial"/>
        <family val="0"/>
        <charset val="1"/>
      </rPr>
      <t xml:space="preserve">cash_dip_sentence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dip_phrase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first</t>
    </r>
    <r>
      <rPr>
        <sz val="10"/>
        <rFont val="Noto Sans CJK SC"/>
        <family val="2"/>
      </rPr>
      <t xml:space="preserve">：第一個短缺日與最低點日不同時寫「自 </t>
    </r>
    <r>
      <rPr>
        <sz val="10"/>
        <rFont val="Arial"/>
        <family val="0"/>
        <charset val="1"/>
      </rPr>
      <t xml:space="preserve">D1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D2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」，同日維持「於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」。出金、換匯、編輯／刪除門、批次復原全部帶入（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的逐日比較本來就得出第一個短缺日）。手冊 </t>
    </r>
    <r>
      <rPr>
        <sz val="10"/>
        <rFont val="Arial"/>
        <family val="0"/>
        <charset val="1"/>
      </rPr>
      <t xml:space="preserve">A-06 </t>
    </r>
    <r>
      <rPr>
        <sz val="10"/>
        <rFont val="Noto Sans CJK SC"/>
        <family val="2"/>
      </rPr>
      <t xml:space="preserve">依裁定改寫。</t>
    </r>
  </si>
  <si>
    <t xml:space="preserve"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</si>
  <si>
    <t xml:space="preserve">新增訊息逐字斷言（test_def090 的出金 2 則、換匯 1 則）；變異 M5（改回只寫最低點日）→ 5 failed（含重錄的 2 則）。</t>
  </si>
  <si>
    <t xml:space="preserve"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</si>
  <si>
    <t xml:space="preserve"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</si>
  <si>
    <r>
      <rPr>
        <sz val="10"/>
        <rFont val="Arial"/>
        <family val="0"/>
        <charset val="1"/>
      </rPr>
      <t xml:space="preserve">A-06 ③ </t>
    </r>
    <r>
      <rPr>
        <sz val="10"/>
        <rFont val="Noto Sans CJK SC"/>
        <family val="2"/>
      </rPr>
      <t xml:space="preserve">句子逐字相同；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653,820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753,820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I-08X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A-05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「於 </t>
    </r>
    <r>
      <rPr>
        <sz val="10"/>
        <rFont val="Arial"/>
        <family val="0"/>
        <charset val="1"/>
      </rPr>
      <t xml:space="preserve">2026-10-02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（出金當日）」。變異 </t>
    </r>
    <r>
      <rPr>
        <sz val="10"/>
        <rFont val="Arial"/>
        <family val="0"/>
        <charset val="1"/>
      </rPr>
      <t xml:space="preserve">V9 → 5 failed</t>
    </r>
  </si>
  <si>
    <t xml:space="preserve">—（R14 驗證者觀察，未開單）Owner 2026-10-02 裁定 A：三個可確認的門與匯入批次復原用同一套規則。</t>
  </si>
  <si>
    <t xml:space="preserve">非漏測：這是 audit C3 時刻意的設計（可確認的更正門回報變更後池中任何負值），既有測試照此釘住（錄製序列 edit_rebate_*、M5-07 的負現金訊息、DEF-009 折讓款 e2e 都預期會被問）。R13 的 DEF-090 讓批次復原改成只問這次造成的負值後，兩邊才出現不一致，驗證者於 R14 指出。</t>
  </si>
  <si>
    <r>
      <rPr>
        <sz val="10"/>
        <rFont val="Arial"/>
        <family val="0"/>
        <charset val="1"/>
      </rPr>
      <t xml:space="preserve">_pool_dip </t>
    </r>
    <r>
      <rPr>
        <sz val="10"/>
        <rFont val="Noto Sans CJK SC"/>
        <family val="2"/>
      </rPr>
      <t xml:space="preserve">改為比對「目前帳本」與「變更後帳本」兩條逐日餘額，用 </t>
    </r>
    <r>
      <rPr>
        <sz val="10"/>
        <rFont val="Arial"/>
        <family val="0"/>
        <charset val="1"/>
      </rPr>
      <t xml:space="preserve">shared/cash_dip.py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caused_dip</t>
    </r>
    <r>
      <rPr>
        <sz val="10"/>
        <rFont val="Noto Sans CJK SC"/>
        <family val="2"/>
      </rPr>
      <t xml:space="preserve">（與批次復原同一個函式）：這次讓某一天新轉負、或跌破原本最低點才回傳；不再使用的 </t>
    </r>
    <r>
      <rPr>
        <sz val="10"/>
        <rFont val="Arial"/>
        <family val="0"/>
        <charset val="1"/>
      </rPr>
      <t xml:space="preserve">first_dip </t>
    </r>
    <r>
      <rPr>
        <sz val="10"/>
        <rFont val="Noto Sans CJK SC"/>
        <family val="2"/>
      </rPr>
      <t xml:space="preserve">一併移除。句子「此筆會使…」因此只描述這筆造成的負值。手冊 </t>
    </r>
    <r>
      <rPr>
        <sz val="10"/>
        <rFont val="Arial"/>
        <family val="0"/>
        <charset val="1"/>
      </rPr>
      <t xml:space="preserve">A-11 </t>
    </r>
    <r>
      <rPr>
        <sz val="10"/>
        <rFont val="Noto Sans CJK SC"/>
        <family val="2"/>
      </rPr>
      <t xml:space="preserve">依裁定新增 ③。</t>
    </r>
  </si>
  <si>
    <t xml:space="preserve">可確認的負現金門共 4 個：資金紀錄編輯、資金紀錄刪除、換匯刪除（三者共用 _pool_dip）→ 修 3；匯入批次復原（replay_guard._pool_refusal，R14 起已是 caused_dip）→ 已一致，不動。硬擋（出金、換匯寫入）用 new_dip，維持。</t>
  </si>
  <si>
    <t xml:space="preserve">新增 tests/contract/test_def092_row_doors_ask_only_what_they_cause.py（3 則：刪一筆出金不問、造成新負段的修改照問且點名該段、刪一筆換匯不問）。依裁定重錄：test_cash_movement_guard_contract 的 7 則（3 筆折讓款修改現在直接寫入；仍會問的 2 則改點名這次造成的負段；最終帳本的折讓款 200）、M5-07 的負現金訊息 1 則；DEF-009 折讓款 e2e 不再預期確認框。變異 M9（改回回報任何負值）→ 10 則失敗。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</si>
  <si>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</si>
  <si>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6,862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6,860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組（改回回報任何負值）→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則測試失敗・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先備份（</t>
    </r>
    <r>
      <rPr>
        <sz val="10"/>
        <rFont val="Arial"/>
        <family val="0"/>
        <charset val="1"/>
      </rPr>
      <t xml:space="preserve">portfolio-pre-d8efc07-20261002T125012Z.db</t>
    </r>
    <r>
      <rPr>
        <sz val="10"/>
        <rFont val="Noto Sans CJK SC"/>
        <family val="2"/>
      </rPr>
      <t xml:space="preserve">）再部署 </t>
    </r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</t>
    </r>
  </si>
  <si>
    <t xml:space="preserve">demo 真實瀏覽器（頁首 v0.1.28 · d8efc07）：A-11C 重放 R14 原情境（資金管理 › 出金入金 的刪除與編輯）並加驗跌破原本最低點、交易帳本 › 換匯 › 刪除兩向，期望句皆先由資金對帳單的日終餘額逐日推算；重跑 A-11、A-11X、A-13、A-13X、A-16、I-07、I-08、I-08X、J 組；本機（把 demo 嘉信 TWD 池逐列複製到資料庫副本、對帳單逐日相同後）以 API 在 d8efc07 與修正前 c9a44ac 各跑同一組情境；乾淨 worktree 自做變異 7 組；grep 全部 negative_cash 產生處</t>
  </si>
  <si>
    <t xml:space="preserve">觀察：嘉信 Schwab TWD 池 2026-01-12 起已有 −220,000（與以下各筆無關）。刪除 2026-07-19 出金 100,000 → 只跳一般的「刪除資金紀錄」確認，DELETE 200，沒有「現金將變為負數」（R14 為 422「於 2026-01-12 降至 −220,000」）；入金 300,000 改 250,000 → PUT 200 直接寫入；改 100,000 → PUT 422，畫面「此筆會使 嘉信 Schwab 的 TWD 現金自 2026-07-19 起為負，最低於 2026-07-20 降至 −105,000 — …」，不提 2026-01-12
假設：①只是把詢問拿掉（過鬆）——造成新負值或跌破原本最低點的修改也不再詢問；②只修了資金紀錄的刪除，編輯門與換匯刪除門仍回報池中任何負值
排除：造成新負段的修改仍詢問並只點名該段（改 100,000 → −105,000；刪入金 → −205,000）；跌破原本最低點仍詢問（補 2026-01-05 入金 50,000 使最低點變 −170,000，刪它 →「於 2026-01-12 降至 −220,000」，按「我了解，仍要寫入」→ ?ack_negative=true 200）；換匯刪除門兩向皆驗（刪 07-22 換匯 → 200 不詢問；刪會擱淺 07-19 出金的換匯 → 422「…−205,000」）；換一種方式：本機同一組情境以 API 在修正前 c9a44ac 重現原缺陷 10 處（皆寫「於 2026-01-12 降至 −220,000」），d8efc07 17／17 與逐日推算相同；變異 7 組皆被攔
定位：portfolio_dash/api/routers/cash.py:126-156 _pool_dip → shared/cash_dip.py:96 caused_dip（與 replay_guard.py:342 批次復原同一函式）
判定：依 Owner 2026-10-02 裁定 A 複驗通過 → 結案</t>
  </si>
  <si>
    <r>
      <rPr>
        <sz val="10"/>
        <rFont val="Arial"/>
        <family val="0"/>
        <charset val="1"/>
      </rPr>
      <t xml:space="preserve">A-11C 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#143 </t>
    </r>
    <r>
      <rPr>
        <sz val="10"/>
        <rFont val="Noto Sans CJK SC"/>
        <family val="2"/>
      </rPr>
      <t xml:space="preserve">出金刪除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#144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422 −105,000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422 −205,000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#146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422 → </t>
    </r>
    <r>
      <rPr>
        <sz val="10"/>
        <rFont val="Noto Sans CJK SC"/>
        <family val="2"/>
      </rPr>
      <t xml:space="preserve">確認後 </t>
    </r>
    <r>
      <rPr>
        <sz val="10"/>
        <rFont val="Arial"/>
        <family val="0"/>
        <charset val="1"/>
      </rPr>
      <t xml:space="preserve">?ack_negative=true 200</t>
    </r>
    <r>
      <rPr>
        <sz val="10"/>
        <rFont val="Noto Sans CJK SC"/>
        <family val="2"/>
      </rPr>
      <t xml:space="preserve">；換匯 </t>
    </r>
    <r>
      <rPr>
        <sz val="10"/>
        <rFont val="Arial"/>
        <family val="0"/>
        <charset val="1"/>
      </rPr>
      <t xml:space="preserve">#30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#31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422 −205,000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A-11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A-16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I-07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（不帶確認刪除擱淺批次的出金 </t>
    </r>
    <r>
      <rPr>
        <sz val="10"/>
        <rFont val="Arial"/>
        <family val="0"/>
        <charset val="1"/>
      </rPr>
      <t xml:space="preserve">#154 → 200</t>
    </r>
    <r>
      <rPr>
        <sz val="10"/>
        <rFont val="Noto Sans CJK SC"/>
        <family val="2"/>
      </rPr>
      <t xml:space="preserve">）；各題測後分段逐字相同。本機 </t>
    </r>
    <r>
      <rPr>
        <sz val="10"/>
        <rFont val="Arial"/>
        <family val="0"/>
        <charset val="1"/>
      </rPr>
      <t xml:space="preserve">d8efc07 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處不符（重現原缺陷）。變異 </t>
    </r>
    <r>
      <rPr>
        <sz val="10"/>
        <rFont val="Arial"/>
        <family val="0"/>
        <charset val="1"/>
      </rPr>
      <t xml:space="preserve">M1 → 10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M2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M3 →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M4 →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M5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 →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 → 6</t>
    </r>
    <r>
      <rPr>
        <sz val="10"/>
        <rFont val="Noto Sans CJK SC"/>
        <family val="2"/>
      </rPr>
      <t xml:space="preserve">（未變異 </t>
    </r>
    <r>
      <rPr>
        <sz val="10"/>
        <rFont val="Arial"/>
        <family val="0"/>
        <charset val="1"/>
      </rPr>
      <t xml:space="preserve">92 passed</t>
    </r>
    <r>
      <rPr>
        <sz val="10"/>
        <rFont val="Noto Sans CJK SC"/>
        <family val="2"/>
      </rPr>
      <t xml:space="preserve">）</t>
    </r>
  </si>
  <si>
    <t xml:space="preserve">無。觀察（不開單，交 Owner）：換匯的編輯門（交易帳本 › 換匯 › 編輯，PUT /api/ledgers/fx/{id}）只檢查換出池（fx_change_guard 硬擋），不檢查換入池——把 2026-07-18 換匯 USD 10,000 → TWD 319,000 的換入金額改成 1,000，PUT 200、無任何詢問，嘉信 TWD 07-19／07-20 變成 −199,000／−204,000；同一筆用刪除門則會詢問（422 …−205,000）。c9a44ac 同樣如此（本機對照），非本輪回歸、不在 DEF-092 範圍；見交接紀錄第 39 列附註①</t>
  </si>
  <si>
    <t xml:space="preserve">檢驗方 2026-10-03</t>
  </si>
  <si>
    <t xml:space="preserve">2026-10-03</t>
  </si>
  <si>
    <t xml:space="preserve">—（R15 驗證者觀察，未開單）Owner 2026-10-03 裁定 A：比照刪除改成要求確認，換出池維持硬擋。</t>
  </si>
  <si>
    <t xml:space="preserve">QA-10（2026-08-29）把編輯門接上新增門的硬擋時，只搬了換出池那一條（新增換匯只會讓換入池變多，所以新增門本來就不需要查換入池）；編輯卻可能讓換入池變少，這一條沒有人問。刪除門 fx_delete_guard 的說明寫著「只看一條腿的守門會漏掉另一條」，同一頁的編輯門卻只看一條腿。既有測試只測編輯的換出透支。</t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</si>
  <si>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cash.fx_edit_negative_guard</t>
    </r>
    <r>
      <rPr>
        <sz val="10"/>
        <rFont val="Noto Sans CJK SC"/>
        <family val="2"/>
      </rPr>
      <t xml:space="preserve">：編輯後的帳本與目前帳本逐日比對，對受影響的每個池（舊、新帳戶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換出、換入兩邊）用刪除門相同的 </t>
    </r>
    <r>
      <rPr>
        <sz val="10"/>
        <rFont val="Arial"/>
        <family val="0"/>
        <charset val="1"/>
      </rPr>
      <t xml:space="preserve">_pool_dip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caused_dip</t>
    </r>
    <r>
      <rPr>
        <sz val="10"/>
        <rFont val="Noto Sans CJK SC"/>
        <family val="2"/>
      </rPr>
      <t xml:space="preserve">）；有新負值就回 </t>
    </r>
    <r>
      <rPr>
        <sz val="10"/>
        <rFont val="Arial"/>
        <family val="0"/>
        <charset val="1"/>
      </rPr>
      <t xml:space="preserve">422 negative_cash</t>
    </r>
    <r>
      <rPr>
        <sz val="10"/>
        <rFont val="Noto Sans CJK SC"/>
        <family val="2"/>
      </rPr>
      <t xml:space="preserve">，可確認。</t>
    </r>
    <r>
      <rPr>
        <sz val="10"/>
        <rFont val="Arial"/>
        <family val="0"/>
        <charset val="1"/>
      </rPr>
      <t xml:space="preserve">FxEditBody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ack_negative——</t>
    </r>
    <r>
      <rPr>
        <sz val="10"/>
        <rFont val="Noto Sans CJK SC"/>
        <family val="2"/>
      </rPr>
      <t xml:space="preserve">前端 </t>
    </r>
    <r>
      <rPr>
        <sz val="10"/>
        <rFont val="Arial"/>
        <family val="0"/>
        <charset val="1"/>
      </rPr>
      <t xml:space="preserve">web/ledger.js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putWithAckGuard </t>
    </r>
    <r>
      <rPr>
        <sz val="10"/>
        <rFont val="Noto Sans CJK SC"/>
        <family val="2"/>
      </rPr>
      <t xml:space="preserve">本來就會把確認放進 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重送，只更新說明註解。換出池的硬擋（</t>
    </r>
    <r>
      <rPr>
        <sz val="10"/>
        <rFont val="Arial"/>
        <family val="0"/>
        <charset val="1"/>
      </rPr>
      <t xml:space="preserve">fx_change_guard</t>
    </r>
    <r>
      <rPr>
        <sz val="10"/>
        <rFont val="Noto Sans CJK SC"/>
        <family val="2"/>
      </rPr>
      <t xml:space="preserve">）先跑、不變，確認也過不了。手冊 </t>
    </r>
    <r>
      <rPr>
        <sz val="10"/>
        <rFont val="Arial"/>
        <family val="0"/>
        <charset val="1"/>
      </rPr>
      <t xml:space="preserve">A-13 </t>
    </r>
    <r>
      <rPr>
        <sz val="10"/>
        <rFont val="Noto Sans CJK SC"/>
        <family val="2"/>
      </rPr>
      <t xml:space="preserve">依裁定新增 ⑤。</t>
    </r>
  </si>
  <si>
    <t xml:space="preserve">會讓資金池變少的更正門共 8 個：資金紀錄編輯、資金紀錄刪除、換匯刪除、匯入批次復原、公司行動費用編輯（走出金硬擋）、公司行動刪除（帶走費用，可確認）、換匯編輯的換出池（硬擋）→ 皆已有檢查；換匯編輯的換入池 → 修 1。交易與股利的編輯依既有設計不做現金檢查（與新增門一致），不屬本類。</t>
  </si>
  <si>
    <t xml:space="preserve">新增 tests/contract/test_def093_fx_edit_asks_for_the_to_pool.py（3 則：換入改小使之後轉負 → 422 並點名該日、確認後寫入；不造成負值的編輯直接寫入；換出透支仍是硬擋、確認也過不了）與 e2e test_fx_edit_that_shrinks_the_to_pool_asks_and_the_ack_writes（真實瀏覽器：編輯 → 現金將變為負數 → 確認 → 寫入）。變異 M10（拿掉新檢查）→ 2 則失敗（契約與 e2e 各 1）。</t>
  </si>
  <si>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</si>
  <si>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6,865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6,863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組（拿掉新檢查）→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則測試失敗・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先備份（</t>
    </r>
    <r>
      <rPr>
        <sz val="10"/>
        <rFont val="Arial"/>
        <family val="0"/>
        <charset val="1"/>
      </rPr>
      <t xml:space="preserve">portfolio-pre-d9f1c68-20261002T193320Z.db</t>
    </r>
    <r>
      <rPr>
        <sz val="10"/>
        <rFont val="Noto Sans CJK SC"/>
        <family val="2"/>
      </rPr>
      <t xml:space="preserve">）再部署 </t>
    </r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</t>
    </r>
  </si>
  <si>
    <t xml:space="preserve">demo 真實瀏覽器（頁首 v0.1.28 · d9f1c68）：A-13D 重放 R15 原情境（交易帳本 › 換匯 › 編輯 換入金額、換出金額），並加驗取消、確認、加深已負的日子、改回、改到另一帳戶；期望句皆先由資金對帳單的日終餘額逐日推算；重跑 A-13、A-13X、A-11、A-11C、A-11X、A-14、A-15、J 組；本機（demo 嘉信 TWD 池逐列複製到資料庫副本、對帳單逐日相同後）以 API 在 d9f1c68 與修正前 d8efc07 各跑同一組情境；乾淨 worktree 自做變異 6 組，存活的 3 組另以本機情境重跑</t>
  </si>
  <si>
    <t xml:space="preserve">觀察：R15 情境（嘉信 07-18 換匯 USD 10,000 → TWD 319,000、07-19 出金 400,000）把換入金額改成 1,000 → PUT 422 negative_cash，畫面「現金將變為負數｜此筆會使 嘉信 Schwab 的 TWD 現金自 2026-07-19 起為負，最低於 2026-07-20 降至 −204,000 — …」，不提池中 2026-01-12 的 −220,000；取消未寫入，「我了解，仍要寫入」→ PUT（body 帶 ack_negative: true）200；換出金額改成 500,000 → 422 fx_insufficient_balance「…於 2026-07-18 降至 −111,835.09（換匯當日）— 換匯不可透支（不提供融資）」，沒有確認選項
假設：①只擋了「換入金額改小」這一種，日期延後、改帳戶或幣別仍能把錢從換入池拿走而不詢問；②新檢查範圍過寬——池中與這筆無關的舊負值、或只是加深已負的日子也會被詢問，或連換出池的硬擋都變成可確認
排除：日期改到 07-25 → 422「自 2026-07-19 起為負，最低於 2026-07-20 降至 −205,000」；改到 Moomoo MY（USD → MYR）→ 422 點名原帳戶 嘉信 TWD 同句；換入改 250,000（07-19 仍 50,000）→ 200 直接寫入；已確認寫入 1,000 後再改 500（仍高於原本最低點 −220,000）→ 200 不詢問；換出透支帶 ack_negative 仍 422；換一種方式：本機同一組情境以 API 在修正前 d8efc07 重現原缺陷 3 處（換入改小、日期延後、改帳戶皆 200 不詢問），d9f1c68 12／12 與逐日推算相同
定位：portfolio_dash/api/routers/cash.py:366-392 fx_edit_negative_guard（四個池 × _pool_dip → shared/cash_dip.py:96 caused_dip），ledgers.py:868-876 在 fx_change_guard 之後呼叫；FxEditBody 新增 ack_negative
判定：依 Owner 2026-10-03 裁定 A 複驗通過 → 結案</t>
  </si>
  <si>
    <r>
      <rPr>
        <sz val="10"/>
        <rFont val="Arial"/>
        <family val="0"/>
        <charset val="1"/>
      </rPr>
      <t xml:space="preserve">A-13D 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（換匯 </t>
    </r>
    <r>
      <rPr>
        <sz val="10"/>
        <rFont val="Arial"/>
        <family val="0"/>
        <charset val="1"/>
      </rPr>
      <t xml:space="preserve">#37</t>
    </r>
    <r>
      <rPr>
        <sz val="10"/>
        <rFont val="Noto Sans CJK SC"/>
        <family val="2"/>
      </rPr>
      <t xml:space="preserve">、出金 </t>
    </r>
    <r>
      <rPr>
        <sz val="10"/>
        <rFont val="Arial"/>
        <family val="0"/>
        <charset val="1"/>
      </rPr>
      <t xml:space="preserve">#165</t>
    </r>
    <r>
      <rPr>
        <sz val="10"/>
        <rFont val="Noto Sans CJK SC"/>
        <family val="2"/>
      </rPr>
      <t xml:space="preserve">；① </t>
    </r>
    <r>
      <rPr>
        <sz val="10"/>
        <rFont val="Arial"/>
        <family val="0"/>
        <charset val="1"/>
      </rPr>
      <t xml:space="preserve">422 −204,000 → </t>
    </r>
    <r>
      <rPr>
        <sz val="10"/>
        <rFont val="Noto Sans CJK SC"/>
        <family val="2"/>
      </rPr>
      <t xml:space="preserve">取消；② 確認 →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07-19 −199,000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07-20 −204,000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1,000 → 500 200 </t>
    </r>
    <r>
      <rPr>
        <sz val="10"/>
        <rFont val="Noto Sans CJK SC"/>
        <family val="2"/>
      </rPr>
      <t xml:space="preserve">不詢問；④ 改回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；⑥ 改到 </t>
    </r>
    <r>
      <rPr>
        <sz val="10"/>
        <rFont val="Arial"/>
        <family val="0"/>
        <charset val="1"/>
      </rPr>
      <t xml:space="preserve">Moomoo MY 422 −205,000</t>
    </r>
    <r>
      <rPr>
        <sz val="10"/>
        <rFont val="Noto Sans CJK SC"/>
        <family val="2"/>
      </rPr>
      <t xml:space="preserve">；⑤ 換出 </t>
    </r>
    <r>
      <rPr>
        <sz val="10"/>
        <rFont val="Arial"/>
        <family val="0"/>
        <charset val="1"/>
      </rPr>
      <t xml:space="preserve">500,000 → 422 fx_insufficient_balance −111,835.09</t>
    </r>
    <r>
      <rPr>
        <sz val="10"/>
        <rFont val="Noto Sans CJK SC"/>
        <family val="2"/>
      </rPr>
      <t xml:space="preserve">，帶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A-13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A-11C 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R15 </t>
    </r>
    <r>
      <rPr>
        <sz val="10"/>
        <rFont val="Noto Sans CJK SC"/>
        <family val="2"/>
      </rPr>
      <t xml:space="preserve">的觀察現為 </t>
    </r>
    <r>
      <rPr>
        <sz val="10"/>
        <rFont val="Arial"/>
        <family val="0"/>
        <charset val="1"/>
      </rPr>
      <t xml:space="preserve">422 −204,000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A-14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A-15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；各題測後分段逐字相同。本機 </t>
    </r>
    <r>
      <rPr>
        <sz val="10"/>
        <rFont val="Arial"/>
        <family val="0"/>
        <charset val="1"/>
      </rPr>
      <t xml:space="preserve">d9f1c68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處不符（重現原缺陷）。變異（基準 </t>
    </r>
    <r>
      <rPr>
        <sz val="10"/>
        <rFont val="Arial"/>
        <family val="0"/>
        <charset val="1"/>
      </rPr>
      <t xml:space="preserve">43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N1 </t>
    </r>
    <r>
      <rPr>
        <sz val="10"/>
        <rFont val="Noto Sans CJK SC"/>
        <family val="2"/>
      </rPr>
      <t xml:space="preserve">拿掉新檢查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N2 </t>
    </r>
    <r>
      <rPr>
        <sz val="10"/>
        <rFont val="Noto Sans CJK SC"/>
        <family val="2"/>
      </rPr>
      <t xml:space="preserve">只查換出池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 </t>
    </r>
    <r>
      <rPr>
        <sz val="10"/>
        <rFont val="Noto Sans CJK SC"/>
        <family val="2"/>
      </rPr>
      <t xml:space="preserve">確認不傳入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N3 </t>
    </r>
    <r>
      <rPr>
        <sz val="10"/>
        <rFont val="Noto Sans CJK SC"/>
        <family val="2"/>
      </rPr>
      <t xml:space="preserve">只查新帳戶的池、</t>
    </r>
    <r>
      <rPr>
        <sz val="10"/>
        <rFont val="Arial"/>
        <family val="0"/>
        <charset val="1"/>
      </rPr>
      <t xml:space="preserve">N5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new_dip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 </t>
    </r>
    <r>
      <rPr>
        <sz val="10"/>
        <rFont val="Noto Sans CJK SC"/>
        <family val="2"/>
      </rPr>
      <t xml:space="preserve">回報任何負值 → 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，但驗證者本機情境分別抓到（</t>
    </r>
    <r>
      <rPr>
        <sz val="10"/>
        <rFont val="Arial"/>
        <family val="0"/>
        <charset val="1"/>
      </rPr>
      <t xml:space="preserve">N3</t>
    </r>
    <r>
      <rPr>
        <sz val="10"/>
        <rFont val="Noto Sans CJK SC"/>
        <family val="2"/>
      </rPr>
      <t xml:space="preserve">：改帳戶；</t>
    </r>
    <r>
      <rPr>
        <sz val="10"/>
        <rFont val="Arial"/>
        <family val="0"/>
        <charset val="1"/>
      </rPr>
      <t xml:space="preserve">N5</t>
    </r>
    <r>
      <rPr>
        <sz val="10"/>
        <rFont val="Noto Sans CJK SC"/>
        <family val="2"/>
      </rPr>
      <t xml:space="preserve">：加深；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處）</t>
    </r>
  </si>
  <si>
    <t xml:space="preserve">無（不影響結案）。建議：開發者的 3 則契約測試與 1 則 e2e 只釘住「換入改小 → 詢問」「不造成負值 → 不詢問」「換出透支 → 硬擋」，以下三種行為驗證者已黑箱確認正確，但目前沒有測試會在改壞時失敗：①改到另一帳戶或幣別時檢查原帳戶的換入池（只查新帳戶 → 0 failed）；②池中有無關的舊負值時不詢問（改回回報任何負值 → 0 failed）；③只加深已負的日子、未跌破原本最低點時不詢問（改用 new_dip → 0 failed）。建議補契約測試釘住</t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</si>
  <si>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</si>
  <si>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</si>
  <si>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</si>
  <si>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</si>
  <si>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</si>
  <si>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</si>
  <si>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</si>
  <si>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</si>
  <si>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</si>
  <si>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</si>
  <si>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</si>
  <si>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</si>
  <si>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</si>
  <si>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</si>
  <si>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</si>
  <si>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</si>
  <si>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</si>
  <si>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</si>
  <si>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</si>
  <si>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</si>
  <si>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</si>
  <si>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</si>
  <si>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</si>
  <si>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</si>
  <si>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</si>
  <si>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</si>
  <si>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</si>
  <si>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</si>
  <si>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</si>
  <si>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</si>
  <si>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</si>
  <si>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</si>
  <si>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</si>
  <si>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</si>
  <si>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</si>
  <si>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</si>
  <si>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</si>
  <si>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</si>
  <si>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</si>
  <si>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</si>
  <si>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</si>
  <si>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</si>
  <si>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</si>
  <si>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</si>
  <si>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</si>
  <si>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</si>
  <si>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</si>
  <si>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</si>
  <si>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</si>
  <si>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</si>
  <si>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</si>
  <si>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</si>
  <si>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</si>
  <si>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</si>
  <si>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</si>
  <si>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</si>
  <si>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</si>
  <si>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</si>
  <si>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</si>
  <si>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</si>
  <si>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</si>
  <si>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</si>
  <si>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</si>
  <si>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</si>
  <si>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</si>
  <si>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</si>
  <si>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</si>
  <si>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</si>
  <si>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</si>
  <si>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</si>
  <si>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</si>
  <si>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</si>
  <si>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</si>
  <si>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</si>
  <si>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</si>
  <si>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</si>
  <si>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</si>
  <si>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</si>
  <si>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</si>
  <si>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</si>
  <si>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</si>
  <si>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</si>
  <si>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</si>
  <si>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</si>
  <si>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</si>
  <si>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</si>
  <si>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</si>
  <si>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</si>
  <si>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</si>
  <si>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</si>
  <si>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</si>
  <si>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</si>
  <si>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</si>
  <si>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</si>
  <si>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</si>
  <si>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</si>
  <si>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</si>
  <si>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</si>
  <si>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</si>
  <si>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</si>
  <si>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</si>
  <si>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</si>
  <si>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</si>
  <si>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</si>
  <si>
    <t xml:space="preserve">Owner：在「結案簽核」第 26 列依 d2e5e08 重新簽署（現為 3a35454 時的簽署），並填第 29 列結案日期即結案。</t>
  </si>
  <si>
    <t xml:space="preserve"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</si>
  <si>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在對話中就本手冊所有未完成事項逐題裁定（開發者轉記，共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題）。結案：①依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現在簽署結案；②結案日期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；③由驗證者代填結案簽核第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列結案日期，並改寫第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列結論（比照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前例）。結案後的改進不再走本手冊，改以一般開發流程處理（測試、閘門、部署驗證照做）：修——④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用量匯出成本低於 </t>
    </r>
    <r>
      <rPr>
        <sz val="10"/>
        <rFont val="Arial"/>
        <family val="0"/>
        <charset val="1"/>
      </rPr>
      <t xml:space="preserve">$0.000001 </t>
    </r>
    <r>
      <rPr>
        <sz val="10"/>
        <rFont val="Noto Sans CJK SC"/>
        <family val="2"/>
      </rPr>
      <t xml:space="preserve">時的科學記號、⑤預警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小時去抖未在明細說明、⑦補測試釘住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四組邊界、⑩帳本異動紀錄（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）加唯讀清單與匯出、⑪洞察任務收到清單格式的標的範圍改為拒收（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）、⑫基本面／共識排程分開回報失敗與無資料、⑬公司行動整組刪除訊息改用帳戶顯示名稱（美股小數股的折現提示維持）、⑭提示詞預覽的代入標的改讀持倉與觀察清單＋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抽取評測補比對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、⑮小數股／零股的現金結算依幣別最小單位量化（量化方式由開發者依券商實務決定）、⑯中文名稱跳過報價查詢；⑥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儀表板閒置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秒做唯讀診斷、不改程式；⑧代號與名稱相符檢核先寫規格給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；⑨帳戶記錄所屬券商、⑰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轉換腳本期初工作表維持現狀。</t>
    </r>
  </si>
  <si>
    <t xml:space="preserve"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</si>
  <si>
    <t xml:space="preserve">結案後開發者會在同一分支提交上列改進並部署 demo，demo 頁首版本會往前、不再是 d2e5e08；本手冊的最終受測版本仍為 d2e5e08（結案簽核第 28 列）。第 18 題的補驗與版本無關（新聞彈窗不在這批改動內）。</t>
  </si>
  <si>
    <r>
      <rPr>
        <sz val="10"/>
        <rFont val="Arial"/>
        <family val="0"/>
        <charset val="1"/>
      </rPr>
      <t xml:space="preserve">d2e5e08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）</t>
    </r>
  </si>
  <si>
    <t xml:space="preserve"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</si>
  <si>
    <t xml:space="preserve"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</si>
  <si>
    <t xml:space="preserve"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</si>
  <si>
    <t xml:space="preserve"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</si>
  <si>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：無待辦；本工作簿請提交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（驗證者無權推送）。</t>
    </r>
  </si>
  <si>
    <t xml:space="preserve"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</si>
  <si>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</si>
  <si>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</si>
  <si>
    <t xml:space="preserve"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</si>
  <si>
    <t xml:space="preserve"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</si>
  <si>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</t>
    </r>
  </si>
  <si>
    <t xml:space="preserve"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</si>
  <si>
    <t xml:space="preserve"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</si>
  <si>
    <t xml:space="preserve"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</si>
  <si>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</si>
  <si>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</si>
  <si>
    <t xml:space="preserve"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</si>
  <si>
    <t xml:space="preserve"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</si>
  <si>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</si>
  <si>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</si>
  <si>
    <t xml:space="preserve">開發者：依 c9a44ac 重新簽署第 25 列，並把本工作簿提交 git（驗證者無權推送）。Owner：依 c9a44ac 重新簽署第 26 列、更新第 29 列結案日期，並決定是否上 prod</t>
  </si>
  <si>
    <t xml:space="preserve"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</si>
  <si>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</si>
  <si>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交接紀錄第 37 列附註①的觀察，Owner 2026-10-02 在對話中裁定 A：單筆資金紀錄的編輯／刪除與換匯刪除這三個可確認的門，改用與匯入批次復原相同的規則——只有這次讓某一天新轉負、或跌破原本最低點，才要求確認，句子「此筆會使…」因此只描述這筆造成的負值。開發者依裁定開立 DEF-092（低，規格未定，發現輪次 R14），修正並部署 demo（d8efc07，部署前已備份）。手冊與「測試案例」A-11 依裁定新增 ③。依裁定重錄的既有測試 8 則（錄製序列 7 則、M5-07 1 則）與 1 則 e2e，詳見來回記錄第 196 列。閘門全過，變異 1 組被 10 則測試攔下。輪次彙總新增 R15 列、輪次下拉加入 R15。結案簽核第 25 列（開發者）待 R15 通過後依新版本簽署；第 24 列與第 28 列需改為依 d8efc07。</t>
  </si>
  <si>
    <t xml:space="preserve">驗證者：在 demo（頁首 v0.1.28 · d8efc07）複驗 DEF-092，記為 R15；重跑 A-11（含新增的 ③）、A-13（換匯刪除）、A-16（折讓款復原）、I-08（匯入批次復原）與 J 組。全部 PASS 後依 R15 改寫結案簽核第 24 列、第 28 列改為 v0.1.28 · d8efc07 並交回；第 25 列由開發者、第 26 列與第 29 列由 Owner 處理。</t>
  </si>
  <si>
    <t xml:space="preserve">① 本輪照手冊 §9 第 2 條測完還原。② 複驗情境可直接用驗證者 R14 的例子：嘉信 TWD 池 2026-01-12 的 −220,000 為 demo 既有資料；刪除該池一筆出金應直接成功、不跳「現金將變為負數」；把一筆入金改小到使之後某幾天轉負，仍應跳確認，訊息點名這次造成的第一個轉負日與最低點。③ demo 部署前備份：data-demo/backups/portfolio-pre-d8efc07-20261002T125012Z.db。④ R14 的 120 題結果與 91 張缺陷的結案不受影響；本輪新增的只有 DEF-092 一張。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</si>
  <si>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</t>
    </r>
  </si>
  <si>
    <t xml:space="preserve">R15 完成：DEF-092 依 Owner 2026-10-02 裁定 A 複驗通過結案，四條件逐條查——根因到行；同類由驗證者 grep 全部 negative_cash 產生處（5 個可確認的門皆用 caused_dip、硬擋用 new_dip），並黑箱加驗開發者測試未涵蓋的「跌破原本最低點」與「刪除會擱淺後面出金的換匯」；驗證者自做變異 7 組全攔；黑箱重放 R14 原情境：刪除嘉信 TWD 2026-07-19 出金 100,000 → 只跳一般刪除確認、DELETE 200（R14 為 422「於 2026-01-12 降至 −220,000」）；入金改小到 07-19 起轉負 → 422「自 2026-07-19 起為負，最低於 2026-07-20 降至 −105,000」，不提 2026-01-12；本機同情境在修正前 c9a44ac 重現原缺陷、d8efc07 全符合。重跑 11 題皆 PASS：A-11（含 ③）、A-13、A-16、I-07、I-08、J-01～J-06；另補 A-11C、A-11X、A-13X、I-08X。各題測完還原，還原檢查 R-1～R-10 相符；本輪未呼叫 AI（額度 $3.1211387 不變）。120 題最終判定 PASS 119／N/A 1，92 張缺陷結案 89、非缺陷 3，結案條件 1～5 成立；檢驗方依 d8efc07 重新簽署結案簽核第 24 列，第 28 列最終受測版本改為 v0.1.28 · d8efc07</t>
  </si>
  <si>
    <t xml:space="preserve">Owner：先裁定附註①（換匯編輯門改小換入金額時不詢問）——維持現狀，或比照刪除門改為詢問、或改為硬擋。若維持：依 d8efc07 簽署第 26 列、更新第 29 列結案日期，並決定是否上 prod；若要修：由開發者開單修正，再一輪複驗後第 24 列依新版本重簽。開發者：依 d8efc07 簽署第 25 列，並把本工作簿提交 git（驗證者無權推送）</t>
  </si>
  <si>
    <t xml:space="preserve">附註：①（觀察，不影響本輪判定、未開單）換匯的編輯門（交易帳本 › 換匯 › 編輯，PUT /api/ledgers/fx/{id}）只以 fx_change_guard 檢查換出池（硬擋、不可確認），不檢查換入池；同一筆的刪除門（fx_delete_guard）則換入、換出兩池都查。demo 重現：嘉信 2026-07-18 換匯 USD 10,000 → TWD 319,000＋07-19 出金 400,000，把換入金額改成 1,000 → PUT 200、無任何對話框，嘉信 TWD 07-19／07-20 變成 −199,000／−204,000（已改回並刪除）；同一筆按刪除則 422「自 2026-07-19 起為負，最低於 2026-07-20 降至 −205,000」。c9a44ac 同樣如此（本機對照，同一請求 200），非本輪回歸，也不在 DEF-092 範圍（DEF-092 是會詢問的門問錯範圍；這是編輯門對換入池沒有詢問）；ledger.js 的註解寫明 PUT /api/ledgers/fx/{id} 只會回 fx_insufficient_balance、不會回 negative_cash。②R15 跨過台北午夜：開跑基準記於 2026-10-02 23:42，J-03 首跑橫跨 00:00，寫入前後快照只差 xirr_window_days 269→270、xirr 與 spark_30d 視窗（換日、非寫入造成）→ 00:01 補記換日後基準並重跑 J-03 通過。③I-07／I-08X 首跑在按「復原」後固定等 1 秒找對話框，對話框實際約 0.7～1.5 秒後才出現（先查詢批次是否仍在），檢查程式找不到而中斷；兩批（#53、#54）已由測後清理復原、分段逐字相同；改為等到對話框出現（最多 15 秒）後重跑通過，未改預期結果。④A-11C 正式跑前先試跑一次（29／29，同樣測後還原）。⑤本機情境：驗證者把 demo 嘉信 TWD 池（4 筆入金、10 筆換匯）逐列複製到本機資料庫副本，確認對帳單逐日餘額與 demo 相同後才跑，只寫本機副本。全程未在密碼類欄位輸入、未在正式站操作</t>
  </si>
  <si>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</si>
  <si>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交接紀錄第 39 列附註①的觀察，Owner 2026-10-03 在對話中裁定 A：換匯的編輯門比照刪除——編輯讓受影響的池（換入金額改小、日期延後、換帳戶或幣別）某一天新轉負、或跌破原本最低點時，要求確認（現金將變為負數），確認後可強制寫入；換出池維持硬擋，確認也過不了。開發者依裁定開立 DEF-093（低，規格未定，發現輪次 R15），修正並部署 demo（d9f1c68，部署前已備份）。前端本來就會把確認帶進 body 重送，只更新說明註解。手冊與「測試案例」A-13 依裁定新增 ⑤。新增契約測試 3 則與 e2e 1 則，變異 1 組被 2 則測試攔下；閘門全過（來回記錄第 197 列）。輪次彙總新增 R16 列、輪次下拉加入 R16。同類掃描：會讓資金池變少的更正門共 8 個，只有換匯編輯的換入池沒有檢查，已修。結案簽核第 25 列（開發者）待 R16 通過後依新版本簽署；第 24 列與第 28 列需改為依 d9f1c68。</t>
  </si>
  <si>
    <t xml:space="preserve">驗證者：在 demo（頁首 v0.1.28 · d9f1c68）複驗 DEF-093，記為 R16；重跑 A-13（含新增的 ⑤）、A-11、A-14、A-15 與 J 組。全部 PASS 後依 R16 改寫結案簽核第 24 列、第 28 列改為 v0.1.28 · d9f1c68 並交回；第 25 列由開發者、第 26 列與第 29 列由 Owner 處理。</t>
  </si>
  <si>
    <t xml:space="preserve">① 本輪照手冊 §9 第 2 條測完還原。② 複驗可直接用驗證者 R15 的情境：嘉信 07-18 換匯 USD 10,000 → TWD 319,000、07-19 出金 400,000；把換入金額改成 1,000 應跳「現金將變為負數」並點名這次造成的第一個轉負日與最低點，確認後寫入；把換出金額改到超過當日餘額，應直接擋下（換匯不可透支），確認也過不了。③ demo 部署前備份：data-demo/backups/portfolio-pre-d9f1c68-20261002T193320Z.db。④ R15 以前的 120 題結果與 92 張缺陷的結案不受影響；本輪新增的只有 DEF-093 一張。</t>
  </si>
  <si>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</t>
    </r>
  </si>
  <si>
    <t xml:space="preserve">R16 完成：DEF-093 依 Owner 2026-10-03 裁定 A 複驗通過結案，四條件逐條查——根因到行；同類由驗證者黑箱加驗日期延後、改到另一帳戶與幣別、加深已負的日子；驗證者自做變異 6 組（3 組被開發者測試攔下，另 3 組由驗證者本機情境抓到）；黑箱重放 R15 原情境：嘉信 07-18 換匯的換入金額改成 1,000 → 跳「現金將變為負數｜…自 2026-07-19 起為負，最低於 2026-07-20 降至 −204,000…」（不提 2026-01-12），取消未寫入、確認後寫入；換出金額改成 500,000 → 422「…於 2026-07-18 降至 −111,835.09（換匯當日）— 換匯不可透支（不提供融資）」，沒有確認選項，帶確認參數也過不了；本機同情境在修正前 d8efc07 重現原缺陷、d9f1c68 全符合。重跑 10 題皆 PASS：A-11（含 ③）、A-13（含 ⑤）、A-14、A-15、J-01～J-06；另補 A-13D、A-13X、A-11C、A-11X，一次跑完。各題測完還原，還原檢查 R-1～R-10 與開跑基準逐字相同；本輪未呼叫 AI（額度 $3.1211387 不變）。120 題最終判定 PASS 119／N/A 1，93 張缺陷結案 90、非缺陷 3，結案條件 1～5 成立；檢驗方依 d9f1c68 重新簽署結案簽核第 24 列，第 28 列最終受測版本改為 v0.1.28 · d9f1c68</t>
  </si>
  <si>
    <t xml:space="preserve">開發者：依 d9f1c68 簽署第 25 列，並把本工作簿提交 git（驗證者無權推送）；建議（不影響結案）依附註①補 3 則契約測試。Owner：依 d9f1c68 簽署第 26 列、更新第 29 列結案日期，並決定是否上 prod</t>
  </si>
  <si>
    <t xml:space="preserve">附註：①（建議，不影響判定）驗證者自做的 6 組變異中，下列 3 組開發者的測試全數通過、沒有攔下，驗證者以本機情境確認 d9f1c68 的行為正確、而變異版本會錯：只查新帳戶的池（改到 Moomoo MY 時不再詢問原帳戶 嘉信 TWD）；改用硬擋的 new_dip（換入 1,000 → 500 只加深已負的日子也會詢問）；改回回報任何負值（池中 2026-01-12 的舊負值會讓每次編輯都詢問，即 DEF-092 的問題回到換匯編輯門）。建議各補一則契約測試。②A-11C 在 R15 記下觀察的那一步（編輯換入金額 319,000 → 1,000）現在回 422 並跳「現金將變為負數」，檢查程式改為記下後按取消，未改預期結果。③A-13D 正式跑前先試跑一次（17／17，當時還沒有 ⑥ 的改帳戶檢查，同樣測後還原）。④本機情境：驗證者把 demo 嘉信 TWD 池（4 筆入金、10 筆換匯）逐列複製到本機資料庫副本，確認對帳單逐日餘額與 demo 相同後才跑，只寫本機副本。全程未在密碼類欄位輸入、未在正式站操作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</si>
  <si>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</si>
  <si>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</si>
  <si>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</si>
  <si>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</si>
  <si>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</si>
  <si>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</si>
  <si>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</si>
  <si>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</si>
  <si>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</si>
  <si>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</si>
  <si>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</si>
  <si>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</si>
  <si>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</si>
  <si>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</si>
  <si>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</si>
  <si>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</si>
  <si>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</si>
  <si>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</si>
  <si>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</si>
  <si>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</si>
  <si>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</si>
  <si>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</si>
  <si>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</si>
  <si>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</si>
  <si>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</si>
  <si>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</si>
  <si>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</si>
  <si>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</si>
  <si>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</si>
  <si>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</si>
  <si>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</si>
  <si>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830056c</t>
  </si>
  <si>
    <t xml:space="preserve"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</si>
  <si>
    <r>
      <rPr>
        <sz val="11"/>
        <color theme="1"/>
        <rFont val="Calibri"/>
        <family val="2"/>
        <charset val="1"/>
      </rPr>
      <t xml:space="preserve">R13</t>
    </r>
    <r>
      <rPr>
        <sz val="11"/>
        <color theme="1"/>
        <rFont val="Noto Sans CJK SC"/>
        <family val="2"/>
      </rPr>
      <t xml:space="preserve">（上 </t>
    </r>
    <r>
      <rPr>
        <sz val="11"/>
        <color theme="1"/>
        <rFont val="Calibri"/>
        <family val="2"/>
        <charset val="1"/>
      </rPr>
      <t xml:space="preserve">prod </t>
    </r>
    <r>
      <rPr>
        <sz val="11"/>
        <color theme="1"/>
        <rFont val="Noto Sans CJK SC"/>
        <family val="2"/>
      </rPr>
      <t xml:space="preserve">前整份重跑，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指示；受測版本以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頁首為準，開跑前確認 </t>
    </r>
    <r>
      <rPr>
        <sz val="11"/>
        <color theme="1"/>
        <rFont val="Calibri"/>
        <family val="2"/>
        <charset val="1"/>
      </rPr>
      <t xml:space="preserve">v0.1.28 · 830056c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20:43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21:55 </t>
    </r>
    <r>
      <rPr>
        <sz val="11"/>
        <color theme="1"/>
        <rFont val="Noto Sans CJK SC"/>
        <family val="2"/>
      </rPr>
      <t xml:space="preserve">台北，開跑前記基準）＋本機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題（同一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資料庫副本、假報價／假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兩邊都跑，另 </t>
    </r>
    <r>
      <rPr>
        <sz val="11"/>
        <color theme="1"/>
        <rFont val="Calibri"/>
        <family val="2"/>
        <charset val="1"/>
      </rPr>
      <t xml:space="preserve">G-04 ②</t>
    </r>
    <r>
      <rPr>
        <sz val="11"/>
        <color theme="1"/>
        <rFont val="Noto Sans CJK SC"/>
        <family val="2"/>
      </rPr>
      <t xml:space="preserve">）。依 </t>
    </r>
    <r>
      <rPr>
        <sz val="11"/>
        <color theme="1"/>
        <rFont val="Calibri"/>
        <family val="2"/>
        <charset val="1"/>
      </rPr>
      <t xml:space="preserve">Owner 6B</t>
    </r>
    <r>
      <rPr>
        <sz val="11"/>
        <color theme="1"/>
        <rFont val="Noto Sans CJK SC"/>
        <family val="2"/>
      </rPr>
      <t xml:space="preserve">，寫入全部留在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，只有 </t>
    </r>
    <r>
      <rPr>
        <sz val="11"/>
        <color theme="1"/>
        <rFont val="Calibri"/>
        <family val="2"/>
        <charset val="1"/>
      </rPr>
      <t xml:space="preserve">B-14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照步驟刪除；本輪不做還原檢查。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首跑 </t>
    </r>
    <r>
      <rPr>
        <sz val="11"/>
        <color theme="1"/>
        <rFont val="Calibri"/>
        <family val="2"/>
        <charset val="1"/>
      </rPr>
      <t xml:space="preserve">PASS 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多數是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殘留使檢查程式的前提失效：①</t>
    </r>
    <r>
      <rPr>
        <sz val="11"/>
        <color theme="1"/>
        <rFont val="Calibri"/>
        <family val="2"/>
        <charset val="1"/>
      </rPr>
      <t xml:space="preserve">B-11 </t>
    </r>
    <r>
      <rPr>
        <sz val="11"/>
        <color theme="1"/>
        <rFont val="Noto Sans CJK SC"/>
        <family val="2"/>
      </rPr>
      <t xml:space="preserve">留下的 </t>
    </r>
    <r>
      <rPr>
        <sz val="11"/>
        <color theme="1"/>
        <rFont val="Calibri"/>
        <family val="2"/>
        <charset val="1"/>
      </rPr>
      <t xml:space="preserve">2330 07-01 </t>
    </r>
    <r>
      <rPr>
        <sz val="11"/>
        <color theme="1"/>
        <rFont val="Noto Sans CJK SC"/>
        <family val="2"/>
      </rPr>
      <t xml:space="preserve">超賣使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成為賣超部位（市值、</t>
    </r>
    <r>
      <rPr>
        <sz val="11"/>
        <color theme="1"/>
        <rFont val="Calibri"/>
        <family val="2"/>
        <charset val="1"/>
      </rPr>
      <t xml:space="preserve">XIRR</t>
    </r>
    <r>
      <rPr>
        <sz val="11"/>
        <color theme="1"/>
        <rFont val="Noto Sans CJK SC"/>
        <family val="2"/>
      </rPr>
      <t xml:space="preserve">、稅務包為空或 </t>
    </r>
    <r>
      <rPr>
        <sz val="11"/>
        <color theme="1"/>
        <rFont val="Calibri"/>
        <family val="2"/>
        <charset val="1"/>
      </rPr>
      <t xml:space="preserve">422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E-04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I-03 </t>
    </r>
    <r>
      <rPr>
        <sz val="11"/>
        <color theme="1"/>
        <rFont val="Noto Sans CJK SC"/>
        <family val="2"/>
      </rPr>
      <t xml:space="preserve">首跑受影響，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依步驟寫回 </t>
    </r>
    <r>
      <rPr>
        <sz val="11"/>
        <color theme="1"/>
        <rFont val="Calibri"/>
        <family val="2"/>
        <charset val="1"/>
      </rPr>
      <t xml:space="preserve">#264 </t>
    </r>
    <r>
      <rPr>
        <sz val="11"/>
        <color theme="1"/>
        <rFont val="Noto Sans CJK SC"/>
        <family val="2"/>
      </rPr>
      <t xml:space="preserve">後恢復；②同日同標的公司行動的限制使 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D-07</t>
    </r>
    <r>
      <rPr>
        <sz val="11"/>
        <color theme="1"/>
        <rFont val="Noto Sans CJK SC"/>
        <family val="2"/>
      </rPr>
      <t xml:space="preserve">（連帶 </t>
    </r>
    <r>
      <rPr>
        <sz val="11"/>
        <color theme="1"/>
        <rFont val="Calibri"/>
        <family val="2"/>
        <charset val="1"/>
      </rPr>
      <t xml:space="preserve">D-13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D-14</t>
    </r>
    <r>
      <rPr>
        <sz val="11"/>
        <color theme="1"/>
        <rFont val="Noto Sans CJK SC"/>
        <family val="2"/>
      </rPr>
      <t xml:space="preserve">）改用 </t>
    </r>
    <r>
      <rPr>
        <sz val="11"/>
        <color theme="1"/>
        <rFont val="Calibri"/>
        <family val="2"/>
        <charset val="1"/>
      </rPr>
      <t xml:space="preserve">TSLA→AMD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MSFT→SPCX</t>
    </r>
    <r>
      <rPr>
        <sz val="11"/>
        <color theme="1"/>
        <rFont val="Noto Sans CJK SC"/>
        <family val="2"/>
      </rPr>
      <t xml:space="preserve">；③其餘依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換標的、日期或挑列方式（</t>
    </r>
    <r>
      <rPr>
        <sz val="11"/>
        <color theme="1"/>
        <rFont val="Calibri"/>
        <family val="2"/>
        <charset val="1"/>
      </rPr>
      <t xml:space="preserve">B-04 46.5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 09-30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F-05 </t>
    </r>
    <r>
      <rPr>
        <sz val="11"/>
        <color theme="1"/>
        <rFont val="Noto Sans CJK SC"/>
        <family val="2"/>
      </rPr>
      <t xml:space="preserve">賣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F-09 </t>
    </r>
    <r>
      <rPr>
        <sz val="11"/>
        <color theme="1"/>
        <rFont val="Noto Sans CJK SC"/>
        <family val="2"/>
      </rPr>
      <t xml:space="preserve">中華電、</t>
    </r>
    <r>
      <rPr>
        <sz val="11"/>
        <color theme="1"/>
        <rFont val="Calibri"/>
        <family val="2"/>
        <charset val="1"/>
      </rPr>
      <t xml:space="preserve">A-16 </t>
    </r>
    <r>
      <rPr>
        <sz val="11"/>
        <color theme="1"/>
        <rFont val="Noto Sans CJK SC"/>
        <family val="2"/>
      </rPr>
      <t xml:space="preserve">依月份挑列、</t>
    </r>
    <r>
      <rPr>
        <sz val="11"/>
        <color theme="1"/>
        <rFont val="Calibri"/>
        <family val="2"/>
        <charset val="1"/>
      </rPr>
      <t xml:space="preserve">E-10 2610</t>
    </r>
    <r>
      <rPr>
        <sz val="11"/>
        <color theme="1"/>
        <rFont val="Noto Sans CJK SC"/>
        <family val="2"/>
      </rPr>
      <t xml:space="preserve">）。重跑三批共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22:00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22:20 </t>
    </r>
    <r>
      <rPr>
        <sz val="11"/>
        <color theme="1"/>
        <rFont val="Noto Sans CJK SC"/>
        <family val="2"/>
      </rPr>
      <t xml:space="preserve">台北），另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題依數據逐位驗算改判（</t>
    </r>
    <r>
      <rPr>
        <sz val="11"/>
        <color theme="1"/>
        <rFont val="Calibri"/>
        <family val="2"/>
        <charset val="1"/>
      </rPr>
      <t xml:space="preserve">A-03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：檢查程式的比較基準在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下不成立）；首跑雖過但屬空對空的 </t>
    </r>
    <r>
      <rPr>
        <sz val="11"/>
        <color theme="1"/>
        <rFont val="Calibri"/>
        <family val="2"/>
        <charset val="1"/>
      </rPr>
      <t xml:space="preserve">D-02c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E-12 </t>
    </r>
    <r>
      <rPr>
        <sz val="11"/>
        <color theme="1"/>
        <rFont val="Noto Sans CJK SC"/>
        <family val="2"/>
      </rPr>
      <t xml:space="preserve">已補做。最終 </t>
    </r>
    <r>
      <rPr>
        <sz val="11"/>
        <color theme="1"/>
        <rFont val="Calibri"/>
        <family val="2"/>
        <charset val="1"/>
      </rPr>
      <t xml:space="preserve">PASS 114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BLOCKED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張：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閘門，低）、</t>
    </r>
    <r>
      <rPr>
        <sz val="11"/>
        <color theme="1"/>
        <rFont val="Calibri"/>
        <family val="2"/>
        <charset val="1"/>
      </rPr>
      <t xml:space="preserve">DEF-088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台股別名空白，低）、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中文名稱前段，規格未定）、</t>
    </r>
    <r>
      <rPr>
        <sz val="11"/>
        <color theme="1"/>
        <rFont val="Calibri"/>
        <family val="2"/>
        <charset val="1"/>
      </rPr>
      <t xml:space="preserve">DEF-090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既有負值掩蓋新透支，中）、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訊息點名最低點日，規格未定）。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$0.0575523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3.1247864→3.0672341</t>
    </r>
    <r>
      <rPr>
        <sz val="11"/>
        <color theme="1"/>
        <rFont val="Noto Sans CJK SC"/>
        <family val="2"/>
      </rPr>
      <t xml:space="preserve">），含驗證者為排除 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偶發而重放的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次辨識 </t>
    </r>
    <r>
      <rPr>
        <sz val="11"/>
        <color theme="1"/>
        <rFont val="Calibri"/>
        <family val="2"/>
        <charset val="1"/>
      </rPr>
      <t xml:space="preserve">$0.0010429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不成立，檢驗方不依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改寫第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</si>
  <si>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c9a44ac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</si>
  <si>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</si>
  <si>
    <r>
      <rPr>
        <sz val="11"/>
        <color theme="1"/>
        <rFont val="Calibri"/>
        <family val="2"/>
        <charset val="1"/>
      </rPr>
      <t xml:space="preserve">R14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c9a44ac</t>
    </r>
    <r>
      <rPr>
        <sz val="11"/>
        <color theme="1"/>
        <rFont val="Noto Sans CJK SC"/>
        <family val="2"/>
      </rPr>
      <t xml:space="preserve">）：開發者依驗證者建議修 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090</t>
    </r>
    <r>
      <rPr>
        <sz val="11"/>
        <color theme="1"/>
        <rFont val="Noto Sans CJK SC"/>
        <family val="2"/>
      </rPr>
      <t xml:space="preserve">、依 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2B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依裁定 </t>
    </r>
    <r>
      <rPr>
        <sz val="11"/>
        <color theme="1"/>
        <rFont val="Calibri"/>
        <family val="2"/>
        <charset val="1"/>
      </rPr>
      <t xml:space="preserve">4A </t>
    </r>
    <r>
      <rPr>
        <sz val="11"/>
        <color theme="1"/>
        <rFont val="Noto Sans CJK SC"/>
        <family val="2"/>
      </rPr>
      <t xml:space="preserve">還原到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前（驗證者開跑前記基準：交易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$3.1239155</t>
    </r>
    <r>
      <rPr>
        <sz val="11"/>
        <color theme="1"/>
        <rFont val="Noto Sans CJK SC"/>
        <family val="2"/>
      </rPr>
      <t xml:space="preserve">）。①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張缺陷皆依四條件複驗通過結案：根因到行；同類由驗證者另行抽驗（</t>
    </r>
    <r>
      <rPr>
        <sz val="11"/>
        <color theme="1"/>
        <rFont val="Calibri"/>
        <family val="2"/>
        <charset val="1"/>
      </rPr>
      <t xml:space="preserve">DEF-088 </t>
    </r>
    <r>
      <rPr>
        <sz val="11"/>
        <color theme="1"/>
        <rFont val="Noto Sans CJK SC"/>
        <family val="2"/>
      </rPr>
      <t xml:space="preserve">再驗華航／聯電／英特爾、</t>
    </r>
    <r>
      <rPr>
        <sz val="11"/>
        <color theme="1"/>
        <rFont val="Calibri"/>
        <family val="2"/>
        <charset val="1"/>
      </rPr>
      <t xml:space="preserve">DEF-089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規則掃 </t>
    </r>
    <r>
      <rPr>
        <sz val="11"/>
        <color theme="1"/>
        <rFont val="Calibri"/>
        <family val="2"/>
        <charset val="1"/>
      </rPr>
      <t xml:space="preserve">demo 224 </t>
    </r>
    <r>
      <rPr>
        <sz val="11"/>
        <color theme="1"/>
        <rFont val="Noto Sans CJK SC"/>
        <family val="2"/>
      </rPr>
      <t xml:space="preserve">張卡、</t>
    </r>
    <r>
      <rPr>
        <sz val="11"/>
        <color theme="1"/>
        <rFont val="Calibri"/>
        <family val="2"/>
        <charset val="1"/>
      </rPr>
      <t xml:space="preserve">DEF-090 </t>
    </r>
    <r>
      <rPr>
        <sz val="11"/>
        <color theme="1"/>
        <rFont val="Noto Sans CJK SC"/>
        <family val="2"/>
      </rPr>
      <t xml:space="preserve">再驗開發者未點名的出金編輯門、</t>
    </r>
    <r>
      <rPr>
        <sz val="11"/>
        <color theme="1"/>
        <rFont val="Calibri"/>
        <family val="2"/>
        <charset val="1"/>
      </rPr>
      <t xml:space="preserve">DEF-091 </t>
    </r>
    <r>
      <rPr>
        <sz val="11"/>
        <color theme="1"/>
        <rFont val="Noto Sans CJK SC"/>
        <family val="2"/>
      </rPr>
      <t xml:space="preserve">四種門逐一）；驗證者自做變異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原情境皆通過。②重跑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02:42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03:15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BLOCKED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組、受修正影響的 </t>
    </r>
    <r>
      <rPr>
        <sz val="11"/>
        <color theme="1"/>
        <rFont val="Calibri"/>
        <family val="2"/>
        <charset val="1"/>
      </rPr>
      <t xml:space="preserve">A-05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，皆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；另補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組同類檢查（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的編輯門）。③本輪依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相符（估值差異只來自辨識時報價驗證連帶更新的 </t>
    </r>
    <r>
      <rPr>
        <sz val="11"/>
        <color theme="1"/>
        <rFont val="Calibri"/>
        <family val="2"/>
        <charset val="1"/>
      </rPr>
      <t xml:space="preserve">USD/TWD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$0.0027768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3.1239155→3.1211387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</si>
  <si>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d8efc07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</si>
  <si>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986 檔、pytest 6,878 passed／0 failed、e2e 322／322、守門變異 3 組皆攔），與 R14 相比零回歸；受修正影響的 A-11、A-13、A-16、I-07／I-08 與 A-11X、A-13X、I-08X 重跑皆過</t>
  </si>
  <si>
    <r>
      <rPr>
        <sz val="11"/>
        <color theme="1"/>
        <rFont val="Calibri"/>
        <family val="2"/>
        <charset val="1"/>
      </rPr>
      <t xml:space="preserve">R15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d8efc07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2026-10-02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（驗證者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觀察）開 </t>
    </r>
    <r>
      <rPr>
        <sz val="11"/>
        <color theme="1"/>
        <rFont val="Calibri"/>
        <family val="2"/>
        <charset val="1"/>
      </rPr>
      <t xml:space="preserve">DEF-092 </t>
    </r>
    <r>
      <rPr>
        <sz val="11"/>
        <color theme="1"/>
        <rFont val="Noto Sans CJK SC"/>
        <family val="2"/>
      </rPr>
      <t xml:space="preserve">並修正——單筆資金紀錄的編輯／刪除與換匯刪除只問這次造成的負值，與匯入批次復原同一規則；手冊 </t>
    </r>
    <r>
      <rPr>
        <sz val="11"/>
        <color theme="1"/>
        <rFont val="Calibri"/>
        <family val="2"/>
        <charset val="1"/>
      </rPr>
      <t xml:space="preserve">A-11 </t>
    </r>
    <r>
      <rPr>
        <sz val="11"/>
        <color theme="1"/>
        <rFont val="Noto Sans CJK SC"/>
        <family val="2"/>
      </rPr>
      <t xml:space="preserve">新增 ③。驗證者開跑前記基準（</t>
    </r>
    <r>
      <rPr>
        <sz val="11"/>
        <color theme="1"/>
        <rFont val="Calibri"/>
        <family val="2"/>
        <charset val="1"/>
      </rPr>
      <t xml:space="preserve">2026-10-02 23:42 </t>
    </r>
    <r>
      <rPr>
        <sz val="11"/>
        <color theme="1"/>
        <rFont val="Noto Sans CJK SC"/>
        <family val="2"/>
      </rPr>
      <t xml:space="preserve">台北：交易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$3.1211387</t>
    </r>
    <r>
      <rPr>
        <sz val="11"/>
        <color theme="1"/>
        <rFont val="Noto Sans CJK SC"/>
        <family val="2"/>
      </rPr>
      <t xml:space="preserve">），跨過午夜後於 </t>
    </r>
    <r>
      <rPr>
        <sz val="11"/>
        <color theme="1"/>
        <rFont val="Calibri"/>
        <family val="2"/>
        <charset val="1"/>
      </rPr>
      <t xml:space="preserve">00:01 </t>
    </r>
    <r>
      <rPr>
        <sz val="11"/>
        <color theme="1"/>
        <rFont val="Noto Sans CJK SC"/>
        <family val="2"/>
      </rPr>
      <t xml:space="preserve">補記換日後基準。①</t>
    </r>
    <r>
      <rPr>
        <sz val="11"/>
        <color theme="1"/>
        <rFont val="Calibri"/>
        <family val="2"/>
        <charset val="1"/>
      </rPr>
      <t xml:space="preserve">DEF-092 </t>
    </r>
    <r>
      <rPr>
        <sz val="11"/>
        <color theme="1"/>
        <rFont val="Noto Sans CJK SC"/>
        <family val="2"/>
      </rPr>
      <t xml:space="preserve">依四條件複驗通過結案：根因到行；同類由驗證者 </t>
    </r>
    <r>
      <rPr>
        <sz val="11"/>
        <color theme="1"/>
        <rFont val="Calibri"/>
        <family val="2"/>
        <charset val="1"/>
      </rPr>
      <t xml:space="preserve">grep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negative_cash </t>
    </r>
    <r>
      <rPr>
        <sz val="11"/>
        <color theme="1"/>
        <rFont val="Noto Sans CJK SC"/>
        <family val="2"/>
      </rPr>
      <t xml:space="preserve">產生處並黑箱加驗跌破原本最低點與換匯刪除兩向；驗證者自做變異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原情境（刪嘉信 </t>
    </r>
    <r>
      <rPr>
        <sz val="11"/>
        <color theme="1"/>
        <rFont val="Calibri"/>
        <family val="2"/>
        <charset val="1"/>
      </rPr>
      <t xml:space="preserve">TWD </t>
    </r>
    <r>
      <rPr>
        <sz val="11"/>
        <color theme="1"/>
        <rFont val="Noto Sans CJK SC"/>
        <family val="2"/>
      </rPr>
      <t xml:space="preserve">出金 → 直接成功；入金改小 → 只點名 </t>
    </r>
    <r>
      <rPr>
        <sz val="11"/>
        <color theme="1"/>
        <rFont val="Calibri"/>
        <family val="2"/>
        <charset val="1"/>
      </rPr>
      <t xml:space="preserve">07-19 </t>
    </r>
    <r>
      <rPr>
        <sz val="11"/>
        <color theme="1"/>
        <rFont val="Noto Sans CJK SC"/>
        <family val="2"/>
      </rPr>
      <t xml:space="preserve">起的負段）。②重跑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23:59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10-03 00:16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（含 ③）、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，另補 </t>
    </r>
    <r>
      <rPr>
        <sz val="11"/>
        <color theme="1"/>
        <rFont val="Calibri"/>
        <family val="2"/>
        <charset val="1"/>
      </rPr>
      <t xml:space="preserve">A-11C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首跑橫跨午夜、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I-08X </t>
    </r>
    <r>
      <rPr>
        <sz val="11"/>
        <color theme="1"/>
        <rFont val="Noto Sans CJK SC"/>
        <family val="2"/>
      </rPr>
      <t xml:space="preserve">首跑為檢查程式等待對話框不足，皆已還原並重跑通過。③本輪依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相符；本輪未呼叫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89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d8efc07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列。另記觀察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項（換匯編輯門未檢查換入池，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即如此）交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裁定，見交接紀錄第 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列</t>
    </r>
  </si>
  <si>
    <t xml:space="preserve">d9f1c68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</si>
  <si>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987 檔、pytest 6,881 passed／0 failed、e2e 323／323、守門變異 3 組皆攔），與 R15 相比零回歸；A-11（含 ③）、A-13、A-14、A-15 與 A-11C、A-11X、A-13X 重跑皆過</t>
  </si>
  <si>
    <r>
      <rPr>
        <sz val="11"/>
        <color theme="1"/>
        <rFont val="Calibri"/>
        <family val="2"/>
        <charset val="1"/>
      </rPr>
      <t xml:space="preserve">R16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d9f1c68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2026-10-03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（驗證者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觀察）開 </t>
    </r>
    <r>
      <rPr>
        <sz val="11"/>
        <color theme="1"/>
        <rFont val="Calibri"/>
        <family val="2"/>
        <charset val="1"/>
      </rPr>
      <t xml:space="preserve">DEF-093 </t>
    </r>
    <r>
      <rPr>
        <sz val="11"/>
        <color theme="1"/>
        <rFont val="Noto Sans CJK SC"/>
        <family val="2"/>
      </rPr>
      <t xml:space="preserve">並修正——換匯的編輯門比照刪除，對受影響的每個池用可確認的負現金檢查，換出池維持硬擋；手冊 </t>
    </r>
    <r>
      <rPr>
        <sz val="11"/>
        <color theme="1"/>
        <rFont val="Calibri"/>
        <family val="2"/>
        <charset val="1"/>
      </rPr>
      <t xml:space="preserve">A-13 </t>
    </r>
    <r>
      <rPr>
        <sz val="11"/>
        <color theme="1"/>
        <rFont val="Noto Sans CJK SC"/>
        <family val="2"/>
      </rPr>
      <t xml:space="preserve">新增 ⑤。驗證者開跑前記基準（</t>
    </r>
    <r>
      <rPr>
        <sz val="11"/>
        <color theme="1"/>
        <rFont val="Calibri"/>
        <family val="2"/>
        <charset val="1"/>
      </rPr>
      <t xml:space="preserve">2026-10-03 09:30 </t>
    </r>
    <r>
      <rPr>
        <sz val="11"/>
        <color theme="1"/>
        <rFont val="Noto Sans CJK SC"/>
        <family val="2"/>
      </rPr>
      <t xml:space="preserve">台北：交易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$3.1211387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結束時逐字相同）。①</t>
    </r>
    <r>
      <rPr>
        <sz val="11"/>
        <color theme="1"/>
        <rFont val="Calibri"/>
        <family val="2"/>
        <charset val="1"/>
      </rPr>
      <t xml:space="preserve">DEF-093 </t>
    </r>
    <r>
      <rPr>
        <sz val="11"/>
        <color theme="1"/>
        <rFont val="Noto Sans CJK SC"/>
        <family val="2"/>
      </rPr>
      <t xml:space="preserve">依四條件複驗通過結案：根因到行；同類由驗證者黑箱加驗日期延後、改帳戶與幣別、加深已負的日子；驗證者自做變異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組被開發者測試攔下、另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組由驗證者本機情境抓到（建議補測試，不影響結案）；黑箱重放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原情境（換入改 </t>
    </r>
    <r>
      <rPr>
        <sz val="11"/>
        <color theme="1"/>
        <rFont val="Calibri"/>
        <family val="2"/>
        <charset val="1"/>
      </rPr>
      <t xml:space="preserve">1,000 → </t>
    </r>
    <r>
      <rPr>
        <sz val="11"/>
        <color theme="1"/>
        <rFont val="Noto Sans CJK SC"/>
        <family val="2"/>
      </rPr>
      <t xml:space="preserve">要求確認並點名 </t>
    </r>
    <r>
      <rPr>
        <sz val="11"/>
        <color theme="1"/>
        <rFont val="Calibri"/>
        <family val="2"/>
        <charset val="1"/>
      </rPr>
      <t xml:space="preserve">07-19 </t>
    </r>
    <r>
      <rPr>
        <sz val="11"/>
        <color theme="1"/>
        <rFont val="Noto Sans CJK SC"/>
        <family val="2"/>
      </rPr>
      <t xml:space="preserve">起的負段、確認後寫入；換出透支 → 硬擋、確認也過不了）。②重跑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2026-10-03 09:38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09:48 </t>
    </r>
    <r>
      <rPr>
        <sz val="11"/>
        <color theme="1"/>
        <rFont val="Noto Sans CJK SC"/>
        <family val="2"/>
      </rPr>
      <t xml:space="preserve">台北，一次跑完）：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（含 ③）、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（含 ⑤）、</t>
    </r>
    <r>
      <rPr>
        <sz val="11"/>
        <color theme="1"/>
        <rFont val="Calibri"/>
        <family val="2"/>
        <charset val="1"/>
      </rPr>
      <t xml:space="preserve">A-14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，另補 </t>
    </r>
    <r>
      <rPr>
        <sz val="11"/>
        <color theme="1"/>
        <rFont val="Calibri"/>
        <family val="2"/>
        <charset val="1"/>
      </rPr>
      <t xml:space="preserve">A-13D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與開跑基準逐字相同；本輪未呼叫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93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d9f1c68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</si>
  <si>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</si>
  <si>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</si>
  <si>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</si>
  <si>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</si>
  <si>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</si>
  <si>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</si>
  <si>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</si>
  <si>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</si>
  <si>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</si>
  <si>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</si>
  <si>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</si>
  <si>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R16_START 2026-10-03 09:30 </t>
    </r>
    <r>
      <rPr>
        <sz val="11"/>
        <color theme="1"/>
        <rFont val="Noto Sans CJK SC"/>
        <family val="2"/>
      </rPr>
      <t xml:space="preserve">台北，開跑前；與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結束時逐字相同）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</si>
  <si>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</si>
  <si>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</si>
  <si>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</si>
  <si>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</si>
  <si>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</si>
  <si>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</si>
  <si>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</si>
  <si>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</si>
  <si>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</si>
  <si>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</si>
  <si>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</si>
  <si>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</si>
  <si>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</si>
  <si>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</si>
  <si>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</si>
  <si>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</si>
  <si>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</si>
  <si>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</si>
  <si>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</si>
  <si>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</si>
  <si>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</si>
  <si>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R16_START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</si>
  <si>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t xml:space="preserve">kpis／holdings／realized／allocation 與開跑基準逐字相同；各題結束時的分段比對皆與該題開始時逐字相同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</si>
  <si>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</si>
  <si>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</si>
  <si>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</si>
  <si>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</si>
  <si>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25,358,846.58</t>
    </r>
    <r>
      <rPr>
        <sz val="11"/>
        <color theme="1"/>
        <rFont val="Noto Sans CJK SC"/>
        <family val="2"/>
      </rPr>
      <t xml:space="preserve">）逐字相同；嘉信 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、台灣券商 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Moomoo MY MYR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</t>
    </r>
    <r>
      <rPr>
        <sz val="11"/>
        <color theme="1"/>
        <rFont val="Noto Sans CJK SC"/>
        <family val="2"/>
      </rPr>
      <t xml:space="preserve">五個池的資金對帳單逐列相同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</si>
  <si>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</si>
  <si>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</si>
  <si>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</si>
  <si>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</si>
  <si>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批（本輪沒有匯入）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</si>
  <si>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</si>
  <si>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</si>
  <si>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</si>
  <si>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；代號查無時自動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辨識 開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</si>
  <si>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封存、目標價皆空、別名清單逐字相同；任務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皆啟用、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個排程設定雜湊不變；收件匣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筆逐一相同、已忽略只剩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失敗記錄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、自動辨識仍開。依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的：帳本操作稽核（各題寫入、編輯與刪除的軌跡）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</si>
  <si>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</si>
  <si>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</si>
  <si>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</si>
  <si>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</si>
  <si>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$3.1211387；低額度警示門檻 $1.00</t>
  </si>
  <si>
    <t xml:space="preserve">剩餘額度 $3.1211387、門檻 $1.00；本輪各題不呼叫 AI，llm-usage 仍 1,139 列（最新一列仍為 R14 的 2026-10-02 02:59），花費 $0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</si>
  <si>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</si>
  <si>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</si>
  <si>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</si>
  <si>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</si>
  <si>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
R15（d8efc07）：是——A-11（含新增的 ③）、A-13、A-16、I-07、I-08、J-01～J-06 於 d8efc07 重跑皆 PASS；120 題最終判定 PASS 119／N/A 1（G-10 依手冊僅記錄）
R16（d9f1c68）：是——A-13（含新增的 ⑤）、A-11、A-14、A-15、J-01～J-06 於 d9f1c68 重跑皆 PASS；120 題最終判定 PASS 119／N/A 1（G-10 依手冊僅記錄）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</si>
  <si>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</si>
  <si>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
R15：是——92 張缺陷中結案 89、非缺陷 3（DEF-006、DEF-018、DEF-086）；DEF-092 於 R15 複驗通過結案，無修復中／待複驗／複驗未過
R16：是——93 張缺陷中結案 90、非缺陷 3（DEF-006、DEF-018、DEF-086）；DEF-093 於 R16 複驗通過結案，無修復中／待複驗／複驗未過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</si>
  <si>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</si>
  <si>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
R15：是——本輪無 OBSERVE；DEF-092 依 Owner 2026-10-02 裁定 A 修正並複驗通過；先前的 OBSERVE 皆已裁定
R16：是——本輪無 OBSERVE；DEF-093 依 Owner 2026-10-03 裁定 A 修正並複驗通過；先前的 OBSERVE 皆已裁定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</si>
  <si>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</si>
  <si>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
R15：是——d8efc07 J-01～J-06 全過，與 R14 相比零回歸（輪次彙總第 18 列）
R16：是——d9f1c68 J-01～J-06 全過，與 R15 相比零回歸（輪次彙總第 19 列）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</si>
  <si>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</si>
  <si>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
R15：是（依 Owner 2026-09-29 裁定）——本輪各題測完還原，R-1～R-10 相符：帳本列數、已實現、配置、現金池與 14 個部位的股數／成本逐字相同；與開跑基準的差異只來自 10-02→10-03 換日（xirr 視窗與 30 日走勢圖）；本輪未花 AI 額度
R16：是（依 Owner 2026-09-29 裁定）——本輪各題測完還原，R-1～R-10 與開跑基準逐字相同（四段 JSON、帳本列數、五個現金池的對帳單）；本輪未花 AI 額度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</si>
  <si>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</si>
  <si>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</si>
  <si>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</si>
  <si>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</si>
  <si>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</si>
  <si>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</si>
  <si>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</si>
  <si>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</si>
  <si>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</si>
  <si>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</si>
  <si>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</si>
  <si>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</si>
  <si>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</si>
  <si>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</si>
  <si>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</si>
  <si>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</si>
  <si>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</si>
  <si>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同意結案（R16 重新簽署）。最終受測版本 v0.1.28 · d9f1c68：DEF-093（依 Owner 2026-10-03 裁定 A）經驗證者黑箱重放 R15 原情境、同類抽驗（日期延後、改帳戶與幣別、加深已負的日子）與自做變異 6 組後結案（3 組被開發者測試攔下，另 3 組由驗證者本機情境抓到，已建議補測試，不影響結案）；A-13（含 ⑤）、A-11、A-14、A-15 與 J 組重跑皆 PASS、無回歸；本輪各題測完還原，還原檢查與開跑基準逐字相同。120 題最終判定 PASS 119／N/A 1，93 張缺陷結案 90、非缺陷 3。本列取代 R15 依 d8efc07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</si>
  <si>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</si>
  <si>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</si>
  <si>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</si>
  <si>
    <t xml:space="preserve">Owner</t>
  </si>
  <si>
    <t xml:space="preserve">HFL</t>
  </si>
  <si>
    <t xml:space="preserve">同意結案（依 v0.1.28 · d2e5e08）。依 Owner 2026-09-30 在對話中的裁定（交接紀錄第 31 列③），由驗證者代填並經 Owner 2026-10-01 轉交第 32 列指示確認；取代 2026-09-28 依 3a35454 的簽署</t>
  </si>
  <si>
    <t xml:space="preserve">最終受測版本（commit）</t>
  </si>
  <si>
    <t xml:space="preserve">v0.1.28 · d9f1c68</t>
  </si>
  <si>
    <t xml:space="preserve">結案日期</t>
  </si>
  <si>
    <t xml:space="preserve">結論</t>
  </si>
  <si>
    <t xml:space="preserve"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
R15（2026-10-03）：依 Owner 2026-10-02 裁定 A 所開的 DEF-092 已於 d8efc07 修正並由驗證者複驗通過，A-11（含 ③）、A-13、A-16、I-07、I-08 與 J 組重跑皆 PASS，結案條件 1～5 成立；檢驗方第 24 列已依 R15（d8efc07）重新簽署，第 28 列最終受測版本改為 v0.1.28 · d8efc07。第 25、26 列修復方與 Owner 的簽署待兩方依 d8efc07 重新簽署；第 29 列結案日期由 Owner 簽署後更新。驗證者另記觀察 1 項（換匯編輯門未檢查換入池）交 Owner 裁定，見交接紀錄第 39 列
R16（2026-10-03）：依 Owner 2026-10-03 裁定 A 所開的 DEF-093 已於 d9f1c68 修正並由驗證者複驗通過，A-13（含 ⑤）、A-11、A-14、A-15 與 J 組重跑皆 PASS，結案條件 1～5 成立；檢驗方第 24 列已依 R16（d9f1c68）重新簽署，第 28 列最終受測版本改為 v0.1.28 · d9f1c68。第 25、26 列修復方與 Owner 的簽署待兩方依 d9f1c68 重新簽署；第 29 列結案日期由 Owner 簽署後更新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</si>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</sst>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 t="s">
        <v>194</v>
      </c>
      <c r="L9" s="16" t="s">
        <v>53</v>
      </c>
      <c r="M9" s="17" t="s">
        <v>37</v>
      </c>
      <c r="N9" s="16" t="s">
        <v>195</v>
      </c>
    </row>
    <row r="10" customFormat="false" ht="43.5" hidden="false" customHeight="true" outlineLevel="0" collapsed="false">
      <c r="A10" s="13" t="s">
        <v>196</v>
      </c>
      <c r="B10" s="14" t="s">
        <v>143</v>
      </c>
      <c r="C10" s="15" t="s">
        <v>197</v>
      </c>
      <c r="D10" s="14" t="s">
        <v>136</v>
      </c>
      <c r="E10" s="15" t="s">
        <v>198</v>
      </c>
      <c r="F10" s="15" t="s">
        <v>199</v>
      </c>
      <c r="G10" s="15" t="s">
        <v>175</v>
      </c>
      <c r="H10" s="15" t="s">
        <v>200</v>
      </c>
      <c r="I10" s="16" t="s">
        <v>201</v>
      </c>
      <c r="J10" s="17" t="s">
        <v>37</v>
      </c>
      <c r="K10" s="17"/>
      <c r="L10" s="16" t="s">
        <v>37</v>
      </c>
      <c r="M10" s="17" t="s">
        <v>37</v>
      </c>
      <c r="N10" s="17" t="s">
        <v>202</v>
      </c>
    </row>
    <row r="11" customFormat="false" ht="29.25" hidden="false" customHeight="true" outlineLevel="0" collapsed="false">
      <c r="A11" s="13" t="s">
        <v>203</v>
      </c>
      <c r="B11" s="14" t="s">
        <v>143</v>
      </c>
      <c r="C11" s="15" t="s">
        <v>204</v>
      </c>
      <c r="D11" s="14" t="s">
        <v>136</v>
      </c>
      <c r="E11" s="15" t="s">
        <v>205</v>
      </c>
      <c r="F11" s="15" t="s">
        <v>206</v>
      </c>
      <c r="G11" s="15" t="s">
        <v>175</v>
      </c>
      <c r="H11" s="15" t="s">
        <v>149</v>
      </c>
      <c r="I11" s="16" t="s">
        <v>207</v>
      </c>
      <c r="J11" s="17" t="s">
        <v>37</v>
      </c>
      <c r="K11" s="17"/>
      <c r="L11" s="16" t="s">
        <v>37</v>
      </c>
      <c r="M11" s="17" t="s">
        <v>37</v>
      </c>
      <c r="N11" s="17" t="s">
        <v>208</v>
      </c>
    </row>
    <row r="12" customFormat="false" ht="29.25" hidden="false" customHeight="true" outlineLevel="0" collapsed="false">
      <c r="A12" s="13" t="s">
        <v>209</v>
      </c>
      <c r="B12" s="14" t="s">
        <v>143</v>
      </c>
      <c r="C12" s="15" t="s">
        <v>210</v>
      </c>
      <c r="D12" s="14" t="s">
        <v>136</v>
      </c>
      <c r="E12" s="15" t="s">
        <v>211</v>
      </c>
      <c r="F12" s="15" t="s">
        <v>212</v>
      </c>
      <c r="G12" s="15" t="s">
        <v>175</v>
      </c>
      <c r="H12" s="15" t="s">
        <v>149</v>
      </c>
      <c r="I12" s="16" t="s">
        <v>213</v>
      </c>
      <c r="J12" s="17" t="s">
        <v>37</v>
      </c>
      <c r="K12" s="17"/>
      <c r="L12" s="16" t="s">
        <v>37</v>
      </c>
      <c r="M12" s="17" t="s">
        <v>37</v>
      </c>
      <c r="N12" s="17" t="s">
        <v>214</v>
      </c>
    </row>
    <row r="13" customFormat="false" ht="43.5" hidden="false" customHeight="true" outlineLevel="0" collapsed="false">
      <c r="A13" s="13" t="s">
        <v>215</v>
      </c>
      <c r="B13" s="14" t="s">
        <v>143</v>
      </c>
      <c r="C13" s="15" t="s">
        <v>216</v>
      </c>
      <c r="D13" s="14" t="s">
        <v>136</v>
      </c>
      <c r="E13" s="15" t="s">
        <v>217</v>
      </c>
      <c r="F13" s="15" t="s">
        <v>218</v>
      </c>
      <c r="G13" s="15" t="s">
        <v>175</v>
      </c>
      <c r="H13" s="15" t="s">
        <v>149</v>
      </c>
      <c r="I13" s="16" t="s">
        <v>219</v>
      </c>
      <c r="J13" s="17" t="s">
        <v>37</v>
      </c>
      <c r="K13" s="17"/>
      <c r="L13" s="16" t="s">
        <v>37</v>
      </c>
      <c r="M13" s="17" t="s">
        <v>37</v>
      </c>
      <c r="N13" s="16" t="s">
        <v>220</v>
      </c>
    </row>
    <row r="14" customFormat="false" ht="29.25" hidden="false" customHeight="true" outlineLevel="0" collapsed="false">
      <c r="A14" s="13" t="s">
        <v>221</v>
      </c>
      <c r="B14" s="14" t="s">
        <v>143</v>
      </c>
      <c r="C14" s="15" t="s">
        <v>222</v>
      </c>
      <c r="D14" s="15" t="s">
        <v>223</v>
      </c>
      <c r="E14" s="15" t="s">
        <v>224</v>
      </c>
      <c r="F14" s="15" t="s">
        <v>225</v>
      </c>
      <c r="G14" s="15" t="s">
        <v>226</v>
      </c>
      <c r="H14" s="15" t="s">
        <v>149</v>
      </c>
      <c r="I14" s="16" t="s">
        <v>227</v>
      </c>
      <c r="J14" s="17" t="s">
        <v>45</v>
      </c>
      <c r="K14" s="17" t="s">
        <v>228</v>
      </c>
      <c r="L14" s="16" t="s">
        <v>53</v>
      </c>
      <c r="M14" s="17" t="s">
        <v>37</v>
      </c>
      <c r="N14" s="16" t="s">
        <v>229</v>
      </c>
    </row>
    <row r="15" customFormat="false" ht="29.25" hidden="false" customHeight="true" outlineLevel="0" collapsed="false">
      <c r="A15" s="13" t="s">
        <v>230</v>
      </c>
      <c r="B15" s="14" t="s">
        <v>143</v>
      </c>
      <c r="C15" s="15" t="s">
        <v>231</v>
      </c>
      <c r="D15" s="14" t="s">
        <v>136</v>
      </c>
      <c r="E15" s="15" t="s">
        <v>232</v>
      </c>
      <c r="F15" s="15" t="s">
        <v>233</v>
      </c>
      <c r="G15" s="15" t="s">
        <v>234</v>
      </c>
      <c r="H15" s="15" t="s">
        <v>235</v>
      </c>
      <c r="I15" s="16" t="s">
        <v>236</v>
      </c>
      <c r="J15" s="17" t="s">
        <v>37</v>
      </c>
      <c r="K15" s="17"/>
      <c r="L15" s="16" t="s">
        <v>37</v>
      </c>
      <c r="M15" s="17" t="s">
        <v>37</v>
      </c>
      <c r="N15" s="16" t="s">
        <v>237</v>
      </c>
    </row>
    <row r="16" customFormat="false" ht="57.75" hidden="false" customHeight="true" outlineLevel="0" collapsed="false">
      <c r="A16" s="13" t="s">
        <v>238</v>
      </c>
      <c r="B16" s="14" t="s">
        <v>143</v>
      </c>
      <c r="C16" s="15" t="s">
        <v>239</v>
      </c>
      <c r="D16" s="15" t="s">
        <v>240</v>
      </c>
      <c r="E16" s="15" t="s">
        <v>241</v>
      </c>
      <c r="F16" s="14" t="s">
        <v>242</v>
      </c>
      <c r="G16" s="15" t="s">
        <v>243</v>
      </c>
      <c r="H16" s="15" t="s">
        <v>244</v>
      </c>
      <c r="I16" s="16" t="s">
        <v>245</v>
      </c>
      <c r="J16" s="17" t="s">
        <v>37</v>
      </c>
      <c r="K16" s="17" t="s">
        <v>246</v>
      </c>
      <c r="L16" s="16" t="s">
        <v>37</v>
      </c>
      <c r="M16" s="17" t="s">
        <v>37</v>
      </c>
      <c r="N16" s="17" t="s">
        <v>247</v>
      </c>
    </row>
    <row r="17" customFormat="false" ht="29.25" hidden="false" customHeight="true" outlineLevel="0" collapsed="false">
      <c r="A17" s="13" t="s">
        <v>248</v>
      </c>
      <c r="B17" s="14" t="s">
        <v>143</v>
      </c>
      <c r="C17" s="15" t="s">
        <v>249</v>
      </c>
      <c r="D17" s="14" t="s">
        <v>136</v>
      </c>
      <c r="E17" s="15" t="s">
        <v>250</v>
      </c>
      <c r="F17" s="15" t="s">
        <v>251</v>
      </c>
      <c r="G17" s="15" t="s">
        <v>252</v>
      </c>
      <c r="H17" s="15" t="s">
        <v>253</v>
      </c>
      <c r="I17" s="16" t="s">
        <v>254</v>
      </c>
      <c r="J17" s="17" t="s">
        <v>37</v>
      </c>
      <c r="K17" s="17"/>
      <c r="L17" s="16" t="s">
        <v>37</v>
      </c>
      <c r="M17" s="17" t="s">
        <v>37</v>
      </c>
      <c r="N17" s="16" t="s">
        <v>255</v>
      </c>
    </row>
    <row r="18" customFormat="false" ht="57.75" hidden="false" customHeight="true" outlineLevel="0" collapsed="false">
      <c r="A18" s="13" t="s">
        <v>256</v>
      </c>
      <c r="B18" s="14" t="s">
        <v>143</v>
      </c>
      <c r="C18" s="15" t="s">
        <v>257</v>
      </c>
      <c r="D18" s="15" t="s">
        <v>258</v>
      </c>
      <c r="E18" s="15" t="s">
        <v>259</v>
      </c>
      <c r="F18" s="15" t="s">
        <v>260</v>
      </c>
      <c r="G18" s="15" t="s">
        <v>252</v>
      </c>
      <c r="H18" s="15" t="s">
        <v>253</v>
      </c>
      <c r="I18" s="16" t="s">
        <v>261</v>
      </c>
      <c r="J18" s="17" t="s">
        <v>37</v>
      </c>
      <c r="K18" s="17"/>
      <c r="L18" s="16" t="s">
        <v>37</v>
      </c>
      <c r="M18" s="17" t="s">
        <v>37</v>
      </c>
      <c r="N18" s="16" t="s">
        <v>262</v>
      </c>
    </row>
    <row r="19" customFormat="false" ht="29.25" hidden="false" customHeight="true" outlineLevel="0" collapsed="false">
      <c r="A19" s="13" t="s">
        <v>263</v>
      </c>
      <c r="B19" s="14" t="s">
        <v>143</v>
      </c>
      <c r="C19" s="15" t="s">
        <v>264</v>
      </c>
      <c r="D19" s="15" t="s">
        <v>265</v>
      </c>
      <c r="E19" s="15" t="s">
        <v>266</v>
      </c>
      <c r="F19" s="15" t="s">
        <v>267</v>
      </c>
      <c r="G19" s="15" t="s">
        <v>268</v>
      </c>
      <c r="H19" s="15" t="s">
        <v>149</v>
      </c>
      <c r="I19" s="16" t="s">
        <v>269</v>
      </c>
      <c r="J19" s="17" t="s">
        <v>37</v>
      </c>
      <c r="K19" s="17" t="s">
        <v>270</v>
      </c>
      <c r="L19" s="16" t="s">
        <v>53</v>
      </c>
      <c r="M19" s="17" t="s">
        <v>37</v>
      </c>
      <c r="N19" s="16" t="s">
        <v>271</v>
      </c>
    </row>
    <row r="20" customFormat="false" ht="16.5" hidden="false" customHeight="true" outlineLevel="0" collapsed="false">
      <c r="A20" s="12" t="s">
        <v>272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273</v>
      </c>
      <c r="B21" s="14" t="s">
        <v>274</v>
      </c>
      <c r="C21" s="15" t="s">
        <v>275</v>
      </c>
      <c r="D21" s="15" t="s">
        <v>276</v>
      </c>
      <c r="E21" s="15" t="s">
        <v>277</v>
      </c>
      <c r="F21" s="15" t="s">
        <v>278</v>
      </c>
      <c r="G21" s="15" t="s">
        <v>279</v>
      </c>
      <c r="H21" s="15" t="s">
        <v>280</v>
      </c>
      <c r="I21" s="16" t="s">
        <v>281</v>
      </c>
      <c r="J21" s="17" t="s">
        <v>37</v>
      </c>
      <c r="K21" s="17"/>
      <c r="L21" s="16" t="s">
        <v>37</v>
      </c>
      <c r="M21" s="17" t="s">
        <v>37</v>
      </c>
      <c r="N21" s="17" t="s">
        <v>282</v>
      </c>
    </row>
    <row r="22" customFormat="false" ht="40.5" hidden="false" customHeight="true" outlineLevel="0" collapsed="false">
      <c r="A22" s="13" t="s">
        <v>283</v>
      </c>
      <c r="B22" s="14" t="s">
        <v>274</v>
      </c>
      <c r="C22" s="15" t="s">
        <v>284</v>
      </c>
      <c r="D22" s="15" t="s">
        <v>167</v>
      </c>
      <c r="E22" s="15" t="s">
        <v>285</v>
      </c>
      <c r="F22" s="15" t="s">
        <v>286</v>
      </c>
      <c r="G22" s="15" t="s">
        <v>175</v>
      </c>
      <c r="H22" s="15" t="s">
        <v>253</v>
      </c>
      <c r="I22" s="16" t="s">
        <v>287</v>
      </c>
      <c r="J22" s="17" t="s">
        <v>37</v>
      </c>
      <c r="K22" s="17"/>
      <c r="L22" s="16" t="s">
        <v>37</v>
      </c>
      <c r="M22" s="17" t="s">
        <v>37</v>
      </c>
      <c r="N22" s="16" t="s">
        <v>288</v>
      </c>
    </row>
    <row r="23" customFormat="false" ht="72" hidden="false" customHeight="true" outlineLevel="0" collapsed="false">
      <c r="A23" s="13" t="s">
        <v>289</v>
      </c>
      <c r="B23" s="14" t="s">
        <v>274</v>
      </c>
      <c r="C23" s="15" t="s">
        <v>290</v>
      </c>
      <c r="D23" s="15" t="s">
        <v>291</v>
      </c>
      <c r="E23" s="15" t="s">
        <v>292</v>
      </c>
      <c r="F23" s="15" t="s">
        <v>293</v>
      </c>
      <c r="G23" s="15" t="s">
        <v>294</v>
      </c>
      <c r="H23" s="15" t="s">
        <v>295</v>
      </c>
      <c r="I23" s="16" t="s">
        <v>296</v>
      </c>
      <c r="J23" s="17" t="s">
        <v>37</v>
      </c>
      <c r="K23" s="17"/>
      <c r="L23" s="16" t="s">
        <v>37</v>
      </c>
      <c r="M23" s="17" t="s">
        <v>37</v>
      </c>
      <c r="N23" s="17" t="s">
        <v>297</v>
      </c>
    </row>
    <row r="24" customFormat="false" ht="43.5" hidden="false" customHeight="true" outlineLevel="0" collapsed="false">
      <c r="A24" s="13" t="s">
        <v>298</v>
      </c>
      <c r="B24" s="14" t="s">
        <v>274</v>
      </c>
      <c r="C24" s="15" t="s">
        <v>299</v>
      </c>
      <c r="D24" s="15" t="s">
        <v>300</v>
      </c>
      <c r="E24" s="15" t="s">
        <v>301</v>
      </c>
      <c r="F24" s="15" t="s">
        <v>302</v>
      </c>
      <c r="G24" s="15" t="s">
        <v>303</v>
      </c>
      <c r="H24" s="15" t="s">
        <v>295</v>
      </c>
      <c r="I24" s="16" t="s">
        <v>304</v>
      </c>
      <c r="J24" s="17" t="s">
        <v>37</v>
      </c>
      <c r="K24" s="17"/>
      <c r="L24" s="16" t="s">
        <v>37</v>
      </c>
      <c r="M24" s="17" t="s">
        <v>37</v>
      </c>
      <c r="N24" s="17" t="s">
        <v>305</v>
      </c>
    </row>
    <row r="25" customFormat="false" ht="29.25" hidden="false" customHeight="true" outlineLevel="0" collapsed="false">
      <c r="A25" s="13" t="s">
        <v>306</v>
      </c>
      <c r="B25" s="14" t="s">
        <v>274</v>
      </c>
      <c r="C25" s="15" t="s">
        <v>307</v>
      </c>
      <c r="D25" s="14" t="s">
        <v>136</v>
      </c>
      <c r="E25" s="15" t="s">
        <v>308</v>
      </c>
      <c r="F25" s="15" t="s">
        <v>309</v>
      </c>
      <c r="G25" s="15" t="s">
        <v>310</v>
      </c>
      <c r="H25" s="15" t="s">
        <v>253</v>
      </c>
      <c r="I25" s="16" t="s">
        <v>311</v>
      </c>
      <c r="J25" s="17" t="s">
        <v>37</v>
      </c>
      <c r="K25" s="17"/>
      <c r="L25" s="16" t="s">
        <v>37</v>
      </c>
      <c r="M25" s="17" t="s">
        <v>37</v>
      </c>
      <c r="N25" s="17" t="s">
        <v>312</v>
      </c>
    </row>
    <row r="26" customFormat="false" ht="29.25" hidden="false" customHeight="true" outlineLevel="0" collapsed="false">
      <c r="A26" s="13" t="s">
        <v>313</v>
      </c>
      <c r="B26" s="14" t="s">
        <v>274</v>
      </c>
      <c r="C26" s="15" t="s">
        <v>314</v>
      </c>
      <c r="D26" s="15" t="s">
        <v>315</v>
      </c>
      <c r="E26" s="15" t="s">
        <v>316</v>
      </c>
      <c r="F26" s="14" t="s">
        <v>317</v>
      </c>
      <c r="G26" s="15" t="s">
        <v>175</v>
      </c>
      <c r="H26" s="15" t="s">
        <v>149</v>
      </c>
      <c r="I26" s="16" t="s">
        <v>318</v>
      </c>
      <c r="J26" s="17" t="s">
        <v>37</v>
      </c>
      <c r="K26" s="17"/>
      <c r="L26" s="16" t="s">
        <v>37</v>
      </c>
      <c r="M26" s="17" t="s">
        <v>37</v>
      </c>
      <c r="N26" s="16" t="s">
        <v>319</v>
      </c>
    </row>
    <row r="27" customFormat="false" ht="43.5" hidden="false" customHeight="true" outlineLevel="0" collapsed="false">
      <c r="A27" s="13" t="s">
        <v>320</v>
      </c>
      <c r="B27" s="14" t="s">
        <v>274</v>
      </c>
      <c r="C27" s="15" t="s">
        <v>321</v>
      </c>
      <c r="D27" s="15" t="s">
        <v>322</v>
      </c>
      <c r="E27" s="15" t="s">
        <v>323</v>
      </c>
      <c r="F27" s="15" t="s">
        <v>324</v>
      </c>
      <c r="G27" s="15" t="s">
        <v>175</v>
      </c>
      <c r="H27" s="15" t="s">
        <v>149</v>
      </c>
      <c r="I27" s="16" t="s">
        <v>325</v>
      </c>
      <c r="J27" s="17" t="s">
        <v>37</v>
      </c>
      <c r="K27" s="17"/>
      <c r="L27" s="16" t="s">
        <v>37</v>
      </c>
      <c r="M27" s="17" t="s">
        <v>37</v>
      </c>
      <c r="N27" s="17" t="s">
        <v>326</v>
      </c>
    </row>
    <row r="28" customFormat="false" ht="29.25" hidden="false" customHeight="true" outlineLevel="0" collapsed="false">
      <c r="A28" s="13" t="s">
        <v>327</v>
      </c>
      <c r="B28" s="14" t="s">
        <v>274</v>
      </c>
      <c r="C28" s="15" t="s">
        <v>328</v>
      </c>
      <c r="D28" s="15" t="s">
        <v>329</v>
      </c>
      <c r="E28" s="15" t="s">
        <v>330</v>
      </c>
      <c r="F28" s="15" t="s">
        <v>331</v>
      </c>
      <c r="G28" s="15" t="s">
        <v>175</v>
      </c>
      <c r="H28" s="15" t="s">
        <v>149</v>
      </c>
      <c r="I28" s="17" t="s">
        <v>332</v>
      </c>
      <c r="J28" s="17" t="s">
        <v>37</v>
      </c>
      <c r="K28" s="17"/>
      <c r="L28" s="16" t="s">
        <v>37</v>
      </c>
      <c r="M28" s="17" t="s">
        <v>37</v>
      </c>
      <c r="N28" s="17" t="s">
        <v>333</v>
      </c>
    </row>
    <row r="29" customFormat="false" ht="43.5" hidden="false" customHeight="true" outlineLevel="0" collapsed="false">
      <c r="A29" s="13" t="s">
        <v>334</v>
      </c>
      <c r="B29" s="14" t="s">
        <v>274</v>
      </c>
      <c r="C29" s="15" t="s">
        <v>335</v>
      </c>
      <c r="D29" s="15" t="s">
        <v>336</v>
      </c>
      <c r="E29" s="15" t="s">
        <v>337</v>
      </c>
      <c r="F29" s="15" t="s">
        <v>338</v>
      </c>
      <c r="G29" s="15" t="s">
        <v>339</v>
      </c>
      <c r="H29" s="15" t="s">
        <v>340</v>
      </c>
      <c r="I29" s="16" t="s">
        <v>341</v>
      </c>
      <c r="J29" s="17" t="s">
        <v>37</v>
      </c>
      <c r="K29" s="17"/>
      <c r="L29" s="16" t="s">
        <v>37</v>
      </c>
      <c r="M29" s="17" t="s">
        <v>37</v>
      </c>
      <c r="N29" s="16" t="s">
        <v>342</v>
      </c>
    </row>
    <row r="30" customFormat="false" ht="43.5" hidden="false" customHeight="true" outlineLevel="0" collapsed="false">
      <c r="A30" s="13" t="s">
        <v>343</v>
      </c>
      <c r="B30" s="14" t="s">
        <v>274</v>
      </c>
      <c r="C30" s="15" t="s">
        <v>344</v>
      </c>
      <c r="D30" s="14" t="s">
        <v>136</v>
      </c>
      <c r="E30" s="15" t="s">
        <v>345</v>
      </c>
      <c r="F30" s="15" t="s">
        <v>346</v>
      </c>
      <c r="G30" s="15" t="s">
        <v>303</v>
      </c>
      <c r="H30" s="15" t="s">
        <v>149</v>
      </c>
      <c r="I30" s="16" t="s">
        <v>347</v>
      </c>
      <c r="J30" s="17" t="s">
        <v>45</v>
      </c>
      <c r="K30" s="17" t="s">
        <v>348</v>
      </c>
      <c r="L30" s="16" t="s">
        <v>53</v>
      </c>
      <c r="M30" s="17" t="s">
        <v>37</v>
      </c>
      <c r="N30" s="16" t="s">
        <v>349</v>
      </c>
    </row>
    <row r="31" customFormat="false" ht="43.5" hidden="false" customHeight="true" outlineLevel="0" collapsed="false">
      <c r="A31" s="13" t="s">
        <v>350</v>
      </c>
      <c r="B31" s="14" t="s">
        <v>274</v>
      </c>
      <c r="C31" s="15" t="s">
        <v>351</v>
      </c>
      <c r="D31" s="15" t="s">
        <v>352</v>
      </c>
      <c r="E31" s="15" t="s">
        <v>353</v>
      </c>
      <c r="F31" s="15" t="s">
        <v>354</v>
      </c>
      <c r="G31" s="15" t="s">
        <v>355</v>
      </c>
      <c r="H31" s="15" t="s">
        <v>356</v>
      </c>
      <c r="I31" s="16" t="s">
        <v>357</v>
      </c>
      <c r="J31" s="17" t="s">
        <v>37</v>
      </c>
      <c r="K31" s="17"/>
      <c r="L31" s="16" t="s">
        <v>37</v>
      </c>
      <c r="M31" s="17" t="s">
        <v>37</v>
      </c>
      <c r="N31" s="16" t="s">
        <v>358</v>
      </c>
    </row>
    <row r="32" customFormat="false" ht="29.25" hidden="false" customHeight="true" outlineLevel="0" collapsed="false">
      <c r="A32" s="13" t="s">
        <v>359</v>
      </c>
      <c r="B32" s="14" t="s">
        <v>274</v>
      </c>
      <c r="C32" s="15" t="s">
        <v>360</v>
      </c>
      <c r="D32" s="15" t="s">
        <v>361</v>
      </c>
      <c r="E32" s="15" t="s">
        <v>362</v>
      </c>
      <c r="F32" s="15" t="s">
        <v>363</v>
      </c>
      <c r="G32" s="15" t="s">
        <v>303</v>
      </c>
      <c r="H32" s="15" t="s">
        <v>364</v>
      </c>
      <c r="I32" s="16" t="s">
        <v>365</v>
      </c>
      <c r="J32" s="17" t="s">
        <v>37</v>
      </c>
      <c r="K32" s="17"/>
      <c r="L32" s="16" t="s">
        <v>37</v>
      </c>
      <c r="M32" s="17" t="s">
        <v>37</v>
      </c>
      <c r="N32" s="16" t="s">
        <v>366</v>
      </c>
    </row>
    <row r="33" customFormat="false" ht="43.5" hidden="false" customHeight="true" outlineLevel="0" collapsed="false">
      <c r="A33" s="13" t="s">
        <v>367</v>
      </c>
      <c r="B33" s="14" t="s">
        <v>274</v>
      </c>
      <c r="C33" s="15" t="s">
        <v>368</v>
      </c>
      <c r="D33" s="15" t="s">
        <v>361</v>
      </c>
      <c r="E33" s="15" t="s">
        <v>369</v>
      </c>
      <c r="F33" s="15" t="s">
        <v>370</v>
      </c>
      <c r="G33" s="15" t="s">
        <v>371</v>
      </c>
      <c r="H33" s="15" t="s">
        <v>149</v>
      </c>
      <c r="I33" s="16" t="s">
        <v>372</v>
      </c>
      <c r="J33" s="17" t="s">
        <v>37</v>
      </c>
      <c r="K33" s="17"/>
      <c r="L33" s="16" t="s">
        <v>37</v>
      </c>
      <c r="M33" s="17" t="s">
        <v>37</v>
      </c>
      <c r="N33" s="17" t="s">
        <v>373</v>
      </c>
    </row>
    <row r="34" customFormat="false" ht="29.25" hidden="false" customHeight="true" outlineLevel="0" collapsed="false">
      <c r="A34" s="13" t="s">
        <v>374</v>
      </c>
      <c r="B34" s="14" t="s">
        <v>274</v>
      </c>
      <c r="C34" s="15" t="s">
        <v>375</v>
      </c>
      <c r="D34" s="14" t="s">
        <v>136</v>
      </c>
      <c r="E34" s="15" t="s">
        <v>376</v>
      </c>
      <c r="F34" s="15" t="s">
        <v>377</v>
      </c>
      <c r="G34" s="15" t="s">
        <v>378</v>
      </c>
      <c r="H34" s="15" t="s">
        <v>253</v>
      </c>
      <c r="I34" s="16" t="s">
        <v>379</v>
      </c>
      <c r="J34" s="17" t="s">
        <v>37</v>
      </c>
      <c r="K34" s="17"/>
      <c r="L34" s="16" t="s">
        <v>37</v>
      </c>
      <c r="M34" s="17" t="s">
        <v>37</v>
      </c>
      <c r="N34" s="16" t="s">
        <v>380</v>
      </c>
    </row>
    <row r="35" customFormat="false" ht="43.5" hidden="false" customHeight="true" outlineLevel="0" collapsed="false">
      <c r="A35" s="13" t="s">
        <v>381</v>
      </c>
      <c r="B35" s="14" t="s">
        <v>274</v>
      </c>
      <c r="C35" s="15" t="s">
        <v>382</v>
      </c>
      <c r="D35" s="15" t="s">
        <v>383</v>
      </c>
      <c r="E35" s="15" t="s">
        <v>384</v>
      </c>
      <c r="F35" s="15" t="s">
        <v>385</v>
      </c>
      <c r="G35" s="15" t="s">
        <v>234</v>
      </c>
      <c r="H35" s="15" t="s">
        <v>386</v>
      </c>
      <c r="I35" s="16" t="s">
        <v>387</v>
      </c>
      <c r="J35" s="17" t="s">
        <v>37</v>
      </c>
      <c r="K35" s="17"/>
      <c r="L35" s="16" t="s">
        <v>37</v>
      </c>
      <c r="M35" s="17" t="s">
        <v>37</v>
      </c>
      <c r="N35" s="17" t="s">
        <v>388</v>
      </c>
    </row>
    <row r="36" customFormat="false" ht="29.25" hidden="false" customHeight="true" outlineLevel="0" collapsed="false">
      <c r="A36" s="13" t="s">
        <v>389</v>
      </c>
      <c r="B36" s="14" t="s">
        <v>274</v>
      </c>
      <c r="C36" s="15" t="s">
        <v>390</v>
      </c>
      <c r="D36" s="14" t="s">
        <v>136</v>
      </c>
      <c r="E36" s="15" t="s">
        <v>391</v>
      </c>
      <c r="F36" s="15" t="s">
        <v>392</v>
      </c>
      <c r="G36" s="15" t="s">
        <v>234</v>
      </c>
      <c r="H36" s="15" t="s">
        <v>393</v>
      </c>
      <c r="I36" s="16" t="s">
        <v>394</v>
      </c>
      <c r="J36" s="17" t="s">
        <v>37</v>
      </c>
      <c r="K36" s="17" t="s">
        <v>395</v>
      </c>
      <c r="L36" s="16" t="s">
        <v>53</v>
      </c>
      <c r="M36" s="17" t="s">
        <v>37</v>
      </c>
      <c r="N36" s="16" t="s">
        <v>396</v>
      </c>
    </row>
    <row r="37" customFormat="false" ht="15" hidden="false" customHeight="true" outlineLevel="0" collapsed="false">
      <c r="A37" s="13" t="s">
        <v>397</v>
      </c>
      <c r="B37" s="14" t="s">
        <v>274</v>
      </c>
      <c r="C37" s="15" t="s">
        <v>398</v>
      </c>
      <c r="D37" s="14" t="s">
        <v>136</v>
      </c>
      <c r="E37" s="15" t="s">
        <v>399</v>
      </c>
      <c r="F37" s="15" t="s">
        <v>400</v>
      </c>
      <c r="G37" s="15" t="s">
        <v>401</v>
      </c>
      <c r="H37" s="15" t="s">
        <v>149</v>
      </c>
      <c r="I37" s="16" t="s">
        <v>402</v>
      </c>
      <c r="J37" s="17" t="s">
        <v>39</v>
      </c>
      <c r="K37" s="17" t="s">
        <v>403</v>
      </c>
      <c r="L37" s="16" t="s">
        <v>53</v>
      </c>
      <c r="M37" s="17" t="s">
        <v>37</v>
      </c>
      <c r="N37" s="17" t="s">
        <v>404</v>
      </c>
    </row>
    <row r="38" customFormat="false" ht="29.25" hidden="false" customHeight="true" outlineLevel="0" collapsed="false">
      <c r="A38" s="13" t="s">
        <v>405</v>
      </c>
      <c r="B38" s="14" t="s">
        <v>274</v>
      </c>
      <c r="C38" s="15" t="s">
        <v>406</v>
      </c>
      <c r="D38" s="14" t="s">
        <v>136</v>
      </c>
      <c r="E38" s="15" t="s">
        <v>407</v>
      </c>
      <c r="F38" s="15" t="s">
        <v>408</v>
      </c>
      <c r="G38" s="15" t="s">
        <v>409</v>
      </c>
      <c r="H38" s="15" t="s">
        <v>149</v>
      </c>
      <c r="I38" s="16" t="s">
        <v>410</v>
      </c>
      <c r="J38" s="17" t="s">
        <v>39</v>
      </c>
      <c r="K38" s="17" t="s">
        <v>411</v>
      </c>
      <c r="L38" s="16" t="s">
        <v>53</v>
      </c>
      <c r="M38" s="17" t="s">
        <v>37</v>
      </c>
      <c r="N38" s="16" t="s">
        <v>412</v>
      </c>
    </row>
    <row r="39" customFormat="false" ht="16.5" hidden="false" customHeight="true" outlineLevel="0" collapsed="false">
      <c r="A39" s="12" t="s">
        <v>413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414</v>
      </c>
      <c r="B40" s="14" t="s">
        <v>415</v>
      </c>
      <c r="C40" s="15" t="s">
        <v>416</v>
      </c>
      <c r="D40" s="15" t="s">
        <v>417</v>
      </c>
      <c r="E40" s="15" t="s">
        <v>418</v>
      </c>
      <c r="F40" s="15" t="s">
        <v>419</v>
      </c>
      <c r="G40" s="15" t="s">
        <v>420</v>
      </c>
      <c r="H40" s="15" t="s">
        <v>386</v>
      </c>
      <c r="I40" s="16" t="s">
        <v>421</v>
      </c>
      <c r="J40" s="17" t="s">
        <v>39</v>
      </c>
      <c r="K40" s="17" t="s">
        <v>422</v>
      </c>
      <c r="L40" s="16" t="s">
        <v>53</v>
      </c>
      <c r="M40" s="17" t="s">
        <v>37</v>
      </c>
      <c r="N40" s="17" t="s">
        <v>423</v>
      </c>
    </row>
    <row r="41" customFormat="false" ht="43.5" hidden="false" customHeight="true" outlineLevel="0" collapsed="false">
      <c r="A41" s="13" t="s">
        <v>424</v>
      </c>
      <c r="B41" s="14" t="s">
        <v>415</v>
      </c>
      <c r="C41" s="15" t="s">
        <v>425</v>
      </c>
      <c r="D41" s="15" t="s">
        <v>426</v>
      </c>
      <c r="E41" s="15" t="s">
        <v>427</v>
      </c>
      <c r="F41" s="15" t="s">
        <v>428</v>
      </c>
      <c r="G41" s="15" t="s">
        <v>429</v>
      </c>
      <c r="H41" s="15" t="s">
        <v>244</v>
      </c>
      <c r="I41" s="16" t="s">
        <v>430</v>
      </c>
      <c r="J41" s="17" t="s">
        <v>37</v>
      </c>
      <c r="K41" s="17" t="s">
        <v>431</v>
      </c>
      <c r="L41" s="16" t="s">
        <v>53</v>
      </c>
      <c r="M41" s="17" t="s">
        <v>37</v>
      </c>
      <c r="N41" s="16" t="s">
        <v>432</v>
      </c>
    </row>
    <row r="42" customFormat="false" ht="43.5" hidden="false" customHeight="true" outlineLevel="0" collapsed="false">
      <c r="A42" s="13" t="s">
        <v>433</v>
      </c>
      <c r="B42" s="14" t="s">
        <v>415</v>
      </c>
      <c r="C42" s="15" t="s">
        <v>434</v>
      </c>
      <c r="D42" s="15" t="s">
        <v>435</v>
      </c>
      <c r="E42" s="15" t="s">
        <v>436</v>
      </c>
      <c r="F42" s="14" t="s">
        <v>437</v>
      </c>
      <c r="G42" s="15" t="s">
        <v>438</v>
      </c>
      <c r="H42" s="15" t="s">
        <v>244</v>
      </c>
      <c r="I42" s="16" t="s">
        <v>439</v>
      </c>
      <c r="J42" s="17" t="s">
        <v>37</v>
      </c>
      <c r="K42" s="17"/>
      <c r="L42" s="16" t="s">
        <v>37</v>
      </c>
      <c r="M42" s="17" t="s">
        <v>37</v>
      </c>
      <c r="N42" s="16" t="s">
        <v>440</v>
      </c>
    </row>
    <row r="43" customFormat="false" ht="43.5" hidden="false" customHeight="true" outlineLevel="0" collapsed="false">
      <c r="A43" s="13" t="s">
        <v>441</v>
      </c>
      <c r="B43" s="14" t="s">
        <v>415</v>
      </c>
      <c r="C43" s="15" t="s">
        <v>442</v>
      </c>
      <c r="D43" s="15" t="s">
        <v>443</v>
      </c>
      <c r="E43" s="15" t="s">
        <v>444</v>
      </c>
      <c r="F43" s="15" t="s">
        <v>445</v>
      </c>
      <c r="G43" s="15" t="s">
        <v>446</v>
      </c>
      <c r="H43" s="15" t="s">
        <v>149</v>
      </c>
      <c r="I43" s="16" t="s">
        <v>447</v>
      </c>
      <c r="J43" s="17" t="s">
        <v>37</v>
      </c>
      <c r="K43" s="17" t="s">
        <v>448</v>
      </c>
      <c r="L43" s="16" t="s">
        <v>53</v>
      </c>
      <c r="M43" s="17" t="s">
        <v>37</v>
      </c>
      <c r="N43" s="16" t="s">
        <v>449</v>
      </c>
    </row>
    <row r="44" customFormat="false" ht="57.75" hidden="false" customHeight="true" outlineLevel="0" collapsed="false">
      <c r="A44" s="13" t="s">
        <v>450</v>
      </c>
      <c r="B44" s="14" t="s">
        <v>415</v>
      </c>
      <c r="C44" s="15" t="s">
        <v>451</v>
      </c>
      <c r="D44" s="15" t="s">
        <v>452</v>
      </c>
      <c r="E44" s="15" t="s">
        <v>453</v>
      </c>
      <c r="F44" s="15" t="s">
        <v>454</v>
      </c>
      <c r="G44" s="15" t="s">
        <v>455</v>
      </c>
      <c r="H44" s="15" t="s">
        <v>149</v>
      </c>
      <c r="I44" s="16" t="s">
        <v>456</v>
      </c>
      <c r="J44" s="17" t="s">
        <v>45</v>
      </c>
      <c r="K44" s="17" t="s">
        <v>457</v>
      </c>
      <c r="L44" s="16" t="s">
        <v>53</v>
      </c>
      <c r="M44" s="17" t="s">
        <v>37</v>
      </c>
      <c r="N44" s="16" t="s">
        <v>458</v>
      </c>
    </row>
    <row r="45" customFormat="false" ht="43.5" hidden="false" customHeight="true" outlineLevel="0" collapsed="false">
      <c r="A45" s="13" t="s">
        <v>459</v>
      </c>
      <c r="B45" s="14" t="s">
        <v>415</v>
      </c>
      <c r="C45" s="15" t="s">
        <v>460</v>
      </c>
      <c r="D45" s="15" t="s">
        <v>461</v>
      </c>
      <c r="E45" s="15" t="s">
        <v>462</v>
      </c>
      <c r="F45" s="15" t="s">
        <v>463</v>
      </c>
      <c r="G45" s="15" t="s">
        <v>464</v>
      </c>
      <c r="H45" s="15" t="s">
        <v>149</v>
      </c>
      <c r="I45" s="16" t="s">
        <v>465</v>
      </c>
      <c r="J45" s="17" t="s">
        <v>37</v>
      </c>
      <c r="K45" s="17"/>
      <c r="L45" s="16" t="s">
        <v>37</v>
      </c>
      <c r="M45" s="17" t="s">
        <v>37</v>
      </c>
      <c r="N45" s="16" t="s">
        <v>466</v>
      </c>
    </row>
    <row r="46" customFormat="false" ht="29.25" hidden="false" customHeight="true" outlineLevel="0" collapsed="false">
      <c r="A46" s="13" t="s">
        <v>467</v>
      </c>
      <c r="B46" s="14" t="s">
        <v>415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149</v>
      </c>
      <c r="I46" s="16" t="s">
        <v>473</v>
      </c>
      <c r="J46" s="17" t="s">
        <v>37</v>
      </c>
      <c r="K46" s="17"/>
      <c r="L46" s="16" t="s">
        <v>37</v>
      </c>
      <c r="M46" s="17" t="s">
        <v>37</v>
      </c>
      <c r="N46" s="17" t="s">
        <v>474</v>
      </c>
    </row>
    <row r="47" customFormat="false" ht="43.5" hidden="false" customHeight="true" outlineLevel="0" collapsed="false">
      <c r="A47" s="13" t="s">
        <v>475</v>
      </c>
      <c r="B47" s="14" t="s">
        <v>415</v>
      </c>
      <c r="C47" s="15" t="s">
        <v>476</v>
      </c>
      <c r="D47" s="15" t="s">
        <v>477</v>
      </c>
      <c r="E47" s="15" t="s">
        <v>478</v>
      </c>
      <c r="F47" s="15" t="s">
        <v>479</v>
      </c>
      <c r="G47" s="14" t="s">
        <v>480</v>
      </c>
      <c r="H47" s="15" t="s">
        <v>149</v>
      </c>
      <c r="I47" s="16" t="s">
        <v>481</v>
      </c>
      <c r="J47" s="17" t="s">
        <v>37</v>
      </c>
      <c r="K47" s="17"/>
      <c r="L47" s="16" t="s">
        <v>37</v>
      </c>
      <c r="M47" s="17" t="s">
        <v>37</v>
      </c>
      <c r="N47" s="16" t="s">
        <v>482</v>
      </c>
    </row>
    <row r="48" customFormat="false" ht="43.5" hidden="false" customHeight="true" outlineLevel="0" collapsed="false">
      <c r="A48" s="13" t="s">
        <v>483</v>
      </c>
      <c r="B48" s="14" t="s">
        <v>415</v>
      </c>
      <c r="C48" s="15" t="s">
        <v>484</v>
      </c>
      <c r="D48" s="15" t="s">
        <v>485</v>
      </c>
      <c r="E48" s="15" t="s">
        <v>486</v>
      </c>
      <c r="F48" s="15" t="s">
        <v>487</v>
      </c>
      <c r="G48" s="15" t="s">
        <v>234</v>
      </c>
      <c r="H48" s="15" t="s">
        <v>149</v>
      </c>
      <c r="I48" s="16" t="s">
        <v>488</v>
      </c>
      <c r="J48" s="17" t="s">
        <v>37</v>
      </c>
      <c r="K48" s="17"/>
      <c r="L48" s="16" t="s">
        <v>37</v>
      </c>
      <c r="M48" s="17" t="s">
        <v>37</v>
      </c>
      <c r="N48" s="16" t="s">
        <v>489</v>
      </c>
    </row>
    <row r="49" customFormat="false" ht="29.25" hidden="false" customHeight="true" outlineLevel="0" collapsed="false">
      <c r="A49" s="13" t="s">
        <v>490</v>
      </c>
      <c r="B49" s="14" t="s">
        <v>415</v>
      </c>
      <c r="C49" s="15" t="s">
        <v>491</v>
      </c>
      <c r="D49" s="14" t="s">
        <v>136</v>
      </c>
      <c r="E49" s="15" t="s">
        <v>492</v>
      </c>
      <c r="F49" s="15" t="s">
        <v>493</v>
      </c>
      <c r="G49" s="15" t="s">
        <v>234</v>
      </c>
      <c r="H49" s="15" t="s">
        <v>494</v>
      </c>
      <c r="I49" s="16" t="s">
        <v>495</v>
      </c>
      <c r="J49" s="17" t="s">
        <v>37</v>
      </c>
      <c r="K49" s="17"/>
      <c r="L49" s="16" t="s">
        <v>37</v>
      </c>
      <c r="M49" s="17" t="s">
        <v>37</v>
      </c>
      <c r="N49" s="17" t="s">
        <v>496</v>
      </c>
    </row>
    <row r="50" customFormat="false" ht="29.25" hidden="false" customHeight="true" outlineLevel="0" collapsed="false">
      <c r="A50" s="13" t="s">
        <v>497</v>
      </c>
      <c r="B50" s="14" t="s">
        <v>415</v>
      </c>
      <c r="C50" s="15" t="s">
        <v>498</v>
      </c>
      <c r="D50" s="15" t="s">
        <v>499</v>
      </c>
      <c r="E50" s="15" t="s">
        <v>500</v>
      </c>
      <c r="F50" s="15" t="s">
        <v>501</v>
      </c>
      <c r="G50" s="15" t="s">
        <v>303</v>
      </c>
      <c r="H50" s="15" t="s">
        <v>149</v>
      </c>
      <c r="I50" s="16" t="s">
        <v>502</v>
      </c>
      <c r="J50" s="17" t="s">
        <v>37</v>
      </c>
      <c r="K50" s="17"/>
      <c r="L50" s="16" t="s">
        <v>37</v>
      </c>
      <c r="M50" s="17" t="s">
        <v>37</v>
      </c>
      <c r="N50" s="16" t="s">
        <v>503</v>
      </c>
    </row>
    <row r="51" customFormat="false" ht="16.5" hidden="false" customHeight="true" outlineLevel="0" collapsed="false">
      <c r="A51" s="12" t="s">
        <v>504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505</v>
      </c>
      <c r="B52" s="14" t="s">
        <v>506</v>
      </c>
      <c r="C52" s="15" t="s">
        <v>507</v>
      </c>
      <c r="D52" s="15" t="s">
        <v>508</v>
      </c>
      <c r="E52" s="15" t="s">
        <v>509</v>
      </c>
      <c r="F52" s="15" t="s">
        <v>510</v>
      </c>
      <c r="G52" s="15" t="s">
        <v>511</v>
      </c>
      <c r="H52" s="15" t="s">
        <v>149</v>
      </c>
      <c r="I52" s="16" t="s">
        <v>512</v>
      </c>
      <c r="J52" s="17" t="s">
        <v>41</v>
      </c>
      <c r="K52" s="17" t="s">
        <v>513</v>
      </c>
      <c r="L52" s="16" t="s">
        <v>53</v>
      </c>
      <c r="M52" s="17" t="s">
        <v>37</v>
      </c>
      <c r="N52" s="16" t="s">
        <v>514</v>
      </c>
    </row>
    <row r="53" customFormat="false" ht="29.25" hidden="false" customHeight="true" outlineLevel="0" collapsed="false">
      <c r="A53" s="13" t="s">
        <v>515</v>
      </c>
      <c r="B53" s="14" t="s">
        <v>506</v>
      </c>
      <c r="C53" s="15" t="s">
        <v>516</v>
      </c>
      <c r="D53" s="14" t="s">
        <v>136</v>
      </c>
      <c r="E53" s="15" t="s">
        <v>517</v>
      </c>
      <c r="F53" s="15" t="s">
        <v>518</v>
      </c>
      <c r="G53" s="15" t="s">
        <v>234</v>
      </c>
      <c r="H53" s="15" t="s">
        <v>519</v>
      </c>
      <c r="I53" s="16" t="s">
        <v>520</v>
      </c>
      <c r="J53" s="17" t="s">
        <v>37</v>
      </c>
      <c r="K53" s="17"/>
      <c r="L53" s="16" t="s">
        <v>37</v>
      </c>
      <c r="M53" s="17" t="s">
        <v>37</v>
      </c>
      <c r="N53" s="16" t="s">
        <v>521</v>
      </c>
    </row>
    <row r="54" customFormat="false" ht="57.75" hidden="false" customHeight="true" outlineLevel="0" collapsed="false">
      <c r="A54" s="13" t="s">
        <v>522</v>
      </c>
      <c r="B54" s="14" t="s">
        <v>506</v>
      </c>
      <c r="C54" s="15" t="s">
        <v>523</v>
      </c>
      <c r="D54" s="15" t="s">
        <v>524</v>
      </c>
      <c r="E54" s="15" t="s">
        <v>525</v>
      </c>
      <c r="F54" s="15" t="s">
        <v>526</v>
      </c>
      <c r="G54" s="15" t="s">
        <v>527</v>
      </c>
      <c r="H54" s="15" t="s">
        <v>149</v>
      </c>
      <c r="I54" s="16" t="s">
        <v>528</v>
      </c>
      <c r="J54" s="17" t="s">
        <v>39</v>
      </c>
      <c r="K54" s="17" t="s">
        <v>529</v>
      </c>
      <c r="L54" s="16" t="s">
        <v>53</v>
      </c>
      <c r="M54" s="17" t="s">
        <v>37</v>
      </c>
      <c r="N54" s="16" t="s">
        <v>530</v>
      </c>
    </row>
    <row r="55" customFormat="false" ht="43.5" hidden="false" customHeight="true" outlineLevel="0" collapsed="false">
      <c r="A55" s="13" t="s">
        <v>531</v>
      </c>
      <c r="B55" s="14" t="s">
        <v>506</v>
      </c>
      <c r="C55" s="15" t="s">
        <v>532</v>
      </c>
      <c r="D55" s="15" t="s">
        <v>533</v>
      </c>
      <c r="E55" s="15" t="s">
        <v>534</v>
      </c>
      <c r="F55" s="15" t="s">
        <v>535</v>
      </c>
      <c r="G55" s="15" t="s">
        <v>536</v>
      </c>
      <c r="H55" s="15" t="s">
        <v>149</v>
      </c>
      <c r="I55" s="17" t="s">
        <v>537</v>
      </c>
      <c r="J55" s="17" t="s">
        <v>37</v>
      </c>
      <c r="K55" s="17"/>
      <c r="L55" s="16" t="s">
        <v>37</v>
      </c>
      <c r="M55" s="17" t="s">
        <v>37</v>
      </c>
      <c r="N55" s="16" t="s">
        <v>538</v>
      </c>
    </row>
    <row r="56" customFormat="false" ht="57.75" hidden="false" customHeight="true" outlineLevel="0" collapsed="false">
      <c r="A56" s="13" t="s">
        <v>539</v>
      </c>
      <c r="B56" s="14" t="s">
        <v>506</v>
      </c>
      <c r="C56" s="15" t="s">
        <v>540</v>
      </c>
      <c r="D56" s="15" t="s">
        <v>541</v>
      </c>
      <c r="E56" s="15" t="s">
        <v>542</v>
      </c>
      <c r="F56" s="15" t="s">
        <v>543</v>
      </c>
      <c r="G56" s="15" t="s">
        <v>544</v>
      </c>
      <c r="H56" s="15" t="s">
        <v>149</v>
      </c>
      <c r="I56" s="17" t="s">
        <v>545</v>
      </c>
      <c r="J56" s="17" t="s">
        <v>37</v>
      </c>
      <c r="K56" s="17"/>
      <c r="L56" s="16" t="s">
        <v>37</v>
      </c>
      <c r="M56" s="17" t="s">
        <v>37</v>
      </c>
      <c r="N56" s="16" t="s">
        <v>546</v>
      </c>
    </row>
    <row r="57" customFormat="false" ht="57.75" hidden="false" customHeight="true" outlineLevel="0" collapsed="false">
      <c r="A57" s="13" t="s">
        <v>547</v>
      </c>
      <c r="B57" s="14" t="s">
        <v>506</v>
      </c>
      <c r="C57" s="15" t="s">
        <v>548</v>
      </c>
      <c r="D57" s="15" t="s">
        <v>549</v>
      </c>
      <c r="E57" s="15" t="s">
        <v>550</v>
      </c>
      <c r="F57" s="15" t="s">
        <v>551</v>
      </c>
      <c r="G57" s="14" t="s">
        <v>552</v>
      </c>
      <c r="H57" s="15" t="s">
        <v>553</v>
      </c>
      <c r="I57" s="16" t="s">
        <v>554</v>
      </c>
      <c r="J57" s="17" t="s">
        <v>37</v>
      </c>
      <c r="K57" s="17"/>
      <c r="L57" s="16" t="s">
        <v>37</v>
      </c>
      <c r="M57" s="17" t="s">
        <v>37</v>
      </c>
      <c r="N57" s="16" t="s">
        <v>555</v>
      </c>
    </row>
    <row r="58" customFormat="false" ht="43.5" hidden="false" customHeight="true" outlineLevel="0" collapsed="false">
      <c r="A58" s="13" t="s">
        <v>556</v>
      </c>
      <c r="B58" s="14" t="s">
        <v>506</v>
      </c>
      <c r="C58" s="15" t="s">
        <v>557</v>
      </c>
      <c r="D58" s="15" t="s">
        <v>558</v>
      </c>
      <c r="E58" s="15" t="s">
        <v>559</v>
      </c>
      <c r="F58" s="15" t="s">
        <v>560</v>
      </c>
      <c r="G58" s="15" t="s">
        <v>561</v>
      </c>
      <c r="H58" s="15" t="s">
        <v>149</v>
      </c>
      <c r="I58" s="16" t="s">
        <v>562</v>
      </c>
      <c r="J58" s="17" t="s">
        <v>37</v>
      </c>
      <c r="K58" s="17"/>
      <c r="L58" s="16" t="s">
        <v>37</v>
      </c>
      <c r="M58" s="17" t="s">
        <v>37</v>
      </c>
      <c r="N58" s="17" t="s">
        <v>563</v>
      </c>
    </row>
    <row r="59" customFormat="false" ht="29.25" hidden="false" customHeight="true" outlineLevel="0" collapsed="false">
      <c r="A59" s="13" t="s">
        <v>564</v>
      </c>
      <c r="B59" s="14" t="s">
        <v>506</v>
      </c>
      <c r="C59" s="15" t="s">
        <v>565</v>
      </c>
      <c r="D59" s="15" t="s">
        <v>566</v>
      </c>
      <c r="E59" s="15" t="s">
        <v>567</v>
      </c>
      <c r="F59" s="15" t="s">
        <v>568</v>
      </c>
      <c r="G59" s="15" t="s">
        <v>167</v>
      </c>
      <c r="H59" s="15" t="s">
        <v>149</v>
      </c>
      <c r="I59" s="17" t="s">
        <v>569</v>
      </c>
      <c r="J59" s="17" t="s">
        <v>37</v>
      </c>
      <c r="K59" s="17"/>
      <c r="L59" s="16" t="s">
        <v>37</v>
      </c>
      <c r="M59" s="17" t="s">
        <v>37</v>
      </c>
      <c r="N59" s="16" t="s">
        <v>570</v>
      </c>
    </row>
    <row r="60" customFormat="false" ht="72" hidden="false" customHeight="true" outlineLevel="0" collapsed="false">
      <c r="A60" s="13" t="s">
        <v>571</v>
      </c>
      <c r="B60" s="14" t="s">
        <v>506</v>
      </c>
      <c r="C60" s="15" t="s">
        <v>572</v>
      </c>
      <c r="D60" s="15" t="s">
        <v>573</v>
      </c>
      <c r="E60" s="15" t="s">
        <v>574</v>
      </c>
      <c r="F60" s="14" t="s">
        <v>575</v>
      </c>
      <c r="G60" s="14" t="s">
        <v>576</v>
      </c>
      <c r="H60" s="15" t="s">
        <v>149</v>
      </c>
      <c r="I60" s="16" t="s">
        <v>577</v>
      </c>
      <c r="J60" s="17" t="s">
        <v>37</v>
      </c>
      <c r="K60" s="17"/>
      <c r="L60" s="16" t="s">
        <v>37</v>
      </c>
      <c r="M60" s="17" t="s">
        <v>37</v>
      </c>
      <c r="N60" s="16" t="s">
        <v>578</v>
      </c>
    </row>
    <row r="61" customFormat="false" ht="29.25" hidden="false" customHeight="true" outlineLevel="0" collapsed="false">
      <c r="A61" s="13" t="s">
        <v>579</v>
      </c>
      <c r="B61" s="14" t="s">
        <v>506</v>
      </c>
      <c r="C61" s="15" t="s">
        <v>580</v>
      </c>
      <c r="D61" s="15" t="s">
        <v>167</v>
      </c>
      <c r="E61" s="15" t="s">
        <v>581</v>
      </c>
      <c r="F61" s="15" t="s">
        <v>582</v>
      </c>
      <c r="G61" s="15" t="s">
        <v>583</v>
      </c>
      <c r="H61" s="15" t="s">
        <v>149</v>
      </c>
      <c r="I61" s="16" t="s">
        <v>584</v>
      </c>
      <c r="J61" s="17" t="s">
        <v>37</v>
      </c>
      <c r="K61" s="17"/>
      <c r="L61" s="16" t="s">
        <v>37</v>
      </c>
      <c r="M61" s="17" t="s">
        <v>37</v>
      </c>
      <c r="N61" s="16" t="s">
        <v>585</v>
      </c>
    </row>
    <row r="62" customFormat="false" ht="57.75" hidden="false" customHeight="true" outlineLevel="0" collapsed="false">
      <c r="A62" s="13" t="s">
        <v>586</v>
      </c>
      <c r="B62" s="14" t="s">
        <v>506</v>
      </c>
      <c r="C62" s="15" t="s">
        <v>587</v>
      </c>
      <c r="D62" s="15" t="s">
        <v>588</v>
      </c>
      <c r="E62" s="15" t="s">
        <v>589</v>
      </c>
      <c r="F62" s="15" t="s">
        <v>590</v>
      </c>
      <c r="G62" s="15" t="s">
        <v>561</v>
      </c>
      <c r="H62" s="15" t="s">
        <v>149</v>
      </c>
      <c r="I62" s="16" t="s">
        <v>591</v>
      </c>
      <c r="J62" s="17" t="s">
        <v>37</v>
      </c>
      <c r="K62" s="17"/>
      <c r="L62" s="16" t="s">
        <v>37</v>
      </c>
      <c r="M62" s="17" t="s">
        <v>37</v>
      </c>
      <c r="N62" s="17" t="s">
        <v>592</v>
      </c>
    </row>
    <row r="63" customFormat="false" ht="29.25" hidden="false" customHeight="true" outlineLevel="0" collapsed="false">
      <c r="A63" s="13" t="s">
        <v>593</v>
      </c>
      <c r="B63" s="14" t="s">
        <v>506</v>
      </c>
      <c r="C63" s="15" t="s">
        <v>594</v>
      </c>
      <c r="D63" s="15" t="s">
        <v>595</v>
      </c>
      <c r="E63" s="15" t="s">
        <v>596</v>
      </c>
      <c r="F63" s="15" t="s">
        <v>597</v>
      </c>
      <c r="G63" s="15" t="s">
        <v>598</v>
      </c>
      <c r="H63" s="15" t="s">
        <v>149</v>
      </c>
      <c r="I63" s="16" t="s">
        <v>599</v>
      </c>
      <c r="J63" s="17" t="s">
        <v>37</v>
      </c>
      <c r="K63" s="17"/>
      <c r="L63" s="16" t="s">
        <v>37</v>
      </c>
      <c r="M63" s="17" t="s">
        <v>37</v>
      </c>
      <c r="N63" s="17" t="s">
        <v>600</v>
      </c>
    </row>
    <row r="64" customFormat="false" ht="29.25" hidden="false" customHeight="true" outlineLevel="0" collapsed="false">
      <c r="A64" s="13" t="s">
        <v>601</v>
      </c>
      <c r="B64" s="14" t="s">
        <v>506</v>
      </c>
      <c r="C64" s="15" t="s">
        <v>602</v>
      </c>
      <c r="D64" s="15" t="s">
        <v>603</v>
      </c>
      <c r="E64" s="15" t="s">
        <v>604</v>
      </c>
      <c r="F64" s="15" t="s">
        <v>605</v>
      </c>
      <c r="G64" s="15" t="s">
        <v>606</v>
      </c>
      <c r="H64" s="15" t="s">
        <v>149</v>
      </c>
      <c r="I64" s="16" t="s">
        <v>607</v>
      </c>
      <c r="J64" s="17" t="s">
        <v>39</v>
      </c>
      <c r="K64" s="17" t="s">
        <v>608</v>
      </c>
      <c r="L64" s="16" t="s">
        <v>53</v>
      </c>
      <c r="M64" s="17" t="s">
        <v>37</v>
      </c>
      <c r="N64" s="16" t="s">
        <v>609</v>
      </c>
    </row>
    <row r="65" customFormat="false" ht="29.25" hidden="false" customHeight="true" outlineLevel="0" collapsed="false">
      <c r="A65" s="13" t="s">
        <v>610</v>
      </c>
      <c r="B65" s="14" t="s">
        <v>506</v>
      </c>
      <c r="C65" s="15" t="s">
        <v>611</v>
      </c>
      <c r="D65" s="14" t="s">
        <v>136</v>
      </c>
      <c r="E65" s="15" t="s">
        <v>612</v>
      </c>
      <c r="F65" s="15" t="s">
        <v>613</v>
      </c>
      <c r="G65" s="15" t="s">
        <v>234</v>
      </c>
      <c r="H65" s="15" t="s">
        <v>149</v>
      </c>
      <c r="I65" s="16" t="s">
        <v>614</v>
      </c>
      <c r="J65" s="17" t="s">
        <v>39</v>
      </c>
      <c r="K65" s="17" t="s">
        <v>615</v>
      </c>
      <c r="L65" s="16" t="s">
        <v>53</v>
      </c>
      <c r="M65" s="17" t="s">
        <v>37</v>
      </c>
      <c r="N65" s="16" t="s">
        <v>616</v>
      </c>
    </row>
    <row r="66" customFormat="false" ht="43.5" hidden="false" customHeight="true" outlineLevel="0" collapsed="false">
      <c r="A66" s="13" t="s">
        <v>617</v>
      </c>
      <c r="B66" s="14" t="s">
        <v>506</v>
      </c>
      <c r="C66" s="15" t="s">
        <v>618</v>
      </c>
      <c r="D66" s="15" t="s">
        <v>619</v>
      </c>
      <c r="E66" s="15" t="s">
        <v>620</v>
      </c>
      <c r="F66" s="15" t="s">
        <v>621</v>
      </c>
      <c r="G66" s="15" t="s">
        <v>401</v>
      </c>
      <c r="H66" s="15" t="s">
        <v>149</v>
      </c>
      <c r="I66" s="16" t="s">
        <v>622</v>
      </c>
      <c r="J66" s="17" t="s">
        <v>37</v>
      </c>
      <c r="K66" s="17"/>
      <c r="L66" s="16" t="s">
        <v>37</v>
      </c>
      <c r="M66" s="17" t="s">
        <v>37</v>
      </c>
      <c r="N66" s="16" t="s">
        <v>623</v>
      </c>
    </row>
    <row r="67" customFormat="false" ht="43.5" hidden="false" customHeight="true" outlineLevel="0" collapsed="false">
      <c r="A67" s="13" t="s">
        <v>624</v>
      </c>
      <c r="B67" s="14" t="s">
        <v>506</v>
      </c>
      <c r="C67" s="15" t="s">
        <v>625</v>
      </c>
      <c r="D67" s="15" t="s">
        <v>603</v>
      </c>
      <c r="E67" s="15" t="s">
        <v>626</v>
      </c>
      <c r="F67" s="15" t="s">
        <v>627</v>
      </c>
      <c r="G67" s="15" t="s">
        <v>234</v>
      </c>
      <c r="H67" s="15" t="s">
        <v>628</v>
      </c>
      <c r="I67" s="16" t="s">
        <v>629</v>
      </c>
      <c r="J67" s="17" t="s">
        <v>37</v>
      </c>
      <c r="K67" s="17"/>
      <c r="L67" s="16" t="s">
        <v>37</v>
      </c>
      <c r="M67" s="17" t="s">
        <v>37</v>
      </c>
      <c r="N67" s="16" t="s">
        <v>630</v>
      </c>
    </row>
    <row r="68" customFormat="false" ht="29.25" hidden="false" customHeight="true" outlineLevel="0" collapsed="false">
      <c r="A68" s="13" t="s">
        <v>631</v>
      </c>
      <c r="B68" s="14" t="s">
        <v>506</v>
      </c>
      <c r="C68" s="15" t="s">
        <v>632</v>
      </c>
      <c r="D68" s="15" t="s">
        <v>633</v>
      </c>
      <c r="E68" s="15" t="s">
        <v>634</v>
      </c>
      <c r="F68" s="15" t="s">
        <v>635</v>
      </c>
      <c r="G68" s="15" t="s">
        <v>234</v>
      </c>
      <c r="H68" s="15" t="s">
        <v>149</v>
      </c>
      <c r="I68" s="16" t="s">
        <v>636</v>
      </c>
      <c r="J68" s="17" t="s">
        <v>37</v>
      </c>
      <c r="K68" s="17"/>
      <c r="L68" s="16" t="s">
        <v>37</v>
      </c>
      <c r="M68" s="17" t="s">
        <v>37</v>
      </c>
      <c r="N68" s="16" t="s">
        <v>637</v>
      </c>
    </row>
    <row r="69" customFormat="false" ht="16.5" hidden="false" customHeight="true" outlineLevel="0" collapsed="false">
      <c r="A69" s="12" t="s">
        <v>638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639</v>
      </c>
      <c r="B70" s="14" t="s">
        <v>640</v>
      </c>
      <c r="C70" s="15" t="s">
        <v>641</v>
      </c>
      <c r="D70" s="15" t="s">
        <v>642</v>
      </c>
      <c r="E70" s="15" t="s">
        <v>643</v>
      </c>
      <c r="F70" s="15" t="s">
        <v>644</v>
      </c>
      <c r="G70" s="15" t="s">
        <v>645</v>
      </c>
      <c r="H70" s="15" t="s">
        <v>646</v>
      </c>
      <c r="I70" s="16" t="s">
        <v>647</v>
      </c>
      <c r="J70" s="17" t="s">
        <v>37</v>
      </c>
      <c r="K70" s="17" t="s">
        <v>648</v>
      </c>
      <c r="L70" s="16" t="s">
        <v>53</v>
      </c>
      <c r="M70" s="17" t="s">
        <v>37</v>
      </c>
      <c r="N70" s="16" t="s">
        <v>649</v>
      </c>
    </row>
    <row r="71" customFormat="false" ht="43.5" hidden="false" customHeight="true" outlineLevel="0" collapsed="false">
      <c r="A71" s="13" t="s">
        <v>650</v>
      </c>
      <c r="B71" s="14" t="s">
        <v>640</v>
      </c>
      <c r="C71" s="15" t="s">
        <v>651</v>
      </c>
      <c r="D71" s="15" t="s">
        <v>652</v>
      </c>
      <c r="E71" s="15" t="s">
        <v>653</v>
      </c>
      <c r="F71" s="15" t="s">
        <v>654</v>
      </c>
      <c r="G71" s="15" t="s">
        <v>655</v>
      </c>
      <c r="H71" s="15" t="s">
        <v>656</v>
      </c>
      <c r="I71" s="17" t="s">
        <v>657</v>
      </c>
      <c r="J71" s="17" t="s">
        <v>37</v>
      </c>
      <c r="K71" s="17"/>
      <c r="L71" s="16" t="s">
        <v>37</v>
      </c>
      <c r="M71" s="17" t="s">
        <v>37</v>
      </c>
      <c r="N71" s="17" t="s">
        <v>658</v>
      </c>
    </row>
    <row r="72" customFormat="false" ht="43.5" hidden="false" customHeight="true" outlineLevel="0" collapsed="false">
      <c r="A72" s="13" t="s">
        <v>659</v>
      </c>
      <c r="B72" s="14" t="s">
        <v>640</v>
      </c>
      <c r="C72" s="15" t="s">
        <v>660</v>
      </c>
      <c r="D72" s="14" t="s">
        <v>136</v>
      </c>
      <c r="E72" s="15" t="s">
        <v>661</v>
      </c>
      <c r="F72" s="14" t="s">
        <v>662</v>
      </c>
      <c r="G72" s="15" t="s">
        <v>234</v>
      </c>
      <c r="H72" s="15" t="s">
        <v>663</v>
      </c>
      <c r="I72" s="17" t="s">
        <v>664</v>
      </c>
      <c r="J72" s="17" t="s">
        <v>37</v>
      </c>
      <c r="K72" s="17"/>
      <c r="L72" s="16" t="s">
        <v>37</v>
      </c>
      <c r="M72" s="17" t="s">
        <v>37</v>
      </c>
      <c r="N72" s="16" t="s">
        <v>665</v>
      </c>
    </row>
    <row r="73" customFormat="false" ht="43.5" hidden="false" customHeight="true" outlineLevel="0" collapsed="false">
      <c r="A73" s="13" t="s">
        <v>666</v>
      </c>
      <c r="B73" s="14" t="s">
        <v>640</v>
      </c>
      <c r="C73" s="15" t="s">
        <v>667</v>
      </c>
      <c r="D73" s="15" t="s">
        <v>668</v>
      </c>
      <c r="E73" s="15" t="s">
        <v>669</v>
      </c>
      <c r="F73" s="14" t="s">
        <v>670</v>
      </c>
      <c r="G73" s="15" t="s">
        <v>234</v>
      </c>
      <c r="H73" s="15" t="s">
        <v>671</v>
      </c>
      <c r="I73" s="17" t="s">
        <v>672</v>
      </c>
      <c r="J73" s="17" t="s">
        <v>37</v>
      </c>
      <c r="K73" s="17"/>
      <c r="L73" s="16" t="s">
        <v>37</v>
      </c>
      <c r="M73" s="17" t="s">
        <v>37</v>
      </c>
      <c r="N73" s="17" t="s">
        <v>673</v>
      </c>
    </row>
    <row r="74" customFormat="false" ht="57.75" hidden="false" customHeight="true" outlineLevel="0" collapsed="false">
      <c r="A74" s="13" t="s">
        <v>674</v>
      </c>
      <c r="B74" s="14" t="s">
        <v>640</v>
      </c>
      <c r="C74" s="15" t="s">
        <v>675</v>
      </c>
      <c r="D74" s="14" t="s">
        <v>676</v>
      </c>
      <c r="E74" s="15" t="s">
        <v>677</v>
      </c>
      <c r="F74" s="14" t="s">
        <v>678</v>
      </c>
      <c r="G74" s="15" t="s">
        <v>679</v>
      </c>
      <c r="H74" s="15" t="s">
        <v>680</v>
      </c>
      <c r="I74" s="16" t="s">
        <v>681</v>
      </c>
      <c r="J74" s="17" t="s">
        <v>41</v>
      </c>
      <c r="K74" s="17" t="s">
        <v>682</v>
      </c>
      <c r="L74" s="16" t="s">
        <v>53</v>
      </c>
      <c r="M74" s="17" t="s">
        <v>37</v>
      </c>
      <c r="N74" s="16" t="s">
        <v>683</v>
      </c>
    </row>
    <row r="75" customFormat="false" ht="43.5" hidden="false" customHeight="true" outlineLevel="0" collapsed="false">
      <c r="A75" s="13" t="s">
        <v>684</v>
      </c>
      <c r="B75" s="14" t="s">
        <v>640</v>
      </c>
      <c r="C75" s="15" t="s">
        <v>685</v>
      </c>
      <c r="D75" s="14" t="s">
        <v>136</v>
      </c>
      <c r="E75" s="15" t="s">
        <v>686</v>
      </c>
      <c r="F75" s="15" t="s">
        <v>687</v>
      </c>
      <c r="G75" s="15" t="s">
        <v>234</v>
      </c>
      <c r="H75" s="15" t="s">
        <v>688</v>
      </c>
      <c r="I75" s="16" t="s">
        <v>689</v>
      </c>
      <c r="J75" s="17" t="s">
        <v>41</v>
      </c>
      <c r="K75" s="17"/>
      <c r="L75" s="16" t="s">
        <v>37</v>
      </c>
      <c r="M75" s="17" t="s">
        <v>37</v>
      </c>
      <c r="N75" s="16" t="s">
        <v>690</v>
      </c>
    </row>
    <row r="76" customFormat="false" ht="43.5" hidden="false" customHeight="true" outlineLevel="0" collapsed="false">
      <c r="A76" s="13" t="s">
        <v>691</v>
      </c>
      <c r="B76" s="14" t="s">
        <v>640</v>
      </c>
      <c r="C76" s="14" t="s">
        <v>692</v>
      </c>
      <c r="D76" s="15" t="s">
        <v>693</v>
      </c>
      <c r="E76" s="15" t="s">
        <v>694</v>
      </c>
      <c r="F76" s="15" t="s">
        <v>695</v>
      </c>
      <c r="G76" s="15" t="s">
        <v>234</v>
      </c>
      <c r="H76" s="15" t="s">
        <v>696</v>
      </c>
      <c r="I76" s="16" t="s">
        <v>697</v>
      </c>
      <c r="J76" s="17" t="s">
        <v>37</v>
      </c>
      <c r="K76" s="17"/>
      <c r="L76" s="16" t="s">
        <v>37</v>
      </c>
      <c r="M76" s="17" t="s">
        <v>37</v>
      </c>
      <c r="N76" s="16" t="s">
        <v>698</v>
      </c>
    </row>
    <row r="77" customFormat="false" ht="43.5" hidden="false" customHeight="true" outlineLevel="0" collapsed="false">
      <c r="A77" s="13" t="s">
        <v>699</v>
      </c>
      <c r="B77" s="14" t="s">
        <v>640</v>
      </c>
      <c r="C77" s="14" t="s">
        <v>700</v>
      </c>
      <c r="D77" s="14" t="s">
        <v>136</v>
      </c>
      <c r="E77" s="15" t="s">
        <v>701</v>
      </c>
      <c r="F77" s="15" t="s">
        <v>702</v>
      </c>
      <c r="G77" s="15" t="s">
        <v>234</v>
      </c>
      <c r="H77" s="15" t="s">
        <v>703</v>
      </c>
      <c r="I77" s="16" t="s">
        <v>704</v>
      </c>
      <c r="J77" s="17" t="s">
        <v>37</v>
      </c>
      <c r="K77" s="17"/>
      <c r="L77" s="16" t="s">
        <v>37</v>
      </c>
      <c r="M77" s="17" t="s">
        <v>37</v>
      </c>
      <c r="N77" s="16" t="s">
        <v>705</v>
      </c>
    </row>
    <row r="78" customFormat="false" ht="29.25" hidden="false" customHeight="true" outlineLevel="0" collapsed="false">
      <c r="A78" s="13" t="s">
        <v>706</v>
      </c>
      <c r="B78" s="14" t="s">
        <v>640</v>
      </c>
      <c r="C78" s="15" t="s">
        <v>707</v>
      </c>
      <c r="D78" s="14" t="s">
        <v>136</v>
      </c>
      <c r="E78" s="15" t="s">
        <v>708</v>
      </c>
      <c r="F78" s="15" t="s">
        <v>709</v>
      </c>
      <c r="G78" s="15" t="s">
        <v>234</v>
      </c>
      <c r="H78" s="15" t="s">
        <v>393</v>
      </c>
      <c r="I78" s="16" t="s">
        <v>710</v>
      </c>
      <c r="J78" s="17" t="s">
        <v>41</v>
      </c>
      <c r="K78" s="17"/>
      <c r="L78" s="16" t="s">
        <v>37</v>
      </c>
      <c r="M78" s="17" t="s">
        <v>37</v>
      </c>
      <c r="N78" s="16" t="s">
        <v>711</v>
      </c>
    </row>
    <row r="79" customFormat="false" ht="54.75" hidden="false" customHeight="true" outlineLevel="0" collapsed="false">
      <c r="A79" s="13" t="s">
        <v>712</v>
      </c>
      <c r="B79" s="14" t="s">
        <v>640</v>
      </c>
      <c r="C79" s="15" t="s">
        <v>713</v>
      </c>
      <c r="D79" s="15" t="s">
        <v>714</v>
      </c>
      <c r="E79" s="15" t="s">
        <v>715</v>
      </c>
      <c r="F79" s="15" t="s">
        <v>716</v>
      </c>
      <c r="G79" s="15" t="s">
        <v>717</v>
      </c>
      <c r="H79" s="15" t="s">
        <v>718</v>
      </c>
      <c r="I79" s="16" t="s">
        <v>719</v>
      </c>
      <c r="J79" s="17" t="s">
        <v>37</v>
      </c>
      <c r="K79" s="17"/>
      <c r="L79" s="16" t="s">
        <v>37</v>
      </c>
      <c r="M79" s="17" t="s">
        <v>37</v>
      </c>
      <c r="N79" s="16" t="s">
        <v>720</v>
      </c>
    </row>
    <row r="80" customFormat="false" ht="43.5" hidden="false" customHeight="true" outlineLevel="0" collapsed="false">
      <c r="A80" s="13" t="s">
        <v>721</v>
      </c>
      <c r="B80" s="14" t="s">
        <v>640</v>
      </c>
      <c r="C80" s="15" t="s">
        <v>722</v>
      </c>
      <c r="D80" s="15" t="s">
        <v>723</v>
      </c>
      <c r="E80" s="15" t="s">
        <v>653</v>
      </c>
      <c r="F80" s="15" t="s">
        <v>724</v>
      </c>
      <c r="G80" s="15" t="s">
        <v>725</v>
      </c>
      <c r="H80" s="15" t="s">
        <v>149</v>
      </c>
      <c r="I80" s="16" t="s">
        <v>726</v>
      </c>
      <c r="J80" s="17" t="s">
        <v>41</v>
      </c>
      <c r="K80" s="17" t="s">
        <v>727</v>
      </c>
      <c r="L80" s="16" t="s">
        <v>53</v>
      </c>
      <c r="M80" s="17" t="s">
        <v>37</v>
      </c>
      <c r="N80" s="17" t="s">
        <v>728</v>
      </c>
    </row>
    <row r="81" customFormat="false" ht="29.25" hidden="false" customHeight="true" outlineLevel="0" collapsed="false">
      <c r="A81" s="13" t="s">
        <v>729</v>
      </c>
      <c r="B81" s="14" t="s">
        <v>640</v>
      </c>
      <c r="C81" s="15" t="s">
        <v>730</v>
      </c>
      <c r="D81" s="15" t="s">
        <v>731</v>
      </c>
      <c r="E81" s="15" t="s">
        <v>732</v>
      </c>
      <c r="F81" s="15" t="s">
        <v>733</v>
      </c>
      <c r="G81" s="15" t="s">
        <v>234</v>
      </c>
      <c r="H81" s="15" t="s">
        <v>734</v>
      </c>
      <c r="I81" s="16" t="s">
        <v>735</v>
      </c>
      <c r="J81" s="17" t="s">
        <v>37</v>
      </c>
      <c r="K81" s="17"/>
      <c r="L81" s="16" t="s">
        <v>37</v>
      </c>
      <c r="M81" s="17" t="s">
        <v>37</v>
      </c>
      <c r="N81" s="17" t="s">
        <v>736</v>
      </c>
    </row>
    <row r="82" customFormat="false" ht="16.5" hidden="false" customHeight="true" outlineLevel="0" collapsed="false">
      <c r="A82" s="12" t="s">
        <v>737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738</v>
      </c>
      <c r="B83" s="14" t="s">
        <v>739</v>
      </c>
      <c r="C83" s="14" t="s">
        <v>740</v>
      </c>
      <c r="D83" s="15" t="s">
        <v>741</v>
      </c>
      <c r="E83" s="15" t="s">
        <v>742</v>
      </c>
      <c r="F83" s="15" t="s">
        <v>743</v>
      </c>
      <c r="G83" s="14" t="s">
        <v>744</v>
      </c>
      <c r="H83" s="15" t="s">
        <v>745</v>
      </c>
      <c r="I83" s="16" t="s">
        <v>746</v>
      </c>
      <c r="J83" s="17" t="s">
        <v>37</v>
      </c>
      <c r="K83" s="17" t="s">
        <v>747</v>
      </c>
      <c r="L83" s="16" t="s">
        <v>53</v>
      </c>
      <c r="M83" s="17" t="s">
        <v>37</v>
      </c>
      <c r="N83" s="16" t="s">
        <v>748</v>
      </c>
    </row>
    <row r="84" customFormat="false" ht="43.5" hidden="false" customHeight="true" outlineLevel="0" collapsed="false">
      <c r="A84" s="13" t="s">
        <v>749</v>
      </c>
      <c r="B84" s="14" t="s">
        <v>739</v>
      </c>
      <c r="C84" s="15" t="s">
        <v>750</v>
      </c>
      <c r="D84" s="14" t="s">
        <v>136</v>
      </c>
      <c r="E84" s="15" t="s">
        <v>751</v>
      </c>
      <c r="F84" s="15" t="s">
        <v>752</v>
      </c>
      <c r="G84" s="15" t="s">
        <v>753</v>
      </c>
      <c r="H84" s="15" t="s">
        <v>253</v>
      </c>
      <c r="I84" s="16" t="s">
        <v>754</v>
      </c>
      <c r="J84" s="17" t="s">
        <v>37</v>
      </c>
      <c r="K84" s="17"/>
      <c r="L84" s="16" t="s">
        <v>37</v>
      </c>
      <c r="M84" s="17" t="s">
        <v>37</v>
      </c>
      <c r="N84" s="17" t="s">
        <v>755</v>
      </c>
    </row>
    <row r="85" customFormat="false" ht="43.5" hidden="false" customHeight="true" outlineLevel="0" collapsed="false">
      <c r="A85" s="13" t="s">
        <v>756</v>
      </c>
      <c r="B85" s="14" t="s">
        <v>739</v>
      </c>
      <c r="C85" s="15" t="s">
        <v>757</v>
      </c>
      <c r="D85" s="15" t="s">
        <v>758</v>
      </c>
      <c r="E85" s="15" t="s">
        <v>759</v>
      </c>
      <c r="F85" s="15" t="s">
        <v>760</v>
      </c>
      <c r="G85" s="15" t="s">
        <v>761</v>
      </c>
      <c r="H85" s="15" t="s">
        <v>762</v>
      </c>
      <c r="I85" s="16" t="s">
        <v>763</v>
      </c>
      <c r="J85" s="17" t="s">
        <v>37</v>
      </c>
      <c r="K85" s="17" t="s">
        <v>764</v>
      </c>
      <c r="L85" s="16" t="s">
        <v>53</v>
      </c>
      <c r="M85" s="17" t="s">
        <v>37</v>
      </c>
      <c r="N85" s="16" t="s">
        <v>765</v>
      </c>
    </row>
    <row r="86" customFormat="false" ht="43.5" hidden="false" customHeight="true" outlineLevel="0" collapsed="false">
      <c r="A86" s="13" t="s">
        <v>766</v>
      </c>
      <c r="B86" s="14" t="s">
        <v>739</v>
      </c>
      <c r="C86" s="14" t="s">
        <v>767</v>
      </c>
      <c r="D86" s="15" t="s">
        <v>768</v>
      </c>
      <c r="E86" s="15" t="s">
        <v>769</v>
      </c>
      <c r="F86" s="15" t="s">
        <v>770</v>
      </c>
      <c r="G86" s="14" t="s">
        <v>771</v>
      </c>
      <c r="H86" s="15" t="s">
        <v>149</v>
      </c>
      <c r="I86" s="16" t="s">
        <v>772</v>
      </c>
      <c r="J86" s="17" t="s">
        <v>39</v>
      </c>
      <c r="K86" s="17" t="s">
        <v>773</v>
      </c>
      <c r="L86" s="16" t="s">
        <v>53</v>
      </c>
      <c r="M86" s="17" t="s">
        <v>37</v>
      </c>
      <c r="N86" s="17" t="s">
        <v>774</v>
      </c>
    </row>
    <row r="87" customFormat="false" ht="29.25" hidden="false" customHeight="true" outlineLevel="0" collapsed="false">
      <c r="A87" s="13" t="s">
        <v>775</v>
      </c>
      <c r="B87" s="14" t="s">
        <v>739</v>
      </c>
      <c r="C87" s="14" t="s">
        <v>776</v>
      </c>
      <c r="D87" s="15" t="s">
        <v>167</v>
      </c>
      <c r="E87" s="15" t="s">
        <v>777</v>
      </c>
      <c r="F87" s="15" t="s">
        <v>778</v>
      </c>
      <c r="G87" s="15" t="s">
        <v>401</v>
      </c>
      <c r="H87" s="15" t="s">
        <v>149</v>
      </c>
      <c r="I87" s="16" t="s">
        <v>779</v>
      </c>
      <c r="J87" s="17" t="s">
        <v>39</v>
      </c>
      <c r="K87" s="17" t="s">
        <v>780</v>
      </c>
      <c r="L87" s="16" t="s">
        <v>53</v>
      </c>
      <c r="M87" s="17" t="s">
        <v>37</v>
      </c>
      <c r="N87" s="16" t="s">
        <v>781</v>
      </c>
    </row>
    <row r="88" customFormat="false" ht="57.75" hidden="false" customHeight="true" outlineLevel="0" collapsed="false">
      <c r="A88" s="13" t="s">
        <v>782</v>
      </c>
      <c r="B88" s="14" t="s">
        <v>739</v>
      </c>
      <c r="C88" s="15" t="s">
        <v>783</v>
      </c>
      <c r="D88" s="15" t="s">
        <v>784</v>
      </c>
      <c r="E88" s="15" t="s">
        <v>785</v>
      </c>
      <c r="F88" s="15" t="s">
        <v>786</v>
      </c>
      <c r="G88" s="15" t="s">
        <v>753</v>
      </c>
      <c r="H88" s="15" t="s">
        <v>787</v>
      </c>
      <c r="I88" s="16" t="s">
        <v>788</v>
      </c>
      <c r="J88" s="17" t="s">
        <v>37</v>
      </c>
      <c r="K88" s="17"/>
      <c r="L88" s="16" t="s">
        <v>37</v>
      </c>
      <c r="M88" s="17" t="s">
        <v>37</v>
      </c>
      <c r="N88" s="16" t="s">
        <v>789</v>
      </c>
    </row>
    <row r="89" customFormat="false" ht="29.25" hidden="false" customHeight="true" outlineLevel="0" collapsed="false">
      <c r="A89" s="13" t="s">
        <v>790</v>
      </c>
      <c r="B89" s="14" t="s">
        <v>739</v>
      </c>
      <c r="C89" s="15" t="s">
        <v>791</v>
      </c>
      <c r="D89" s="15" t="s">
        <v>792</v>
      </c>
      <c r="E89" s="15" t="s">
        <v>793</v>
      </c>
      <c r="F89" s="15" t="s">
        <v>794</v>
      </c>
      <c r="G89" s="15" t="s">
        <v>795</v>
      </c>
      <c r="H89" s="15" t="s">
        <v>149</v>
      </c>
      <c r="I89" s="17" t="s">
        <v>796</v>
      </c>
      <c r="J89" s="17" t="s">
        <v>41</v>
      </c>
      <c r="K89" s="17"/>
      <c r="L89" s="16" t="s">
        <v>37</v>
      </c>
      <c r="M89" s="17" t="s">
        <v>37</v>
      </c>
      <c r="N89" s="16" t="s">
        <v>797</v>
      </c>
    </row>
    <row r="90" customFormat="false" ht="29.25" hidden="false" customHeight="true" outlineLevel="0" collapsed="false">
      <c r="A90" s="13" t="s">
        <v>798</v>
      </c>
      <c r="B90" s="14" t="s">
        <v>739</v>
      </c>
      <c r="C90" s="14" t="s">
        <v>799</v>
      </c>
      <c r="D90" s="15" t="s">
        <v>800</v>
      </c>
      <c r="E90" s="15" t="s">
        <v>801</v>
      </c>
      <c r="F90" s="15" t="s">
        <v>802</v>
      </c>
      <c r="G90" s="15" t="s">
        <v>234</v>
      </c>
      <c r="H90" s="15" t="s">
        <v>149</v>
      </c>
      <c r="I90" s="16" t="s">
        <v>803</v>
      </c>
      <c r="J90" s="17" t="s">
        <v>37</v>
      </c>
      <c r="K90" s="17" t="s">
        <v>804</v>
      </c>
      <c r="L90" s="16" t="s">
        <v>53</v>
      </c>
      <c r="M90" s="17" t="s">
        <v>37</v>
      </c>
      <c r="N90" s="16" t="s">
        <v>805</v>
      </c>
    </row>
    <row r="91" customFormat="false" ht="29.25" hidden="false" customHeight="true" outlineLevel="0" collapsed="false">
      <c r="A91" s="13" t="s">
        <v>806</v>
      </c>
      <c r="B91" s="14" t="s">
        <v>739</v>
      </c>
      <c r="C91" s="15" t="s">
        <v>807</v>
      </c>
      <c r="D91" s="14" t="s">
        <v>136</v>
      </c>
      <c r="E91" s="15" t="s">
        <v>808</v>
      </c>
      <c r="F91" s="15" t="s">
        <v>809</v>
      </c>
      <c r="G91" s="15" t="s">
        <v>234</v>
      </c>
      <c r="H91" s="15" t="s">
        <v>244</v>
      </c>
      <c r="I91" s="17" t="s">
        <v>810</v>
      </c>
      <c r="J91" s="17" t="s">
        <v>37</v>
      </c>
      <c r="K91" s="17"/>
      <c r="L91" s="16" t="s">
        <v>37</v>
      </c>
      <c r="M91" s="17" t="s">
        <v>37</v>
      </c>
      <c r="N91" s="17" t="s">
        <v>811</v>
      </c>
    </row>
    <row r="92" customFormat="false" ht="16.5" hidden="false" customHeight="true" outlineLevel="0" collapsed="false">
      <c r="A92" s="12" t="s">
        <v>812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813</v>
      </c>
      <c r="B93" s="14" t="s">
        <v>814</v>
      </c>
      <c r="C93" s="15" t="s">
        <v>815</v>
      </c>
      <c r="D93" s="15" t="s">
        <v>816</v>
      </c>
      <c r="E93" s="15" t="s">
        <v>817</v>
      </c>
      <c r="F93" s="15" t="s">
        <v>818</v>
      </c>
      <c r="G93" s="14" t="s">
        <v>819</v>
      </c>
      <c r="H93" s="15" t="s">
        <v>820</v>
      </c>
      <c r="I93" s="16" t="s">
        <v>821</v>
      </c>
      <c r="J93" s="17" t="s">
        <v>37</v>
      </c>
      <c r="K93" s="17" t="s">
        <v>822</v>
      </c>
      <c r="L93" s="16" t="s">
        <v>53</v>
      </c>
      <c r="M93" s="17" t="s">
        <v>37</v>
      </c>
      <c r="N93" s="16" t="s">
        <v>823</v>
      </c>
    </row>
    <row r="94" customFormat="false" ht="57.75" hidden="false" customHeight="true" outlineLevel="0" collapsed="false">
      <c r="A94" s="13" t="s">
        <v>824</v>
      </c>
      <c r="B94" s="14" t="s">
        <v>814</v>
      </c>
      <c r="C94" s="15" t="s">
        <v>825</v>
      </c>
      <c r="D94" s="14" t="s">
        <v>136</v>
      </c>
      <c r="E94" s="15" t="s">
        <v>826</v>
      </c>
      <c r="F94" s="15" t="s">
        <v>827</v>
      </c>
      <c r="G94" s="15" t="s">
        <v>234</v>
      </c>
      <c r="H94" s="15" t="s">
        <v>828</v>
      </c>
      <c r="I94" s="17" t="s">
        <v>829</v>
      </c>
      <c r="J94" s="17" t="s">
        <v>37</v>
      </c>
      <c r="K94" s="17"/>
      <c r="L94" s="16" t="s">
        <v>37</v>
      </c>
      <c r="M94" s="17" t="s">
        <v>37</v>
      </c>
      <c r="N94" s="17" t="s">
        <v>830</v>
      </c>
    </row>
    <row r="95" customFormat="false" ht="43.5" hidden="false" customHeight="true" outlineLevel="0" collapsed="false">
      <c r="A95" s="13" t="s">
        <v>831</v>
      </c>
      <c r="B95" s="14" t="s">
        <v>814</v>
      </c>
      <c r="C95" s="15" t="s">
        <v>832</v>
      </c>
      <c r="D95" s="14" t="s">
        <v>136</v>
      </c>
      <c r="E95" s="15" t="s">
        <v>833</v>
      </c>
      <c r="F95" s="15" t="s">
        <v>834</v>
      </c>
      <c r="G95" s="15" t="s">
        <v>234</v>
      </c>
      <c r="H95" s="15" t="s">
        <v>835</v>
      </c>
      <c r="I95" s="17" t="s">
        <v>836</v>
      </c>
      <c r="J95" s="17" t="s">
        <v>37</v>
      </c>
      <c r="K95" s="17"/>
      <c r="L95" s="16" t="s">
        <v>37</v>
      </c>
      <c r="M95" s="17" t="s">
        <v>37</v>
      </c>
      <c r="N95" s="17" t="s">
        <v>837</v>
      </c>
    </row>
    <row r="96" customFormat="false" ht="29.25" hidden="false" customHeight="true" outlineLevel="0" collapsed="false">
      <c r="A96" s="13" t="s">
        <v>838</v>
      </c>
      <c r="B96" s="14" t="s">
        <v>814</v>
      </c>
      <c r="C96" s="15" t="s">
        <v>839</v>
      </c>
      <c r="D96" s="14" t="s">
        <v>840</v>
      </c>
      <c r="E96" s="15" t="s">
        <v>841</v>
      </c>
      <c r="F96" s="15" t="s">
        <v>842</v>
      </c>
      <c r="G96" s="15" t="s">
        <v>843</v>
      </c>
      <c r="H96" s="15" t="s">
        <v>844</v>
      </c>
      <c r="I96" s="17" t="s">
        <v>845</v>
      </c>
      <c r="J96" s="17" t="s">
        <v>37</v>
      </c>
      <c r="K96" s="17" t="s">
        <v>846</v>
      </c>
      <c r="L96" s="16" t="s">
        <v>53</v>
      </c>
      <c r="M96" s="17" t="s">
        <v>37</v>
      </c>
      <c r="N96" s="17" t="s">
        <v>847</v>
      </c>
    </row>
    <row r="97" customFormat="false" ht="29.25" hidden="false" customHeight="true" outlineLevel="0" collapsed="false">
      <c r="A97" s="13" t="s">
        <v>848</v>
      </c>
      <c r="B97" s="14" t="s">
        <v>814</v>
      </c>
      <c r="C97" s="15" t="s">
        <v>849</v>
      </c>
      <c r="D97" s="14" t="s">
        <v>136</v>
      </c>
      <c r="E97" s="15" t="s">
        <v>850</v>
      </c>
      <c r="F97" s="15" t="s">
        <v>851</v>
      </c>
      <c r="G97" s="15" t="s">
        <v>234</v>
      </c>
      <c r="H97" s="15" t="s">
        <v>852</v>
      </c>
      <c r="I97" s="17" t="s">
        <v>853</v>
      </c>
      <c r="J97" s="17" t="s">
        <v>37</v>
      </c>
      <c r="K97" s="17"/>
      <c r="L97" s="16" t="s">
        <v>37</v>
      </c>
      <c r="M97" s="17" t="s">
        <v>37</v>
      </c>
      <c r="N97" s="17" t="s">
        <v>854</v>
      </c>
    </row>
    <row r="98" customFormat="false" ht="43.5" hidden="false" customHeight="true" outlineLevel="0" collapsed="false">
      <c r="A98" s="13" t="s">
        <v>855</v>
      </c>
      <c r="B98" s="14" t="s">
        <v>814</v>
      </c>
      <c r="C98" s="15" t="s">
        <v>856</v>
      </c>
      <c r="D98" s="14" t="s">
        <v>136</v>
      </c>
      <c r="E98" s="15" t="s">
        <v>857</v>
      </c>
      <c r="F98" s="15" t="s">
        <v>858</v>
      </c>
      <c r="G98" s="15" t="s">
        <v>234</v>
      </c>
      <c r="H98" s="15" t="s">
        <v>859</v>
      </c>
      <c r="I98" s="16" t="s">
        <v>860</v>
      </c>
      <c r="J98" s="17" t="s">
        <v>45</v>
      </c>
      <c r="K98" s="17" t="s">
        <v>861</v>
      </c>
      <c r="L98" s="16" t="s">
        <v>53</v>
      </c>
      <c r="M98" s="17" t="s">
        <v>37</v>
      </c>
      <c r="N98" s="17" t="s">
        <v>862</v>
      </c>
    </row>
    <row r="99" customFormat="false" ht="29.25" hidden="false" customHeight="true" outlineLevel="0" collapsed="false">
      <c r="A99" s="13" t="s">
        <v>863</v>
      </c>
      <c r="B99" s="14" t="s">
        <v>814</v>
      </c>
      <c r="C99" s="14" t="s">
        <v>864</v>
      </c>
      <c r="D99" s="15" t="s">
        <v>865</v>
      </c>
      <c r="E99" s="15" t="s">
        <v>866</v>
      </c>
      <c r="F99" s="15" t="s">
        <v>867</v>
      </c>
      <c r="G99" s="15" t="s">
        <v>868</v>
      </c>
      <c r="H99" s="15" t="s">
        <v>149</v>
      </c>
      <c r="I99" s="16" t="s">
        <v>869</v>
      </c>
      <c r="J99" s="17" t="s">
        <v>37</v>
      </c>
      <c r="K99" s="17"/>
      <c r="L99" s="16" t="s">
        <v>37</v>
      </c>
      <c r="M99" s="17" t="s">
        <v>37</v>
      </c>
      <c r="N99" s="16" t="s">
        <v>870</v>
      </c>
    </row>
    <row r="100" customFormat="false" ht="29.25" hidden="false" customHeight="true" outlineLevel="0" collapsed="false">
      <c r="A100" s="13" t="s">
        <v>871</v>
      </c>
      <c r="B100" s="14" t="s">
        <v>814</v>
      </c>
      <c r="C100" s="15" t="s">
        <v>872</v>
      </c>
      <c r="D100" s="15" t="s">
        <v>873</v>
      </c>
      <c r="E100" s="15" t="s">
        <v>874</v>
      </c>
      <c r="F100" s="14" t="s">
        <v>875</v>
      </c>
      <c r="G100" s="14" t="s">
        <v>876</v>
      </c>
      <c r="H100" s="15" t="s">
        <v>149</v>
      </c>
      <c r="I100" s="16" t="s">
        <v>877</v>
      </c>
      <c r="J100" s="17" t="s">
        <v>41</v>
      </c>
      <c r="K100" s="17" t="s">
        <v>878</v>
      </c>
      <c r="L100" s="16" t="s">
        <v>53</v>
      </c>
      <c r="M100" s="17" t="s">
        <v>37</v>
      </c>
      <c r="N100" s="16" t="s">
        <v>879</v>
      </c>
    </row>
    <row r="101" customFormat="false" ht="15" hidden="false" customHeight="true" outlineLevel="0" collapsed="false">
      <c r="A101" s="13" t="s">
        <v>880</v>
      </c>
      <c r="B101" s="14" t="s">
        <v>814</v>
      </c>
      <c r="C101" s="14" t="s">
        <v>881</v>
      </c>
      <c r="D101" s="15" t="s">
        <v>882</v>
      </c>
      <c r="E101" s="15" t="s">
        <v>883</v>
      </c>
      <c r="F101" s="15" t="s">
        <v>884</v>
      </c>
      <c r="G101" s="15" t="s">
        <v>885</v>
      </c>
      <c r="H101" s="15" t="s">
        <v>149</v>
      </c>
      <c r="I101" s="16" t="s">
        <v>886</v>
      </c>
      <c r="J101" s="17" t="s">
        <v>39</v>
      </c>
      <c r="K101" s="17" t="s">
        <v>887</v>
      </c>
      <c r="L101" s="16" t="s">
        <v>53</v>
      </c>
      <c r="M101" s="17" t="s">
        <v>37</v>
      </c>
      <c r="N101" s="17" t="s">
        <v>888</v>
      </c>
    </row>
    <row r="102" customFormat="false" ht="40.5" hidden="false" customHeight="true" outlineLevel="0" collapsed="false">
      <c r="A102" s="13" t="s">
        <v>889</v>
      </c>
      <c r="B102" s="14" t="s">
        <v>814</v>
      </c>
      <c r="C102" s="15" t="s">
        <v>890</v>
      </c>
      <c r="D102" s="14" t="s">
        <v>136</v>
      </c>
      <c r="E102" s="15" t="s">
        <v>891</v>
      </c>
      <c r="F102" s="14" t="s">
        <v>892</v>
      </c>
      <c r="G102" s="15" t="s">
        <v>234</v>
      </c>
      <c r="H102" s="15" t="s">
        <v>893</v>
      </c>
      <c r="I102" s="16" t="s">
        <v>894</v>
      </c>
      <c r="J102" s="17" t="s">
        <v>43</v>
      </c>
      <c r="K102" s="17"/>
      <c r="L102" s="16" t="s">
        <v>43</v>
      </c>
      <c r="M102" s="17" t="s">
        <v>43</v>
      </c>
      <c r="N102" s="16" t="s">
        <v>895</v>
      </c>
    </row>
    <row r="103" customFormat="false" ht="16.5" hidden="false" customHeight="true" outlineLevel="0" collapsed="false">
      <c r="A103" s="12" t="s">
        <v>896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897</v>
      </c>
      <c r="B104" s="14" t="s">
        <v>898</v>
      </c>
      <c r="C104" s="14" t="s">
        <v>899</v>
      </c>
      <c r="D104" s="14" t="s">
        <v>900</v>
      </c>
      <c r="E104" s="15" t="s">
        <v>901</v>
      </c>
      <c r="F104" s="15" t="s">
        <v>902</v>
      </c>
      <c r="G104" s="15" t="s">
        <v>903</v>
      </c>
      <c r="H104" s="15" t="s">
        <v>149</v>
      </c>
      <c r="I104" s="16" t="s">
        <v>904</v>
      </c>
      <c r="J104" s="17" t="s">
        <v>41</v>
      </c>
      <c r="K104" s="17" t="s">
        <v>905</v>
      </c>
      <c r="L104" s="16" t="s">
        <v>37</v>
      </c>
      <c r="M104" s="17" t="s">
        <v>37</v>
      </c>
      <c r="N104" s="16" t="s">
        <v>906</v>
      </c>
    </row>
    <row r="105" customFormat="false" ht="29.25" hidden="false" customHeight="true" outlineLevel="0" collapsed="false">
      <c r="A105" s="13" t="s">
        <v>907</v>
      </c>
      <c r="B105" s="14" t="s">
        <v>898</v>
      </c>
      <c r="C105" s="15" t="s">
        <v>908</v>
      </c>
      <c r="D105" s="15" t="s">
        <v>909</v>
      </c>
      <c r="E105" s="15" t="s">
        <v>910</v>
      </c>
      <c r="F105" s="15" t="s">
        <v>911</v>
      </c>
      <c r="G105" s="15" t="s">
        <v>885</v>
      </c>
      <c r="H105" s="15" t="s">
        <v>912</v>
      </c>
      <c r="I105" s="16" t="s">
        <v>913</v>
      </c>
      <c r="J105" s="17" t="s">
        <v>37</v>
      </c>
      <c r="K105" s="17" t="s">
        <v>914</v>
      </c>
      <c r="L105" s="16" t="s">
        <v>53</v>
      </c>
      <c r="M105" s="17" t="s">
        <v>37</v>
      </c>
      <c r="N105" s="17" t="s">
        <v>915</v>
      </c>
    </row>
    <row r="106" customFormat="false" ht="29.25" hidden="false" customHeight="true" outlineLevel="0" collapsed="false">
      <c r="A106" s="13" t="s">
        <v>916</v>
      </c>
      <c r="B106" s="14" t="s">
        <v>898</v>
      </c>
      <c r="C106" s="15" t="s">
        <v>917</v>
      </c>
      <c r="D106" s="15" t="s">
        <v>918</v>
      </c>
      <c r="E106" s="15" t="s">
        <v>919</v>
      </c>
      <c r="F106" s="15" t="s">
        <v>920</v>
      </c>
      <c r="G106" s="15" t="s">
        <v>903</v>
      </c>
      <c r="H106" s="15" t="s">
        <v>149</v>
      </c>
      <c r="I106" s="16" t="s">
        <v>921</v>
      </c>
      <c r="J106" s="17" t="s">
        <v>45</v>
      </c>
      <c r="K106" s="17" t="s">
        <v>922</v>
      </c>
      <c r="L106" s="16" t="s">
        <v>53</v>
      </c>
      <c r="M106" s="17" t="s">
        <v>37</v>
      </c>
      <c r="N106" s="17" t="s">
        <v>923</v>
      </c>
    </row>
    <row r="107" customFormat="false" ht="29.25" hidden="false" customHeight="true" outlineLevel="0" collapsed="false">
      <c r="A107" s="13" t="s">
        <v>924</v>
      </c>
      <c r="B107" s="14" t="s">
        <v>898</v>
      </c>
      <c r="C107" s="15" t="s">
        <v>925</v>
      </c>
      <c r="D107" s="15" t="s">
        <v>784</v>
      </c>
      <c r="E107" s="15" t="s">
        <v>926</v>
      </c>
      <c r="F107" s="15" t="s">
        <v>927</v>
      </c>
      <c r="G107" s="15" t="s">
        <v>928</v>
      </c>
      <c r="H107" s="15" t="s">
        <v>149</v>
      </c>
      <c r="I107" s="16" t="s">
        <v>929</v>
      </c>
      <c r="J107" s="17" t="s">
        <v>39</v>
      </c>
      <c r="K107" s="17" t="s">
        <v>930</v>
      </c>
      <c r="L107" s="16" t="s">
        <v>53</v>
      </c>
      <c r="M107" s="17" t="s">
        <v>37</v>
      </c>
      <c r="N107" s="16" t="s">
        <v>931</v>
      </c>
    </row>
    <row r="108" customFormat="false" ht="43.5" hidden="false" customHeight="true" outlineLevel="0" collapsed="false">
      <c r="A108" s="13" t="s">
        <v>932</v>
      </c>
      <c r="B108" s="14" t="s">
        <v>898</v>
      </c>
      <c r="C108" s="15" t="s">
        <v>933</v>
      </c>
      <c r="D108" s="15" t="s">
        <v>934</v>
      </c>
      <c r="E108" s="15" t="s">
        <v>935</v>
      </c>
      <c r="F108" s="15" t="s">
        <v>936</v>
      </c>
      <c r="G108" s="15" t="s">
        <v>937</v>
      </c>
      <c r="H108" s="15" t="s">
        <v>938</v>
      </c>
      <c r="I108" s="16" t="s">
        <v>939</v>
      </c>
      <c r="J108" s="17" t="s">
        <v>39</v>
      </c>
      <c r="K108" s="17" t="s">
        <v>940</v>
      </c>
      <c r="L108" s="16" t="s">
        <v>53</v>
      </c>
      <c r="M108" s="17" t="s">
        <v>37</v>
      </c>
      <c r="N108" s="16" t="s">
        <v>941</v>
      </c>
    </row>
    <row r="109" customFormat="false" ht="15" hidden="false" customHeight="true" outlineLevel="0" collapsed="false">
      <c r="A109" s="13" t="s">
        <v>942</v>
      </c>
      <c r="B109" s="14" t="s">
        <v>898</v>
      </c>
      <c r="C109" s="15" t="s">
        <v>943</v>
      </c>
      <c r="D109" s="15" t="s">
        <v>784</v>
      </c>
      <c r="E109" s="15" t="s">
        <v>944</v>
      </c>
      <c r="F109" s="15" t="s">
        <v>945</v>
      </c>
      <c r="G109" s="15" t="s">
        <v>946</v>
      </c>
      <c r="H109" s="15" t="s">
        <v>149</v>
      </c>
      <c r="I109" s="16" t="s">
        <v>947</v>
      </c>
      <c r="J109" s="17" t="s">
        <v>37</v>
      </c>
      <c r="K109" s="17"/>
      <c r="L109" s="16" t="s">
        <v>37</v>
      </c>
      <c r="M109" s="17" t="s">
        <v>37</v>
      </c>
      <c r="N109" s="16" t="s">
        <v>948</v>
      </c>
    </row>
    <row r="110" customFormat="false" ht="29.25" hidden="false" customHeight="true" outlineLevel="0" collapsed="false">
      <c r="A110" s="13" t="s">
        <v>949</v>
      </c>
      <c r="B110" s="14" t="s">
        <v>898</v>
      </c>
      <c r="C110" s="14" t="s">
        <v>950</v>
      </c>
      <c r="D110" s="14" t="s">
        <v>136</v>
      </c>
      <c r="E110" s="15" t="s">
        <v>951</v>
      </c>
      <c r="F110" s="15" t="s">
        <v>952</v>
      </c>
      <c r="G110" s="15" t="s">
        <v>234</v>
      </c>
      <c r="H110" s="15" t="s">
        <v>393</v>
      </c>
      <c r="I110" s="17" t="s">
        <v>953</v>
      </c>
      <c r="J110" s="17" t="s">
        <v>37</v>
      </c>
      <c r="K110" s="17" t="s">
        <v>954</v>
      </c>
      <c r="L110" s="16" t="s">
        <v>37</v>
      </c>
      <c r="M110" s="17" t="s">
        <v>37</v>
      </c>
      <c r="N110" s="17" t="s">
        <v>955</v>
      </c>
    </row>
    <row r="111" customFormat="false" ht="43.5" hidden="false" customHeight="true" outlineLevel="0" collapsed="false">
      <c r="A111" s="13" t="s">
        <v>956</v>
      </c>
      <c r="B111" s="14" t="s">
        <v>898</v>
      </c>
      <c r="C111" s="15" t="s">
        <v>957</v>
      </c>
      <c r="D111" s="14" t="s">
        <v>136</v>
      </c>
      <c r="E111" s="15" t="s">
        <v>958</v>
      </c>
      <c r="F111" s="14" t="s">
        <v>959</v>
      </c>
      <c r="G111" s="15" t="s">
        <v>234</v>
      </c>
      <c r="H111" s="15" t="s">
        <v>960</v>
      </c>
      <c r="I111" s="16" t="s">
        <v>961</v>
      </c>
      <c r="J111" s="17" t="s">
        <v>37</v>
      </c>
      <c r="K111" s="17"/>
      <c r="L111" s="16" t="s">
        <v>37</v>
      </c>
      <c r="M111" s="17" t="s">
        <v>37</v>
      </c>
      <c r="N111" s="16" t="s">
        <v>962</v>
      </c>
    </row>
    <row r="112" customFormat="false" ht="16.5" hidden="false" customHeight="true" outlineLevel="0" collapsed="false">
      <c r="A112" s="12" t="s">
        <v>963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964</v>
      </c>
      <c r="B113" s="14" t="s">
        <v>965</v>
      </c>
      <c r="C113" s="15" t="s">
        <v>966</v>
      </c>
      <c r="D113" s="14" t="s">
        <v>136</v>
      </c>
      <c r="E113" s="15" t="s">
        <v>967</v>
      </c>
      <c r="F113" s="15" t="s">
        <v>968</v>
      </c>
      <c r="G113" s="15" t="s">
        <v>234</v>
      </c>
      <c r="H113" s="15" t="s">
        <v>969</v>
      </c>
      <c r="I113" s="16" t="s">
        <v>970</v>
      </c>
      <c r="J113" s="17" t="s">
        <v>37</v>
      </c>
      <c r="K113" s="17"/>
      <c r="L113" s="16" t="s">
        <v>37</v>
      </c>
      <c r="M113" s="17" t="s">
        <v>37</v>
      </c>
      <c r="N113" s="17" t="s">
        <v>971</v>
      </c>
    </row>
    <row r="114" customFormat="false" ht="57.75" hidden="false" customHeight="true" outlineLevel="0" collapsed="false">
      <c r="A114" s="13" t="s">
        <v>972</v>
      </c>
      <c r="B114" s="14" t="s">
        <v>965</v>
      </c>
      <c r="C114" s="15" t="s">
        <v>973</v>
      </c>
      <c r="D114" s="14" t="s">
        <v>136</v>
      </c>
      <c r="E114" s="15" t="s">
        <v>974</v>
      </c>
      <c r="F114" s="15" t="s">
        <v>975</v>
      </c>
      <c r="G114" s="15" t="s">
        <v>234</v>
      </c>
      <c r="H114" s="15" t="s">
        <v>976</v>
      </c>
      <c r="I114" s="16" t="s">
        <v>977</v>
      </c>
      <c r="J114" s="17" t="s">
        <v>37</v>
      </c>
      <c r="K114" s="17"/>
      <c r="L114" s="16" t="s">
        <v>37</v>
      </c>
      <c r="M114" s="17" t="s">
        <v>37</v>
      </c>
      <c r="N114" s="17" t="s">
        <v>978</v>
      </c>
    </row>
    <row r="115" customFormat="false" ht="29.25" hidden="false" customHeight="true" outlineLevel="0" collapsed="false">
      <c r="A115" s="13" t="s">
        <v>979</v>
      </c>
      <c r="B115" s="14" t="s">
        <v>965</v>
      </c>
      <c r="C115" s="15" t="s">
        <v>980</v>
      </c>
      <c r="D115" s="14" t="s">
        <v>136</v>
      </c>
      <c r="E115" s="15" t="s">
        <v>981</v>
      </c>
      <c r="F115" s="15" t="s">
        <v>982</v>
      </c>
      <c r="G115" s="15" t="s">
        <v>234</v>
      </c>
      <c r="H115" s="15" t="s">
        <v>983</v>
      </c>
      <c r="I115" s="16" t="s">
        <v>984</v>
      </c>
      <c r="J115" s="17" t="s">
        <v>39</v>
      </c>
      <c r="K115" s="17" t="s">
        <v>985</v>
      </c>
      <c r="L115" s="16" t="s">
        <v>53</v>
      </c>
      <c r="M115" s="17" t="s">
        <v>37</v>
      </c>
      <c r="N115" s="17" t="s">
        <v>986</v>
      </c>
    </row>
    <row r="116" customFormat="false" ht="29.25" hidden="false" customHeight="true" outlineLevel="0" collapsed="false">
      <c r="A116" s="13" t="s">
        <v>987</v>
      </c>
      <c r="B116" s="14" t="s">
        <v>965</v>
      </c>
      <c r="C116" s="14" t="s">
        <v>988</v>
      </c>
      <c r="D116" s="15" t="s">
        <v>989</v>
      </c>
      <c r="E116" s="15" t="s">
        <v>990</v>
      </c>
      <c r="F116" s="15" t="s">
        <v>991</v>
      </c>
      <c r="G116" s="15" t="s">
        <v>234</v>
      </c>
      <c r="H116" s="15" t="s">
        <v>149</v>
      </c>
      <c r="I116" s="16" t="s">
        <v>992</v>
      </c>
      <c r="J116" s="17" t="s">
        <v>37</v>
      </c>
      <c r="K116" s="17" t="s">
        <v>993</v>
      </c>
      <c r="L116" s="16" t="s">
        <v>53</v>
      </c>
      <c r="M116" s="17" t="s">
        <v>37</v>
      </c>
      <c r="N116" s="16" t="s">
        <v>994</v>
      </c>
    </row>
    <row r="117" customFormat="false" ht="29.25" hidden="false" customHeight="true" outlineLevel="0" collapsed="false">
      <c r="A117" s="13" t="s">
        <v>995</v>
      </c>
      <c r="B117" s="14" t="s">
        <v>965</v>
      </c>
      <c r="C117" s="14" t="s">
        <v>996</v>
      </c>
      <c r="D117" s="15" t="s">
        <v>997</v>
      </c>
      <c r="E117" s="15" t="s">
        <v>998</v>
      </c>
      <c r="F117" s="15" t="s">
        <v>999</v>
      </c>
      <c r="G117" s="15" t="s">
        <v>401</v>
      </c>
      <c r="H117" s="15" t="s">
        <v>244</v>
      </c>
      <c r="I117" s="16" t="s">
        <v>1000</v>
      </c>
      <c r="J117" s="17" t="s">
        <v>37</v>
      </c>
      <c r="K117" s="17"/>
      <c r="L117" s="16" t="s">
        <v>37</v>
      </c>
      <c r="M117" s="17" t="s">
        <v>37</v>
      </c>
      <c r="N117" s="16" t="s">
        <v>1001</v>
      </c>
    </row>
    <row r="118" customFormat="false" ht="43.5" hidden="false" customHeight="true" outlineLevel="0" collapsed="false">
      <c r="A118" s="13" t="s">
        <v>1002</v>
      </c>
      <c r="B118" s="14" t="s">
        <v>965</v>
      </c>
      <c r="C118" s="14" t="s">
        <v>1003</v>
      </c>
      <c r="D118" s="15" t="s">
        <v>1004</v>
      </c>
      <c r="E118" s="15" t="s">
        <v>1005</v>
      </c>
      <c r="F118" s="15" t="s">
        <v>1006</v>
      </c>
      <c r="G118" s="15" t="s">
        <v>401</v>
      </c>
      <c r="H118" s="15" t="s">
        <v>1007</v>
      </c>
      <c r="I118" s="16" t="s">
        <v>1008</v>
      </c>
      <c r="J118" s="17" t="s">
        <v>39</v>
      </c>
      <c r="K118" s="17" t="s">
        <v>1009</v>
      </c>
      <c r="L118" s="16" t="s">
        <v>53</v>
      </c>
      <c r="M118" s="17" t="s">
        <v>37</v>
      </c>
      <c r="N118" s="16" t="s">
        <v>1010</v>
      </c>
    </row>
    <row r="119" customFormat="false" ht="29.25" hidden="false" customHeight="true" outlineLevel="0" collapsed="false">
      <c r="A119" s="13" t="s">
        <v>1011</v>
      </c>
      <c r="B119" s="14" t="s">
        <v>965</v>
      </c>
      <c r="C119" s="14" t="s">
        <v>1012</v>
      </c>
      <c r="D119" s="15" t="s">
        <v>1013</v>
      </c>
      <c r="E119" s="15" t="s">
        <v>1014</v>
      </c>
      <c r="F119" s="14" t="s">
        <v>1015</v>
      </c>
      <c r="G119" s="14" t="s">
        <v>1016</v>
      </c>
      <c r="H119" s="15" t="s">
        <v>149</v>
      </c>
      <c r="I119" s="16" t="s">
        <v>1017</v>
      </c>
      <c r="J119" s="17" t="s">
        <v>37</v>
      </c>
      <c r="K119" s="17"/>
      <c r="L119" s="16" t="s">
        <v>37</v>
      </c>
      <c r="M119" s="17" t="s">
        <v>37</v>
      </c>
      <c r="N119" s="17" t="s">
        <v>1018</v>
      </c>
    </row>
    <row r="120" customFormat="false" ht="29.25" hidden="false" customHeight="true" outlineLevel="0" collapsed="false">
      <c r="A120" s="13" t="s">
        <v>1019</v>
      </c>
      <c r="B120" s="14" t="s">
        <v>965</v>
      </c>
      <c r="C120" s="15" t="s">
        <v>1020</v>
      </c>
      <c r="D120" s="15" t="s">
        <v>1021</v>
      </c>
      <c r="E120" s="15" t="s">
        <v>1022</v>
      </c>
      <c r="F120" s="15" t="s">
        <v>1023</v>
      </c>
      <c r="G120" s="15" t="s">
        <v>438</v>
      </c>
      <c r="H120" s="15" t="s">
        <v>149</v>
      </c>
      <c r="I120" s="16" t="s">
        <v>1024</v>
      </c>
      <c r="J120" s="17" t="s">
        <v>37</v>
      </c>
      <c r="K120" s="17" t="s">
        <v>1025</v>
      </c>
      <c r="L120" s="16" t="s">
        <v>53</v>
      </c>
      <c r="M120" s="17" t="s">
        <v>37</v>
      </c>
      <c r="N120" s="16" t="s">
        <v>1026</v>
      </c>
    </row>
    <row r="121" customFormat="false" ht="29.25" hidden="false" customHeight="true" outlineLevel="0" collapsed="false">
      <c r="A121" s="13" t="s">
        <v>1027</v>
      </c>
      <c r="B121" s="14" t="s">
        <v>965</v>
      </c>
      <c r="C121" s="15" t="s">
        <v>1028</v>
      </c>
      <c r="D121" s="15" t="s">
        <v>1021</v>
      </c>
      <c r="E121" s="15" t="s">
        <v>1029</v>
      </c>
      <c r="F121" s="15" t="s">
        <v>1030</v>
      </c>
      <c r="G121" s="15" t="s">
        <v>1031</v>
      </c>
      <c r="H121" s="15" t="s">
        <v>149</v>
      </c>
      <c r="I121" s="16" t="s">
        <v>1032</v>
      </c>
      <c r="J121" s="17" t="s">
        <v>37</v>
      </c>
      <c r="K121" s="17"/>
      <c r="L121" s="16" t="s">
        <v>37</v>
      </c>
      <c r="M121" s="17" t="s">
        <v>37</v>
      </c>
      <c r="N121" s="16" t="s">
        <v>1033</v>
      </c>
    </row>
    <row r="122" customFormat="false" ht="43.5" hidden="false" customHeight="true" outlineLevel="0" collapsed="false">
      <c r="A122" s="13" t="s">
        <v>1034</v>
      </c>
      <c r="B122" s="14" t="s">
        <v>965</v>
      </c>
      <c r="C122" s="15" t="s">
        <v>1035</v>
      </c>
      <c r="D122" s="15" t="s">
        <v>1036</v>
      </c>
      <c r="E122" s="15" t="s">
        <v>1037</v>
      </c>
      <c r="F122" s="15" t="s">
        <v>1038</v>
      </c>
      <c r="G122" s="14" t="s">
        <v>1039</v>
      </c>
      <c r="H122" s="15" t="s">
        <v>149</v>
      </c>
      <c r="I122" s="16" t="s">
        <v>1040</v>
      </c>
      <c r="J122" s="17" t="s">
        <v>39</v>
      </c>
      <c r="K122" s="17" t="s">
        <v>1041</v>
      </c>
      <c r="L122" s="16" t="s">
        <v>53</v>
      </c>
      <c r="M122" s="17" t="s">
        <v>37</v>
      </c>
      <c r="N122" s="16" t="s">
        <v>1042</v>
      </c>
    </row>
    <row r="123" customFormat="false" ht="29.25" hidden="false" customHeight="true" outlineLevel="0" collapsed="false">
      <c r="A123" s="13" t="s">
        <v>1043</v>
      </c>
      <c r="B123" s="14" t="s">
        <v>965</v>
      </c>
      <c r="C123" s="15" t="s">
        <v>1044</v>
      </c>
      <c r="D123" s="15" t="s">
        <v>167</v>
      </c>
      <c r="E123" s="15" t="s">
        <v>1045</v>
      </c>
      <c r="F123" s="15" t="s">
        <v>1046</v>
      </c>
      <c r="G123" s="15" t="s">
        <v>401</v>
      </c>
      <c r="H123" s="15" t="s">
        <v>149</v>
      </c>
      <c r="I123" s="16" t="s">
        <v>1047</v>
      </c>
      <c r="J123" s="17" t="s">
        <v>39</v>
      </c>
      <c r="K123" s="17" t="s">
        <v>1048</v>
      </c>
      <c r="L123" s="16" t="s">
        <v>53</v>
      </c>
      <c r="M123" s="17" t="s">
        <v>37</v>
      </c>
      <c r="N123" s="17" t="s">
        <v>1049</v>
      </c>
    </row>
    <row r="124" customFormat="false" ht="29.25" hidden="false" customHeight="true" outlineLevel="0" collapsed="false">
      <c r="A124" s="13" t="s">
        <v>1050</v>
      </c>
      <c r="B124" s="14" t="s">
        <v>965</v>
      </c>
      <c r="C124" s="15" t="s">
        <v>1051</v>
      </c>
      <c r="D124" s="15" t="s">
        <v>1021</v>
      </c>
      <c r="E124" s="15" t="s">
        <v>1052</v>
      </c>
      <c r="F124" s="15" t="s">
        <v>1053</v>
      </c>
      <c r="G124" s="15" t="s">
        <v>1054</v>
      </c>
      <c r="H124" s="15" t="s">
        <v>149</v>
      </c>
      <c r="I124" s="16" t="s">
        <v>1055</v>
      </c>
      <c r="J124" s="17" t="s">
        <v>37</v>
      </c>
      <c r="K124" s="17"/>
      <c r="L124" s="16" t="s">
        <v>37</v>
      </c>
      <c r="M124" s="17" t="s">
        <v>37</v>
      </c>
      <c r="N124" s="16" t="s">
        <v>1056</v>
      </c>
    </row>
    <row r="125" customFormat="false" ht="29.25" hidden="false" customHeight="true" outlineLevel="0" collapsed="false">
      <c r="A125" s="13" t="s">
        <v>1057</v>
      </c>
      <c r="B125" s="14" t="s">
        <v>965</v>
      </c>
      <c r="C125" s="15" t="s">
        <v>1058</v>
      </c>
      <c r="D125" s="14" t="s">
        <v>136</v>
      </c>
      <c r="E125" s="15" t="s">
        <v>1059</v>
      </c>
      <c r="F125" s="15" t="s">
        <v>1060</v>
      </c>
      <c r="G125" s="14" t="s">
        <v>1061</v>
      </c>
      <c r="H125" s="15" t="s">
        <v>149</v>
      </c>
      <c r="I125" s="16" t="s">
        <v>1062</v>
      </c>
      <c r="J125" s="17" t="s">
        <v>39</v>
      </c>
      <c r="K125" s="17" t="s">
        <v>1063</v>
      </c>
      <c r="L125" s="16" t="s">
        <v>53</v>
      </c>
      <c r="M125" s="17" t="s">
        <v>37</v>
      </c>
      <c r="N125" s="16" t="s">
        <v>1064</v>
      </c>
    </row>
    <row r="126" customFormat="false" ht="16.5" hidden="false" customHeight="true" outlineLevel="0" collapsed="false">
      <c r="A126" s="12" t="s">
        <v>1065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1066</v>
      </c>
      <c r="B127" s="14" t="s">
        <v>1067</v>
      </c>
      <c r="C127" s="15" t="s">
        <v>1068</v>
      </c>
      <c r="D127" s="14" t="s">
        <v>136</v>
      </c>
      <c r="E127" s="15" t="s">
        <v>1069</v>
      </c>
      <c r="F127" s="14" t="s">
        <v>1070</v>
      </c>
      <c r="G127" s="15" t="s">
        <v>234</v>
      </c>
      <c r="H127" s="15" t="s">
        <v>253</v>
      </c>
      <c r="I127" s="16" t="s">
        <v>1071</v>
      </c>
      <c r="J127" s="17" t="s">
        <v>37</v>
      </c>
      <c r="K127" s="17" t="s">
        <v>1072</v>
      </c>
      <c r="L127" s="16" t="s">
        <v>37</v>
      </c>
      <c r="M127" s="17" t="s">
        <v>37</v>
      </c>
      <c r="N127" s="16" t="s">
        <v>1073</v>
      </c>
    </row>
    <row r="128" customFormat="false" ht="29.25" hidden="false" customHeight="true" outlineLevel="0" collapsed="false">
      <c r="A128" s="13" t="s">
        <v>1074</v>
      </c>
      <c r="B128" s="14" t="s">
        <v>1067</v>
      </c>
      <c r="C128" s="15" t="s">
        <v>1075</v>
      </c>
      <c r="D128" s="14" t="s">
        <v>136</v>
      </c>
      <c r="E128" s="15" t="s">
        <v>1076</v>
      </c>
      <c r="F128" s="15" t="s">
        <v>1077</v>
      </c>
      <c r="G128" s="15" t="s">
        <v>234</v>
      </c>
      <c r="H128" s="15" t="s">
        <v>1078</v>
      </c>
      <c r="I128" s="16" t="s">
        <v>1079</v>
      </c>
      <c r="J128" s="17" t="s">
        <v>37</v>
      </c>
      <c r="K128" s="17"/>
      <c r="L128" s="16" t="s">
        <v>37</v>
      </c>
      <c r="M128" s="17" t="s">
        <v>37</v>
      </c>
      <c r="N128" s="17" t="s">
        <v>1080</v>
      </c>
    </row>
    <row r="129" customFormat="false" ht="29.25" hidden="false" customHeight="true" outlineLevel="0" collapsed="false">
      <c r="A129" s="13" t="s">
        <v>1081</v>
      </c>
      <c r="B129" s="14" t="s">
        <v>1067</v>
      </c>
      <c r="C129" s="15" t="s">
        <v>1082</v>
      </c>
      <c r="D129" s="15" t="s">
        <v>1083</v>
      </c>
      <c r="E129" s="15" t="s">
        <v>1084</v>
      </c>
      <c r="F129" s="15" t="s">
        <v>1085</v>
      </c>
      <c r="G129" s="15" t="s">
        <v>1086</v>
      </c>
      <c r="H129" s="15" t="s">
        <v>253</v>
      </c>
      <c r="I129" s="16" t="s">
        <v>1087</v>
      </c>
      <c r="J129" s="17" t="s">
        <v>37</v>
      </c>
      <c r="K129" s="17"/>
      <c r="L129" s="16" t="s">
        <v>37</v>
      </c>
      <c r="M129" s="17" t="s">
        <v>37</v>
      </c>
      <c r="N129" s="17" t="s">
        <v>1088</v>
      </c>
    </row>
    <row r="130" customFormat="false" ht="29.25" hidden="false" customHeight="true" outlineLevel="0" collapsed="false">
      <c r="A130" s="13" t="s">
        <v>1089</v>
      </c>
      <c r="B130" s="14" t="s">
        <v>1067</v>
      </c>
      <c r="C130" s="15" t="s">
        <v>1090</v>
      </c>
      <c r="D130" s="14" t="s">
        <v>136</v>
      </c>
      <c r="E130" s="15" t="s">
        <v>1091</v>
      </c>
      <c r="F130" s="15" t="s">
        <v>1092</v>
      </c>
      <c r="G130" s="15" t="s">
        <v>234</v>
      </c>
      <c r="H130" s="15" t="s">
        <v>253</v>
      </c>
      <c r="I130" s="16" t="s">
        <v>1093</v>
      </c>
      <c r="J130" s="17" t="s">
        <v>37</v>
      </c>
      <c r="K130" s="17" t="s">
        <v>1094</v>
      </c>
      <c r="L130" s="16" t="s">
        <v>37</v>
      </c>
      <c r="M130" s="17" t="s">
        <v>37</v>
      </c>
      <c r="N130" s="16" t="s">
        <v>1095</v>
      </c>
    </row>
    <row r="131" customFormat="false" ht="29.25" hidden="false" customHeight="true" outlineLevel="0" collapsed="false">
      <c r="A131" s="13" t="s">
        <v>1096</v>
      </c>
      <c r="B131" s="14" t="s">
        <v>1067</v>
      </c>
      <c r="C131" s="14" t="s">
        <v>1097</v>
      </c>
      <c r="D131" s="14" t="s">
        <v>136</v>
      </c>
      <c r="E131" s="14" t="s">
        <v>1098</v>
      </c>
      <c r="F131" s="14" t="s">
        <v>1099</v>
      </c>
      <c r="G131" s="15" t="s">
        <v>234</v>
      </c>
      <c r="H131" s="15" t="s">
        <v>253</v>
      </c>
      <c r="I131" s="17" t="s">
        <v>1100</v>
      </c>
      <c r="J131" s="17" t="s">
        <v>39</v>
      </c>
      <c r="K131" s="17" t="s">
        <v>1101</v>
      </c>
      <c r="L131" s="16" t="s">
        <v>53</v>
      </c>
      <c r="M131" s="17" t="s">
        <v>37</v>
      </c>
      <c r="N131" s="16" t="s">
        <v>1102</v>
      </c>
    </row>
    <row r="132" customFormat="false" ht="29.25" hidden="false" customHeight="true" outlineLevel="0" collapsed="false">
      <c r="A132" s="13" t="s">
        <v>1103</v>
      </c>
      <c r="B132" s="14" t="s">
        <v>1067</v>
      </c>
      <c r="C132" s="15" t="s">
        <v>1104</v>
      </c>
      <c r="D132" s="15" t="s">
        <v>1105</v>
      </c>
      <c r="E132" s="14" t="s">
        <v>1106</v>
      </c>
      <c r="F132" s="15" t="s">
        <v>1107</v>
      </c>
      <c r="G132" s="15" t="s">
        <v>234</v>
      </c>
      <c r="H132" s="15" t="s">
        <v>1108</v>
      </c>
      <c r="I132" s="16" t="s">
        <v>1109</v>
      </c>
      <c r="J132" s="17" t="s">
        <v>37</v>
      </c>
      <c r="K132" s="17" t="s">
        <v>1110</v>
      </c>
      <c r="L132" s="16" t="s">
        <v>53</v>
      </c>
      <c r="M132" s="17" t="s">
        <v>37</v>
      </c>
      <c r="N132" s="16" t="s">
        <v>1111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1112</v>
      </c>
      <c r="B1" s="9" t="s">
        <v>1113</v>
      </c>
      <c r="C1" s="9" t="s">
        <v>1114</v>
      </c>
      <c r="D1" s="9" t="s">
        <v>1115</v>
      </c>
      <c r="E1" s="9" t="s">
        <v>1116</v>
      </c>
      <c r="F1" s="9" t="s">
        <v>1117</v>
      </c>
      <c r="G1" s="9" t="s">
        <v>1118</v>
      </c>
      <c r="H1" s="9" t="s">
        <v>1119</v>
      </c>
      <c r="I1" s="9" t="s">
        <v>132</v>
      </c>
      <c r="J1" s="9" t="s">
        <v>1120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1121</v>
      </c>
      <c r="C2" s="10" t="s">
        <v>1122</v>
      </c>
      <c r="D2" s="10" t="s">
        <v>72</v>
      </c>
      <c r="E2" s="10" t="s">
        <v>75</v>
      </c>
      <c r="F2" s="11" t="s">
        <v>1123</v>
      </c>
      <c r="G2" s="10" t="s">
        <v>1124</v>
      </c>
      <c r="H2" s="11" t="s">
        <v>1125</v>
      </c>
      <c r="I2" s="10" t="s">
        <v>53</v>
      </c>
      <c r="J2" s="11" t="s">
        <v>1126</v>
      </c>
      <c r="K2" s="10" t="s">
        <v>1127</v>
      </c>
    </row>
    <row r="3" customFormat="false" ht="15" hidden="false" customHeight="true" outlineLevel="0" collapsed="false">
      <c r="A3" s="17" t="s">
        <v>985</v>
      </c>
      <c r="B3" s="17" t="s">
        <v>979</v>
      </c>
      <c r="C3" s="16" t="s">
        <v>1128</v>
      </c>
      <c r="D3" s="16" t="s">
        <v>70</v>
      </c>
      <c r="E3" s="16" t="s">
        <v>75</v>
      </c>
      <c r="F3" s="17" t="s">
        <v>1123</v>
      </c>
      <c r="G3" s="16" t="s">
        <v>1129</v>
      </c>
      <c r="H3" s="17" t="s">
        <v>1130</v>
      </c>
      <c r="I3" s="16" t="s">
        <v>53</v>
      </c>
      <c r="J3" s="17" t="s">
        <v>1126</v>
      </c>
      <c r="K3" s="17"/>
    </row>
    <row r="4" customFormat="false" ht="15" hidden="false" customHeight="true" outlineLevel="0" collapsed="false">
      <c r="A4" s="17" t="s">
        <v>1131</v>
      </c>
      <c r="B4" s="17" t="s">
        <v>1096</v>
      </c>
      <c r="C4" s="17" t="s">
        <v>1132</v>
      </c>
      <c r="D4" s="16" t="s">
        <v>72</v>
      </c>
      <c r="E4" s="16" t="s">
        <v>75</v>
      </c>
      <c r="F4" s="17" t="s">
        <v>1123</v>
      </c>
      <c r="G4" s="16" t="s">
        <v>1133</v>
      </c>
      <c r="H4" s="17" t="s">
        <v>1134</v>
      </c>
      <c r="I4" s="16" t="s">
        <v>53</v>
      </c>
      <c r="J4" s="17" t="s">
        <v>1126</v>
      </c>
      <c r="K4" s="17" t="s">
        <v>1135</v>
      </c>
    </row>
    <row r="5" customFormat="false" ht="15" hidden="false" customHeight="true" outlineLevel="0" collapsed="false">
      <c r="A5" s="17" t="s">
        <v>861</v>
      </c>
      <c r="B5" s="17" t="s">
        <v>855</v>
      </c>
      <c r="C5" s="16" t="s">
        <v>1136</v>
      </c>
      <c r="D5" s="16" t="s">
        <v>72</v>
      </c>
      <c r="E5" s="16" t="s">
        <v>81</v>
      </c>
      <c r="F5" s="17" t="s">
        <v>1123</v>
      </c>
      <c r="G5" s="17" t="s">
        <v>1137</v>
      </c>
      <c r="H5" s="17" t="s">
        <v>1138</v>
      </c>
      <c r="I5" s="16" t="s">
        <v>53</v>
      </c>
      <c r="J5" s="17" t="s">
        <v>1139</v>
      </c>
      <c r="K5" s="17" t="s">
        <v>1140</v>
      </c>
    </row>
    <row r="6" customFormat="false" ht="15" hidden="false" customHeight="true" outlineLevel="0" collapsed="false">
      <c r="A6" s="17" t="s">
        <v>993</v>
      </c>
      <c r="B6" s="17" t="s">
        <v>1141</v>
      </c>
      <c r="C6" s="17" t="s">
        <v>1142</v>
      </c>
      <c r="D6" s="16" t="s">
        <v>72</v>
      </c>
      <c r="E6" s="16" t="s">
        <v>75</v>
      </c>
      <c r="F6" s="17" t="s">
        <v>1123</v>
      </c>
      <c r="G6" s="16" t="s">
        <v>1143</v>
      </c>
      <c r="H6" s="17" t="s">
        <v>1144</v>
      </c>
      <c r="I6" s="16" t="s">
        <v>53</v>
      </c>
      <c r="J6" s="17" t="s">
        <v>1126</v>
      </c>
      <c r="K6" s="17" t="s">
        <v>1145</v>
      </c>
    </row>
    <row r="7" customFormat="false" ht="15" hidden="false" customHeight="true" outlineLevel="0" collapsed="false">
      <c r="A7" s="17" t="s">
        <v>529</v>
      </c>
      <c r="B7" s="17" t="s">
        <v>522</v>
      </c>
      <c r="C7" s="16" t="s">
        <v>1146</v>
      </c>
      <c r="D7" s="16" t="s">
        <v>70</v>
      </c>
      <c r="E7" s="16" t="s">
        <v>75</v>
      </c>
      <c r="F7" s="17" t="s">
        <v>1123</v>
      </c>
      <c r="G7" s="16" t="s">
        <v>1147</v>
      </c>
      <c r="H7" s="17" t="s">
        <v>1148</v>
      </c>
      <c r="I7" s="16" t="s">
        <v>53</v>
      </c>
      <c r="J7" s="17" t="s">
        <v>1126</v>
      </c>
      <c r="K7" s="17"/>
    </row>
    <row r="8" customFormat="false" ht="15" hidden="false" customHeight="true" outlineLevel="0" collapsed="false">
      <c r="A8" s="17" t="s">
        <v>151</v>
      </c>
      <c r="B8" s="17" t="s">
        <v>1149</v>
      </c>
      <c r="C8" s="16" t="s">
        <v>1150</v>
      </c>
      <c r="D8" s="16" t="s">
        <v>72</v>
      </c>
      <c r="E8" s="16" t="s">
        <v>81</v>
      </c>
      <c r="F8" s="17" t="s">
        <v>1123</v>
      </c>
      <c r="G8" s="16" t="s">
        <v>1151</v>
      </c>
      <c r="H8" s="17"/>
      <c r="I8" s="16" t="s">
        <v>83</v>
      </c>
      <c r="J8" s="17" t="s">
        <v>1126</v>
      </c>
      <c r="K8" s="17" t="s">
        <v>1152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1153</v>
      </c>
      <c r="D9" s="16" t="s">
        <v>70</v>
      </c>
      <c r="E9" s="16" t="s">
        <v>75</v>
      </c>
      <c r="F9" s="17" t="s">
        <v>1123</v>
      </c>
      <c r="G9" s="16" t="s">
        <v>1154</v>
      </c>
      <c r="H9" s="17" t="s">
        <v>1155</v>
      </c>
      <c r="I9" s="16" t="s">
        <v>53</v>
      </c>
      <c r="J9" s="17" t="s">
        <v>1126</v>
      </c>
      <c r="K9" s="17"/>
    </row>
    <row r="10" customFormat="false" ht="15" hidden="false" customHeight="true" outlineLevel="0" collapsed="false">
      <c r="A10" s="17" t="s">
        <v>185</v>
      </c>
      <c r="B10" s="17" t="s">
        <v>1156</v>
      </c>
      <c r="C10" s="16" t="s">
        <v>1157</v>
      </c>
      <c r="D10" s="16" t="s">
        <v>72</v>
      </c>
      <c r="E10" s="16" t="s">
        <v>75</v>
      </c>
      <c r="F10" s="17" t="s">
        <v>1123</v>
      </c>
      <c r="G10" s="16" t="s">
        <v>1158</v>
      </c>
      <c r="H10" s="17" t="s">
        <v>1159</v>
      </c>
      <c r="I10" s="16" t="s">
        <v>53</v>
      </c>
      <c r="J10" s="17" t="s">
        <v>1126</v>
      </c>
      <c r="K10" s="17"/>
    </row>
    <row r="11" customFormat="false" ht="15" hidden="false" customHeight="true" outlineLevel="0" collapsed="false">
      <c r="A11" s="17" t="s">
        <v>1160</v>
      </c>
      <c r="B11" s="17" t="s">
        <v>221</v>
      </c>
      <c r="C11" s="16" t="s">
        <v>1161</v>
      </c>
      <c r="D11" s="16" t="s">
        <v>72</v>
      </c>
      <c r="E11" s="16" t="s">
        <v>81</v>
      </c>
      <c r="F11" s="17" t="s">
        <v>1123</v>
      </c>
      <c r="G11" s="16" t="s">
        <v>1162</v>
      </c>
      <c r="H11" s="17" t="s">
        <v>1163</v>
      </c>
      <c r="I11" s="16" t="s">
        <v>53</v>
      </c>
      <c r="J11" s="17" t="s">
        <v>1139</v>
      </c>
      <c r="K11" s="17" t="s">
        <v>1164</v>
      </c>
    </row>
    <row r="12" customFormat="false" ht="15" hidden="false" customHeight="true" outlineLevel="0" collapsed="false">
      <c r="A12" s="17" t="s">
        <v>1165</v>
      </c>
      <c r="B12" s="17" t="s">
        <v>1166</v>
      </c>
      <c r="C12" s="16" t="s">
        <v>1167</v>
      </c>
      <c r="D12" s="16" t="s">
        <v>72</v>
      </c>
      <c r="E12" s="16" t="s">
        <v>77</v>
      </c>
      <c r="F12" s="17" t="s">
        <v>1123</v>
      </c>
      <c r="G12" s="17" t="s">
        <v>1168</v>
      </c>
      <c r="H12" s="17" t="s">
        <v>1169</v>
      </c>
      <c r="I12" s="16" t="s">
        <v>53</v>
      </c>
      <c r="J12" s="17" t="s">
        <v>1139</v>
      </c>
      <c r="K12" s="17" t="s">
        <v>1170</v>
      </c>
    </row>
    <row r="13" customFormat="false" ht="15" hidden="false" customHeight="true" outlineLevel="0" collapsed="false">
      <c r="A13" s="17" t="s">
        <v>270</v>
      </c>
      <c r="B13" s="17" t="s">
        <v>1171</v>
      </c>
      <c r="C13" s="16" t="s">
        <v>1172</v>
      </c>
      <c r="D13" s="16" t="s">
        <v>70</v>
      </c>
      <c r="E13" s="16" t="s">
        <v>75</v>
      </c>
      <c r="F13" s="17" t="s">
        <v>1123</v>
      </c>
      <c r="G13" s="16" t="s">
        <v>1173</v>
      </c>
      <c r="H13" s="17" t="s">
        <v>1174</v>
      </c>
      <c r="I13" s="16" t="s">
        <v>53</v>
      </c>
      <c r="J13" s="17" t="s">
        <v>1126</v>
      </c>
      <c r="K13" s="17"/>
    </row>
    <row r="14" customFormat="false" ht="15" hidden="false" customHeight="true" outlineLevel="0" collapsed="false">
      <c r="A14" s="17" t="s">
        <v>411</v>
      </c>
      <c r="B14" s="17" t="s">
        <v>405</v>
      </c>
      <c r="C14" s="16" t="s">
        <v>1175</v>
      </c>
      <c r="D14" s="16" t="s">
        <v>68</v>
      </c>
      <c r="E14" s="16" t="s">
        <v>75</v>
      </c>
      <c r="F14" s="17" t="s">
        <v>1123</v>
      </c>
      <c r="G14" s="16" t="s">
        <v>1176</v>
      </c>
      <c r="H14" s="17" t="s">
        <v>1177</v>
      </c>
      <c r="I14" s="16" t="s">
        <v>53</v>
      </c>
      <c r="J14" s="17" t="s">
        <v>1126</v>
      </c>
      <c r="K14" s="17"/>
    </row>
    <row r="15" customFormat="false" ht="15" hidden="false" customHeight="true" outlineLevel="0" collapsed="false">
      <c r="A15" s="17" t="s">
        <v>348</v>
      </c>
      <c r="B15" s="17" t="s">
        <v>343</v>
      </c>
      <c r="C15" s="16" t="s">
        <v>1178</v>
      </c>
      <c r="D15" s="16" t="s">
        <v>72</v>
      </c>
      <c r="E15" s="16" t="s">
        <v>81</v>
      </c>
      <c r="F15" s="17" t="s">
        <v>1123</v>
      </c>
      <c r="G15" s="16" t="s">
        <v>1179</v>
      </c>
      <c r="H15" s="17" t="s">
        <v>1180</v>
      </c>
      <c r="I15" s="16" t="s">
        <v>53</v>
      </c>
      <c r="J15" s="17" t="s">
        <v>1139</v>
      </c>
      <c r="K15" s="17" t="s">
        <v>1181</v>
      </c>
    </row>
    <row r="16" customFormat="false" ht="15" hidden="false" customHeight="true" outlineLevel="0" collapsed="false">
      <c r="A16" s="17" t="s">
        <v>1182</v>
      </c>
      <c r="B16" s="17" t="s">
        <v>397</v>
      </c>
      <c r="C16" s="16" t="s">
        <v>1183</v>
      </c>
      <c r="D16" s="16" t="s">
        <v>70</v>
      </c>
      <c r="E16" s="16" t="s">
        <v>75</v>
      </c>
      <c r="F16" s="17" t="s">
        <v>1123</v>
      </c>
      <c r="G16" s="16" t="s">
        <v>1184</v>
      </c>
      <c r="H16" s="17" t="s">
        <v>1185</v>
      </c>
      <c r="I16" s="16" t="s">
        <v>53</v>
      </c>
      <c r="J16" s="17" t="s">
        <v>1126</v>
      </c>
      <c r="K16" s="17" t="s">
        <v>1186</v>
      </c>
    </row>
    <row r="17" customFormat="false" ht="15" hidden="false" customHeight="true" outlineLevel="0" collapsed="false">
      <c r="A17" s="17" t="s">
        <v>1187</v>
      </c>
      <c r="B17" s="17" t="s">
        <v>414</v>
      </c>
      <c r="C17" s="16" t="s">
        <v>1188</v>
      </c>
      <c r="D17" s="16" t="s">
        <v>72</v>
      </c>
      <c r="E17" s="16" t="s">
        <v>75</v>
      </c>
      <c r="F17" s="17" t="s">
        <v>1123</v>
      </c>
      <c r="G17" s="16" t="s">
        <v>1189</v>
      </c>
      <c r="H17" s="17" t="s">
        <v>1190</v>
      </c>
      <c r="I17" s="16" t="s">
        <v>53</v>
      </c>
      <c r="J17" s="17" t="s">
        <v>1126</v>
      </c>
      <c r="K17" s="17" t="s">
        <v>1191</v>
      </c>
    </row>
    <row r="18" customFormat="false" ht="15" hidden="false" customHeight="true" outlineLevel="0" collapsed="false">
      <c r="A18" s="17" t="s">
        <v>1192</v>
      </c>
      <c r="B18" s="17" t="s">
        <v>1193</v>
      </c>
      <c r="C18" s="16" t="s">
        <v>1194</v>
      </c>
      <c r="D18" s="16" t="s">
        <v>72</v>
      </c>
      <c r="E18" s="16" t="s">
        <v>81</v>
      </c>
      <c r="F18" s="17" t="s">
        <v>1123</v>
      </c>
      <c r="G18" s="16" t="s">
        <v>1195</v>
      </c>
      <c r="H18" s="17" t="s">
        <v>1196</v>
      </c>
      <c r="I18" s="16" t="s">
        <v>53</v>
      </c>
      <c r="J18" s="17" t="s">
        <v>1139</v>
      </c>
      <c r="K18" s="17" t="s">
        <v>1197</v>
      </c>
    </row>
    <row r="19" customFormat="false" ht="15" hidden="false" customHeight="true" outlineLevel="0" collapsed="false">
      <c r="A19" s="17" t="s">
        <v>448</v>
      </c>
      <c r="B19" s="17" t="s">
        <v>1198</v>
      </c>
      <c r="C19" s="16" t="s">
        <v>1199</v>
      </c>
      <c r="D19" s="16" t="s">
        <v>72</v>
      </c>
      <c r="E19" s="16" t="s">
        <v>75</v>
      </c>
      <c r="F19" s="17" t="s">
        <v>1123</v>
      </c>
      <c r="G19" s="16" t="s">
        <v>1200</v>
      </c>
      <c r="H19" s="17" t="s">
        <v>1201</v>
      </c>
      <c r="I19" s="16" t="s">
        <v>53</v>
      </c>
      <c r="J19" s="17" t="s">
        <v>1139</v>
      </c>
      <c r="K19" s="17" t="s">
        <v>1202</v>
      </c>
    </row>
    <row r="20" customFormat="false" ht="15" hidden="false" customHeight="true" outlineLevel="0" collapsed="false">
      <c r="A20" s="17" t="s">
        <v>1203</v>
      </c>
      <c r="B20" s="17" t="s">
        <v>450</v>
      </c>
      <c r="C20" s="17" t="s">
        <v>1204</v>
      </c>
      <c r="D20" s="16" t="s">
        <v>70</v>
      </c>
      <c r="E20" s="16" t="s">
        <v>81</v>
      </c>
      <c r="F20" s="17" t="s">
        <v>1123</v>
      </c>
      <c r="G20" s="16" t="s">
        <v>1205</v>
      </c>
      <c r="H20" s="17"/>
      <c r="I20" s="16" t="s">
        <v>83</v>
      </c>
      <c r="J20" s="17" t="s">
        <v>1126</v>
      </c>
      <c r="K20" s="17" t="s">
        <v>1206</v>
      </c>
    </row>
    <row r="21" customFormat="false" ht="15" hidden="false" customHeight="true" outlineLevel="0" collapsed="false">
      <c r="A21" s="17" t="s">
        <v>1207</v>
      </c>
      <c r="B21" s="17" t="s">
        <v>1208</v>
      </c>
      <c r="C21" s="16" t="s">
        <v>1209</v>
      </c>
      <c r="D21" s="16" t="s">
        <v>72</v>
      </c>
      <c r="E21" s="16" t="s">
        <v>75</v>
      </c>
      <c r="F21" s="17" t="s">
        <v>1123</v>
      </c>
      <c r="G21" s="16" t="s">
        <v>1210</v>
      </c>
      <c r="H21" s="17" t="s">
        <v>1211</v>
      </c>
      <c r="I21" s="16" t="s">
        <v>53</v>
      </c>
      <c r="J21" s="17" t="s">
        <v>1126</v>
      </c>
      <c r="K21" s="17"/>
    </row>
    <row r="22" customFormat="false" ht="15" hidden="false" customHeight="true" outlineLevel="0" collapsed="false">
      <c r="A22" s="17" t="s">
        <v>1212</v>
      </c>
      <c r="B22" s="17" t="s">
        <v>1213</v>
      </c>
      <c r="C22" s="16" t="s">
        <v>1214</v>
      </c>
      <c r="D22" s="16" t="s">
        <v>70</v>
      </c>
      <c r="E22" s="16" t="s">
        <v>75</v>
      </c>
      <c r="F22" s="17" t="s">
        <v>1123</v>
      </c>
      <c r="G22" s="16" t="s">
        <v>1215</v>
      </c>
      <c r="H22" s="17" t="s">
        <v>1216</v>
      </c>
      <c r="I22" s="16" t="s">
        <v>53</v>
      </c>
      <c r="J22" s="17" t="s">
        <v>1126</v>
      </c>
      <c r="K22" s="17" t="s">
        <v>1217</v>
      </c>
    </row>
    <row r="23" customFormat="false" ht="15" hidden="false" customHeight="true" outlineLevel="0" collapsed="false">
      <c r="A23" s="17" t="s">
        <v>1218</v>
      </c>
      <c r="B23" s="17" t="s">
        <v>1219</v>
      </c>
      <c r="C23" s="16" t="s">
        <v>1220</v>
      </c>
      <c r="D23" s="16" t="s">
        <v>70</v>
      </c>
      <c r="E23" s="16" t="s">
        <v>75</v>
      </c>
      <c r="F23" s="17" t="s">
        <v>1123</v>
      </c>
      <c r="G23" s="16" t="s">
        <v>1221</v>
      </c>
      <c r="H23" s="17" t="s">
        <v>1222</v>
      </c>
      <c r="I23" s="16" t="s">
        <v>53</v>
      </c>
      <c r="J23" s="17" t="s">
        <v>1126</v>
      </c>
      <c r="K23" s="17" t="s">
        <v>1223</v>
      </c>
    </row>
    <row r="24" customFormat="false" ht="15" hidden="false" customHeight="true" outlineLevel="0" collapsed="false">
      <c r="A24" s="17" t="s">
        <v>1224</v>
      </c>
      <c r="B24" s="17" t="s">
        <v>1225</v>
      </c>
      <c r="C24" s="16" t="s">
        <v>1226</v>
      </c>
      <c r="D24" s="16" t="s">
        <v>72</v>
      </c>
      <c r="E24" s="16" t="s">
        <v>75</v>
      </c>
      <c r="F24" s="17" t="s">
        <v>1123</v>
      </c>
      <c r="G24" s="16" t="s">
        <v>1227</v>
      </c>
      <c r="H24" s="17" t="s">
        <v>1228</v>
      </c>
      <c r="I24" s="16" t="s">
        <v>53</v>
      </c>
      <c r="J24" s="17" t="s">
        <v>1126</v>
      </c>
      <c r="K24" s="17"/>
    </row>
    <row r="25" customFormat="false" ht="15" hidden="false" customHeight="true" outlineLevel="0" collapsed="false">
      <c r="A25" s="17" t="s">
        <v>1229</v>
      </c>
      <c r="B25" s="17" t="s">
        <v>610</v>
      </c>
      <c r="C25" s="16" t="s">
        <v>1230</v>
      </c>
      <c r="D25" s="16" t="s">
        <v>70</v>
      </c>
      <c r="E25" s="16" t="s">
        <v>75</v>
      </c>
      <c r="F25" s="17" t="s">
        <v>1123</v>
      </c>
      <c r="G25" s="16" t="s">
        <v>1231</v>
      </c>
      <c r="H25" s="17" t="s">
        <v>1232</v>
      </c>
      <c r="I25" s="16" t="s">
        <v>53</v>
      </c>
      <c r="J25" s="17" t="s">
        <v>1139</v>
      </c>
      <c r="K25" s="17" t="s">
        <v>1233</v>
      </c>
    </row>
    <row r="26" customFormat="false" ht="15" hidden="false" customHeight="true" outlineLevel="0" collapsed="false">
      <c r="A26" s="17" t="s">
        <v>1234</v>
      </c>
      <c r="B26" s="17" t="s">
        <v>1002</v>
      </c>
      <c r="C26" s="17" t="s">
        <v>1235</v>
      </c>
      <c r="D26" s="16" t="s">
        <v>70</v>
      </c>
      <c r="E26" s="16" t="s">
        <v>75</v>
      </c>
      <c r="F26" s="17" t="s">
        <v>1123</v>
      </c>
      <c r="G26" s="16" t="s">
        <v>1236</v>
      </c>
      <c r="H26" s="17" t="s">
        <v>1237</v>
      </c>
      <c r="I26" s="16" t="s">
        <v>53</v>
      </c>
      <c r="J26" s="17" t="s">
        <v>1126</v>
      </c>
      <c r="K26" s="17" t="s">
        <v>1238</v>
      </c>
    </row>
    <row r="27" customFormat="false" ht="15" hidden="false" customHeight="true" outlineLevel="0" collapsed="false">
      <c r="A27" s="17" t="s">
        <v>1239</v>
      </c>
      <c r="B27" s="17" t="s">
        <v>1002</v>
      </c>
      <c r="C27" s="17" t="s">
        <v>1240</v>
      </c>
      <c r="D27" s="16" t="s">
        <v>70</v>
      </c>
      <c r="E27" s="16" t="s">
        <v>81</v>
      </c>
      <c r="F27" s="17" t="s">
        <v>1123</v>
      </c>
      <c r="G27" s="16" t="s">
        <v>1241</v>
      </c>
      <c r="H27" s="17" t="s">
        <v>1242</v>
      </c>
      <c r="I27" s="16" t="s">
        <v>53</v>
      </c>
      <c r="J27" s="17" t="s">
        <v>1139</v>
      </c>
      <c r="K27" s="17" t="s">
        <v>1243</v>
      </c>
    </row>
    <row r="28" customFormat="false" ht="15" hidden="false" customHeight="true" outlineLevel="0" collapsed="false">
      <c r="A28" s="17" t="s">
        <v>1063</v>
      </c>
      <c r="B28" s="17" t="s">
        <v>1057</v>
      </c>
      <c r="C28" s="16" t="s">
        <v>1244</v>
      </c>
      <c r="D28" s="16" t="s">
        <v>70</v>
      </c>
      <c r="E28" s="16" t="s">
        <v>75</v>
      </c>
      <c r="F28" s="17" t="s">
        <v>1123</v>
      </c>
      <c r="G28" s="16" t="s">
        <v>1245</v>
      </c>
      <c r="H28" s="17" t="s">
        <v>1246</v>
      </c>
      <c r="I28" s="16" t="s">
        <v>53</v>
      </c>
      <c r="J28" s="17" t="s">
        <v>1126</v>
      </c>
      <c r="K28" s="17" t="s">
        <v>1247</v>
      </c>
    </row>
    <row r="29" customFormat="false" ht="15" hidden="false" customHeight="true" outlineLevel="0" collapsed="false">
      <c r="A29" s="17" t="s">
        <v>1248</v>
      </c>
      <c r="B29" s="17" t="s">
        <v>1034</v>
      </c>
      <c r="C29" s="16" t="s">
        <v>1249</v>
      </c>
      <c r="D29" s="16" t="s">
        <v>68</v>
      </c>
      <c r="E29" s="16" t="s">
        <v>75</v>
      </c>
      <c r="F29" s="17" t="s">
        <v>1123</v>
      </c>
      <c r="G29" s="16" t="s">
        <v>1250</v>
      </c>
      <c r="H29" s="17" t="s">
        <v>1251</v>
      </c>
      <c r="I29" s="16" t="s">
        <v>53</v>
      </c>
      <c r="J29" s="17" t="s">
        <v>1126</v>
      </c>
      <c r="K29" s="17" t="s">
        <v>1252</v>
      </c>
    </row>
    <row r="30" customFormat="false" ht="15" hidden="false" customHeight="true" outlineLevel="0" collapsed="false">
      <c r="A30" s="17" t="s">
        <v>1253</v>
      </c>
      <c r="B30" s="17" t="s">
        <v>1034</v>
      </c>
      <c r="C30" s="16" t="s">
        <v>1254</v>
      </c>
      <c r="D30" s="16" t="s">
        <v>70</v>
      </c>
      <c r="E30" s="16" t="s">
        <v>75</v>
      </c>
      <c r="F30" s="17" t="s">
        <v>1123</v>
      </c>
      <c r="G30" s="16" t="s">
        <v>1255</v>
      </c>
      <c r="H30" s="17" t="s">
        <v>1256</v>
      </c>
      <c r="I30" s="16" t="s">
        <v>53</v>
      </c>
      <c r="J30" s="17" t="s">
        <v>1126</v>
      </c>
      <c r="K30" s="17"/>
    </row>
    <row r="31" customFormat="false" ht="15" hidden="false" customHeight="true" outlineLevel="0" collapsed="false">
      <c r="A31" s="17" t="s">
        <v>1048</v>
      </c>
      <c r="B31" s="17" t="s">
        <v>1043</v>
      </c>
      <c r="C31" s="16" t="s">
        <v>1257</v>
      </c>
      <c r="D31" s="16" t="s">
        <v>70</v>
      </c>
      <c r="E31" s="16" t="s">
        <v>75</v>
      </c>
      <c r="F31" s="17" t="s">
        <v>1123</v>
      </c>
      <c r="G31" s="16" t="s">
        <v>1258</v>
      </c>
      <c r="H31" s="17" t="s">
        <v>1259</v>
      </c>
      <c r="I31" s="16" t="s">
        <v>53</v>
      </c>
      <c r="J31" s="17" t="s">
        <v>1126</v>
      </c>
      <c r="K31" s="17"/>
    </row>
    <row r="32" customFormat="false" ht="15" hidden="false" customHeight="true" outlineLevel="0" collapsed="false">
      <c r="A32" s="17" t="s">
        <v>1260</v>
      </c>
      <c r="B32" s="17" t="s">
        <v>924</v>
      </c>
      <c r="C32" s="16" t="s">
        <v>1261</v>
      </c>
      <c r="D32" s="16" t="s">
        <v>70</v>
      </c>
      <c r="E32" s="16" t="s">
        <v>75</v>
      </c>
      <c r="F32" s="17" t="s">
        <v>1123</v>
      </c>
      <c r="G32" s="16" t="s">
        <v>1262</v>
      </c>
      <c r="H32" s="17" t="s">
        <v>1263</v>
      </c>
      <c r="I32" s="16" t="s">
        <v>53</v>
      </c>
      <c r="J32" s="17" t="s">
        <v>1126</v>
      </c>
      <c r="K32" s="17" t="s">
        <v>1264</v>
      </c>
    </row>
    <row r="33" customFormat="false" ht="15" hidden="false" customHeight="true" outlineLevel="0" collapsed="false">
      <c r="A33" s="17" t="s">
        <v>1265</v>
      </c>
      <c r="B33" s="17" t="s">
        <v>1266</v>
      </c>
      <c r="C33" s="16" t="s">
        <v>1267</v>
      </c>
      <c r="D33" s="16" t="s">
        <v>70</v>
      </c>
      <c r="E33" s="16" t="s">
        <v>75</v>
      </c>
      <c r="F33" s="17" t="s">
        <v>1123</v>
      </c>
      <c r="G33" s="16" t="s">
        <v>1268</v>
      </c>
      <c r="H33" s="17" t="s">
        <v>1269</v>
      </c>
      <c r="I33" s="16" t="s">
        <v>53</v>
      </c>
      <c r="J33" s="17" t="s">
        <v>1126</v>
      </c>
      <c r="K33" s="17"/>
    </row>
    <row r="34" customFormat="false" ht="15" hidden="false" customHeight="true" outlineLevel="0" collapsed="false">
      <c r="A34" s="17" t="s">
        <v>1270</v>
      </c>
      <c r="B34" s="17" t="s">
        <v>924</v>
      </c>
      <c r="C34" s="16" t="s">
        <v>1271</v>
      </c>
      <c r="D34" s="16" t="s">
        <v>72</v>
      </c>
      <c r="E34" s="16" t="s">
        <v>75</v>
      </c>
      <c r="F34" s="17" t="s">
        <v>1123</v>
      </c>
      <c r="G34" s="16" t="s">
        <v>1272</v>
      </c>
      <c r="H34" s="17" t="s">
        <v>1273</v>
      </c>
      <c r="I34" s="16" t="s">
        <v>53</v>
      </c>
      <c r="J34" s="17" t="s">
        <v>1126</v>
      </c>
      <c r="K34" s="17" t="s">
        <v>1274</v>
      </c>
    </row>
    <row r="35" customFormat="false" ht="15" hidden="false" customHeight="true" outlineLevel="0" collapsed="false">
      <c r="A35" s="17" t="s">
        <v>1275</v>
      </c>
      <c r="B35" s="17" t="s">
        <v>916</v>
      </c>
      <c r="C35" s="16" t="s">
        <v>1276</v>
      </c>
      <c r="D35" s="16" t="s">
        <v>70</v>
      </c>
      <c r="E35" s="16" t="s">
        <v>81</v>
      </c>
      <c r="F35" s="17" t="s">
        <v>1123</v>
      </c>
      <c r="G35" s="16" t="s">
        <v>1277</v>
      </c>
      <c r="H35" s="17" t="s">
        <v>1278</v>
      </c>
      <c r="I35" s="16" t="s">
        <v>53</v>
      </c>
      <c r="J35" s="17" t="s">
        <v>1139</v>
      </c>
      <c r="K35" s="17" t="s">
        <v>1279</v>
      </c>
    </row>
    <row r="36" customFormat="false" ht="15" hidden="false" customHeight="true" outlineLevel="0" collapsed="false">
      <c r="A36" s="17" t="s">
        <v>764</v>
      </c>
      <c r="B36" s="17" t="s">
        <v>756</v>
      </c>
      <c r="C36" s="16" t="s">
        <v>1280</v>
      </c>
      <c r="D36" s="16" t="s">
        <v>72</v>
      </c>
      <c r="E36" s="16" t="s">
        <v>75</v>
      </c>
      <c r="F36" s="17" t="s">
        <v>1123</v>
      </c>
      <c r="G36" s="16" t="s">
        <v>1281</v>
      </c>
      <c r="H36" s="17" t="s">
        <v>1282</v>
      </c>
      <c r="I36" s="16" t="s">
        <v>53</v>
      </c>
      <c r="J36" s="17" t="s">
        <v>1126</v>
      </c>
      <c r="K36" s="17"/>
    </row>
    <row r="37" customFormat="false" ht="15" hidden="false" customHeight="true" outlineLevel="0" collapsed="false">
      <c r="A37" s="17" t="s">
        <v>773</v>
      </c>
      <c r="B37" s="17" t="s">
        <v>766</v>
      </c>
      <c r="C37" s="17" t="s">
        <v>1283</v>
      </c>
      <c r="D37" s="16" t="s">
        <v>70</v>
      </c>
      <c r="E37" s="16" t="s">
        <v>75</v>
      </c>
      <c r="F37" s="17" t="s">
        <v>1123</v>
      </c>
      <c r="G37" s="16" t="s">
        <v>1284</v>
      </c>
      <c r="H37" s="17" t="s">
        <v>1285</v>
      </c>
      <c r="I37" s="16" t="s">
        <v>53</v>
      </c>
      <c r="J37" s="17" t="s">
        <v>1126</v>
      </c>
      <c r="K37" s="17"/>
    </row>
    <row r="38" customFormat="false" ht="15" hidden="false" customHeight="true" outlineLevel="0" collapsed="false">
      <c r="A38" s="17" t="s">
        <v>780</v>
      </c>
      <c r="B38" s="17" t="s">
        <v>775</v>
      </c>
      <c r="C38" s="17" t="s">
        <v>1286</v>
      </c>
      <c r="D38" s="16" t="s">
        <v>70</v>
      </c>
      <c r="E38" s="16" t="s">
        <v>75</v>
      </c>
      <c r="F38" s="17" t="s">
        <v>1123</v>
      </c>
      <c r="G38" s="16" t="s">
        <v>1287</v>
      </c>
      <c r="H38" s="17" t="s">
        <v>1288</v>
      </c>
      <c r="I38" s="16" t="s">
        <v>53</v>
      </c>
      <c r="J38" s="17" t="s">
        <v>1126</v>
      </c>
      <c r="K38" s="17"/>
    </row>
    <row r="39" customFormat="false" ht="15" hidden="false" customHeight="true" outlineLevel="0" collapsed="false">
      <c r="A39" s="17" t="s">
        <v>1289</v>
      </c>
      <c r="B39" s="17" t="s">
        <v>880</v>
      </c>
      <c r="C39" s="16" t="s">
        <v>1290</v>
      </c>
      <c r="D39" s="16" t="s">
        <v>70</v>
      </c>
      <c r="E39" s="16" t="s">
        <v>75</v>
      </c>
      <c r="F39" s="17" t="s">
        <v>1123</v>
      </c>
      <c r="G39" s="16" t="s">
        <v>1291</v>
      </c>
      <c r="H39" s="17" t="s">
        <v>1292</v>
      </c>
      <c r="I39" s="16" t="s">
        <v>53</v>
      </c>
      <c r="J39" s="17" t="s">
        <v>1126</v>
      </c>
      <c r="K39" s="17" t="s">
        <v>1293</v>
      </c>
    </row>
    <row r="40" customFormat="false" ht="15" hidden="false" customHeight="true" outlineLevel="0" collapsed="false">
      <c r="A40" s="17" t="s">
        <v>648</v>
      </c>
      <c r="B40" s="17" t="s">
        <v>1294</v>
      </c>
      <c r="C40" s="16" t="s">
        <v>1295</v>
      </c>
      <c r="D40" s="16" t="s">
        <v>72</v>
      </c>
      <c r="E40" s="16" t="s">
        <v>75</v>
      </c>
      <c r="F40" s="17" t="s">
        <v>1123</v>
      </c>
      <c r="G40" s="16" t="s">
        <v>1296</v>
      </c>
      <c r="H40" s="17" t="s">
        <v>1297</v>
      </c>
      <c r="I40" s="16" t="s">
        <v>53</v>
      </c>
      <c r="J40" s="17" t="s">
        <v>1126</v>
      </c>
      <c r="K40" s="17"/>
    </row>
    <row r="41" customFormat="false" ht="15" hidden="false" customHeight="true" outlineLevel="0" collapsed="false">
      <c r="A41" s="17" t="s">
        <v>1298</v>
      </c>
      <c r="B41" s="17" t="s">
        <v>1299</v>
      </c>
      <c r="C41" s="16" t="s">
        <v>1300</v>
      </c>
      <c r="D41" s="16" t="s">
        <v>72</v>
      </c>
      <c r="E41" s="16" t="s">
        <v>75</v>
      </c>
      <c r="F41" s="17" t="s">
        <v>1126</v>
      </c>
      <c r="G41" s="16" t="s">
        <v>1301</v>
      </c>
      <c r="H41" s="17" t="s">
        <v>1302</v>
      </c>
      <c r="I41" s="16" t="s">
        <v>53</v>
      </c>
      <c r="J41" s="17" t="s">
        <v>1139</v>
      </c>
      <c r="K41" s="17" t="s">
        <v>1303</v>
      </c>
    </row>
    <row r="42" customFormat="false" ht="15" hidden="false" customHeight="true" outlineLevel="0" collapsed="false">
      <c r="A42" s="17" t="s">
        <v>1304</v>
      </c>
      <c r="B42" s="17" t="s">
        <v>1305</v>
      </c>
      <c r="C42" s="16" t="s">
        <v>1306</v>
      </c>
      <c r="D42" s="16" t="s">
        <v>72</v>
      </c>
      <c r="E42" s="16" t="s">
        <v>81</v>
      </c>
      <c r="F42" s="17" t="s">
        <v>1126</v>
      </c>
      <c r="G42" s="16" t="s">
        <v>1307</v>
      </c>
      <c r="H42" s="17" t="s">
        <v>1308</v>
      </c>
      <c r="I42" s="16" t="s">
        <v>53</v>
      </c>
      <c r="J42" s="17" t="s">
        <v>1309</v>
      </c>
      <c r="K42" s="17" t="s">
        <v>1310</v>
      </c>
    </row>
    <row r="43" customFormat="false" ht="15" hidden="false" customHeight="true" outlineLevel="0" collapsed="false">
      <c r="A43" s="17" t="s">
        <v>1311</v>
      </c>
      <c r="B43" s="17" t="s">
        <v>1312</v>
      </c>
      <c r="C43" s="16" t="s">
        <v>1313</v>
      </c>
      <c r="D43" s="16" t="s">
        <v>72</v>
      </c>
      <c r="E43" s="16" t="s">
        <v>81</v>
      </c>
      <c r="F43" s="17" t="s">
        <v>1126</v>
      </c>
      <c r="G43" s="16" t="s">
        <v>1314</v>
      </c>
      <c r="H43" s="17" t="s">
        <v>1315</v>
      </c>
      <c r="I43" s="16" t="s">
        <v>53</v>
      </c>
      <c r="J43" s="17" t="s">
        <v>1139</v>
      </c>
      <c r="K43" s="17" t="s">
        <v>1316</v>
      </c>
    </row>
    <row r="44" customFormat="false" ht="15" hidden="false" customHeight="true" outlineLevel="0" collapsed="false">
      <c r="A44" s="17" t="s">
        <v>1317</v>
      </c>
      <c r="B44" s="17" t="s">
        <v>1318</v>
      </c>
      <c r="C44" s="16" t="s">
        <v>1319</v>
      </c>
      <c r="D44" s="16" t="s">
        <v>70</v>
      </c>
      <c r="E44" s="16" t="s">
        <v>81</v>
      </c>
      <c r="F44" s="17" t="s">
        <v>1126</v>
      </c>
      <c r="G44" s="16" t="s">
        <v>1320</v>
      </c>
      <c r="H44" s="17" t="s">
        <v>1321</v>
      </c>
      <c r="I44" s="16" t="s">
        <v>53</v>
      </c>
      <c r="J44" s="17" t="s">
        <v>1139</v>
      </c>
      <c r="K44" s="17" t="s">
        <v>1322</v>
      </c>
    </row>
    <row r="45" customFormat="false" ht="15" hidden="false" customHeight="true" outlineLevel="0" collapsed="false">
      <c r="A45" s="17" t="s">
        <v>1323</v>
      </c>
      <c r="B45" s="17" t="s">
        <v>1324</v>
      </c>
      <c r="C45" s="16" t="s">
        <v>1325</v>
      </c>
      <c r="D45" s="16" t="s">
        <v>72</v>
      </c>
      <c r="E45" s="16" t="s">
        <v>75</v>
      </c>
      <c r="F45" s="17" t="s">
        <v>1126</v>
      </c>
      <c r="G45" s="16" t="s">
        <v>1326</v>
      </c>
      <c r="H45" s="17" t="s">
        <v>1327</v>
      </c>
      <c r="I45" s="16" t="s">
        <v>53</v>
      </c>
      <c r="J45" s="17" t="s">
        <v>1139</v>
      </c>
      <c r="K45" s="16" t="s">
        <v>1328</v>
      </c>
    </row>
    <row r="46" customFormat="false" ht="15" hidden="false" customHeight="true" outlineLevel="0" collapsed="false">
      <c r="A46" s="17" t="s">
        <v>1329</v>
      </c>
      <c r="B46" s="17" t="s">
        <v>1330</v>
      </c>
      <c r="C46" s="16" t="s">
        <v>1331</v>
      </c>
      <c r="D46" s="16" t="s">
        <v>72</v>
      </c>
      <c r="E46" s="16" t="s">
        <v>75</v>
      </c>
      <c r="F46" s="17" t="s">
        <v>1126</v>
      </c>
      <c r="G46" s="16" t="s">
        <v>1332</v>
      </c>
      <c r="H46" s="17" t="s">
        <v>1333</v>
      </c>
      <c r="I46" s="16" t="s">
        <v>53</v>
      </c>
      <c r="J46" s="17" t="s">
        <v>1139</v>
      </c>
      <c r="K46" s="16" t="s">
        <v>1334</v>
      </c>
    </row>
    <row r="47" customFormat="false" ht="15" hidden="false" customHeight="true" outlineLevel="0" collapsed="false">
      <c r="A47" s="17" t="s">
        <v>1094</v>
      </c>
      <c r="B47" s="17" t="s">
        <v>1335</v>
      </c>
      <c r="C47" s="16" t="s">
        <v>1336</v>
      </c>
      <c r="D47" s="16" t="s">
        <v>72</v>
      </c>
      <c r="E47" s="16" t="s">
        <v>75</v>
      </c>
      <c r="F47" s="17" t="s">
        <v>1126</v>
      </c>
      <c r="G47" s="16" t="s">
        <v>1337</v>
      </c>
      <c r="H47" s="17" t="s">
        <v>1338</v>
      </c>
      <c r="I47" s="16" t="s">
        <v>53</v>
      </c>
      <c r="J47" s="17" t="s">
        <v>1139</v>
      </c>
      <c r="K47" s="16" t="s">
        <v>1339</v>
      </c>
    </row>
    <row r="48" customFormat="false" ht="15" hidden="false" customHeight="true" outlineLevel="0" collapsed="false">
      <c r="A48" s="17" t="s">
        <v>1340</v>
      </c>
      <c r="B48" s="17" t="s">
        <v>1341</v>
      </c>
      <c r="C48" s="17" t="s">
        <v>1342</v>
      </c>
      <c r="D48" s="16" t="s">
        <v>72</v>
      </c>
      <c r="E48" s="16" t="s">
        <v>77</v>
      </c>
      <c r="F48" s="17" t="s">
        <v>1126</v>
      </c>
      <c r="G48" s="17" t="s">
        <v>1343</v>
      </c>
      <c r="H48" s="16" t="s">
        <v>1344</v>
      </c>
      <c r="I48" s="16" t="s">
        <v>53</v>
      </c>
      <c r="J48" s="17" t="s">
        <v>1139</v>
      </c>
      <c r="K48" s="17" t="s">
        <v>1345</v>
      </c>
    </row>
    <row r="49" customFormat="false" ht="15" hidden="false" customHeight="true" outlineLevel="0" collapsed="false">
      <c r="A49" s="17" t="s">
        <v>1346</v>
      </c>
      <c r="B49" s="17" t="s">
        <v>1347</v>
      </c>
      <c r="C49" s="16" t="s">
        <v>1348</v>
      </c>
      <c r="D49" s="16" t="s">
        <v>72</v>
      </c>
      <c r="E49" s="16" t="s">
        <v>81</v>
      </c>
      <c r="F49" s="17" t="s">
        <v>1126</v>
      </c>
      <c r="G49" s="16" t="s">
        <v>1349</v>
      </c>
      <c r="H49" s="17" t="s">
        <v>1350</v>
      </c>
      <c r="I49" s="16" t="s">
        <v>53</v>
      </c>
      <c r="J49" s="17" t="s">
        <v>1139</v>
      </c>
      <c r="K49" s="17" t="s">
        <v>1351</v>
      </c>
    </row>
    <row r="50" customFormat="false" ht="15" hidden="false" customHeight="true" outlineLevel="0" collapsed="false">
      <c r="A50" s="17" t="s">
        <v>1352</v>
      </c>
      <c r="B50" s="17" t="s">
        <v>1353</v>
      </c>
      <c r="C50" s="16" t="s">
        <v>1354</v>
      </c>
      <c r="D50" s="16" t="s">
        <v>72</v>
      </c>
      <c r="E50" s="16" t="s">
        <v>81</v>
      </c>
      <c r="F50" s="17" t="s">
        <v>1126</v>
      </c>
      <c r="G50" s="16" t="s">
        <v>1355</v>
      </c>
      <c r="H50" s="17" t="s">
        <v>1356</v>
      </c>
      <c r="I50" s="16" t="s">
        <v>53</v>
      </c>
      <c r="J50" s="17" t="s">
        <v>1139</v>
      </c>
      <c r="K50" s="17" t="s">
        <v>1357</v>
      </c>
    </row>
    <row r="51" customFormat="false" ht="15" hidden="false" customHeight="true" outlineLevel="0" collapsed="false">
      <c r="A51" s="17" t="s">
        <v>1358</v>
      </c>
      <c r="B51" s="17" t="s">
        <v>1359</v>
      </c>
      <c r="C51" s="16" t="s">
        <v>1360</v>
      </c>
      <c r="D51" s="16" t="s">
        <v>70</v>
      </c>
      <c r="E51" s="16" t="s">
        <v>75</v>
      </c>
      <c r="F51" s="17" t="s">
        <v>1139</v>
      </c>
      <c r="G51" s="17" t="s">
        <v>1361</v>
      </c>
      <c r="H51" s="17" t="s">
        <v>1362</v>
      </c>
      <c r="I51" s="16" t="s">
        <v>53</v>
      </c>
      <c r="J51" s="17" t="s">
        <v>1309</v>
      </c>
      <c r="K51" s="17" t="s">
        <v>1363</v>
      </c>
    </row>
    <row r="52" customFormat="false" ht="15" hidden="false" customHeight="true" outlineLevel="0" collapsed="false">
      <c r="A52" s="17" t="s">
        <v>1364</v>
      </c>
      <c r="B52" s="17" t="s">
        <v>1365</v>
      </c>
      <c r="C52" s="16" t="s">
        <v>1366</v>
      </c>
      <c r="D52" s="16" t="s">
        <v>72</v>
      </c>
      <c r="E52" s="16" t="s">
        <v>75</v>
      </c>
      <c r="F52" s="17" t="s">
        <v>1139</v>
      </c>
      <c r="G52" s="16" t="s">
        <v>1367</v>
      </c>
      <c r="H52" s="17" t="s">
        <v>1368</v>
      </c>
      <c r="I52" s="16" t="s">
        <v>53</v>
      </c>
      <c r="J52" s="17" t="s">
        <v>1309</v>
      </c>
      <c r="K52" s="16" t="s">
        <v>1369</v>
      </c>
    </row>
    <row r="53" customFormat="false" ht="15" hidden="false" customHeight="true" outlineLevel="0" collapsed="false">
      <c r="A53" s="17" t="s">
        <v>1370</v>
      </c>
      <c r="B53" s="17" t="s">
        <v>1371</v>
      </c>
      <c r="C53" s="16" t="s">
        <v>1372</v>
      </c>
      <c r="D53" s="16" t="s">
        <v>72</v>
      </c>
      <c r="E53" s="16" t="s">
        <v>75</v>
      </c>
      <c r="F53" s="17" t="s">
        <v>1139</v>
      </c>
      <c r="G53" s="16" t="s">
        <v>1373</v>
      </c>
      <c r="H53" s="17" t="s">
        <v>1374</v>
      </c>
      <c r="I53" s="16" t="s">
        <v>53</v>
      </c>
      <c r="J53" s="17" t="s">
        <v>1309</v>
      </c>
      <c r="K53" s="16" t="s">
        <v>1375</v>
      </c>
    </row>
    <row r="54" customFormat="false" ht="15" hidden="false" customHeight="true" outlineLevel="0" collapsed="false">
      <c r="A54" s="17" t="s">
        <v>1376</v>
      </c>
      <c r="B54" s="17" t="s">
        <v>1377</v>
      </c>
      <c r="C54" s="16" t="s">
        <v>1378</v>
      </c>
      <c r="D54" s="16" t="s">
        <v>72</v>
      </c>
      <c r="E54" s="16" t="s">
        <v>75</v>
      </c>
      <c r="F54" s="17" t="s">
        <v>1139</v>
      </c>
      <c r="G54" s="16" t="s">
        <v>1379</v>
      </c>
      <c r="H54" s="17" t="s">
        <v>1380</v>
      </c>
      <c r="I54" s="16" t="s">
        <v>53</v>
      </c>
      <c r="J54" s="17" t="s">
        <v>1309</v>
      </c>
      <c r="K54" s="16" t="s">
        <v>1381</v>
      </c>
    </row>
    <row r="55" customFormat="false" ht="15" hidden="false" customHeight="true" outlineLevel="0" collapsed="false">
      <c r="A55" s="17" t="s">
        <v>1382</v>
      </c>
      <c r="B55" s="17" t="s">
        <v>1371</v>
      </c>
      <c r="C55" s="16" t="s">
        <v>1383</v>
      </c>
      <c r="D55" s="16" t="s">
        <v>72</v>
      </c>
      <c r="E55" s="16" t="s">
        <v>75</v>
      </c>
      <c r="F55" s="17" t="s">
        <v>1139</v>
      </c>
      <c r="G55" s="16" t="s">
        <v>1384</v>
      </c>
      <c r="H55" s="17" t="s">
        <v>1385</v>
      </c>
      <c r="I55" s="16" t="s">
        <v>53</v>
      </c>
      <c r="J55" s="17" t="s">
        <v>1309</v>
      </c>
      <c r="K55" s="16" t="s">
        <v>1386</v>
      </c>
    </row>
    <row r="56" customFormat="false" ht="15" hidden="false" customHeight="true" outlineLevel="0" collapsed="false">
      <c r="A56" s="17" t="s">
        <v>1387</v>
      </c>
      <c r="B56" s="17" t="s">
        <v>1341</v>
      </c>
      <c r="C56" s="16" t="s">
        <v>1388</v>
      </c>
      <c r="D56" s="16" t="s">
        <v>72</v>
      </c>
      <c r="E56" s="16" t="s">
        <v>77</v>
      </c>
      <c r="F56" s="17" t="s">
        <v>1139</v>
      </c>
      <c r="G56" s="16" t="s">
        <v>1389</v>
      </c>
      <c r="H56" s="16" t="s">
        <v>1390</v>
      </c>
      <c r="I56" s="16" t="s">
        <v>53</v>
      </c>
      <c r="J56" s="17" t="s">
        <v>1309</v>
      </c>
      <c r="K56" s="17" t="s">
        <v>1391</v>
      </c>
    </row>
    <row r="57" customFormat="false" ht="15" hidden="false" customHeight="true" outlineLevel="0" collapsed="false">
      <c r="A57" s="17" t="s">
        <v>1392</v>
      </c>
      <c r="B57" s="17" t="s">
        <v>1393</v>
      </c>
      <c r="C57" s="17" t="s">
        <v>1394</v>
      </c>
      <c r="D57" s="16" t="s">
        <v>72</v>
      </c>
      <c r="E57" s="16" t="s">
        <v>77</v>
      </c>
      <c r="F57" s="17" t="s">
        <v>1139</v>
      </c>
      <c r="G57" s="16" t="s">
        <v>1395</v>
      </c>
      <c r="H57" s="17" t="s">
        <v>1396</v>
      </c>
      <c r="I57" s="16" t="s">
        <v>53</v>
      </c>
      <c r="J57" s="17" t="s">
        <v>1309</v>
      </c>
      <c r="K57" s="17" t="s">
        <v>1397</v>
      </c>
    </row>
    <row r="58" customFormat="false" ht="15" hidden="false" customHeight="true" outlineLevel="0" collapsed="false">
      <c r="A58" s="17" t="s">
        <v>1398</v>
      </c>
      <c r="B58" s="17" t="s">
        <v>1353</v>
      </c>
      <c r="C58" s="16" t="s">
        <v>1399</v>
      </c>
      <c r="D58" s="16" t="s">
        <v>72</v>
      </c>
      <c r="E58" s="16" t="s">
        <v>81</v>
      </c>
      <c r="F58" s="17" t="s">
        <v>1139</v>
      </c>
      <c r="G58" s="16" t="s">
        <v>1400</v>
      </c>
      <c r="H58" s="17" t="s">
        <v>1401</v>
      </c>
      <c r="I58" s="16" t="s">
        <v>53</v>
      </c>
      <c r="J58" s="17" t="s">
        <v>1402</v>
      </c>
      <c r="K58" s="17" t="s">
        <v>1403</v>
      </c>
    </row>
    <row r="59" customFormat="false" ht="15" hidden="false" customHeight="true" outlineLevel="0" collapsed="false">
      <c r="A59" s="17" t="s">
        <v>1404</v>
      </c>
      <c r="B59" s="17" t="s">
        <v>1405</v>
      </c>
      <c r="C59" s="16" t="s">
        <v>1406</v>
      </c>
      <c r="D59" s="16" t="s">
        <v>70</v>
      </c>
      <c r="E59" s="16" t="s">
        <v>81</v>
      </c>
      <c r="F59" s="17" t="s">
        <v>1139</v>
      </c>
      <c r="G59" s="16" t="s">
        <v>1407</v>
      </c>
      <c r="H59" s="17" t="s">
        <v>1408</v>
      </c>
      <c r="I59" s="16" t="s">
        <v>53</v>
      </c>
      <c r="J59" s="17" t="s">
        <v>1309</v>
      </c>
      <c r="K59" s="17" t="s">
        <v>1409</v>
      </c>
    </row>
    <row r="60" customFormat="false" ht="15" hidden="false" customHeight="true" outlineLevel="0" collapsed="false">
      <c r="A60" s="17" t="s">
        <v>1410</v>
      </c>
      <c r="B60" s="17" t="s">
        <v>1371</v>
      </c>
      <c r="C60" s="16" t="s">
        <v>1411</v>
      </c>
      <c r="D60" s="16" t="s">
        <v>72</v>
      </c>
      <c r="E60" s="16" t="s">
        <v>75</v>
      </c>
      <c r="F60" s="17" t="s">
        <v>1139</v>
      </c>
      <c r="G60" s="16" t="s">
        <v>1412</v>
      </c>
      <c r="H60" s="17" t="s">
        <v>1413</v>
      </c>
      <c r="I60" s="16" t="s">
        <v>53</v>
      </c>
      <c r="J60" s="17" t="s">
        <v>1309</v>
      </c>
      <c r="K60" s="16" t="s">
        <v>1414</v>
      </c>
    </row>
    <row r="61" customFormat="false" ht="15" hidden="false" customHeight="true" outlineLevel="0" collapsed="false">
      <c r="A61" s="17" t="s">
        <v>1415</v>
      </c>
      <c r="B61" s="17" t="s">
        <v>1371</v>
      </c>
      <c r="C61" s="16" t="s">
        <v>1416</v>
      </c>
      <c r="D61" s="16" t="s">
        <v>72</v>
      </c>
      <c r="E61" s="16" t="s">
        <v>81</v>
      </c>
      <c r="F61" s="17" t="s">
        <v>1139</v>
      </c>
      <c r="G61" s="16" t="s">
        <v>1417</v>
      </c>
      <c r="H61" s="17" t="s">
        <v>1418</v>
      </c>
      <c r="I61" s="16" t="s">
        <v>53</v>
      </c>
      <c r="J61" s="17" t="s">
        <v>1309</v>
      </c>
      <c r="K61" s="17" t="s">
        <v>1419</v>
      </c>
    </row>
    <row r="62" customFormat="false" ht="15" hidden="false" customHeight="true" outlineLevel="0" collapsed="false">
      <c r="A62" s="17" t="s">
        <v>1420</v>
      </c>
      <c r="B62" s="17" t="s">
        <v>1377</v>
      </c>
      <c r="C62" s="16" t="s">
        <v>1421</v>
      </c>
      <c r="D62" s="16" t="s">
        <v>72</v>
      </c>
      <c r="E62" s="16" t="s">
        <v>81</v>
      </c>
      <c r="F62" s="17" t="s">
        <v>1139</v>
      </c>
      <c r="G62" s="16" t="s">
        <v>1422</v>
      </c>
      <c r="H62" s="17" t="s">
        <v>1423</v>
      </c>
      <c r="I62" s="16" t="s">
        <v>53</v>
      </c>
      <c r="J62" s="17" t="s">
        <v>1309</v>
      </c>
      <c r="K62" s="17" t="s">
        <v>1424</v>
      </c>
    </row>
    <row r="63" customFormat="false" ht="15" hidden="false" customHeight="true" outlineLevel="0" collapsed="false">
      <c r="A63" s="17" t="s">
        <v>1425</v>
      </c>
      <c r="B63" s="17" t="s">
        <v>1426</v>
      </c>
      <c r="C63" s="16" t="s">
        <v>1427</v>
      </c>
      <c r="D63" s="16" t="s">
        <v>72</v>
      </c>
      <c r="E63" s="16" t="s">
        <v>75</v>
      </c>
      <c r="F63" s="17" t="s">
        <v>1139</v>
      </c>
      <c r="G63" s="16" t="s">
        <v>1428</v>
      </c>
      <c r="H63" s="17" t="s">
        <v>1429</v>
      </c>
      <c r="I63" s="16" t="s">
        <v>53</v>
      </c>
      <c r="J63" s="17" t="s">
        <v>1309</v>
      </c>
      <c r="K63" s="17" t="s">
        <v>1430</v>
      </c>
    </row>
    <row r="64" customFormat="false" ht="15" hidden="false" customHeight="true" outlineLevel="0" collapsed="false">
      <c r="A64" s="17" t="s">
        <v>1431</v>
      </c>
      <c r="B64" s="17" t="s">
        <v>1371</v>
      </c>
      <c r="C64" s="16" t="s">
        <v>1432</v>
      </c>
      <c r="D64" s="16" t="s">
        <v>72</v>
      </c>
      <c r="E64" s="16" t="s">
        <v>75</v>
      </c>
      <c r="F64" s="17" t="s">
        <v>1309</v>
      </c>
      <c r="G64" s="16" t="s">
        <v>1433</v>
      </c>
      <c r="H64" s="17" t="s">
        <v>1434</v>
      </c>
      <c r="I64" s="16" t="s">
        <v>53</v>
      </c>
      <c r="J64" s="17" t="s">
        <v>1402</v>
      </c>
      <c r="K64" s="16" t="s">
        <v>1435</v>
      </c>
    </row>
    <row r="65" customFormat="false" ht="15" hidden="false" customHeight="true" outlineLevel="0" collapsed="false">
      <c r="A65" s="17" t="s">
        <v>1436</v>
      </c>
      <c r="B65" s="17" t="s">
        <v>1377</v>
      </c>
      <c r="C65" s="17" t="s">
        <v>1437</v>
      </c>
      <c r="D65" s="16" t="s">
        <v>72</v>
      </c>
      <c r="E65" s="16" t="s">
        <v>77</v>
      </c>
      <c r="F65" s="17" t="s">
        <v>1309</v>
      </c>
      <c r="G65" s="16" t="s">
        <v>1438</v>
      </c>
      <c r="H65" s="16" t="s">
        <v>1439</v>
      </c>
      <c r="I65" s="16" t="s">
        <v>53</v>
      </c>
      <c r="J65" s="17" t="s">
        <v>1402</v>
      </c>
      <c r="K65" s="17" t="s">
        <v>1440</v>
      </c>
    </row>
    <row r="66" customFormat="false" ht="15" hidden="false" customHeight="true" outlineLevel="0" collapsed="false">
      <c r="A66" s="17" t="s">
        <v>1441</v>
      </c>
      <c r="B66" s="17" t="s">
        <v>1371</v>
      </c>
      <c r="C66" s="16" t="s">
        <v>1442</v>
      </c>
      <c r="D66" s="16" t="s">
        <v>72</v>
      </c>
      <c r="E66" s="16" t="s">
        <v>81</v>
      </c>
      <c r="F66" s="17" t="s">
        <v>1309</v>
      </c>
      <c r="G66" s="16" t="s">
        <v>1443</v>
      </c>
      <c r="H66" s="17" t="s">
        <v>1444</v>
      </c>
      <c r="I66" s="16" t="s">
        <v>53</v>
      </c>
      <c r="J66" s="17" t="s">
        <v>1402</v>
      </c>
      <c r="K66" s="17" t="s">
        <v>1445</v>
      </c>
    </row>
    <row r="67" customFormat="false" ht="15" hidden="false" customHeight="true" outlineLevel="0" collapsed="false">
      <c r="A67" s="17" t="s">
        <v>1446</v>
      </c>
      <c r="B67" s="17" t="s">
        <v>1447</v>
      </c>
      <c r="C67" s="17" t="s">
        <v>1448</v>
      </c>
      <c r="D67" s="16" t="s">
        <v>72</v>
      </c>
      <c r="E67" s="16" t="s">
        <v>75</v>
      </c>
      <c r="F67" s="17" t="s">
        <v>1309</v>
      </c>
      <c r="G67" s="17" t="s">
        <v>1449</v>
      </c>
      <c r="H67" s="17" t="s">
        <v>1450</v>
      </c>
      <c r="I67" s="16" t="s">
        <v>53</v>
      </c>
      <c r="J67" s="17" t="s">
        <v>1402</v>
      </c>
      <c r="K67" s="16" t="s">
        <v>1451</v>
      </c>
    </row>
    <row r="68" customFormat="false" ht="15" hidden="false" customHeight="true" outlineLevel="0" collapsed="false">
      <c r="A68" s="17" t="s">
        <v>1452</v>
      </c>
      <c r="B68" s="17" t="s">
        <v>1453</v>
      </c>
      <c r="C68" s="17" t="s">
        <v>1454</v>
      </c>
      <c r="D68" s="16" t="s">
        <v>70</v>
      </c>
      <c r="E68" s="16" t="s">
        <v>75</v>
      </c>
      <c r="F68" s="17" t="s">
        <v>1402</v>
      </c>
      <c r="G68" s="17" t="s">
        <v>1455</v>
      </c>
      <c r="H68" s="17" t="s">
        <v>1456</v>
      </c>
      <c r="I68" s="16" t="s">
        <v>53</v>
      </c>
      <c r="J68" s="17" t="s">
        <v>1457</v>
      </c>
      <c r="K68" s="16" t="s">
        <v>1458</v>
      </c>
    </row>
    <row r="69" customFormat="false" ht="15" hidden="false" customHeight="true" outlineLevel="0" collapsed="false">
      <c r="A69" s="17" t="s">
        <v>1459</v>
      </c>
      <c r="B69" s="17" t="s">
        <v>674</v>
      </c>
      <c r="C69" s="17" t="s">
        <v>1460</v>
      </c>
      <c r="D69" s="16" t="s">
        <v>70</v>
      </c>
      <c r="E69" s="16" t="s">
        <v>75</v>
      </c>
      <c r="F69" s="17" t="s">
        <v>1402</v>
      </c>
      <c r="G69" s="16" t="s">
        <v>1461</v>
      </c>
      <c r="H69" s="17" t="s">
        <v>1462</v>
      </c>
      <c r="I69" s="16" t="s">
        <v>53</v>
      </c>
      <c r="J69" s="17" t="s">
        <v>1457</v>
      </c>
      <c r="K69" s="16" t="s">
        <v>1463</v>
      </c>
    </row>
    <row r="70" customFormat="false" ht="15" hidden="false" customHeight="true" outlineLevel="0" collapsed="false">
      <c r="A70" s="17" t="s">
        <v>727</v>
      </c>
      <c r="B70" s="17" t="s">
        <v>721</v>
      </c>
      <c r="C70" s="16" t="s">
        <v>1464</v>
      </c>
      <c r="D70" s="16" t="s">
        <v>72</v>
      </c>
      <c r="E70" s="16" t="s">
        <v>75</v>
      </c>
      <c r="F70" s="17" t="s">
        <v>1402</v>
      </c>
      <c r="G70" s="16" t="s">
        <v>1465</v>
      </c>
      <c r="H70" s="17" t="s">
        <v>1466</v>
      </c>
      <c r="I70" s="16" t="s">
        <v>53</v>
      </c>
      <c r="J70" s="17" t="s">
        <v>1457</v>
      </c>
      <c r="K70" s="16" t="s">
        <v>1467</v>
      </c>
    </row>
    <row r="71" customFormat="false" ht="15" hidden="false" customHeight="true" outlineLevel="0" collapsed="false">
      <c r="A71" s="17" t="s">
        <v>1468</v>
      </c>
      <c r="B71" s="17" t="s">
        <v>871</v>
      </c>
      <c r="C71" s="16" t="s">
        <v>1469</v>
      </c>
      <c r="D71" s="16" t="s">
        <v>70</v>
      </c>
      <c r="E71" s="16" t="s">
        <v>75</v>
      </c>
      <c r="F71" s="17" t="s">
        <v>1402</v>
      </c>
      <c r="G71" s="16" t="s">
        <v>1470</v>
      </c>
      <c r="H71" s="17" t="s">
        <v>1471</v>
      </c>
      <c r="I71" s="16" t="s">
        <v>53</v>
      </c>
      <c r="J71" s="17" t="s">
        <v>1457</v>
      </c>
      <c r="K71" s="16" t="s">
        <v>1472</v>
      </c>
    </row>
    <row r="72" customFormat="false" ht="15" hidden="false" customHeight="true" outlineLevel="0" collapsed="false">
      <c r="A72" s="17" t="s">
        <v>1473</v>
      </c>
      <c r="B72" s="17" t="s">
        <v>871</v>
      </c>
      <c r="C72" s="16" t="s">
        <v>1474</v>
      </c>
      <c r="D72" s="16" t="s">
        <v>70</v>
      </c>
      <c r="E72" s="16" t="s">
        <v>75</v>
      </c>
      <c r="F72" s="17" t="s">
        <v>1402</v>
      </c>
      <c r="G72" s="16" t="s">
        <v>1475</v>
      </c>
      <c r="H72" s="17" t="s">
        <v>1476</v>
      </c>
      <c r="I72" s="16" t="s">
        <v>53</v>
      </c>
      <c r="J72" s="17" t="s">
        <v>1457</v>
      </c>
      <c r="K72" s="16" t="s">
        <v>1477</v>
      </c>
    </row>
    <row r="73" customFormat="false" ht="15" hidden="false" customHeight="true" outlineLevel="0" collapsed="false">
      <c r="A73" s="17" t="s">
        <v>1478</v>
      </c>
      <c r="B73" s="17" t="s">
        <v>871</v>
      </c>
      <c r="C73" s="16" t="s">
        <v>1479</v>
      </c>
      <c r="D73" s="16" t="s">
        <v>70</v>
      </c>
      <c r="E73" s="16" t="s">
        <v>75</v>
      </c>
      <c r="F73" s="17" t="s">
        <v>1402</v>
      </c>
      <c r="G73" s="16" t="s">
        <v>1480</v>
      </c>
      <c r="H73" s="17" t="s">
        <v>1481</v>
      </c>
      <c r="I73" s="16" t="s">
        <v>53</v>
      </c>
      <c r="J73" s="17" t="s">
        <v>1457</v>
      </c>
      <c r="K73" s="16" t="s">
        <v>1482</v>
      </c>
    </row>
    <row r="74" customFormat="false" ht="15" hidden="false" customHeight="true" outlineLevel="0" collapsed="false">
      <c r="A74" s="17" t="s">
        <v>513</v>
      </c>
      <c r="B74" s="17" t="s">
        <v>505</v>
      </c>
      <c r="C74" s="16" t="s">
        <v>1483</v>
      </c>
      <c r="D74" s="16" t="s">
        <v>72</v>
      </c>
      <c r="E74" s="16" t="s">
        <v>75</v>
      </c>
      <c r="F74" s="17" t="s">
        <v>1402</v>
      </c>
      <c r="G74" s="16" t="s">
        <v>1484</v>
      </c>
      <c r="H74" s="17" t="s">
        <v>1485</v>
      </c>
      <c r="I74" s="16" t="s">
        <v>53</v>
      </c>
      <c r="J74" s="17" t="s">
        <v>1457</v>
      </c>
      <c r="K74" s="16" t="s">
        <v>1486</v>
      </c>
    </row>
    <row r="75" customFormat="false" ht="15" hidden="false" customHeight="true" outlineLevel="0" collapsed="false">
      <c r="A75" s="17" t="s">
        <v>1487</v>
      </c>
      <c r="B75" s="17" t="s">
        <v>674</v>
      </c>
      <c r="C75" s="16" t="s">
        <v>1488</v>
      </c>
      <c r="D75" s="16" t="s">
        <v>72</v>
      </c>
      <c r="E75" s="16" t="s">
        <v>75</v>
      </c>
      <c r="F75" s="17" t="s">
        <v>1402</v>
      </c>
      <c r="G75" s="17" t="s">
        <v>1489</v>
      </c>
      <c r="H75" s="17" t="s">
        <v>1490</v>
      </c>
      <c r="I75" s="16" t="s">
        <v>53</v>
      </c>
      <c r="J75" s="17" t="s">
        <v>1457</v>
      </c>
      <c r="K75" s="16" t="s">
        <v>1491</v>
      </c>
    </row>
    <row r="76" customFormat="false" ht="15" hidden="false" customHeight="true" outlineLevel="0" collapsed="false">
      <c r="A76" s="17" t="s">
        <v>1492</v>
      </c>
      <c r="B76" s="17" t="s">
        <v>1371</v>
      </c>
      <c r="C76" s="16" t="s">
        <v>1493</v>
      </c>
      <c r="D76" s="16" t="s">
        <v>72</v>
      </c>
      <c r="E76" s="16" t="s">
        <v>81</v>
      </c>
      <c r="F76" s="17" t="s">
        <v>1402</v>
      </c>
      <c r="G76" s="16" t="s">
        <v>1494</v>
      </c>
      <c r="H76" s="17" t="s">
        <v>1495</v>
      </c>
      <c r="I76" s="16" t="s">
        <v>53</v>
      </c>
      <c r="J76" s="17" t="s">
        <v>1457</v>
      </c>
      <c r="K76" s="17" t="s">
        <v>1496</v>
      </c>
    </row>
    <row r="77" customFormat="false" ht="15" hidden="false" customHeight="true" outlineLevel="0" collapsed="false">
      <c r="A77" s="17" t="s">
        <v>1497</v>
      </c>
      <c r="B77" s="17" t="s">
        <v>1371</v>
      </c>
      <c r="C77" s="16" t="s">
        <v>1498</v>
      </c>
      <c r="D77" s="16" t="s">
        <v>72</v>
      </c>
      <c r="E77" s="16" t="s">
        <v>75</v>
      </c>
      <c r="F77" s="17" t="s">
        <v>1402</v>
      </c>
      <c r="G77" s="16" t="s">
        <v>1499</v>
      </c>
      <c r="H77" s="17" t="s">
        <v>1500</v>
      </c>
      <c r="I77" s="16" t="s">
        <v>53</v>
      </c>
      <c r="J77" s="17" t="s">
        <v>1457</v>
      </c>
      <c r="K77" s="16" t="s">
        <v>1501</v>
      </c>
    </row>
    <row r="78" customFormat="false" ht="15" hidden="false" customHeight="true" outlineLevel="0" collapsed="false">
      <c r="A78" s="17" t="s">
        <v>1502</v>
      </c>
      <c r="B78" s="17" t="s">
        <v>1371</v>
      </c>
      <c r="C78" s="17" t="s">
        <v>1503</v>
      </c>
      <c r="D78" s="16" t="s">
        <v>72</v>
      </c>
      <c r="E78" s="16" t="s">
        <v>81</v>
      </c>
      <c r="F78" s="17" t="s">
        <v>1402</v>
      </c>
      <c r="G78" s="16" t="s">
        <v>1504</v>
      </c>
      <c r="H78" s="17" t="s">
        <v>1505</v>
      </c>
      <c r="I78" s="16" t="s">
        <v>53</v>
      </c>
      <c r="J78" s="17" t="s">
        <v>1457</v>
      </c>
      <c r="K78" s="17" t="s">
        <v>1506</v>
      </c>
    </row>
    <row r="79" customFormat="false" ht="15" hidden="false" customHeight="true" outlineLevel="0" collapsed="false">
      <c r="A79" s="17" t="s">
        <v>1072</v>
      </c>
      <c r="B79" s="17" t="s">
        <v>1507</v>
      </c>
      <c r="C79" s="16" t="s">
        <v>1508</v>
      </c>
      <c r="D79" s="16" t="s">
        <v>72</v>
      </c>
      <c r="E79" s="16" t="s">
        <v>75</v>
      </c>
      <c r="F79" s="17" t="s">
        <v>1402</v>
      </c>
      <c r="G79" s="17" t="s">
        <v>1509</v>
      </c>
      <c r="H79" s="17" t="s">
        <v>1510</v>
      </c>
      <c r="I79" s="16" t="s">
        <v>53</v>
      </c>
      <c r="J79" s="17" t="s">
        <v>1511</v>
      </c>
      <c r="K79" s="16" t="s">
        <v>1512</v>
      </c>
    </row>
    <row r="80" customFormat="false" ht="15" hidden="false" customHeight="true" outlineLevel="0" collapsed="false">
      <c r="A80" s="17" t="s">
        <v>905</v>
      </c>
      <c r="B80" s="17" t="s">
        <v>1513</v>
      </c>
      <c r="C80" s="17" t="s">
        <v>1514</v>
      </c>
      <c r="D80" s="16" t="s">
        <v>72</v>
      </c>
      <c r="E80" s="16" t="s">
        <v>81</v>
      </c>
      <c r="F80" s="17" t="s">
        <v>1402</v>
      </c>
      <c r="G80" s="16" t="s">
        <v>1515</v>
      </c>
      <c r="H80" s="17" t="s">
        <v>1516</v>
      </c>
      <c r="I80" s="16" t="s">
        <v>53</v>
      </c>
      <c r="J80" s="17" t="s">
        <v>1457</v>
      </c>
      <c r="K80" s="16" t="s">
        <v>1517</v>
      </c>
    </row>
    <row r="81" customFormat="false" ht="15" hidden="false" customHeight="true" outlineLevel="0" collapsed="false">
      <c r="A81" s="17" t="s">
        <v>1518</v>
      </c>
      <c r="B81" s="17" t="s">
        <v>1519</v>
      </c>
      <c r="C81" s="16" t="s">
        <v>1520</v>
      </c>
      <c r="D81" s="16" t="s">
        <v>70</v>
      </c>
      <c r="E81" s="16" t="s">
        <v>75</v>
      </c>
      <c r="F81" s="17" t="s">
        <v>1457</v>
      </c>
      <c r="G81" s="16" t="s">
        <v>1521</v>
      </c>
      <c r="H81" s="17" t="s">
        <v>1522</v>
      </c>
      <c r="I81" s="16" t="s">
        <v>53</v>
      </c>
      <c r="J81" s="17" t="s">
        <v>1457</v>
      </c>
      <c r="K81" s="16" t="s">
        <v>1523</v>
      </c>
    </row>
    <row r="82" customFormat="false" ht="15" hidden="false" customHeight="true" outlineLevel="0" collapsed="false">
      <c r="A82" s="17" t="s">
        <v>1524</v>
      </c>
      <c r="B82" s="17" t="s">
        <v>1519</v>
      </c>
      <c r="C82" s="16" t="s">
        <v>1525</v>
      </c>
      <c r="D82" s="16" t="s">
        <v>72</v>
      </c>
      <c r="E82" s="16" t="s">
        <v>75</v>
      </c>
      <c r="F82" s="17" t="s">
        <v>1457</v>
      </c>
      <c r="G82" s="16" t="s">
        <v>1526</v>
      </c>
      <c r="H82" s="17" t="s">
        <v>1527</v>
      </c>
      <c r="I82" s="16" t="s">
        <v>53</v>
      </c>
      <c r="J82" s="17" t="s">
        <v>1457</v>
      </c>
      <c r="K82" s="16" t="s">
        <v>1523</v>
      </c>
    </row>
    <row r="83" customFormat="false" ht="15" hidden="false" customHeight="true" outlineLevel="0" collapsed="false">
      <c r="A83" s="17" t="s">
        <v>954</v>
      </c>
      <c r="B83" s="17" t="s">
        <v>1528</v>
      </c>
      <c r="C83" s="17" t="s">
        <v>1529</v>
      </c>
      <c r="D83" s="16" t="s">
        <v>72</v>
      </c>
      <c r="E83" s="16" t="s">
        <v>75</v>
      </c>
      <c r="F83" s="17" t="s">
        <v>1511</v>
      </c>
      <c r="G83" s="16" t="s">
        <v>1530</v>
      </c>
      <c r="H83" s="17" t="s">
        <v>1531</v>
      </c>
      <c r="I83" s="16" t="s">
        <v>53</v>
      </c>
      <c r="J83" s="17" t="s">
        <v>1511</v>
      </c>
      <c r="K83" s="16" t="s">
        <v>1532</v>
      </c>
    </row>
    <row r="84" customFormat="false" ht="15" hidden="false" customHeight="true" outlineLevel="0" collapsed="false">
      <c r="A84" s="17" t="s">
        <v>846</v>
      </c>
      <c r="B84" s="17" t="s">
        <v>838</v>
      </c>
      <c r="C84" s="17" t="s">
        <v>1533</v>
      </c>
      <c r="D84" s="16" t="s">
        <v>72</v>
      </c>
      <c r="E84" s="16" t="s">
        <v>75</v>
      </c>
      <c r="F84" s="17" t="s">
        <v>1534</v>
      </c>
      <c r="G84" s="17" t="s">
        <v>1535</v>
      </c>
      <c r="H84" s="17" t="s">
        <v>1536</v>
      </c>
      <c r="I84" s="16" t="s">
        <v>53</v>
      </c>
      <c r="J84" s="17" t="s">
        <v>1537</v>
      </c>
      <c r="K84" s="16" t="s">
        <v>1538</v>
      </c>
    </row>
    <row r="85" customFormat="false" ht="15" hidden="false" customHeight="true" outlineLevel="0" collapsed="false">
      <c r="A85" s="17" t="s">
        <v>1539</v>
      </c>
      <c r="B85" s="17" t="s">
        <v>880</v>
      </c>
      <c r="C85" s="16" t="s">
        <v>1540</v>
      </c>
      <c r="D85" s="16" t="s">
        <v>70</v>
      </c>
      <c r="E85" s="16" t="s">
        <v>75</v>
      </c>
      <c r="F85" s="17" t="s">
        <v>1541</v>
      </c>
      <c r="G85" s="17" t="s">
        <v>1542</v>
      </c>
      <c r="H85" s="17" t="s">
        <v>1543</v>
      </c>
      <c r="I85" s="16" t="s">
        <v>53</v>
      </c>
      <c r="J85" s="17" t="s">
        <v>1544</v>
      </c>
      <c r="K85" s="16" t="s">
        <v>1545</v>
      </c>
    </row>
    <row r="86" customFormat="false" ht="15" hidden="false" customHeight="true" outlineLevel="0" collapsed="false">
      <c r="A86" s="17" t="s">
        <v>804</v>
      </c>
      <c r="B86" s="17" t="s">
        <v>798</v>
      </c>
      <c r="C86" s="17" t="s">
        <v>1546</v>
      </c>
      <c r="D86" s="16" t="s">
        <v>72</v>
      </c>
      <c r="E86" s="16" t="s">
        <v>75</v>
      </c>
      <c r="F86" s="17" t="s">
        <v>1541</v>
      </c>
      <c r="G86" s="17" t="s">
        <v>1547</v>
      </c>
      <c r="H86" s="17" t="s">
        <v>1548</v>
      </c>
      <c r="I86" s="16" t="s">
        <v>53</v>
      </c>
      <c r="J86" s="17" t="s">
        <v>1544</v>
      </c>
      <c r="K86" s="16" t="s">
        <v>1549</v>
      </c>
    </row>
    <row r="87" customFormat="false" ht="15" hidden="false" customHeight="true" outlineLevel="0" collapsed="false">
      <c r="A87" s="17" t="s">
        <v>1550</v>
      </c>
      <c r="B87" s="17" t="s">
        <v>932</v>
      </c>
      <c r="C87" s="16" t="s">
        <v>1551</v>
      </c>
      <c r="D87" s="16" t="s">
        <v>72</v>
      </c>
      <c r="E87" s="16" t="s">
        <v>75</v>
      </c>
      <c r="F87" s="17" t="s">
        <v>1541</v>
      </c>
      <c r="G87" s="16" t="s">
        <v>1552</v>
      </c>
      <c r="H87" s="17" t="s">
        <v>1553</v>
      </c>
      <c r="I87" s="16" t="s">
        <v>53</v>
      </c>
      <c r="J87" s="17" t="s">
        <v>1544</v>
      </c>
      <c r="K87" s="16" t="s">
        <v>1554</v>
      </c>
    </row>
    <row r="88" customFormat="false" ht="15" hidden="false" customHeight="true" outlineLevel="0" collapsed="false">
      <c r="A88" s="17" t="s">
        <v>914</v>
      </c>
      <c r="B88" s="17" t="s">
        <v>1555</v>
      </c>
      <c r="C88" s="16" t="s">
        <v>1556</v>
      </c>
      <c r="D88" s="16" t="s">
        <v>72</v>
      </c>
      <c r="E88" s="16" t="s">
        <v>81</v>
      </c>
      <c r="F88" s="17" t="s">
        <v>1557</v>
      </c>
      <c r="G88" s="16" t="s">
        <v>1558</v>
      </c>
      <c r="H88" s="17"/>
      <c r="I88" s="16" t="s">
        <v>83</v>
      </c>
      <c r="J88" s="17" t="s">
        <v>1557</v>
      </c>
      <c r="K88" s="16" t="s">
        <v>1559</v>
      </c>
    </row>
    <row r="89" customFormat="false" ht="15" hidden="false" customHeight="true" outlineLevel="0" collapsed="false">
      <c r="A89" s="17" t="s">
        <v>1560</v>
      </c>
      <c r="B89" s="17" t="s">
        <v>1103</v>
      </c>
      <c r="C89" s="16" t="s">
        <v>1561</v>
      </c>
      <c r="D89" s="16" t="s">
        <v>72</v>
      </c>
      <c r="E89" s="16" t="s">
        <v>75</v>
      </c>
      <c r="F89" s="17" t="s">
        <v>1562</v>
      </c>
      <c r="G89" s="16" t="s">
        <v>1563</v>
      </c>
      <c r="H89" s="17" t="s">
        <v>1564</v>
      </c>
      <c r="I89" s="16" t="s">
        <v>53</v>
      </c>
      <c r="J89" s="17" t="s">
        <v>1565</v>
      </c>
      <c r="K89" s="16" t="s">
        <v>1566</v>
      </c>
    </row>
    <row r="90" customFormat="false" ht="15" hidden="false" customHeight="true" outlineLevel="0" collapsed="false">
      <c r="A90" s="17" t="s">
        <v>747</v>
      </c>
      <c r="B90" s="17" t="s">
        <v>738</v>
      </c>
      <c r="C90" s="16" t="s">
        <v>1567</v>
      </c>
      <c r="D90" s="16" t="s">
        <v>72</v>
      </c>
      <c r="E90" s="16" t="s">
        <v>75</v>
      </c>
      <c r="F90" s="17" t="s">
        <v>1562</v>
      </c>
      <c r="G90" s="16" t="s">
        <v>1568</v>
      </c>
      <c r="H90" s="17" t="s">
        <v>1569</v>
      </c>
      <c r="I90" s="16" t="s">
        <v>53</v>
      </c>
      <c r="J90" s="17" t="s">
        <v>1565</v>
      </c>
      <c r="K90" s="16" t="s">
        <v>1570</v>
      </c>
    </row>
    <row r="91" customFormat="false" ht="15" hidden="false" customHeight="true" outlineLevel="0" collapsed="false">
      <c r="A91" s="17" t="s">
        <v>1571</v>
      </c>
      <c r="B91" s="17" t="s">
        <v>813</v>
      </c>
      <c r="C91" s="16" t="s">
        <v>1572</v>
      </c>
      <c r="D91" s="16" t="s">
        <v>72</v>
      </c>
      <c r="E91" s="16" t="s">
        <v>81</v>
      </c>
      <c r="F91" s="17" t="s">
        <v>1562</v>
      </c>
      <c r="G91" s="16" t="s">
        <v>1573</v>
      </c>
      <c r="H91" s="17" t="s">
        <v>1574</v>
      </c>
      <c r="I91" s="16" t="s">
        <v>53</v>
      </c>
      <c r="J91" s="17" t="s">
        <v>1565</v>
      </c>
      <c r="K91" s="16" t="s">
        <v>1575</v>
      </c>
    </row>
    <row r="92" customFormat="false" ht="15" hidden="false" customHeight="true" outlineLevel="0" collapsed="false">
      <c r="A92" s="17" t="s">
        <v>1576</v>
      </c>
      <c r="B92" s="17" t="s">
        <v>187</v>
      </c>
      <c r="C92" s="16" t="s">
        <v>1577</v>
      </c>
      <c r="D92" s="16" t="s">
        <v>70</v>
      </c>
      <c r="E92" s="16" t="s">
        <v>75</v>
      </c>
      <c r="F92" s="17" t="s">
        <v>1562</v>
      </c>
      <c r="G92" s="16" t="s">
        <v>1578</v>
      </c>
      <c r="H92" s="17" t="s">
        <v>1579</v>
      </c>
      <c r="I92" s="16" t="s">
        <v>53</v>
      </c>
      <c r="J92" s="17" t="s">
        <v>1565</v>
      </c>
      <c r="K92" s="16" t="s">
        <v>1580</v>
      </c>
    </row>
    <row r="93" customFormat="false" ht="15" hidden="false" customHeight="true" outlineLevel="0" collapsed="false">
      <c r="A93" s="17" t="s">
        <v>1581</v>
      </c>
      <c r="B93" s="17" t="s">
        <v>187</v>
      </c>
      <c r="C93" s="16" t="s">
        <v>1582</v>
      </c>
      <c r="D93" s="16" t="s">
        <v>72</v>
      </c>
      <c r="E93" s="16" t="s">
        <v>81</v>
      </c>
      <c r="F93" s="17" t="s">
        <v>1562</v>
      </c>
      <c r="G93" s="16" t="s">
        <v>1583</v>
      </c>
      <c r="H93" s="17" t="s">
        <v>1584</v>
      </c>
      <c r="I93" s="16" t="s">
        <v>53</v>
      </c>
      <c r="J93" s="17" t="s">
        <v>1565</v>
      </c>
      <c r="K93" s="16" t="s">
        <v>1585</v>
      </c>
    </row>
    <row r="94" customFormat="false" ht="15" hidden="false" customHeight="true" outlineLevel="0" collapsed="false">
      <c r="A94" s="17" t="s">
        <v>1586</v>
      </c>
      <c r="B94" s="17" t="s">
        <v>1587</v>
      </c>
      <c r="C94" s="16" t="s">
        <v>1588</v>
      </c>
      <c r="D94" s="16" t="s">
        <v>72</v>
      </c>
      <c r="E94" s="16" t="s">
        <v>81</v>
      </c>
      <c r="F94" s="17" t="s">
        <v>1565</v>
      </c>
      <c r="G94" s="16" t="s">
        <v>1589</v>
      </c>
      <c r="H94" s="17" t="s">
        <v>1590</v>
      </c>
      <c r="I94" s="16" t="s">
        <v>53</v>
      </c>
      <c r="J94" s="17" t="s">
        <v>1591</v>
      </c>
      <c r="K94" s="16" t="s">
        <v>1592</v>
      </c>
    </row>
    <row r="95" customFormat="false" ht="15" hidden="false" customHeight="true" outlineLevel="0" collapsed="false">
      <c r="A95" s="17" t="s">
        <v>1593</v>
      </c>
      <c r="B95" s="17" t="s">
        <v>238</v>
      </c>
      <c r="C95" s="16" t="s">
        <v>1594</v>
      </c>
      <c r="D95" s="16" t="s">
        <v>72</v>
      </c>
      <c r="E95" s="16" t="s">
        <v>81</v>
      </c>
      <c r="F95" s="17" t="s">
        <v>1591</v>
      </c>
      <c r="G95" s="16" t="s">
        <v>1595</v>
      </c>
      <c r="H95" s="17" t="s">
        <v>1596</v>
      </c>
      <c r="I95" s="16" t="s">
        <v>53</v>
      </c>
      <c r="J95" s="17" t="s">
        <v>1597</v>
      </c>
      <c r="K95" s="16" t="s">
        <v>1598</v>
      </c>
    </row>
  </sheetData>
  <dataValidations count="4">
    <dataValidation allowBlank="true" errorStyle="stop" operator="between" showDropDown="false" showErrorMessage="false" showInputMessage="false" sqref="D3:D200" type="list">
      <formula1>"高,中,低"</formula1>
      <formula2>0</formula2>
    </dataValidation>
    <dataValidation allowBlank="true" errorStyle="stop" operator="between" showDropDown="false" showErrorMessage="false" showInputMessage="false" sqref="E3:E20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20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200 J3:J200" type="list">
      <formula1>"R1,R2,R3,R4,R5,R6,R7,R8,R9,R10,R11,R12,R13,R14,R15,R16"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1600</v>
      </c>
      <c r="B2" s="9" t="s">
        <v>1112</v>
      </c>
      <c r="C2" s="9" t="s">
        <v>1113</v>
      </c>
      <c r="D2" s="9" t="s">
        <v>1601</v>
      </c>
      <c r="E2" s="19" t="s">
        <v>1602</v>
      </c>
      <c r="F2" s="19" t="s">
        <v>1603</v>
      </c>
      <c r="G2" s="19" t="s">
        <v>1604</v>
      </c>
      <c r="H2" s="19" t="s">
        <v>1605</v>
      </c>
      <c r="I2" s="19" t="s">
        <v>1606</v>
      </c>
      <c r="J2" s="19" t="s">
        <v>1607</v>
      </c>
      <c r="K2" s="19" t="s">
        <v>1608</v>
      </c>
      <c r="L2" s="19" t="s">
        <v>1609</v>
      </c>
      <c r="M2" s="20" t="s">
        <v>1610</v>
      </c>
      <c r="N2" s="20" t="s">
        <v>1611</v>
      </c>
      <c r="O2" s="20" t="s">
        <v>1612</v>
      </c>
      <c r="P2" s="20" t="s">
        <v>1613</v>
      </c>
      <c r="Q2" s="20" t="s">
        <v>1614</v>
      </c>
      <c r="R2" s="20" t="s">
        <v>1615</v>
      </c>
    </row>
    <row r="3" customFormat="false" ht="86.25" hidden="false" customHeight="true" outlineLevel="0" collapsed="false">
      <c r="A3" s="11" t="s">
        <v>1123</v>
      </c>
      <c r="B3" s="11" t="s">
        <v>139</v>
      </c>
      <c r="C3" s="11" t="s">
        <v>381</v>
      </c>
      <c r="D3" s="11" t="s">
        <v>1616</v>
      </c>
      <c r="E3" s="10" t="s">
        <v>1617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1618</v>
      </c>
      <c r="N3" s="10" t="s">
        <v>1619</v>
      </c>
      <c r="O3" s="11" t="s">
        <v>1620</v>
      </c>
      <c r="P3" s="11" t="s">
        <v>39</v>
      </c>
      <c r="Q3" s="10" t="s">
        <v>1621</v>
      </c>
      <c r="R3" s="10" t="s">
        <v>1622</v>
      </c>
    </row>
    <row r="4" customFormat="false" ht="86.25" hidden="false" customHeight="true" outlineLevel="0" collapsed="false">
      <c r="A4" s="11" t="s">
        <v>1126</v>
      </c>
      <c r="B4" s="11" t="s">
        <v>139</v>
      </c>
      <c r="C4" s="11" t="s">
        <v>381</v>
      </c>
      <c r="D4" s="11" t="s">
        <v>1616</v>
      </c>
      <c r="E4" s="10" t="s">
        <v>1623</v>
      </c>
      <c r="F4" s="11" t="s">
        <v>1624</v>
      </c>
      <c r="G4" s="10" t="s">
        <v>1625</v>
      </c>
      <c r="H4" s="11" t="s">
        <v>1626</v>
      </c>
      <c r="I4" s="10" t="s">
        <v>1627</v>
      </c>
      <c r="J4" s="10" t="s">
        <v>1628</v>
      </c>
      <c r="K4" s="11" t="s">
        <v>1629</v>
      </c>
      <c r="L4" s="11" t="s">
        <v>1630</v>
      </c>
      <c r="M4" s="10" t="s">
        <v>1631</v>
      </c>
      <c r="N4" s="10" t="s">
        <v>1632</v>
      </c>
      <c r="O4" s="10" t="s">
        <v>1633</v>
      </c>
      <c r="P4" s="10" t="s">
        <v>1634</v>
      </c>
      <c r="Q4" s="10" t="s">
        <v>1635</v>
      </c>
      <c r="R4" s="10" t="s">
        <v>1622</v>
      </c>
    </row>
    <row r="5" customFormat="false" ht="15" hidden="false" customHeight="true" outlineLevel="0" collapsed="false">
      <c r="A5" s="17" t="s">
        <v>1123</v>
      </c>
      <c r="B5" s="17" t="s">
        <v>985</v>
      </c>
      <c r="C5" s="17" t="s">
        <v>979</v>
      </c>
      <c r="D5" s="17" t="s">
        <v>1636</v>
      </c>
      <c r="E5" s="21" t="s">
        <v>1617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1637</v>
      </c>
      <c r="N5" s="23" t="s">
        <v>1638</v>
      </c>
      <c r="O5" s="23" t="s">
        <v>1639</v>
      </c>
      <c r="P5" s="24" t="s">
        <v>39</v>
      </c>
      <c r="Q5" s="23" t="s">
        <v>1640</v>
      </c>
      <c r="R5" s="23" t="s">
        <v>1641</v>
      </c>
    </row>
    <row r="6" customFormat="false" ht="15" hidden="false" customHeight="true" outlineLevel="0" collapsed="false">
      <c r="A6" s="17" t="s">
        <v>1123</v>
      </c>
      <c r="B6" s="17" t="s">
        <v>1131</v>
      </c>
      <c r="C6" s="17" t="s">
        <v>1096</v>
      </c>
      <c r="D6" s="17" t="s">
        <v>1636</v>
      </c>
      <c r="E6" s="21" t="s">
        <v>1617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1642</v>
      </c>
      <c r="N6" s="23" t="s">
        <v>1643</v>
      </c>
      <c r="O6" s="23" t="s">
        <v>1644</v>
      </c>
      <c r="P6" s="24" t="s">
        <v>39</v>
      </c>
      <c r="Q6" s="23" t="s">
        <v>1645</v>
      </c>
      <c r="R6" s="23" t="s">
        <v>1641</v>
      </c>
    </row>
    <row r="7" customFormat="false" ht="15" hidden="false" customHeight="true" outlineLevel="0" collapsed="false">
      <c r="A7" s="17" t="s">
        <v>1123</v>
      </c>
      <c r="B7" s="17" t="s">
        <v>861</v>
      </c>
      <c r="C7" s="17" t="s">
        <v>855</v>
      </c>
      <c r="D7" s="17" t="s">
        <v>1636</v>
      </c>
      <c r="E7" s="21" t="s">
        <v>1617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1646</v>
      </c>
      <c r="N7" s="23" t="s">
        <v>1647</v>
      </c>
      <c r="O7" s="24" t="s">
        <v>1648</v>
      </c>
      <c r="P7" s="23" t="s">
        <v>1649</v>
      </c>
      <c r="Q7" s="23" t="s">
        <v>1650</v>
      </c>
      <c r="R7" s="23" t="s">
        <v>1641</v>
      </c>
    </row>
    <row r="8" customFormat="false" ht="15" hidden="false" customHeight="true" outlineLevel="0" collapsed="false">
      <c r="A8" s="17" t="s">
        <v>1123</v>
      </c>
      <c r="B8" s="17" t="s">
        <v>993</v>
      </c>
      <c r="C8" s="17" t="s">
        <v>987</v>
      </c>
      <c r="D8" s="17" t="s">
        <v>1636</v>
      </c>
      <c r="E8" s="21" t="s">
        <v>1617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1651</v>
      </c>
      <c r="N8" s="23" t="s">
        <v>1652</v>
      </c>
      <c r="O8" s="23" t="s">
        <v>1653</v>
      </c>
      <c r="P8" s="24" t="s">
        <v>39</v>
      </c>
      <c r="Q8" s="23" t="s">
        <v>1654</v>
      </c>
      <c r="R8" s="23" t="s">
        <v>1641</v>
      </c>
    </row>
    <row r="9" customFormat="false" ht="15" hidden="false" customHeight="true" outlineLevel="0" collapsed="false">
      <c r="A9" s="17" t="s">
        <v>1123</v>
      </c>
      <c r="B9" s="17" t="s">
        <v>529</v>
      </c>
      <c r="C9" s="17" t="s">
        <v>522</v>
      </c>
      <c r="D9" s="17" t="s">
        <v>1636</v>
      </c>
      <c r="E9" s="21" t="s">
        <v>1617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1655</v>
      </c>
      <c r="N9" s="23" t="s">
        <v>1656</v>
      </c>
      <c r="O9" s="23" t="s">
        <v>1657</v>
      </c>
      <c r="P9" s="24" t="s">
        <v>39</v>
      </c>
      <c r="Q9" s="23" t="s">
        <v>1658</v>
      </c>
      <c r="R9" s="23" t="s">
        <v>1641</v>
      </c>
    </row>
    <row r="10" customFormat="false" ht="15" hidden="false" customHeight="true" outlineLevel="0" collapsed="false">
      <c r="A10" s="17" t="s">
        <v>1123</v>
      </c>
      <c r="B10" s="17" t="s">
        <v>151</v>
      </c>
      <c r="C10" s="17" t="s">
        <v>142</v>
      </c>
      <c r="D10" s="17" t="s">
        <v>1636</v>
      </c>
      <c r="E10" s="21" t="s">
        <v>1617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1659</v>
      </c>
      <c r="N10" s="23" t="s">
        <v>1660</v>
      </c>
      <c r="O10" s="23" t="s">
        <v>1661</v>
      </c>
      <c r="P10" s="23" t="s">
        <v>1649</v>
      </c>
      <c r="Q10" s="23" t="s">
        <v>1662</v>
      </c>
      <c r="R10" s="23" t="s">
        <v>1641</v>
      </c>
    </row>
    <row r="11" customFormat="false" ht="15" hidden="false" customHeight="true" outlineLevel="0" collapsed="false">
      <c r="A11" s="17" t="s">
        <v>1123</v>
      </c>
      <c r="B11" s="17" t="s">
        <v>160</v>
      </c>
      <c r="C11" s="17" t="s">
        <v>153</v>
      </c>
      <c r="D11" s="17" t="s">
        <v>1636</v>
      </c>
      <c r="E11" s="21" t="s">
        <v>1617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1663</v>
      </c>
      <c r="N11" s="23" t="s">
        <v>1664</v>
      </c>
      <c r="O11" s="23" t="s">
        <v>1665</v>
      </c>
      <c r="P11" s="24" t="s">
        <v>39</v>
      </c>
      <c r="Q11" s="23" t="s">
        <v>1666</v>
      </c>
      <c r="R11" s="23" t="s">
        <v>1641</v>
      </c>
    </row>
    <row r="12" customFormat="false" ht="15" hidden="false" customHeight="true" outlineLevel="0" collapsed="false">
      <c r="A12" s="17" t="s">
        <v>1123</v>
      </c>
      <c r="B12" s="17" t="s">
        <v>185</v>
      </c>
      <c r="C12" s="17" t="s">
        <v>178</v>
      </c>
      <c r="D12" s="17" t="s">
        <v>1636</v>
      </c>
      <c r="E12" s="21" t="s">
        <v>1617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1667</v>
      </c>
      <c r="N12" s="23" t="s">
        <v>1668</v>
      </c>
      <c r="O12" s="23" t="s">
        <v>1669</v>
      </c>
      <c r="P12" s="24" t="s">
        <v>39</v>
      </c>
      <c r="Q12" s="23" t="s">
        <v>1670</v>
      </c>
      <c r="R12" s="23" t="s">
        <v>1641</v>
      </c>
    </row>
    <row r="13" customFormat="false" ht="15" hidden="false" customHeight="true" outlineLevel="0" collapsed="false">
      <c r="A13" s="17" t="s">
        <v>1123</v>
      </c>
      <c r="B13" s="17" t="s">
        <v>1160</v>
      </c>
      <c r="C13" s="17" t="s">
        <v>221</v>
      </c>
      <c r="D13" s="17" t="s">
        <v>1636</v>
      </c>
      <c r="E13" s="21" t="s">
        <v>1617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1671</v>
      </c>
      <c r="N13" s="23" t="s">
        <v>1672</v>
      </c>
      <c r="O13" s="23" t="s">
        <v>1673</v>
      </c>
      <c r="P13" s="23" t="s">
        <v>1649</v>
      </c>
      <c r="Q13" s="23" t="s">
        <v>1674</v>
      </c>
      <c r="R13" s="23" t="s">
        <v>1641</v>
      </c>
    </row>
    <row r="14" customFormat="false" ht="15" hidden="false" customHeight="true" outlineLevel="0" collapsed="false">
      <c r="A14" s="17" t="s">
        <v>1123</v>
      </c>
      <c r="B14" s="17" t="s">
        <v>1165</v>
      </c>
      <c r="C14" s="17" t="s">
        <v>389</v>
      </c>
      <c r="D14" s="17" t="s">
        <v>1636</v>
      </c>
      <c r="E14" s="21" t="s">
        <v>1617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1675</v>
      </c>
      <c r="N14" s="23" t="s">
        <v>1676</v>
      </c>
      <c r="O14" s="24" t="s">
        <v>1677</v>
      </c>
      <c r="P14" s="23" t="s">
        <v>1649</v>
      </c>
      <c r="Q14" s="23" t="s">
        <v>1678</v>
      </c>
      <c r="R14" s="23" t="s">
        <v>1641</v>
      </c>
    </row>
    <row r="15" customFormat="false" ht="15" hidden="false" customHeight="true" outlineLevel="0" collapsed="false">
      <c r="A15" s="17" t="s">
        <v>1123</v>
      </c>
      <c r="B15" s="17" t="s">
        <v>270</v>
      </c>
      <c r="C15" s="17" t="s">
        <v>263</v>
      </c>
      <c r="D15" s="17" t="s">
        <v>1636</v>
      </c>
      <c r="E15" s="21" t="s">
        <v>1617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1679</v>
      </c>
      <c r="N15" s="23" t="s">
        <v>1680</v>
      </c>
      <c r="O15" s="24" t="s">
        <v>1681</v>
      </c>
      <c r="P15" s="24" t="s">
        <v>39</v>
      </c>
      <c r="Q15" s="23" t="s">
        <v>1682</v>
      </c>
      <c r="R15" s="23" t="s">
        <v>1641</v>
      </c>
    </row>
    <row r="16" customFormat="false" ht="15" hidden="false" customHeight="true" outlineLevel="0" collapsed="false">
      <c r="A16" s="17" t="s">
        <v>1123</v>
      </c>
      <c r="B16" s="17" t="s">
        <v>411</v>
      </c>
      <c r="C16" s="17" t="s">
        <v>405</v>
      </c>
      <c r="D16" s="17" t="s">
        <v>1636</v>
      </c>
      <c r="E16" s="21" t="s">
        <v>1617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1683</v>
      </c>
      <c r="N16" s="23" t="s">
        <v>1684</v>
      </c>
      <c r="O16" s="23" t="s">
        <v>1685</v>
      </c>
      <c r="P16" s="24" t="s">
        <v>39</v>
      </c>
      <c r="Q16" s="23" t="s">
        <v>1686</v>
      </c>
      <c r="R16" s="23" t="s">
        <v>1641</v>
      </c>
    </row>
    <row r="17" customFormat="false" ht="15" hidden="false" customHeight="true" outlineLevel="0" collapsed="false">
      <c r="A17" s="17" t="s">
        <v>1123</v>
      </c>
      <c r="B17" s="17" t="s">
        <v>348</v>
      </c>
      <c r="C17" s="17" t="s">
        <v>343</v>
      </c>
      <c r="D17" s="17" t="s">
        <v>1636</v>
      </c>
      <c r="E17" s="21" t="s">
        <v>1617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1687</v>
      </c>
      <c r="N17" s="23" t="s">
        <v>1688</v>
      </c>
      <c r="O17" s="24" t="s">
        <v>1689</v>
      </c>
      <c r="P17" s="23" t="s">
        <v>1649</v>
      </c>
      <c r="Q17" s="23" t="s">
        <v>1690</v>
      </c>
      <c r="R17" s="23" t="s">
        <v>1641</v>
      </c>
    </row>
    <row r="18" customFormat="false" ht="15" hidden="false" customHeight="true" outlineLevel="0" collapsed="false">
      <c r="A18" s="17" t="s">
        <v>1123</v>
      </c>
      <c r="B18" s="17" t="s">
        <v>1182</v>
      </c>
      <c r="C18" s="17" t="s">
        <v>397</v>
      </c>
      <c r="D18" s="17" t="s">
        <v>1636</v>
      </c>
      <c r="E18" s="21" t="s">
        <v>1617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1691</v>
      </c>
      <c r="N18" s="23" t="s">
        <v>1692</v>
      </c>
      <c r="O18" s="23" t="s">
        <v>1693</v>
      </c>
      <c r="P18" s="24" t="s">
        <v>39</v>
      </c>
      <c r="Q18" s="23" t="s">
        <v>1694</v>
      </c>
      <c r="R18" s="23" t="s">
        <v>1641</v>
      </c>
    </row>
    <row r="19" customFormat="false" ht="15" hidden="false" customHeight="true" outlineLevel="0" collapsed="false">
      <c r="A19" s="17" t="s">
        <v>1123</v>
      </c>
      <c r="B19" s="17" t="s">
        <v>1187</v>
      </c>
      <c r="C19" s="17" t="s">
        <v>414</v>
      </c>
      <c r="D19" s="17" t="s">
        <v>1636</v>
      </c>
      <c r="E19" s="21" t="s">
        <v>1617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1695</v>
      </c>
      <c r="N19" s="23" t="s">
        <v>1696</v>
      </c>
      <c r="O19" s="24" t="s">
        <v>1697</v>
      </c>
      <c r="P19" s="24" t="s">
        <v>39</v>
      </c>
      <c r="Q19" s="23" t="s">
        <v>1698</v>
      </c>
      <c r="R19" s="23" t="s">
        <v>1641</v>
      </c>
    </row>
    <row r="20" customFormat="false" ht="15" hidden="false" customHeight="true" outlineLevel="0" collapsed="false">
      <c r="A20" s="17" t="s">
        <v>1123</v>
      </c>
      <c r="B20" s="17" t="s">
        <v>1192</v>
      </c>
      <c r="C20" s="17" t="s">
        <v>424</v>
      </c>
      <c r="D20" s="17" t="s">
        <v>1636</v>
      </c>
      <c r="E20" s="21" t="s">
        <v>1617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1699</v>
      </c>
      <c r="N20" s="23" t="s">
        <v>1700</v>
      </c>
      <c r="O20" s="24" t="s">
        <v>1701</v>
      </c>
      <c r="P20" s="23" t="s">
        <v>1649</v>
      </c>
      <c r="Q20" s="23" t="s">
        <v>1702</v>
      </c>
      <c r="R20" s="23" t="s">
        <v>1641</v>
      </c>
    </row>
    <row r="21" customFormat="false" ht="15" hidden="false" customHeight="true" outlineLevel="0" collapsed="false">
      <c r="A21" s="17" t="s">
        <v>1123</v>
      </c>
      <c r="B21" s="17" t="s">
        <v>448</v>
      </c>
      <c r="C21" s="17" t="s">
        <v>441</v>
      </c>
      <c r="D21" s="17" t="s">
        <v>1636</v>
      </c>
      <c r="E21" s="21" t="s">
        <v>1617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1703</v>
      </c>
      <c r="N21" s="23" t="s">
        <v>1704</v>
      </c>
      <c r="O21" s="23" t="s">
        <v>1705</v>
      </c>
      <c r="P21" s="24" t="s">
        <v>39</v>
      </c>
      <c r="Q21" s="23" t="s">
        <v>1706</v>
      </c>
      <c r="R21" s="23" t="s">
        <v>1641</v>
      </c>
    </row>
    <row r="22" customFormat="false" ht="15" hidden="false" customHeight="true" outlineLevel="0" collapsed="false">
      <c r="A22" s="17" t="s">
        <v>1123</v>
      </c>
      <c r="B22" s="17" t="s">
        <v>1203</v>
      </c>
      <c r="C22" s="17" t="s">
        <v>450</v>
      </c>
      <c r="D22" s="17" t="s">
        <v>1636</v>
      </c>
      <c r="E22" s="21" t="s">
        <v>1617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1707</v>
      </c>
      <c r="N22" s="23" t="s">
        <v>1708</v>
      </c>
      <c r="O22" s="24" t="s">
        <v>1709</v>
      </c>
      <c r="P22" s="23" t="s">
        <v>1649</v>
      </c>
      <c r="Q22" s="23" t="s">
        <v>1710</v>
      </c>
      <c r="R22" s="23" t="s">
        <v>1641</v>
      </c>
    </row>
    <row r="23" customFormat="false" ht="15" hidden="false" customHeight="true" outlineLevel="0" collapsed="false">
      <c r="A23" s="17" t="s">
        <v>1123</v>
      </c>
      <c r="B23" s="17" t="s">
        <v>1207</v>
      </c>
      <c r="C23" s="17" t="s">
        <v>1711</v>
      </c>
      <c r="D23" s="17" t="s">
        <v>1636</v>
      </c>
      <c r="E23" s="21" t="s">
        <v>1617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1712</v>
      </c>
      <c r="N23" s="23" t="s">
        <v>1713</v>
      </c>
      <c r="O23" s="23" t="s">
        <v>1714</v>
      </c>
      <c r="P23" s="24" t="s">
        <v>39</v>
      </c>
      <c r="Q23" s="23" t="s">
        <v>1715</v>
      </c>
      <c r="R23" s="23" t="s">
        <v>1641</v>
      </c>
    </row>
    <row r="24" customFormat="false" ht="15" hidden="false" customHeight="true" outlineLevel="0" collapsed="false">
      <c r="A24" s="17" t="s">
        <v>1123</v>
      </c>
      <c r="B24" s="17" t="s">
        <v>1212</v>
      </c>
      <c r="C24" s="17" t="s">
        <v>601</v>
      </c>
      <c r="D24" s="17" t="s">
        <v>1636</v>
      </c>
      <c r="E24" s="21" t="s">
        <v>1617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1716</v>
      </c>
      <c r="N24" s="23" t="s">
        <v>1717</v>
      </c>
      <c r="O24" s="23" t="s">
        <v>1718</v>
      </c>
      <c r="P24" s="24" t="s">
        <v>39</v>
      </c>
      <c r="Q24" s="23" t="s">
        <v>1719</v>
      </c>
      <c r="R24" s="23" t="s">
        <v>1641</v>
      </c>
    </row>
    <row r="25" customFormat="false" ht="15" hidden="false" customHeight="true" outlineLevel="0" collapsed="false">
      <c r="A25" s="17" t="s">
        <v>1123</v>
      </c>
      <c r="B25" s="17" t="s">
        <v>1218</v>
      </c>
      <c r="C25" s="17" t="s">
        <v>601</v>
      </c>
      <c r="D25" s="17" t="s">
        <v>1636</v>
      </c>
      <c r="E25" s="21" t="s">
        <v>1617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1720</v>
      </c>
      <c r="N25" s="23" t="s">
        <v>1721</v>
      </c>
      <c r="O25" s="23" t="s">
        <v>1722</v>
      </c>
      <c r="P25" s="24" t="s">
        <v>39</v>
      </c>
      <c r="Q25" s="23" t="s">
        <v>1723</v>
      </c>
      <c r="R25" s="23" t="s">
        <v>1641</v>
      </c>
    </row>
    <row r="26" customFormat="false" ht="15" hidden="false" customHeight="true" outlineLevel="0" collapsed="false">
      <c r="A26" s="17" t="s">
        <v>1123</v>
      </c>
      <c r="B26" s="17" t="s">
        <v>1224</v>
      </c>
      <c r="C26" s="17" t="s">
        <v>610</v>
      </c>
      <c r="D26" s="17" t="s">
        <v>1636</v>
      </c>
      <c r="E26" s="21" t="s">
        <v>1617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1724</v>
      </c>
      <c r="N26" s="23" t="s">
        <v>1725</v>
      </c>
      <c r="O26" s="23" t="s">
        <v>1726</v>
      </c>
      <c r="P26" s="24" t="s">
        <v>39</v>
      </c>
      <c r="Q26" s="23" t="s">
        <v>1727</v>
      </c>
      <c r="R26" s="23" t="s">
        <v>1641</v>
      </c>
    </row>
    <row r="27" customFormat="false" ht="15" hidden="false" customHeight="true" outlineLevel="0" collapsed="false">
      <c r="A27" s="17" t="s">
        <v>1123</v>
      </c>
      <c r="B27" s="17" t="s">
        <v>1229</v>
      </c>
      <c r="C27" s="17" t="s">
        <v>610</v>
      </c>
      <c r="D27" s="17" t="s">
        <v>1636</v>
      </c>
      <c r="E27" s="21" t="s">
        <v>1617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1728</v>
      </c>
      <c r="N27" s="23" t="s">
        <v>1729</v>
      </c>
      <c r="O27" s="23" t="s">
        <v>1730</v>
      </c>
      <c r="P27" s="24" t="s">
        <v>39</v>
      </c>
      <c r="Q27" s="23" t="s">
        <v>1731</v>
      </c>
      <c r="R27" s="23" t="s">
        <v>1641</v>
      </c>
    </row>
    <row r="28" customFormat="false" ht="15" hidden="false" customHeight="true" outlineLevel="0" collapsed="false">
      <c r="A28" s="17" t="s">
        <v>1123</v>
      </c>
      <c r="B28" s="17" t="s">
        <v>1234</v>
      </c>
      <c r="C28" s="17" t="s">
        <v>1002</v>
      </c>
      <c r="D28" s="17" t="s">
        <v>1636</v>
      </c>
      <c r="E28" s="21" t="s">
        <v>1617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1732</v>
      </c>
      <c r="N28" s="23" t="s">
        <v>1733</v>
      </c>
      <c r="O28" s="23" t="s">
        <v>1734</v>
      </c>
      <c r="P28" s="24" t="s">
        <v>39</v>
      </c>
      <c r="Q28" s="23" t="s">
        <v>1735</v>
      </c>
      <c r="R28" s="23" t="s">
        <v>1641</v>
      </c>
    </row>
    <row r="29" customFormat="false" ht="15" hidden="false" customHeight="true" outlineLevel="0" collapsed="false">
      <c r="A29" s="17" t="s">
        <v>1123</v>
      </c>
      <c r="B29" s="17" t="s">
        <v>1239</v>
      </c>
      <c r="C29" s="17" t="s">
        <v>1002</v>
      </c>
      <c r="D29" s="17" t="s">
        <v>1636</v>
      </c>
      <c r="E29" s="21" t="s">
        <v>1617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1736</v>
      </c>
      <c r="N29" s="23" t="s">
        <v>1737</v>
      </c>
      <c r="O29" s="23" t="s">
        <v>1738</v>
      </c>
      <c r="P29" s="23" t="s">
        <v>1649</v>
      </c>
      <c r="Q29" s="23" t="s">
        <v>1739</v>
      </c>
      <c r="R29" s="23" t="s">
        <v>1641</v>
      </c>
    </row>
    <row r="30" customFormat="false" ht="15" hidden="false" customHeight="true" outlineLevel="0" collapsed="false">
      <c r="A30" s="17" t="s">
        <v>1123</v>
      </c>
      <c r="B30" s="17" t="s">
        <v>1063</v>
      </c>
      <c r="C30" s="17" t="s">
        <v>1057</v>
      </c>
      <c r="D30" s="17" t="s">
        <v>1636</v>
      </c>
      <c r="E30" s="21" t="s">
        <v>1617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1740</v>
      </c>
      <c r="N30" s="23" t="s">
        <v>1741</v>
      </c>
      <c r="O30" s="23" t="s">
        <v>1742</v>
      </c>
      <c r="P30" s="24" t="s">
        <v>39</v>
      </c>
      <c r="Q30" s="23" t="s">
        <v>1743</v>
      </c>
      <c r="R30" s="23" t="s">
        <v>1641</v>
      </c>
    </row>
    <row r="31" customFormat="false" ht="15" hidden="false" customHeight="true" outlineLevel="0" collapsed="false">
      <c r="A31" s="17" t="s">
        <v>1123</v>
      </c>
      <c r="B31" s="17" t="s">
        <v>1248</v>
      </c>
      <c r="C31" s="17" t="s">
        <v>1034</v>
      </c>
      <c r="D31" s="17" t="s">
        <v>1636</v>
      </c>
      <c r="E31" s="21" t="s">
        <v>1617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1744</v>
      </c>
      <c r="N31" s="23" t="s">
        <v>1745</v>
      </c>
      <c r="O31" s="23" t="s">
        <v>1746</v>
      </c>
      <c r="P31" s="24" t="s">
        <v>39</v>
      </c>
      <c r="Q31" s="23" t="s">
        <v>1747</v>
      </c>
      <c r="R31" s="23" t="s">
        <v>1641</v>
      </c>
    </row>
    <row r="32" customFormat="false" ht="15" hidden="false" customHeight="true" outlineLevel="0" collapsed="false">
      <c r="A32" s="17" t="s">
        <v>1123</v>
      </c>
      <c r="B32" s="17" t="s">
        <v>1253</v>
      </c>
      <c r="C32" s="17" t="s">
        <v>1034</v>
      </c>
      <c r="D32" s="17" t="s">
        <v>1636</v>
      </c>
      <c r="E32" s="21" t="s">
        <v>1617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1748</v>
      </c>
      <c r="N32" s="23" t="s">
        <v>1749</v>
      </c>
      <c r="O32" s="23" t="s">
        <v>1750</v>
      </c>
      <c r="P32" s="24" t="s">
        <v>39</v>
      </c>
      <c r="Q32" s="23" t="s">
        <v>1751</v>
      </c>
      <c r="R32" s="23" t="s">
        <v>1641</v>
      </c>
    </row>
    <row r="33" customFormat="false" ht="15" hidden="false" customHeight="true" outlineLevel="0" collapsed="false">
      <c r="A33" s="17" t="s">
        <v>1123</v>
      </c>
      <c r="B33" s="17" t="s">
        <v>1048</v>
      </c>
      <c r="C33" s="17" t="s">
        <v>1043</v>
      </c>
      <c r="D33" s="17" t="s">
        <v>1636</v>
      </c>
      <c r="E33" s="21" t="s">
        <v>1617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1752</v>
      </c>
      <c r="N33" s="23" t="s">
        <v>1753</v>
      </c>
      <c r="O33" s="23" t="s">
        <v>1754</v>
      </c>
      <c r="P33" s="24" t="s">
        <v>39</v>
      </c>
      <c r="Q33" s="23" t="s">
        <v>1755</v>
      </c>
      <c r="R33" s="23" t="s">
        <v>1641</v>
      </c>
    </row>
    <row r="34" customFormat="false" ht="15" hidden="false" customHeight="true" outlineLevel="0" collapsed="false">
      <c r="A34" s="17" t="s">
        <v>1123</v>
      </c>
      <c r="B34" s="17" t="s">
        <v>1260</v>
      </c>
      <c r="C34" s="17" t="s">
        <v>924</v>
      </c>
      <c r="D34" s="17" t="s">
        <v>1636</v>
      </c>
      <c r="E34" s="21" t="s">
        <v>1617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1756</v>
      </c>
      <c r="N34" s="23" t="s">
        <v>1757</v>
      </c>
      <c r="O34" s="24" t="s">
        <v>1758</v>
      </c>
      <c r="P34" s="24" t="s">
        <v>39</v>
      </c>
      <c r="Q34" s="23" t="s">
        <v>1759</v>
      </c>
      <c r="R34" s="23" t="s">
        <v>1641</v>
      </c>
    </row>
    <row r="35" customFormat="false" ht="15" hidden="false" customHeight="true" outlineLevel="0" collapsed="false">
      <c r="A35" s="17" t="s">
        <v>1123</v>
      </c>
      <c r="B35" s="17" t="s">
        <v>1265</v>
      </c>
      <c r="C35" s="17" t="s">
        <v>1266</v>
      </c>
      <c r="D35" s="17" t="s">
        <v>1636</v>
      </c>
      <c r="E35" s="21" t="s">
        <v>1617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1760</v>
      </c>
      <c r="N35" s="23" t="s">
        <v>1761</v>
      </c>
      <c r="O35" s="23" t="s">
        <v>1762</v>
      </c>
      <c r="P35" s="24" t="s">
        <v>39</v>
      </c>
      <c r="Q35" s="23" t="s">
        <v>1763</v>
      </c>
      <c r="R35" s="23" t="s">
        <v>1641</v>
      </c>
    </row>
    <row r="36" customFormat="false" ht="15" hidden="false" customHeight="true" outlineLevel="0" collapsed="false">
      <c r="A36" s="17" t="s">
        <v>1123</v>
      </c>
      <c r="B36" s="17" t="s">
        <v>1270</v>
      </c>
      <c r="C36" s="17" t="s">
        <v>924</v>
      </c>
      <c r="D36" s="17" t="s">
        <v>1636</v>
      </c>
      <c r="E36" s="21" t="s">
        <v>1617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1764</v>
      </c>
      <c r="N36" s="23" t="s">
        <v>1765</v>
      </c>
      <c r="O36" s="23" t="s">
        <v>1766</v>
      </c>
      <c r="P36" s="24" t="s">
        <v>39</v>
      </c>
      <c r="Q36" s="23" t="s">
        <v>1767</v>
      </c>
      <c r="R36" s="23" t="s">
        <v>1641</v>
      </c>
    </row>
    <row r="37" customFormat="false" ht="15" hidden="false" customHeight="true" outlineLevel="0" collapsed="false">
      <c r="A37" s="17" t="s">
        <v>1123</v>
      </c>
      <c r="B37" s="17" t="s">
        <v>1275</v>
      </c>
      <c r="C37" s="17" t="s">
        <v>916</v>
      </c>
      <c r="D37" s="17" t="s">
        <v>1636</v>
      </c>
      <c r="E37" s="21" t="s">
        <v>1617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1768</v>
      </c>
      <c r="N37" s="23" t="s">
        <v>1769</v>
      </c>
      <c r="O37" s="23" t="s">
        <v>1770</v>
      </c>
      <c r="P37" s="23" t="s">
        <v>1649</v>
      </c>
      <c r="Q37" s="23" t="s">
        <v>1771</v>
      </c>
      <c r="R37" s="23" t="s">
        <v>1641</v>
      </c>
    </row>
    <row r="38" customFormat="false" ht="15" hidden="false" customHeight="true" outlineLevel="0" collapsed="false">
      <c r="A38" s="17" t="s">
        <v>1123</v>
      </c>
      <c r="B38" s="17" t="s">
        <v>764</v>
      </c>
      <c r="C38" s="17" t="s">
        <v>756</v>
      </c>
      <c r="D38" s="17" t="s">
        <v>1636</v>
      </c>
      <c r="E38" s="21" t="s">
        <v>1617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1772</v>
      </c>
      <c r="N38" s="23" t="s">
        <v>1773</v>
      </c>
      <c r="O38" s="23" t="s">
        <v>1774</v>
      </c>
      <c r="P38" s="24" t="s">
        <v>39</v>
      </c>
      <c r="Q38" s="23" t="s">
        <v>1775</v>
      </c>
      <c r="R38" s="23" t="s">
        <v>1641</v>
      </c>
    </row>
    <row r="39" customFormat="false" ht="15" hidden="false" customHeight="true" outlineLevel="0" collapsed="false">
      <c r="A39" s="17" t="s">
        <v>1123</v>
      </c>
      <c r="B39" s="17" t="s">
        <v>773</v>
      </c>
      <c r="C39" s="17" t="s">
        <v>766</v>
      </c>
      <c r="D39" s="17" t="s">
        <v>1636</v>
      </c>
      <c r="E39" s="21" t="s">
        <v>1617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1776</v>
      </c>
      <c r="N39" s="23" t="s">
        <v>1777</v>
      </c>
      <c r="O39" s="23" t="s">
        <v>1778</v>
      </c>
      <c r="P39" s="24" t="s">
        <v>39</v>
      </c>
      <c r="Q39" s="23" t="s">
        <v>1779</v>
      </c>
      <c r="R39" s="23" t="s">
        <v>1641</v>
      </c>
    </row>
    <row r="40" customFormat="false" ht="15" hidden="false" customHeight="true" outlineLevel="0" collapsed="false">
      <c r="A40" s="17" t="s">
        <v>1123</v>
      </c>
      <c r="B40" s="17" t="s">
        <v>780</v>
      </c>
      <c r="C40" s="17" t="s">
        <v>775</v>
      </c>
      <c r="D40" s="17" t="s">
        <v>1636</v>
      </c>
      <c r="E40" s="21" t="s">
        <v>1617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1780</v>
      </c>
      <c r="N40" s="23" t="s">
        <v>1781</v>
      </c>
      <c r="O40" s="23" t="s">
        <v>1782</v>
      </c>
      <c r="P40" s="24" t="s">
        <v>39</v>
      </c>
      <c r="Q40" s="23" t="s">
        <v>1783</v>
      </c>
      <c r="R40" s="23" t="s">
        <v>1641</v>
      </c>
    </row>
    <row r="41" customFormat="false" ht="15" hidden="false" customHeight="true" outlineLevel="0" collapsed="false">
      <c r="A41" s="17" t="s">
        <v>1123</v>
      </c>
      <c r="B41" s="17" t="s">
        <v>1289</v>
      </c>
      <c r="C41" s="17" t="s">
        <v>880</v>
      </c>
      <c r="D41" s="17" t="s">
        <v>1636</v>
      </c>
      <c r="E41" s="21" t="s">
        <v>1617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1784</v>
      </c>
      <c r="N41" s="23" t="s">
        <v>1785</v>
      </c>
      <c r="O41" s="23" t="s">
        <v>1786</v>
      </c>
      <c r="P41" s="24" t="s">
        <v>39</v>
      </c>
      <c r="Q41" s="23" t="s">
        <v>1787</v>
      </c>
      <c r="R41" s="23" t="s">
        <v>1641</v>
      </c>
    </row>
    <row r="42" customFormat="false" ht="15" hidden="false" customHeight="true" outlineLevel="0" collapsed="false">
      <c r="A42" s="17" t="s">
        <v>1123</v>
      </c>
      <c r="B42" s="17" t="s">
        <v>648</v>
      </c>
      <c r="C42" s="17" t="s">
        <v>639</v>
      </c>
      <c r="D42" s="17" t="s">
        <v>1636</v>
      </c>
      <c r="E42" s="21" t="s">
        <v>1617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1788</v>
      </c>
      <c r="N42" s="23" t="s">
        <v>1789</v>
      </c>
      <c r="O42" s="24" t="s">
        <v>1790</v>
      </c>
      <c r="P42" s="24" t="s">
        <v>39</v>
      </c>
      <c r="Q42" s="23" t="s">
        <v>1791</v>
      </c>
      <c r="R42" s="23" t="s">
        <v>1641</v>
      </c>
    </row>
    <row r="43" customFormat="false" ht="219.75" hidden="false" customHeight="true" outlineLevel="0" collapsed="false">
      <c r="A43" s="17" t="s">
        <v>1126</v>
      </c>
      <c r="B43" s="17" t="s">
        <v>411</v>
      </c>
      <c r="C43" s="17" t="s">
        <v>405</v>
      </c>
      <c r="D43" s="17" t="s">
        <v>1636</v>
      </c>
      <c r="E43" s="21" t="s">
        <v>1792</v>
      </c>
      <c r="F43" s="22" t="s">
        <v>1793</v>
      </c>
      <c r="G43" s="21" t="s">
        <v>1794</v>
      </c>
      <c r="H43" s="21" t="s">
        <v>1795</v>
      </c>
      <c r="I43" s="21" t="s">
        <v>1796</v>
      </c>
      <c r="J43" s="21" t="s">
        <v>1797</v>
      </c>
      <c r="K43" s="22" t="s">
        <v>1798</v>
      </c>
      <c r="L43" s="21" t="s">
        <v>1799</v>
      </c>
      <c r="M43" s="23" t="s">
        <v>1800</v>
      </c>
      <c r="N43" s="23" t="s">
        <v>1801</v>
      </c>
      <c r="O43" s="23" t="s">
        <v>1802</v>
      </c>
      <c r="P43" s="23" t="s">
        <v>1634</v>
      </c>
      <c r="Q43" s="23" t="s">
        <v>1635</v>
      </c>
      <c r="R43" s="23" t="s">
        <v>1803</v>
      </c>
    </row>
    <row r="44" customFormat="false" ht="219.75" hidden="false" customHeight="true" outlineLevel="0" collapsed="false">
      <c r="A44" s="17" t="s">
        <v>1126</v>
      </c>
      <c r="B44" s="17" t="s">
        <v>1182</v>
      </c>
      <c r="C44" s="17" t="s">
        <v>397</v>
      </c>
      <c r="D44" s="17" t="s">
        <v>1636</v>
      </c>
      <c r="E44" s="21" t="s">
        <v>1804</v>
      </c>
      <c r="F44" s="22" t="s">
        <v>1805</v>
      </c>
      <c r="G44" s="21" t="s">
        <v>1806</v>
      </c>
      <c r="H44" s="21" t="s">
        <v>1807</v>
      </c>
      <c r="I44" s="21" t="s">
        <v>1808</v>
      </c>
      <c r="J44" s="21" t="s">
        <v>1809</v>
      </c>
      <c r="K44" s="22" t="s">
        <v>1798</v>
      </c>
      <c r="L44" s="21" t="s">
        <v>1799</v>
      </c>
      <c r="M44" s="23" t="s">
        <v>1810</v>
      </c>
      <c r="N44" s="23" t="s">
        <v>1811</v>
      </c>
      <c r="O44" s="23" t="s">
        <v>1812</v>
      </c>
      <c r="P44" s="23" t="s">
        <v>1634</v>
      </c>
      <c r="Q44" s="23" t="s">
        <v>1813</v>
      </c>
      <c r="R44" s="23" t="s">
        <v>1803</v>
      </c>
    </row>
    <row r="45" customFormat="false" ht="219.75" hidden="false" customHeight="true" outlineLevel="0" collapsed="false">
      <c r="A45" s="17" t="s">
        <v>1126</v>
      </c>
      <c r="B45" s="17" t="s">
        <v>1234</v>
      </c>
      <c r="C45" s="17" t="s">
        <v>1002</v>
      </c>
      <c r="D45" s="17" t="s">
        <v>1636</v>
      </c>
      <c r="E45" s="21" t="s">
        <v>1814</v>
      </c>
      <c r="F45" s="22" t="s">
        <v>1815</v>
      </c>
      <c r="G45" s="22" t="s">
        <v>1816</v>
      </c>
      <c r="H45" s="21" t="s">
        <v>1817</v>
      </c>
      <c r="I45" s="21" t="s">
        <v>1818</v>
      </c>
      <c r="J45" s="21" t="s">
        <v>1819</v>
      </c>
      <c r="K45" s="22" t="s">
        <v>1798</v>
      </c>
      <c r="L45" s="21" t="s">
        <v>1799</v>
      </c>
      <c r="M45" s="23" t="s">
        <v>1820</v>
      </c>
      <c r="N45" s="23" t="s">
        <v>1821</v>
      </c>
      <c r="O45" s="24" t="s">
        <v>1822</v>
      </c>
      <c r="P45" s="23" t="s">
        <v>1634</v>
      </c>
      <c r="Q45" s="23" t="s">
        <v>1823</v>
      </c>
      <c r="R45" s="23" t="s">
        <v>1803</v>
      </c>
    </row>
    <row r="46" customFormat="false" ht="219.75" hidden="false" customHeight="true" outlineLevel="0" collapsed="false">
      <c r="A46" s="17" t="s">
        <v>1126</v>
      </c>
      <c r="B46" s="17" t="s">
        <v>1229</v>
      </c>
      <c r="C46" s="17" t="s">
        <v>610</v>
      </c>
      <c r="D46" s="17" t="s">
        <v>1636</v>
      </c>
      <c r="E46" s="21" t="s">
        <v>1824</v>
      </c>
      <c r="F46" s="22" t="s">
        <v>1825</v>
      </c>
      <c r="G46" s="22" t="s">
        <v>1826</v>
      </c>
      <c r="H46" s="21" t="s">
        <v>1827</v>
      </c>
      <c r="I46" s="21" t="s">
        <v>1828</v>
      </c>
      <c r="J46" s="21" t="s">
        <v>1829</v>
      </c>
      <c r="K46" s="22" t="s">
        <v>1798</v>
      </c>
      <c r="L46" s="21" t="s">
        <v>1799</v>
      </c>
      <c r="M46" s="23" t="s">
        <v>1830</v>
      </c>
      <c r="N46" s="23" t="s">
        <v>1831</v>
      </c>
      <c r="O46" s="24" t="s">
        <v>1832</v>
      </c>
      <c r="P46" s="23" t="s">
        <v>51</v>
      </c>
      <c r="Q46" s="23" t="s">
        <v>1833</v>
      </c>
      <c r="R46" s="23" t="s">
        <v>1803</v>
      </c>
    </row>
    <row r="47" customFormat="false" ht="219.75" hidden="false" customHeight="true" outlineLevel="0" collapsed="false">
      <c r="A47" s="17" t="s">
        <v>1126</v>
      </c>
      <c r="B47" s="17" t="s">
        <v>529</v>
      </c>
      <c r="C47" s="17" t="s">
        <v>522</v>
      </c>
      <c r="D47" s="17" t="s">
        <v>1636</v>
      </c>
      <c r="E47" s="21" t="s">
        <v>1834</v>
      </c>
      <c r="F47" s="22" t="s">
        <v>1835</v>
      </c>
      <c r="G47" s="21" t="s">
        <v>1836</v>
      </c>
      <c r="H47" s="22" t="s">
        <v>1837</v>
      </c>
      <c r="I47" s="22" t="s">
        <v>1838</v>
      </c>
      <c r="J47" s="21" t="s">
        <v>1839</v>
      </c>
      <c r="K47" s="22" t="s">
        <v>1798</v>
      </c>
      <c r="L47" s="21" t="s">
        <v>1799</v>
      </c>
      <c r="M47" s="23" t="s">
        <v>1840</v>
      </c>
      <c r="N47" s="23" t="s">
        <v>1841</v>
      </c>
      <c r="O47" s="24" t="s">
        <v>1842</v>
      </c>
      <c r="P47" s="23" t="s">
        <v>1634</v>
      </c>
      <c r="Q47" s="23" t="s">
        <v>1635</v>
      </c>
      <c r="R47" s="23" t="s">
        <v>1803</v>
      </c>
    </row>
    <row r="48" customFormat="false" ht="219.75" hidden="false" customHeight="true" outlineLevel="0" collapsed="false">
      <c r="A48" s="17" t="s">
        <v>1126</v>
      </c>
      <c r="B48" s="17" t="s">
        <v>1212</v>
      </c>
      <c r="C48" s="17" t="s">
        <v>601</v>
      </c>
      <c r="D48" s="17" t="s">
        <v>1636</v>
      </c>
      <c r="E48" s="21" t="s">
        <v>1843</v>
      </c>
      <c r="F48" s="22" t="s">
        <v>1844</v>
      </c>
      <c r="G48" s="21" t="s">
        <v>1845</v>
      </c>
      <c r="H48" s="22" t="s">
        <v>1846</v>
      </c>
      <c r="I48" s="21" t="s">
        <v>1847</v>
      </c>
      <c r="J48" s="21" t="s">
        <v>1848</v>
      </c>
      <c r="K48" s="22" t="s">
        <v>1798</v>
      </c>
      <c r="L48" s="21" t="s">
        <v>1799</v>
      </c>
      <c r="M48" s="23" t="s">
        <v>1849</v>
      </c>
      <c r="N48" s="23" t="s">
        <v>1850</v>
      </c>
      <c r="O48" s="23" t="s">
        <v>1851</v>
      </c>
      <c r="P48" s="23" t="s">
        <v>1634</v>
      </c>
      <c r="Q48" s="23" t="s">
        <v>1852</v>
      </c>
      <c r="R48" s="23" t="s">
        <v>1803</v>
      </c>
    </row>
    <row r="49" customFormat="false" ht="219.75" hidden="false" customHeight="true" outlineLevel="0" collapsed="false">
      <c r="A49" s="17" t="s">
        <v>1126</v>
      </c>
      <c r="B49" s="17" t="s">
        <v>1218</v>
      </c>
      <c r="C49" s="17" t="s">
        <v>601</v>
      </c>
      <c r="D49" s="17" t="s">
        <v>1636</v>
      </c>
      <c r="E49" s="21" t="s">
        <v>1853</v>
      </c>
      <c r="F49" s="22" t="s">
        <v>1854</v>
      </c>
      <c r="G49" s="22" t="s">
        <v>1855</v>
      </c>
      <c r="H49" s="21" t="s">
        <v>1856</v>
      </c>
      <c r="I49" s="22" t="s">
        <v>1857</v>
      </c>
      <c r="J49" s="21" t="s">
        <v>1858</v>
      </c>
      <c r="K49" s="22" t="s">
        <v>1798</v>
      </c>
      <c r="L49" s="21" t="s">
        <v>1799</v>
      </c>
      <c r="M49" s="23" t="s">
        <v>1859</v>
      </c>
      <c r="N49" s="23" t="s">
        <v>1860</v>
      </c>
      <c r="O49" s="23" t="s">
        <v>1861</v>
      </c>
      <c r="P49" s="23" t="s">
        <v>1634</v>
      </c>
      <c r="Q49" s="23" t="s">
        <v>1862</v>
      </c>
      <c r="R49" s="23" t="s">
        <v>1803</v>
      </c>
    </row>
    <row r="50" customFormat="false" ht="219.75" hidden="false" customHeight="true" outlineLevel="0" collapsed="false">
      <c r="A50" s="17" t="s">
        <v>1126</v>
      </c>
      <c r="B50" s="17" t="s">
        <v>1224</v>
      </c>
      <c r="C50" s="17" t="s">
        <v>610</v>
      </c>
      <c r="D50" s="17" t="s">
        <v>1636</v>
      </c>
      <c r="E50" s="21" t="s">
        <v>1863</v>
      </c>
      <c r="F50" s="22" t="s">
        <v>1864</v>
      </c>
      <c r="G50" s="22" t="s">
        <v>1865</v>
      </c>
      <c r="H50" s="22" t="s">
        <v>1866</v>
      </c>
      <c r="I50" s="21" t="s">
        <v>1867</v>
      </c>
      <c r="J50" s="21" t="s">
        <v>1868</v>
      </c>
      <c r="K50" s="22" t="s">
        <v>1798</v>
      </c>
      <c r="L50" s="21" t="s">
        <v>1799</v>
      </c>
      <c r="M50" s="23" t="s">
        <v>1869</v>
      </c>
      <c r="N50" s="23" t="s">
        <v>1870</v>
      </c>
      <c r="O50" s="24" t="s">
        <v>1871</v>
      </c>
      <c r="P50" s="23" t="s">
        <v>1634</v>
      </c>
      <c r="Q50" s="23" t="s">
        <v>1635</v>
      </c>
      <c r="R50" s="23" t="s">
        <v>1803</v>
      </c>
    </row>
    <row r="51" customFormat="false" ht="219.75" hidden="false" customHeight="true" outlineLevel="0" collapsed="false">
      <c r="A51" s="17" t="s">
        <v>1126</v>
      </c>
      <c r="B51" s="17" t="s">
        <v>1248</v>
      </c>
      <c r="C51" s="17" t="s">
        <v>1034</v>
      </c>
      <c r="D51" s="17" t="s">
        <v>1636</v>
      </c>
      <c r="E51" s="21" t="s">
        <v>1872</v>
      </c>
      <c r="F51" s="22" t="s">
        <v>1873</v>
      </c>
      <c r="G51" s="22" t="s">
        <v>1874</v>
      </c>
      <c r="H51" s="22" t="s">
        <v>1875</v>
      </c>
      <c r="I51" s="21" t="s">
        <v>1876</v>
      </c>
      <c r="J51" s="21" t="s">
        <v>1877</v>
      </c>
      <c r="K51" s="22" t="s">
        <v>1798</v>
      </c>
      <c r="L51" s="21" t="s">
        <v>1799</v>
      </c>
      <c r="M51" s="23" t="s">
        <v>1878</v>
      </c>
      <c r="N51" s="23" t="s">
        <v>1879</v>
      </c>
      <c r="O51" s="23" t="s">
        <v>1880</v>
      </c>
      <c r="P51" s="23" t="s">
        <v>1634</v>
      </c>
      <c r="Q51" s="23" t="s">
        <v>1881</v>
      </c>
      <c r="R51" s="23" t="s">
        <v>1803</v>
      </c>
    </row>
    <row r="52" customFormat="false" ht="219.75" hidden="false" customHeight="true" outlineLevel="0" collapsed="false">
      <c r="A52" s="17" t="s">
        <v>1126</v>
      </c>
      <c r="B52" s="17" t="s">
        <v>1253</v>
      </c>
      <c r="C52" s="17" t="s">
        <v>1034</v>
      </c>
      <c r="D52" s="17" t="s">
        <v>1636</v>
      </c>
      <c r="E52" s="21" t="s">
        <v>1882</v>
      </c>
      <c r="F52" s="22" t="s">
        <v>1883</v>
      </c>
      <c r="G52" s="22" t="s">
        <v>1884</v>
      </c>
      <c r="H52" s="21" t="s">
        <v>1885</v>
      </c>
      <c r="I52" s="21" t="s">
        <v>1886</v>
      </c>
      <c r="J52" s="22" t="s">
        <v>1887</v>
      </c>
      <c r="K52" s="22" t="s">
        <v>1798</v>
      </c>
      <c r="L52" s="21" t="s">
        <v>1799</v>
      </c>
      <c r="M52" s="23" t="s">
        <v>1888</v>
      </c>
      <c r="N52" s="23" t="s">
        <v>1889</v>
      </c>
      <c r="O52" s="24" t="s">
        <v>1890</v>
      </c>
      <c r="P52" s="23" t="s">
        <v>1634</v>
      </c>
      <c r="Q52" s="23" t="s">
        <v>1635</v>
      </c>
      <c r="R52" s="23" t="s">
        <v>1803</v>
      </c>
    </row>
    <row r="53" customFormat="false" ht="219.75" hidden="false" customHeight="true" outlineLevel="0" collapsed="false">
      <c r="A53" s="17" t="s">
        <v>1126</v>
      </c>
      <c r="B53" s="17" t="s">
        <v>1048</v>
      </c>
      <c r="C53" s="17" t="s">
        <v>1043</v>
      </c>
      <c r="D53" s="17" t="s">
        <v>1636</v>
      </c>
      <c r="E53" s="21" t="s">
        <v>1882</v>
      </c>
      <c r="F53" s="22" t="s">
        <v>1891</v>
      </c>
      <c r="G53" s="22" t="s">
        <v>1892</v>
      </c>
      <c r="H53" s="22" t="s">
        <v>1893</v>
      </c>
      <c r="I53" s="21" t="s">
        <v>1894</v>
      </c>
      <c r="J53" s="22" t="s">
        <v>1895</v>
      </c>
      <c r="K53" s="22" t="s">
        <v>1798</v>
      </c>
      <c r="L53" s="21" t="s">
        <v>1799</v>
      </c>
      <c r="M53" s="23" t="s">
        <v>1896</v>
      </c>
      <c r="N53" s="23" t="s">
        <v>1897</v>
      </c>
      <c r="O53" s="23" t="s">
        <v>1898</v>
      </c>
      <c r="P53" s="23" t="s">
        <v>1634</v>
      </c>
      <c r="Q53" s="23" t="s">
        <v>1635</v>
      </c>
      <c r="R53" s="23" t="s">
        <v>1803</v>
      </c>
    </row>
    <row r="54" customFormat="false" ht="219.75" hidden="false" customHeight="true" outlineLevel="0" collapsed="false">
      <c r="A54" s="17" t="s">
        <v>1126</v>
      </c>
      <c r="B54" s="17" t="s">
        <v>985</v>
      </c>
      <c r="C54" s="17" t="s">
        <v>979</v>
      </c>
      <c r="D54" s="17" t="s">
        <v>1636</v>
      </c>
      <c r="E54" s="21" t="s">
        <v>1899</v>
      </c>
      <c r="F54" s="22" t="s">
        <v>1900</v>
      </c>
      <c r="G54" s="22" t="s">
        <v>1901</v>
      </c>
      <c r="H54" s="21" t="s">
        <v>1902</v>
      </c>
      <c r="I54" s="21" t="s">
        <v>1903</v>
      </c>
      <c r="J54" s="21" t="s">
        <v>1904</v>
      </c>
      <c r="K54" s="22" t="s">
        <v>1798</v>
      </c>
      <c r="L54" s="21" t="s">
        <v>1799</v>
      </c>
      <c r="M54" s="23" t="s">
        <v>1905</v>
      </c>
      <c r="N54" s="23" t="s">
        <v>1906</v>
      </c>
      <c r="O54" s="23" t="s">
        <v>1907</v>
      </c>
      <c r="P54" s="23" t="s">
        <v>1634</v>
      </c>
      <c r="Q54" s="23" t="s">
        <v>1635</v>
      </c>
      <c r="R54" s="23" t="s">
        <v>1803</v>
      </c>
    </row>
    <row r="55" customFormat="false" ht="219.75" hidden="false" customHeight="true" outlineLevel="0" collapsed="false">
      <c r="A55" s="17" t="s">
        <v>1126</v>
      </c>
      <c r="B55" s="17" t="s">
        <v>1063</v>
      </c>
      <c r="C55" s="17" t="s">
        <v>1057</v>
      </c>
      <c r="D55" s="17" t="s">
        <v>1636</v>
      </c>
      <c r="E55" s="21" t="s">
        <v>1908</v>
      </c>
      <c r="F55" s="22" t="s">
        <v>1909</v>
      </c>
      <c r="G55" s="22" t="s">
        <v>1910</v>
      </c>
      <c r="H55" s="22" t="s">
        <v>1911</v>
      </c>
      <c r="I55" s="21" t="s">
        <v>1912</v>
      </c>
      <c r="J55" s="21" t="s">
        <v>1913</v>
      </c>
      <c r="K55" s="22" t="s">
        <v>1798</v>
      </c>
      <c r="L55" s="21" t="s">
        <v>1799</v>
      </c>
      <c r="M55" s="23" t="s">
        <v>1914</v>
      </c>
      <c r="N55" s="23" t="s">
        <v>1915</v>
      </c>
      <c r="O55" s="23" t="s">
        <v>1916</v>
      </c>
      <c r="P55" s="23" t="s">
        <v>1634</v>
      </c>
      <c r="Q55" s="24" t="s">
        <v>1917</v>
      </c>
      <c r="R55" s="23" t="s">
        <v>1803</v>
      </c>
    </row>
    <row r="56" customFormat="false" ht="219.75" hidden="false" customHeight="true" outlineLevel="0" collapsed="false">
      <c r="A56" s="17" t="s">
        <v>1126</v>
      </c>
      <c r="B56" s="17" t="s">
        <v>993</v>
      </c>
      <c r="C56" s="17" t="s">
        <v>987</v>
      </c>
      <c r="D56" s="17" t="s">
        <v>1636</v>
      </c>
      <c r="E56" s="21" t="s">
        <v>1918</v>
      </c>
      <c r="F56" s="22" t="s">
        <v>1919</v>
      </c>
      <c r="G56" s="22" t="s">
        <v>1920</v>
      </c>
      <c r="H56" s="22" t="s">
        <v>1921</v>
      </c>
      <c r="I56" s="22" t="s">
        <v>1922</v>
      </c>
      <c r="J56" s="21" t="s">
        <v>1923</v>
      </c>
      <c r="K56" s="22" t="s">
        <v>1798</v>
      </c>
      <c r="L56" s="21" t="s">
        <v>1799</v>
      </c>
      <c r="M56" s="23" t="s">
        <v>1924</v>
      </c>
      <c r="N56" s="23" t="s">
        <v>1925</v>
      </c>
      <c r="O56" s="24" t="s">
        <v>1926</v>
      </c>
      <c r="P56" s="23" t="s">
        <v>1634</v>
      </c>
      <c r="Q56" s="23" t="s">
        <v>1927</v>
      </c>
      <c r="R56" s="23" t="s">
        <v>1803</v>
      </c>
    </row>
    <row r="57" customFormat="false" ht="219.75" hidden="false" customHeight="true" outlineLevel="0" collapsed="false">
      <c r="A57" s="17" t="s">
        <v>1126</v>
      </c>
      <c r="B57" s="17" t="s">
        <v>1207</v>
      </c>
      <c r="C57" s="17" t="s">
        <v>1711</v>
      </c>
      <c r="D57" s="17" t="s">
        <v>1636</v>
      </c>
      <c r="E57" s="21" t="s">
        <v>1928</v>
      </c>
      <c r="F57" s="22" t="s">
        <v>1929</v>
      </c>
      <c r="G57" s="21" t="s">
        <v>1930</v>
      </c>
      <c r="H57" s="21" t="s">
        <v>1931</v>
      </c>
      <c r="I57" s="22" t="s">
        <v>1932</v>
      </c>
      <c r="J57" s="21" t="s">
        <v>1933</v>
      </c>
      <c r="K57" s="22" t="s">
        <v>1798</v>
      </c>
      <c r="L57" s="21" t="s">
        <v>1799</v>
      </c>
      <c r="M57" s="23" t="s">
        <v>1934</v>
      </c>
      <c r="N57" s="23" t="s">
        <v>1935</v>
      </c>
      <c r="O57" s="23" t="s">
        <v>1936</v>
      </c>
      <c r="P57" s="23" t="s">
        <v>1634</v>
      </c>
      <c r="Q57" s="23" t="s">
        <v>1635</v>
      </c>
      <c r="R57" s="23" t="s">
        <v>1803</v>
      </c>
    </row>
    <row r="58" customFormat="false" ht="219.75" hidden="false" customHeight="true" outlineLevel="0" collapsed="false">
      <c r="A58" s="17" t="s">
        <v>1126</v>
      </c>
      <c r="B58" s="17" t="s">
        <v>773</v>
      </c>
      <c r="C58" s="17" t="s">
        <v>766</v>
      </c>
      <c r="D58" s="17" t="s">
        <v>1636</v>
      </c>
      <c r="E58" s="21" t="s">
        <v>1882</v>
      </c>
      <c r="F58" s="22" t="s">
        <v>1937</v>
      </c>
      <c r="G58" s="22" t="s">
        <v>1938</v>
      </c>
      <c r="H58" s="21" t="s">
        <v>1939</v>
      </c>
      <c r="I58" s="21" t="s">
        <v>1940</v>
      </c>
      <c r="J58" s="22" t="s">
        <v>1941</v>
      </c>
      <c r="K58" s="22" t="s">
        <v>1798</v>
      </c>
      <c r="L58" s="21" t="s">
        <v>1799</v>
      </c>
      <c r="M58" s="23" t="s">
        <v>1942</v>
      </c>
      <c r="N58" s="23" t="s">
        <v>1943</v>
      </c>
      <c r="O58" s="23" t="s">
        <v>1944</v>
      </c>
      <c r="P58" s="23" t="s">
        <v>1634</v>
      </c>
      <c r="Q58" s="23" t="s">
        <v>1635</v>
      </c>
      <c r="R58" s="23" t="s">
        <v>1803</v>
      </c>
    </row>
    <row r="59" customFormat="false" ht="219.75" hidden="false" customHeight="true" outlineLevel="0" collapsed="false">
      <c r="A59" s="17" t="s">
        <v>1126</v>
      </c>
      <c r="B59" s="17" t="s">
        <v>780</v>
      </c>
      <c r="C59" s="17" t="s">
        <v>775</v>
      </c>
      <c r="D59" s="17" t="s">
        <v>1636</v>
      </c>
      <c r="E59" s="21" t="s">
        <v>1882</v>
      </c>
      <c r="F59" s="22" t="s">
        <v>1945</v>
      </c>
      <c r="G59" s="21" t="s">
        <v>1946</v>
      </c>
      <c r="H59" s="22" t="s">
        <v>1947</v>
      </c>
      <c r="I59" s="21" t="s">
        <v>1948</v>
      </c>
      <c r="J59" s="21" t="s">
        <v>1949</v>
      </c>
      <c r="K59" s="22" t="s">
        <v>1798</v>
      </c>
      <c r="L59" s="21" t="s">
        <v>1799</v>
      </c>
      <c r="M59" s="23" t="s">
        <v>1950</v>
      </c>
      <c r="N59" s="23" t="s">
        <v>1951</v>
      </c>
      <c r="O59" s="23" t="s">
        <v>1952</v>
      </c>
      <c r="P59" s="23" t="s">
        <v>1634</v>
      </c>
      <c r="Q59" s="23" t="s">
        <v>1635</v>
      </c>
      <c r="R59" s="23" t="s">
        <v>1803</v>
      </c>
    </row>
    <row r="60" customFormat="false" ht="219.75" hidden="false" customHeight="true" outlineLevel="0" collapsed="false">
      <c r="A60" s="17" t="s">
        <v>1126</v>
      </c>
      <c r="B60" s="17" t="s">
        <v>160</v>
      </c>
      <c r="C60" s="17" t="s">
        <v>153</v>
      </c>
      <c r="D60" s="17" t="s">
        <v>1636</v>
      </c>
      <c r="E60" s="21" t="s">
        <v>1953</v>
      </c>
      <c r="F60" s="22" t="s">
        <v>1954</v>
      </c>
      <c r="G60" s="21" t="s">
        <v>1955</v>
      </c>
      <c r="H60" s="22" t="s">
        <v>1956</v>
      </c>
      <c r="I60" s="22" t="s">
        <v>1957</v>
      </c>
      <c r="J60" s="21" t="s">
        <v>1958</v>
      </c>
      <c r="K60" s="22" t="s">
        <v>1798</v>
      </c>
      <c r="L60" s="21" t="s">
        <v>1799</v>
      </c>
      <c r="M60" s="23" t="s">
        <v>1959</v>
      </c>
      <c r="N60" s="23" t="s">
        <v>1960</v>
      </c>
      <c r="O60" s="23" t="s">
        <v>1961</v>
      </c>
      <c r="P60" s="23" t="s">
        <v>1634</v>
      </c>
      <c r="Q60" s="23" t="s">
        <v>1635</v>
      </c>
      <c r="R60" s="23" t="s">
        <v>1803</v>
      </c>
    </row>
    <row r="61" customFormat="false" ht="219.75" hidden="false" customHeight="true" outlineLevel="0" collapsed="false">
      <c r="A61" s="17" t="s">
        <v>1126</v>
      </c>
      <c r="B61" s="17" t="s">
        <v>185</v>
      </c>
      <c r="C61" s="17" t="s">
        <v>1962</v>
      </c>
      <c r="D61" s="17" t="s">
        <v>1636</v>
      </c>
      <c r="E61" s="21" t="s">
        <v>1963</v>
      </c>
      <c r="F61" s="22" t="s">
        <v>1964</v>
      </c>
      <c r="G61" s="22" t="s">
        <v>1965</v>
      </c>
      <c r="H61" s="21" t="s">
        <v>1966</v>
      </c>
      <c r="I61" s="21" t="s">
        <v>1967</v>
      </c>
      <c r="J61" s="21" t="s">
        <v>1968</v>
      </c>
      <c r="K61" s="22" t="s">
        <v>1798</v>
      </c>
      <c r="L61" s="21" t="s">
        <v>1799</v>
      </c>
      <c r="M61" s="23" t="s">
        <v>1969</v>
      </c>
      <c r="N61" s="23" t="s">
        <v>1970</v>
      </c>
      <c r="O61" s="23" t="s">
        <v>1971</v>
      </c>
      <c r="P61" s="23" t="s">
        <v>1634</v>
      </c>
      <c r="Q61" s="23" t="s">
        <v>1635</v>
      </c>
      <c r="R61" s="23" t="s">
        <v>1803</v>
      </c>
    </row>
    <row r="62" customFormat="false" ht="219.75" hidden="false" customHeight="true" outlineLevel="0" collapsed="false">
      <c r="A62" s="17" t="s">
        <v>1126</v>
      </c>
      <c r="B62" s="17" t="s">
        <v>270</v>
      </c>
      <c r="C62" s="17" t="s">
        <v>263</v>
      </c>
      <c r="D62" s="17" t="s">
        <v>1636</v>
      </c>
      <c r="E62" s="21" t="s">
        <v>1972</v>
      </c>
      <c r="F62" s="22" t="s">
        <v>1973</v>
      </c>
      <c r="G62" s="21" t="s">
        <v>1974</v>
      </c>
      <c r="H62" s="21" t="s">
        <v>1975</v>
      </c>
      <c r="I62" s="21" t="s">
        <v>1976</v>
      </c>
      <c r="J62" s="21" t="s">
        <v>1977</v>
      </c>
      <c r="K62" s="22" t="s">
        <v>1798</v>
      </c>
      <c r="L62" s="21" t="s">
        <v>1799</v>
      </c>
      <c r="M62" s="23" t="s">
        <v>1978</v>
      </c>
      <c r="N62" s="23" t="s">
        <v>1979</v>
      </c>
      <c r="O62" s="23" t="s">
        <v>1980</v>
      </c>
      <c r="P62" s="23" t="s">
        <v>1634</v>
      </c>
      <c r="Q62" s="23" t="s">
        <v>1635</v>
      </c>
      <c r="R62" s="23" t="s">
        <v>1803</v>
      </c>
    </row>
    <row r="63" customFormat="false" ht="219.75" hidden="false" customHeight="true" outlineLevel="0" collapsed="false">
      <c r="A63" s="17" t="s">
        <v>1126</v>
      </c>
      <c r="B63" s="17" t="s">
        <v>1187</v>
      </c>
      <c r="C63" s="17" t="s">
        <v>414</v>
      </c>
      <c r="D63" s="17" t="s">
        <v>1636</v>
      </c>
      <c r="E63" s="21" t="s">
        <v>1882</v>
      </c>
      <c r="F63" s="22" t="s">
        <v>1981</v>
      </c>
      <c r="G63" s="22" t="s">
        <v>1982</v>
      </c>
      <c r="H63" s="22" t="s">
        <v>1983</v>
      </c>
      <c r="I63" s="21" t="s">
        <v>1984</v>
      </c>
      <c r="J63" s="21" t="s">
        <v>1985</v>
      </c>
      <c r="K63" s="22" t="s">
        <v>1798</v>
      </c>
      <c r="L63" s="21" t="s">
        <v>1799</v>
      </c>
      <c r="M63" s="23" t="s">
        <v>1986</v>
      </c>
      <c r="N63" s="23" t="s">
        <v>1987</v>
      </c>
      <c r="O63" s="24" t="s">
        <v>1988</v>
      </c>
      <c r="P63" s="23" t="s">
        <v>1634</v>
      </c>
      <c r="Q63" s="23" t="s">
        <v>1989</v>
      </c>
      <c r="R63" s="23" t="s">
        <v>1803</v>
      </c>
    </row>
    <row r="64" customFormat="false" ht="219.75" hidden="false" customHeight="true" outlineLevel="0" collapsed="false">
      <c r="A64" s="17" t="s">
        <v>1126</v>
      </c>
      <c r="B64" s="17" t="s">
        <v>448</v>
      </c>
      <c r="C64" s="17" t="s">
        <v>441</v>
      </c>
      <c r="D64" s="17" t="s">
        <v>1636</v>
      </c>
      <c r="E64" s="21" t="s">
        <v>1990</v>
      </c>
      <c r="F64" s="22" t="s">
        <v>1991</v>
      </c>
      <c r="G64" s="22" t="s">
        <v>1992</v>
      </c>
      <c r="H64" s="21" t="s">
        <v>1993</v>
      </c>
      <c r="I64" s="21" t="s">
        <v>1994</v>
      </c>
      <c r="J64" s="21" t="s">
        <v>1995</v>
      </c>
      <c r="K64" s="22" t="s">
        <v>1798</v>
      </c>
      <c r="L64" s="21" t="s">
        <v>1799</v>
      </c>
      <c r="M64" s="23" t="s">
        <v>1996</v>
      </c>
      <c r="N64" s="23" t="s">
        <v>1997</v>
      </c>
      <c r="O64" s="24" t="s">
        <v>1998</v>
      </c>
      <c r="P64" s="23" t="s">
        <v>1999</v>
      </c>
      <c r="Q64" s="23" t="s">
        <v>2000</v>
      </c>
      <c r="R64" s="23" t="s">
        <v>1803</v>
      </c>
    </row>
    <row r="65" customFormat="false" ht="219.75" hidden="false" customHeight="true" outlineLevel="0" collapsed="false">
      <c r="A65" s="17" t="s">
        <v>1126</v>
      </c>
      <c r="B65" s="17" t="s">
        <v>1131</v>
      </c>
      <c r="C65" s="17" t="s">
        <v>1096</v>
      </c>
      <c r="D65" s="17" t="s">
        <v>1636</v>
      </c>
      <c r="E65" s="21" t="s">
        <v>2001</v>
      </c>
      <c r="F65" s="22" t="s">
        <v>2002</v>
      </c>
      <c r="G65" s="21" t="s">
        <v>2003</v>
      </c>
      <c r="H65" s="21" t="s">
        <v>2004</v>
      </c>
      <c r="I65" s="21" t="s">
        <v>2005</v>
      </c>
      <c r="J65" s="21" t="s">
        <v>2006</v>
      </c>
      <c r="K65" s="22" t="s">
        <v>1798</v>
      </c>
      <c r="L65" s="21" t="s">
        <v>1799</v>
      </c>
      <c r="M65" s="23" t="s">
        <v>2007</v>
      </c>
      <c r="N65" s="23" t="s">
        <v>2008</v>
      </c>
      <c r="O65" s="24" t="s">
        <v>2009</v>
      </c>
      <c r="P65" s="23" t="s">
        <v>1634</v>
      </c>
      <c r="Q65" s="23" t="s">
        <v>2010</v>
      </c>
      <c r="R65" s="23" t="s">
        <v>1803</v>
      </c>
    </row>
    <row r="66" customFormat="false" ht="219.75" hidden="false" customHeight="true" outlineLevel="0" collapsed="false">
      <c r="A66" s="17" t="s">
        <v>1126</v>
      </c>
      <c r="B66" s="17" t="s">
        <v>1265</v>
      </c>
      <c r="C66" s="17" t="s">
        <v>1266</v>
      </c>
      <c r="D66" s="17" t="s">
        <v>1636</v>
      </c>
      <c r="E66" s="21" t="s">
        <v>2011</v>
      </c>
      <c r="F66" s="22" t="s">
        <v>2012</v>
      </c>
      <c r="G66" s="21" t="s">
        <v>2013</v>
      </c>
      <c r="H66" s="22" t="s">
        <v>2014</v>
      </c>
      <c r="I66" s="22" t="s">
        <v>2015</v>
      </c>
      <c r="J66" s="21" t="s">
        <v>2016</v>
      </c>
      <c r="K66" s="22" t="s">
        <v>1798</v>
      </c>
      <c r="L66" s="21" t="s">
        <v>1799</v>
      </c>
      <c r="M66" s="23" t="s">
        <v>2017</v>
      </c>
      <c r="N66" s="23" t="s">
        <v>2018</v>
      </c>
      <c r="O66" s="23" t="s">
        <v>2019</v>
      </c>
      <c r="P66" s="23" t="s">
        <v>1634</v>
      </c>
      <c r="Q66" s="23" t="s">
        <v>1635</v>
      </c>
      <c r="R66" s="23" t="s">
        <v>1803</v>
      </c>
    </row>
    <row r="67" customFormat="false" ht="219.75" hidden="false" customHeight="true" outlineLevel="0" collapsed="false">
      <c r="A67" s="17" t="s">
        <v>1126</v>
      </c>
      <c r="B67" s="17" t="s">
        <v>1270</v>
      </c>
      <c r="C67" s="17" t="s">
        <v>924</v>
      </c>
      <c r="D67" s="17" t="s">
        <v>1636</v>
      </c>
      <c r="E67" s="21" t="s">
        <v>2020</v>
      </c>
      <c r="F67" s="22" t="s">
        <v>2021</v>
      </c>
      <c r="G67" s="22" t="s">
        <v>2022</v>
      </c>
      <c r="H67" s="22" t="s">
        <v>2023</v>
      </c>
      <c r="I67" s="21" t="s">
        <v>2024</v>
      </c>
      <c r="J67" s="21" t="s">
        <v>2025</v>
      </c>
      <c r="K67" s="22" t="s">
        <v>1798</v>
      </c>
      <c r="L67" s="21" t="s">
        <v>1799</v>
      </c>
      <c r="M67" s="23" t="s">
        <v>2026</v>
      </c>
      <c r="N67" s="23" t="s">
        <v>2027</v>
      </c>
      <c r="O67" s="24" t="s">
        <v>2028</v>
      </c>
      <c r="P67" s="23" t="s">
        <v>1634</v>
      </c>
      <c r="Q67" s="23" t="s">
        <v>2029</v>
      </c>
      <c r="R67" s="23" t="s">
        <v>1803</v>
      </c>
    </row>
    <row r="68" customFormat="false" ht="219.75" hidden="false" customHeight="true" outlineLevel="0" collapsed="false">
      <c r="A68" s="17" t="s">
        <v>1126</v>
      </c>
      <c r="B68" s="17" t="s">
        <v>764</v>
      </c>
      <c r="C68" s="17" t="s">
        <v>756</v>
      </c>
      <c r="D68" s="17" t="s">
        <v>1636</v>
      </c>
      <c r="E68" s="21" t="s">
        <v>2030</v>
      </c>
      <c r="F68" s="22" t="s">
        <v>2031</v>
      </c>
      <c r="G68" s="21" t="s">
        <v>2032</v>
      </c>
      <c r="H68" s="21" t="s">
        <v>2033</v>
      </c>
      <c r="I68" s="21" t="s">
        <v>2034</v>
      </c>
      <c r="J68" s="21" t="s">
        <v>2035</v>
      </c>
      <c r="K68" s="22" t="s">
        <v>1798</v>
      </c>
      <c r="L68" s="21" t="s">
        <v>1799</v>
      </c>
      <c r="M68" s="23" t="s">
        <v>2036</v>
      </c>
      <c r="N68" s="23" t="s">
        <v>2037</v>
      </c>
      <c r="O68" s="23" t="s">
        <v>2038</v>
      </c>
      <c r="P68" s="23" t="s">
        <v>1634</v>
      </c>
      <c r="Q68" s="23" t="s">
        <v>1635</v>
      </c>
      <c r="R68" s="23" t="s">
        <v>1803</v>
      </c>
    </row>
    <row r="69" customFormat="false" ht="219.75" hidden="false" customHeight="true" outlineLevel="0" collapsed="false">
      <c r="A69" s="17" t="s">
        <v>1126</v>
      </c>
      <c r="B69" s="17" t="s">
        <v>648</v>
      </c>
      <c r="C69" s="17" t="s">
        <v>639</v>
      </c>
      <c r="D69" s="17" t="s">
        <v>1636</v>
      </c>
      <c r="E69" s="21" t="s">
        <v>2039</v>
      </c>
      <c r="F69" s="22" t="s">
        <v>2040</v>
      </c>
      <c r="G69" s="21" t="s">
        <v>2041</v>
      </c>
      <c r="H69" s="22" t="s">
        <v>2042</v>
      </c>
      <c r="I69" s="21" t="s">
        <v>2043</v>
      </c>
      <c r="J69" s="21" t="s">
        <v>2044</v>
      </c>
      <c r="K69" s="22" t="s">
        <v>1798</v>
      </c>
      <c r="L69" s="21" t="s">
        <v>1799</v>
      </c>
      <c r="M69" s="23" t="s">
        <v>2045</v>
      </c>
      <c r="N69" s="23" t="s">
        <v>2046</v>
      </c>
      <c r="O69" s="24" t="s">
        <v>2047</v>
      </c>
      <c r="P69" s="23" t="s">
        <v>1634</v>
      </c>
      <c r="Q69" s="23" t="s">
        <v>1635</v>
      </c>
      <c r="R69" s="23" t="s">
        <v>1803</v>
      </c>
    </row>
    <row r="70" customFormat="false" ht="219.75" hidden="false" customHeight="true" outlineLevel="0" collapsed="false">
      <c r="A70" s="17" t="s">
        <v>1126</v>
      </c>
      <c r="B70" s="17" t="s">
        <v>1260</v>
      </c>
      <c r="C70" s="17" t="s">
        <v>924</v>
      </c>
      <c r="D70" s="17" t="s">
        <v>1636</v>
      </c>
      <c r="E70" s="21" t="s">
        <v>2048</v>
      </c>
      <c r="F70" s="22" t="s">
        <v>2049</v>
      </c>
      <c r="G70" s="22" t="s">
        <v>2050</v>
      </c>
      <c r="H70" s="22" t="s">
        <v>2051</v>
      </c>
      <c r="I70" s="21" t="s">
        <v>2052</v>
      </c>
      <c r="J70" s="21" t="s">
        <v>2053</v>
      </c>
      <c r="K70" s="22" t="s">
        <v>1798</v>
      </c>
      <c r="L70" s="21" t="s">
        <v>1799</v>
      </c>
      <c r="M70" s="23" t="s">
        <v>2054</v>
      </c>
      <c r="N70" s="23" t="s">
        <v>2055</v>
      </c>
      <c r="O70" s="23" t="s">
        <v>2056</v>
      </c>
      <c r="P70" s="23" t="s">
        <v>1634</v>
      </c>
      <c r="Q70" s="23" t="s">
        <v>2057</v>
      </c>
      <c r="R70" s="23" t="s">
        <v>1803</v>
      </c>
    </row>
    <row r="71" customFormat="false" ht="219.75" hidden="false" customHeight="true" outlineLevel="0" collapsed="false">
      <c r="A71" s="17" t="s">
        <v>1126</v>
      </c>
      <c r="B71" s="17" t="s">
        <v>1289</v>
      </c>
      <c r="C71" s="17" t="s">
        <v>880</v>
      </c>
      <c r="D71" s="17" t="s">
        <v>1636</v>
      </c>
      <c r="E71" s="21" t="s">
        <v>2058</v>
      </c>
      <c r="F71" s="22" t="s">
        <v>2059</v>
      </c>
      <c r="G71" s="22" t="s">
        <v>2060</v>
      </c>
      <c r="H71" s="21" t="s">
        <v>2061</v>
      </c>
      <c r="I71" s="21" t="s">
        <v>2062</v>
      </c>
      <c r="J71" s="21" t="s">
        <v>2063</v>
      </c>
      <c r="K71" s="22" t="s">
        <v>1798</v>
      </c>
      <c r="L71" s="21" t="s">
        <v>1799</v>
      </c>
      <c r="M71" s="23" t="s">
        <v>2064</v>
      </c>
      <c r="N71" s="23" t="s">
        <v>2065</v>
      </c>
      <c r="O71" s="23" t="s">
        <v>2066</v>
      </c>
      <c r="P71" s="23" t="s">
        <v>1634</v>
      </c>
      <c r="Q71" s="24" t="s">
        <v>2067</v>
      </c>
      <c r="R71" s="23" t="s">
        <v>1803</v>
      </c>
    </row>
    <row r="72" customFormat="false" ht="15" hidden="false" customHeight="true" outlineLevel="0" collapsed="false">
      <c r="A72" s="17" t="s">
        <v>1126</v>
      </c>
      <c r="B72" s="17" t="s">
        <v>861</v>
      </c>
      <c r="C72" s="17" t="s">
        <v>855</v>
      </c>
      <c r="D72" s="17" t="s">
        <v>2068</v>
      </c>
      <c r="E72" s="21" t="s">
        <v>2069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2070</v>
      </c>
      <c r="N72" s="23" t="s">
        <v>2071</v>
      </c>
      <c r="O72" s="23" t="s">
        <v>2072</v>
      </c>
      <c r="P72" s="24" t="s">
        <v>39</v>
      </c>
      <c r="Q72" s="23" t="s">
        <v>2073</v>
      </c>
      <c r="R72" s="23" t="s">
        <v>1803</v>
      </c>
    </row>
    <row r="73" customFormat="false" ht="15" hidden="false" customHeight="true" outlineLevel="0" collapsed="false">
      <c r="A73" s="17" t="s">
        <v>1126</v>
      </c>
      <c r="B73" s="17" t="s">
        <v>151</v>
      </c>
      <c r="C73" s="17" t="s">
        <v>142</v>
      </c>
      <c r="D73" s="17" t="s">
        <v>2068</v>
      </c>
      <c r="E73" s="21" t="s">
        <v>2069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2070</v>
      </c>
      <c r="N73" s="23" t="s">
        <v>2074</v>
      </c>
      <c r="O73" s="23" t="s">
        <v>2075</v>
      </c>
      <c r="P73" s="23" t="s">
        <v>1634</v>
      </c>
      <c r="Q73" s="23" t="s">
        <v>2076</v>
      </c>
      <c r="R73" s="23" t="s">
        <v>1803</v>
      </c>
    </row>
    <row r="74" customFormat="false" ht="15" hidden="false" customHeight="true" outlineLevel="0" collapsed="false">
      <c r="A74" s="17" t="s">
        <v>1126</v>
      </c>
      <c r="B74" s="17" t="s">
        <v>1160</v>
      </c>
      <c r="C74" s="17" t="s">
        <v>221</v>
      </c>
      <c r="D74" s="17" t="s">
        <v>2068</v>
      </c>
      <c r="E74" s="21" t="s">
        <v>2069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2070</v>
      </c>
      <c r="N74" s="23" t="s">
        <v>2077</v>
      </c>
      <c r="O74" s="23" t="s">
        <v>2078</v>
      </c>
      <c r="P74" s="24" t="s">
        <v>39</v>
      </c>
      <c r="Q74" s="23" t="s">
        <v>2073</v>
      </c>
      <c r="R74" s="23" t="s">
        <v>1803</v>
      </c>
    </row>
    <row r="75" customFormat="false" ht="15" hidden="false" customHeight="true" outlineLevel="0" collapsed="false">
      <c r="A75" s="17" t="s">
        <v>1126</v>
      </c>
      <c r="B75" s="17" t="s">
        <v>1165</v>
      </c>
      <c r="C75" s="17" t="s">
        <v>389</v>
      </c>
      <c r="D75" s="17" t="s">
        <v>2068</v>
      </c>
      <c r="E75" s="21" t="s">
        <v>2069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2070</v>
      </c>
      <c r="N75" s="23" t="s">
        <v>2079</v>
      </c>
      <c r="O75" s="23" t="s">
        <v>2080</v>
      </c>
      <c r="P75" s="24" t="s">
        <v>39</v>
      </c>
      <c r="Q75" s="23" t="s">
        <v>2073</v>
      </c>
      <c r="R75" s="23" t="s">
        <v>1803</v>
      </c>
    </row>
    <row r="76" customFormat="false" ht="15" hidden="false" customHeight="true" outlineLevel="0" collapsed="false">
      <c r="A76" s="17" t="s">
        <v>1126</v>
      </c>
      <c r="B76" s="17" t="s">
        <v>348</v>
      </c>
      <c r="C76" s="17" t="s">
        <v>343</v>
      </c>
      <c r="D76" s="17" t="s">
        <v>2068</v>
      </c>
      <c r="E76" s="21" t="s">
        <v>2069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2070</v>
      </c>
      <c r="N76" s="23" t="s">
        <v>2081</v>
      </c>
      <c r="O76" s="23" t="s">
        <v>2082</v>
      </c>
      <c r="P76" s="24" t="s">
        <v>39</v>
      </c>
      <c r="Q76" s="23" t="s">
        <v>2073</v>
      </c>
      <c r="R76" s="23" t="s">
        <v>1803</v>
      </c>
    </row>
    <row r="77" customFormat="false" ht="15" hidden="false" customHeight="true" outlineLevel="0" collapsed="false">
      <c r="A77" s="17" t="s">
        <v>1126</v>
      </c>
      <c r="B77" s="17" t="s">
        <v>1192</v>
      </c>
      <c r="C77" s="17" t="s">
        <v>424</v>
      </c>
      <c r="D77" s="17" t="s">
        <v>2068</v>
      </c>
      <c r="E77" s="21" t="s">
        <v>2069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2070</v>
      </c>
      <c r="N77" s="23" t="s">
        <v>2083</v>
      </c>
      <c r="O77" s="23" t="s">
        <v>2084</v>
      </c>
      <c r="P77" s="24" t="s">
        <v>39</v>
      </c>
      <c r="Q77" s="23" t="s">
        <v>2073</v>
      </c>
      <c r="R77" s="23" t="s">
        <v>1803</v>
      </c>
    </row>
    <row r="78" customFormat="false" ht="15" hidden="false" customHeight="true" outlineLevel="0" collapsed="false">
      <c r="A78" s="17" t="s">
        <v>1126</v>
      </c>
      <c r="B78" s="17" t="s">
        <v>1203</v>
      </c>
      <c r="C78" s="17" t="s">
        <v>450</v>
      </c>
      <c r="D78" s="17" t="s">
        <v>2068</v>
      </c>
      <c r="E78" s="21" t="s">
        <v>2069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2070</v>
      </c>
      <c r="N78" s="23" t="s">
        <v>2085</v>
      </c>
      <c r="O78" s="23" t="s">
        <v>2086</v>
      </c>
      <c r="P78" s="23" t="s">
        <v>1634</v>
      </c>
      <c r="Q78" s="23" t="s">
        <v>2076</v>
      </c>
      <c r="R78" s="23" t="s">
        <v>1803</v>
      </c>
    </row>
    <row r="79" customFormat="false" ht="15" hidden="false" customHeight="true" outlineLevel="0" collapsed="false">
      <c r="A79" s="17" t="s">
        <v>1126</v>
      </c>
      <c r="B79" s="17" t="s">
        <v>1239</v>
      </c>
      <c r="C79" s="17" t="s">
        <v>1002</v>
      </c>
      <c r="D79" s="17" t="s">
        <v>2068</v>
      </c>
      <c r="E79" s="21" t="s">
        <v>2069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2070</v>
      </c>
      <c r="N79" s="23" t="s">
        <v>2087</v>
      </c>
      <c r="O79" s="23" t="s">
        <v>2088</v>
      </c>
      <c r="P79" s="24" t="s">
        <v>39</v>
      </c>
      <c r="Q79" s="23" t="s">
        <v>2073</v>
      </c>
      <c r="R79" s="23" t="s">
        <v>1803</v>
      </c>
    </row>
    <row r="80" customFormat="false" ht="15" hidden="false" customHeight="true" outlineLevel="0" collapsed="false">
      <c r="A80" s="17" t="s">
        <v>1126</v>
      </c>
      <c r="B80" s="17" t="s">
        <v>1275</v>
      </c>
      <c r="C80" s="17" t="s">
        <v>916</v>
      </c>
      <c r="D80" s="17" t="s">
        <v>2068</v>
      </c>
      <c r="E80" s="21" t="s">
        <v>2069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2070</v>
      </c>
      <c r="N80" s="23" t="s">
        <v>2089</v>
      </c>
      <c r="O80" s="23" t="s">
        <v>2090</v>
      </c>
      <c r="P80" s="24" t="s">
        <v>39</v>
      </c>
      <c r="Q80" s="23" t="s">
        <v>2073</v>
      </c>
      <c r="R80" s="23" t="s">
        <v>1803</v>
      </c>
    </row>
    <row r="81" customFormat="false" ht="15" hidden="false" customHeight="true" outlineLevel="0" collapsed="false">
      <c r="A81" s="17" t="s">
        <v>1126</v>
      </c>
      <c r="B81" s="17" t="s">
        <v>1298</v>
      </c>
      <c r="C81" s="17" t="s">
        <v>1034</v>
      </c>
      <c r="D81" s="17" t="s">
        <v>2068</v>
      </c>
      <c r="E81" s="21" t="s">
        <v>2091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2092</v>
      </c>
      <c r="N81" s="23" t="s">
        <v>2093</v>
      </c>
      <c r="O81" s="23" t="s">
        <v>2094</v>
      </c>
      <c r="P81" s="24" t="s">
        <v>39</v>
      </c>
      <c r="Q81" s="23" t="s">
        <v>2095</v>
      </c>
      <c r="R81" s="23" t="s">
        <v>1803</v>
      </c>
    </row>
    <row r="82" customFormat="false" ht="15" hidden="false" customHeight="true" outlineLevel="0" collapsed="false">
      <c r="A82" s="17" t="s">
        <v>1126</v>
      </c>
      <c r="B82" s="17" t="s">
        <v>1304</v>
      </c>
      <c r="C82" s="17" t="s">
        <v>601</v>
      </c>
      <c r="D82" s="17" t="s">
        <v>2068</v>
      </c>
      <c r="E82" s="21" t="s">
        <v>2091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2096</v>
      </c>
      <c r="N82" s="24" t="s">
        <v>2097</v>
      </c>
      <c r="O82" s="24" t="s">
        <v>136</v>
      </c>
      <c r="P82" s="24" t="s">
        <v>39</v>
      </c>
      <c r="Q82" s="23" t="s">
        <v>2098</v>
      </c>
      <c r="R82" s="23" t="s">
        <v>1803</v>
      </c>
    </row>
    <row r="83" customFormat="false" ht="15" hidden="false" customHeight="true" outlineLevel="0" collapsed="false">
      <c r="A83" s="17" t="s">
        <v>1126</v>
      </c>
      <c r="B83" s="17" t="s">
        <v>1311</v>
      </c>
      <c r="C83" s="17" t="s">
        <v>880</v>
      </c>
      <c r="D83" s="17" t="s">
        <v>2068</v>
      </c>
      <c r="E83" s="21" t="s">
        <v>2091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2099</v>
      </c>
      <c r="N83" s="23" t="s">
        <v>2100</v>
      </c>
      <c r="O83" s="24" t="s">
        <v>2101</v>
      </c>
      <c r="P83" s="24" t="s">
        <v>39</v>
      </c>
      <c r="Q83" s="23" t="s">
        <v>2102</v>
      </c>
      <c r="R83" s="23" t="s">
        <v>1803</v>
      </c>
    </row>
    <row r="84" customFormat="false" ht="15" hidden="false" customHeight="true" outlineLevel="0" collapsed="false">
      <c r="A84" s="17" t="s">
        <v>1126</v>
      </c>
      <c r="B84" s="17" t="s">
        <v>1317</v>
      </c>
      <c r="C84" s="17" t="s">
        <v>397</v>
      </c>
      <c r="D84" s="17" t="s">
        <v>2068</v>
      </c>
      <c r="E84" s="21" t="s">
        <v>2091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2103</v>
      </c>
      <c r="N84" s="23" t="s">
        <v>2104</v>
      </c>
      <c r="O84" s="23" t="s">
        <v>2105</v>
      </c>
      <c r="P84" s="24" t="s">
        <v>39</v>
      </c>
      <c r="Q84" s="23" t="s">
        <v>2106</v>
      </c>
      <c r="R84" s="23" t="s">
        <v>1803</v>
      </c>
    </row>
    <row r="85" customFormat="false" ht="15" hidden="false" customHeight="true" outlineLevel="0" collapsed="false">
      <c r="A85" s="17" t="s">
        <v>1126</v>
      </c>
      <c r="B85" s="17" t="s">
        <v>1323</v>
      </c>
      <c r="C85" s="17" t="s">
        <v>932</v>
      </c>
      <c r="D85" s="17" t="s">
        <v>2068</v>
      </c>
      <c r="E85" s="21" t="s">
        <v>2091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2107</v>
      </c>
      <c r="N85" s="23" t="s">
        <v>2108</v>
      </c>
      <c r="O85" s="23" t="s">
        <v>2109</v>
      </c>
      <c r="P85" s="24" t="s">
        <v>39</v>
      </c>
      <c r="Q85" s="23" t="s">
        <v>2110</v>
      </c>
      <c r="R85" s="23" t="s">
        <v>1803</v>
      </c>
    </row>
    <row r="86" customFormat="false" ht="15" hidden="false" customHeight="true" outlineLevel="0" collapsed="false">
      <c r="A86" s="17" t="s">
        <v>1126</v>
      </c>
      <c r="B86" s="17" t="s">
        <v>1329</v>
      </c>
      <c r="C86" s="17" t="s">
        <v>880</v>
      </c>
      <c r="D86" s="17" t="s">
        <v>2068</v>
      </c>
      <c r="E86" s="21" t="s">
        <v>2091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2111</v>
      </c>
      <c r="N86" s="23" t="s">
        <v>2112</v>
      </c>
      <c r="O86" s="24" t="s">
        <v>2113</v>
      </c>
      <c r="P86" s="24" t="s">
        <v>39</v>
      </c>
      <c r="Q86" s="23" t="s">
        <v>2114</v>
      </c>
      <c r="R86" s="23" t="s">
        <v>1803</v>
      </c>
    </row>
    <row r="87" customFormat="false" ht="15" hidden="false" customHeight="true" outlineLevel="0" collapsed="false">
      <c r="A87" s="17" t="s">
        <v>1126</v>
      </c>
      <c r="B87" s="17" t="s">
        <v>1094</v>
      </c>
      <c r="C87" s="17" t="s">
        <v>1089</v>
      </c>
      <c r="D87" s="17" t="s">
        <v>2068</v>
      </c>
      <c r="E87" s="21" t="s">
        <v>2091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2115</v>
      </c>
      <c r="N87" s="23" t="s">
        <v>2116</v>
      </c>
      <c r="O87" s="23" t="s">
        <v>2117</v>
      </c>
      <c r="P87" s="24" t="s">
        <v>39</v>
      </c>
      <c r="Q87" s="23" t="s">
        <v>2118</v>
      </c>
      <c r="R87" s="23" t="s">
        <v>1803</v>
      </c>
    </row>
    <row r="88" customFormat="false" ht="15" hidden="false" customHeight="true" outlineLevel="0" collapsed="false">
      <c r="A88" s="17" t="s">
        <v>1126</v>
      </c>
      <c r="B88" s="17" t="s">
        <v>1340</v>
      </c>
      <c r="C88" s="17" t="s">
        <v>880</v>
      </c>
      <c r="D88" s="17" t="s">
        <v>2068</v>
      </c>
      <c r="E88" s="21" t="s">
        <v>2091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2119</v>
      </c>
      <c r="N88" s="23" t="s">
        <v>2120</v>
      </c>
      <c r="O88" s="23" t="s">
        <v>2121</v>
      </c>
      <c r="P88" s="23" t="s">
        <v>1649</v>
      </c>
      <c r="Q88" s="23" t="s">
        <v>2122</v>
      </c>
      <c r="R88" s="23" t="s">
        <v>1803</v>
      </c>
    </row>
    <row r="89" customFormat="false" ht="15" hidden="false" customHeight="true" outlineLevel="0" collapsed="false">
      <c r="A89" s="17" t="s">
        <v>1126</v>
      </c>
      <c r="B89" s="17" t="s">
        <v>1346</v>
      </c>
      <c r="C89" s="17" t="s">
        <v>414</v>
      </c>
      <c r="D89" s="17" t="s">
        <v>2068</v>
      </c>
      <c r="E89" s="21" t="s">
        <v>2091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2123</v>
      </c>
      <c r="N89" s="23" t="s">
        <v>2124</v>
      </c>
      <c r="O89" s="24" t="s">
        <v>2125</v>
      </c>
      <c r="P89" s="23" t="s">
        <v>1649</v>
      </c>
      <c r="Q89" s="23" t="s">
        <v>2126</v>
      </c>
      <c r="R89" s="23" t="s">
        <v>1803</v>
      </c>
    </row>
    <row r="90" customFormat="false" ht="15" hidden="false" customHeight="true" outlineLevel="0" collapsed="false">
      <c r="A90" s="17" t="s">
        <v>1126</v>
      </c>
      <c r="B90" s="17" t="s">
        <v>1352</v>
      </c>
      <c r="C90" s="17" t="s">
        <v>397</v>
      </c>
      <c r="D90" s="17" t="s">
        <v>2068</v>
      </c>
      <c r="E90" s="21" t="s">
        <v>2091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2127</v>
      </c>
      <c r="N90" s="23" t="s">
        <v>2128</v>
      </c>
      <c r="O90" s="23" t="s">
        <v>2129</v>
      </c>
      <c r="P90" s="23" t="s">
        <v>1649</v>
      </c>
      <c r="Q90" s="23" t="s">
        <v>2130</v>
      </c>
      <c r="R90" s="23" t="s">
        <v>1803</v>
      </c>
    </row>
    <row r="91" customFormat="false" ht="219.75" hidden="false" customHeight="true" outlineLevel="0" collapsed="false">
      <c r="A91" s="17" t="s">
        <v>1139</v>
      </c>
      <c r="B91" s="17" t="s">
        <v>1229</v>
      </c>
      <c r="C91" s="17" t="s">
        <v>610</v>
      </c>
      <c r="D91" s="17" t="s">
        <v>2068</v>
      </c>
      <c r="E91" s="21" t="s">
        <v>2131</v>
      </c>
      <c r="F91" s="22" t="s">
        <v>2132</v>
      </c>
      <c r="G91" s="22" t="s">
        <v>2133</v>
      </c>
      <c r="H91" s="22" t="s">
        <v>2134</v>
      </c>
      <c r="I91" s="21" t="s">
        <v>2135</v>
      </c>
      <c r="J91" s="21" t="s">
        <v>2136</v>
      </c>
      <c r="K91" s="22" t="s">
        <v>2137</v>
      </c>
      <c r="L91" s="21" t="s">
        <v>2138</v>
      </c>
      <c r="M91" s="23" t="s">
        <v>2139</v>
      </c>
      <c r="N91" s="23" t="s">
        <v>2140</v>
      </c>
      <c r="O91" s="23" t="s">
        <v>2141</v>
      </c>
      <c r="P91" s="23" t="s">
        <v>1634</v>
      </c>
      <c r="Q91" s="23" t="s">
        <v>1635</v>
      </c>
      <c r="R91" s="23" t="s">
        <v>1803</v>
      </c>
    </row>
    <row r="92" customFormat="false" ht="219.75" hidden="false" customHeight="true" outlineLevel="0" collapsed="false">
      <c r="A92" s="17" t="s">
        <v>1139</v>
      </c>
      <c r="B92" s="17" t="s">
        <v>448</v>
      </c>
      <c r="C92" s="17" t="s">
        <v>441</v>
      </c>
      <c r="D92" s="17" t="s">
        <v>2068</v>
      </c>
      <c r="E92" s="21" t="s">
        <v>2142</v>
      </c>
      <c r="F92" s="22" t="s">
        <v>2143</v>
      </c>
      <c r="G92" s="22" t="s">
        <v>2144</v>
      </c>
      <c r="H92" s="21" t="s">
        <v>2145</v>
      </c>
      <c r="I92" s="21" t="s">
        <v>2146</v>
      </c>
      <c r="J92" s="21" t="s">
        <v>2147</v>
      </c>
      <c r="K92" s="22" t="s">
        <v>2137</v>
      </c>
      <c r="L92" s="21" t="s">
        <v>2138</v>
      </c>
      <c r="M92" s="23" t="s">
        <v>2148</v>
      </c>
      <c r="N92" s="23" t="s">
        <v>2149</v>
      </c>
      <c r="O92" s="23" t="s">
        <v>2150</v>
      </c>
      <c r="P92" s="23" t="s">
        <v>1634</v>
      </c>
      <c r="Q92" s="23" t="s">
        <v>1635</v>
      </c>
      <c r="R92" s="23" t="s">
        <v>1803</v>
      </c>
    </row>
    <row r="93" customFormat="false" ht="219.75" hidden="false" customHeight="true" outlineLevel="0" collapsed="false">
      <c r="A93" s="17" t="s">
        <v>1139</v>
      </c>
      <c r="B93" s="17" t="s">
        <v>1239</v>
      </c>
      <c r="C93" s="17" t="s">
        <v>1002</v>
      </c>
      <c r="D93" s="17" t="s">
        <v>2068</v>
      </c>
      <c r="E93" s="21" t="s">
        <v>2151</v>
      </c>
      <c r="F93" s="22" t="s">
        <v>2152</v>
      </c>
      <c r="G93" s="22" t="s">
        <v>2153</v>
      </c>
      <c r="H93" s="21" t="s">
        <v>2154</v>
      </c>
      <c r="I93" s="21" t="s">
        <v>2155</v>
      </c>
      <c r="J93" s="21" t="s">
        <v>2156</v>
      </c>
      <c r="K93" s="22" t="s">
        <v>2137</v>
      </c>
      <c r="L93" s="21" t="s">
        <v>2138</v>
      </c>
      <c r="M93" s="23" t="s">
        <v>2157</v>
      </c>
      <c r="N93" s="23" t="s">
        <v>2158</v>
      </c>
      <c r="O93" s="24" t="s">
        <v>2159</v>
      </c>
      <c r="P93" s="23" t="s">
        <v>1634</v>
      </c>
      <c r="Q93" s="24" t="s">
        <v>2160</v>
      </c>
      <c r="R93" s="23" t="s">
        <v>1803</v>
      </c>
    </row>
    <row r="94" customFormat="false" ht="219.75" hidden="false" customHeight="true" outlineLevel="0" collapsed="false">
      <c r="A94" s="17" t="s">
        <v>1139</v>
      </c>
      <c r="B94" s="17" t="s">
        <v>1275</v>
      </c>
      <c r="C94" s="17" t="s">
        <v>916</v>
      </c>
      <c r="D94" s="17" t="s">
        <v>2068</v>
      </c>
      <c r="E94" s="21" t="s">
        <v>2161</v>
      </c>
      <c r="F94" s="22" t="s">
        <v>2162</v>
      </c>
      <c r="G94" s="21" t="s">
        <v>2163</v>
      </c>
      <c r="H94" s="21" t="s">
        <v>2164</v>
      </c>
      <c r="I94" s="21" t="s">
        <v>2165</v>
      </c>
      <c r="J94" s="21" t="s">
        <v>2166</v>
      </c>
      <c r="K94" s="22" t="s">
        <v>2137</v>
      </c>
      <c r="L94" s="21" t="s">
        <v>2138</v>
      </c>
      <c r="M94" s="23" t="s">
        <v>2167</v>
      </c>
      <c r="N94" s="23" t="s">
        <v>2168</v>
      </c>
      <c r="O94" s="23" t="s">
        <v>2169</v>
      </c>
      <c r="P94" s="23" t="s">
        <v>1634</v>
      </c>
      <c r="Q94" s="23" t="s">
        <v>2170</v>
      </c>
      <c r="R94" s="23" t="s">
        <v>1803</v>
      </c>
    </row>
    <row r="95" customFormat="false" ht="219.75" hidden="false" customHeight="true" outlineLevel="0" collapsed="false">
      <c r="A95" s="17" t="s">
        <v>1139</v>
      </c>
      <c r="B95" s="17" t="s">
        <v>1317</v>
      </c>
      <c r="C95" s="17" t="s">
        <v>397</v>
      </c>
      <c r="D95" s="17" t="s">
        <v>2068</v>
      </c>
      <c r="E95" s="21" t="s">
        <v>2171</v>
      </c>
      <c r="F95" s="22" t="s">
        <v>2172</v>
      </c>
      <c r="G95" s="22" t="s">
        <v>2173</v>
      </c>
      <c r="H95" s="22" t="s">
        <v>2174</v>
      </c>
      <c r="I95" s="21" t="s">
        <v>2175</v>
      </c>
      <c r="J95" s="21" t="s">
        <v>2176</v>
      </c>
      <c r="K95" s="22" t="s">
        <v>2137</v>
      </c>
      <c r="L95" s="21" t="s">
        <v>2138</v>
      </c>
      <c r="M95" s="23" t="s">
        <v>2177</v>
      </c>
      <c r="N95" s="23" t="s">
        <v>2178</v>
      </c>
      <c r="O95" s="23" t="s">
        <v>2179</v>
      </c>
      <c r="P95" s="23" t="s">
        <v>1634</v>
      </c>
      <c r="Q95" s="23" t="s">
        <v>2180</v>
      </c>
      <c r="R95" s="23" t="s">
        <v>1803</v>
      </c>
    </row>
    <row r="96" customFormat="false" ht="219.75" hidden="false" customHeight="true" outlineLevel="0" collapsed="false">
      <c r="A96" s="17" t="s">
        <v>1139</v>
      </c>
      <c r="B96" s="17" t="s">
        <v>861</v>
      </c>
      <c r="C96" s="17" t="s">
        <v>855</v>
      </c>
      <c r="D96" s="17" t="s">
        <v>2068</v>
      </c>
      <c r="E96" s="21" t="s">
        <v>2181</v>
      </c>
      <c r="F96" s="22" t="s">
        <v>2182</v>
      </c>
      <c r="G96" s="21" t="s">
        <v>2183</v>
      </c>
      <c r="H96" s="21" t="s">
        <v>2184</v>
      </c>
      <c r="I96" s="21" t="s">
        <v>2185</v>
      </c>
      <c r="J96" s="21" t="s">
        <v>2186</v>
      </c>
      <c r="K96" s="22" t="s">
        <v>2137</v>
      </c>
      <c r="L96" s="21" t="s">
        <v>2138</v>
      </c>
      <c r="M96" s="23" t="s">
        <v>2187</v>
      </c>
      <c r="N96" s="23" t="s">
        <v>2188</v>
      </c>
      <c r="O96" s="23" t="s">
        <v>2189</v>
      </c>
      <c r="P96" s="23" t="s">
        <v>1634</v>
      </c>
      <c r="Q96" s="23" t="s">
        <v>1635</v>
      </c>
      <c r="R96" s="23" t="s">
        <v>1803</v>
      </c>
    </row>
    <row r="97" customFormat="false" ht="219.75" hidden="false" customHeight="true" outlineLevel="0" collapsed="false">
      <c r="A97" s="17" t="s">
        <v>1139</v>
      </c>
      <c r="B97" s="17" t="s">
        <v>1160</v>
      </c>
      <c r="C97" s="17" t="s">
        <v>221</v>
      </c>
      <c r="D97" s="17" t="s">
        <v>2068</v>
      </c>
      <c r="E97" s="21" t="s">
        <v>2190</v>
      </c>
      <c r="F97" s="22" t="s">
        <v>2191</v>
      </c>
      <c r="G97" s="21" t="s">
        <v>2192</v>
      </c>
      <c r="H97" s="21" t="s">
        <v>2193</v>
      </c>
      <c r="I97" s="21" t="s">
        <v>2194</v>
      </c>
      <c r="J97" s="21" t="s">
        <v>2195</v>
      </c>
      <c r="K97" s="22" t="s">
        <v>2137</v>
      </c>
      <c r="L97" s="21" t="s">
        <v>2138</v>
      </c>
      <c r="M97" s="23" t="s">
        <v>2196</v>
      </c>
      <c r="N97" s="23" t="s">
        <v>2197</v>
      </c>
      <c r="O97" s="23" t="s">
        <v>2198</v>
      </c>
      <c r="P97" s="23" t="s">
        <v>1634</v>
      </c>
      <c r="Q97" s="24" t="s">
        <v>2199</v>
      </c>
      <c r="R97" s="23" t="s">
        <v>1803</v>
      </c>
    </row>
    <row r="98" customFormat="false" ht="219.75" hidden="false" customHeight="true" outlineLevel="0" collapsed="false">
      <c r="A98" s="17" t="s">
        <v>1139</v>
      </c>
      <c r="B98" s="17" t="s">
        <v>1165</v>
      </c>
      <c r="C98" s="17" t="s">
        <v>389</v>
      </c>
      <c r="D98" s="17" t="s">
        <v>2068</v>
      </c>
      <c r="E98" s="21" t="s">
        <v>2200</v>
      </c>
      <c r="F98" s="22" t="s">
        <v>2201</v>
      </c>
      <c r="G98" s="22" t="s">
        <v>2202</v>
      </c>
      <c r="H98" s="22" t="s">
        <v>2203</v>
      </c>
      <c r="I98" s="21" t="s">
        <v>2204</v>
      </c>
      <c r="J98" s="21" t="s">
        <v>2205</v>
      </c>
      <c r="K98" s="22" t="s">
        <v>2137</v>
      </c>
      <c r="L98" s="21" t="s">
        <v>2138</v>
      </c>
      <c r="M98" s="23" t="s">
        <v>2206</v>
      </c>
      <c r="N98" s="23" t="s">
        <v>2207</v>
      </c>
      <c r="O98" s="23" t="s">
        <v>2208</v>
      </c>
      <c r="P98" s="23" t="s">
        <v>1634</v>
      </c>
      <c r="Q98" s="24" t="s">
        <v>2209</v>
      </c>
      <c r="R98" s="23" t="s">
        <v>1803</v>
      </c>
    </row>
    <row r="99" customFormat="false" ht="219.75" hidden="false" customHeight="true" outlineLevel="0" collapsed="false">
      <c r="A99" s="17" t="s">
        <v>1139</v>
      </c>
      <c r="B99" s="17" t="s">
        <v>348</v>
      </c>
      <c r="C99" s="17" t="s">
        <v>343</v>
      </c>
      <c r="D99" s="17" t="s">
        <v>2068</v>
      </c>
      <c r="E99" s="21" t="s">
        <v>2210</v>
      </c>
      <c r="F99" s="22" t="s">
        <v>2211</v>
      </c>
      <c r="G99" s="21" t="s">
        <v>2212</v>
      </c>
      <c r="H99" s="21" t="s">
        <v>2213</v>
      </c>
      <c r="I99" s="21" t="s">
        <v>2214</v>
      </c>
      <c r="J99" s="21" t="s">
        <v>2215</v>
      </c>
      <c r="K99" s="22" t="s">
        <v>2137</v>
      </c>
      <c r="L99" s="21" t="s">
        <v>2138</v>
      </c>
      <c r="M99" s="23" t="s">
        <v>2216</v>
      </c>
      <c r="N99" s="23" t="s">
        <v>2217</v>
      </c>
      <c r="O99" s="23" t="s">
        <v>2218</v>
      </c>
      <c r="P99" s="23" t="s">
        <v>1634</v>
      </c>
      <c r="Q99" s="23" t="s">
        <v>1635</v>
      </c>
      <c r="R99" s="23" t="s">
        <v>1803</v>
      </c>
    </row>
    <row r="100" customFormat="false" ht="219.75" hidden="false" customHeight="true" outlineLevel="0" collapsed="false">
      <c r="A100" s="17" t="s">
        <v>1139</v>
      </c>
      <c r="B100" s="17" t="s">
        <v>1192</v>
      </c>
      <c r="C100" s="17" t="s">
        <v>424</v>
      </c>
      <c r="D100" s="17" t="s">
        <v>2068</v>
      </c>
      <c r="E100" s="21" t="s">
        <v>2219</v>
      </c>
      <c r="F100" s="22" t="s">
        <v>2220</v>
      </c>
      <c r="G100" s="21" t="s">
        <v>2221</v>
      </c>
      <c r="H100" s="21" t="s">
        <v>2222</v>
      </c>
      <c r="I100" s="21" t="s">
        <v>2223</v>
      </c>
      <c r="J100" s="21" t="s">
        <v>2224</v>
      </c>
      <c r="K100" s="22" t="s">
        <v>2137</v>
      </c>
      <c r="L100" s="21" t="s">
        <v>2138</v>
      </c>
      <c r="M100" s="23" t="s">
        <v>2225</v>
      </c>
      <c r="N100" s="23" t="s">
        <v>2226</v>
      </c>
      <c r="O100" s="23" t="s">
        <v>2227</v>
      </c>
      <c r="P100" s="23" t="s">
        <v>1634</v>
      </c>
      <c r="Q100" s="23" t="s">
        <v>2228</v>
      </c>
      <c r="R100" s="23" t="s">
        <v>1803</v>
      </c>
    </row>
    <row r="101" customFormat="false" ht="219.75" hidden="false" customHeight="true" outlineLevel="0" collapsed="false">
      <c r="A101" s="17" t="s">
        <v>1139</v>
      </c>
      <c r="B101" s="17" t="s">
        <v>1298</v>
      </c>
      <c r="C101" s="17" t="s">
        <v>1034</v>
      </c>
      <c r="D101" s="17" t="s">
        <v>2068</v>
      </c>
      <c r="E101" s="21" t="s">
        <v>1882</v>
      </c>
      <c r="F101" s="22" t="s">
        <v>2229</v>
      </c>
      <c r="G101" s="21" t="s">
        <v>2230</v>
      </c>
      <c r="H101" s="21" t="s">
        <v>2231</v>
      </c>
      <c r="I101" s="21" t="s">
        <v>2232</v>
      </c>
      <c r="J101" s="21" t="s">
        <v>2233</v>
      </c>
      <c r="K101" s="22" t="s">
        <v>2137</v>
      </c>
      <c r="L101" s="21" t="s">
        <v>2138</v>
      </c>
      <c r="M101" s="23" t="s">
        <v>2234</v>
      </c>
      <c r="N101" s="23" t="s">
        <v>2235</v>
      </c>
      <c r="O101" s="23" t="s">
        <v>2236</v>
      </c>
      <c r="P101" s="23" t="s">
        <v>1634</v>
      </c>
      <c r="Q101" s="23" t="s">
        <v>1635</v>
      </c>
      <c r="R101" s="23" t="s">
        <v>1803</v>
      </c>
    </row>
    <row r="102" customFormat="false" ht="219.75" hidden="false" customHeight="true" outlineLevel="0" collapsed="false">
      <c r="A102" s="17" t="s">
        <v>1139</v>
      </c>
      <c r="B102" s="17" t="s">
        <v>1304</v>
      </c>
      <c r="C102" s="17" t="s">
        <v>601</v>
      </c>
      <c r="D102" s="17" t="s">
        <v>2068</v>
      </c>
      <c r="E102" s="21" t="s">
        <v>2237</v>
      </c>
      <c r="F102" s="22" t="s">
        <v>2238</v>
      </c>
      <c r="G102" s="21" t="s">
        <v>2239</v>
      </c>
      <c r="H102" s="21" t="s">
        <v>2240</v>
      </c>
      <c r="I102" s="21" t="s">
        <v>2241</v>
      </c>
      <c r="J102" s="21" t="s">
        <v>2242</v>
      </c>
      <c r="K102" s="22" t="s">
        <v>2137</v>
      </c>
      <c r="L102" s="21" t="s">
        <v>2138</v>
      </c>
      <c r="M102" s="23" t="s">
        <v>2243</v>
      </c>
      <c r="N102" s="23" t="s">
        <v>2244</v>
      </c>
      <c r="O102" s="23" t="s">
        <v>2245</v>
      </c>
      <c r="P102" s="23" t="s">
        <v>1999</v>
      </c>
      <c r="Q102" s="23" t="s">
        <v>2246</v>
      </c>
      <c r="R102" s="23" t="s">
        <v>1803</v>
      </c>
    </row>
    <row r="103" customFormat="false" ht="219.75" hidden="false" customHeight="true" outlineLevel="0" collapsed="false">
      <c r="A103" s="17" t="s">
        <v>1139</v>
      </c>
      <c r="B103" s="17" t="s">
        <v>1311</v>
      </c>
      <c r="C103" s="17" t="s">
        <v>880</v>
      </c>
      <c r="D103" s="17" t="s">
        <v>2068</v>
      </c>
      <c r="E103" s="21" t="s">
        <v>2247</v>
      </c>
      <c r="F103" s="22" t="s">
        <v>2248</v>
      </c>
      <c r="G103" s="21" t="s">
        <v>2249</v>
      </c>
      <c r="H103" s="21" t="s">
        <v>2250</v>
      </c>
      <c r="I103" s="21" t="s">
        <v>2251</v>
      </c>
      <c r="J103" s="21" t="s">
        <v>2252</v>
      </c>
      <c r="K103" s="22" t="s">
        <v>2137</v>
      </c>
      <c r="L103" s="21" t="s">
        <v>2138</v>
      </c>
      <c r="M103" s="23" t="s">
        <v>2253</v>
      </c>
      <c r="N103" s="23" t="s">
        <v>2254</v>
      </c>
      <c r="O103" s="23" t="s">
        <v>2255</v>
      </c>
      <c r="P103" s="23" t="s">
        <v>1634</v>
      </c>
      <c r="Q103" s="24" t="s">
        <v>2256</v>
      </c>
      <c r="R103" s="23" t="s">
        <v>1803</v>
      </c>
    </row>
    <row r="104" customFormat="false" ht="219.75" hidden="false" customHeight="true" outlineLevel="0" collapsed="false">
      <c r="A104" s="17" t="s">
        <v>1139</v>
      </c>
      <c r="B104" s="17" t="s">
        <v>1323</v>
      </c>
      <c r="C104" s="17" t="s">
        <v>932</v>
      </c>
      <c r="D104" s="17" t="s">
        <v>2068</v>
      </c>
      <c r="E104" s="21" t="s">
        <v>2257</v>
      </c>
      <c r="F104" s="22" t="s">
        <v>2258</v>
      </c>
      <c r="G104" s="22" t="s">
        <v>2259</v>
      </c>
      <c r="H104" s="22" t="s">
        <v>2260</v>
      </c>
      <c r="I104" s="21" t="s">
        <v>2261</v>
      </c>
      <c r="J104" s="21" t="s">
        <v>2262</v>
      </c>
      <c r="K104" s="22" t="s">
        <v>2137</v>
      </c>
      <c r="L104" s="21" t="s">
        <v>2138</v>
      </c>
      <c r="M104" s="23" t="s">
        <v>2263</v>
      </c>
      <c r="N104" s="23" t="s">
        <v>2264</v>
      </c>
      <c r="O104" s="23" t="s">
        <v>2265</v>
      </c>
      <c r="P104" s="23" t="s">
        <v>1634</v>
      </c>
      <c r="Q104" s="23" t="s">
        <v>2266</v>
      </c>
      <c r="R104" s="23" t="s">
        <v>1803</v>
      </c>
    </row>
    <row r="105" customFormat="false" ht="219.75" hidden="false" customHeight="true" outlineLevel="0" collapsed="false">
      <c r="A105" s="17" t="s">
        <v>1139</v>
      </c>
      <c r="B105" s="17" t="s">
        <v>1329</v>
      </c>
      <c r="C105" s="17" t="s">
        <v>2267</v>
      </c>
      <c r="D105" s="17" t="s">
        <v>2068</v>
      </c>
      <c r="E105" s="21" t="s">
        <v>2268</v>
      </c>
      <c r="F105" s="22" t="s">
        <v>2269</v>
      </c>
      <c r="G105" s="21" t="s">
        <v>2270</v>
      </c>
      <c r="H105" s="22" t="s">
        <v>2271</v>
      </c>
      <c r="I105" s="21" t="s">
        <v>2272</v>
      </c>
      <c r="J105" s="21" t="s">
        <v>2273</v>
      </c>
      <c r="K105" s="22" t="s">
        <v>2137</v>
      </c>
      <c r="L105" s="21" t="s">
        <v>2138</v>
      </c>
      <c r="M105" s="23" t="s">
        <v>2274</v>
      </c>
      <c r="N105" s="23" t="s">
        <v>2275</v>
      </c>
      <c r="O105" s="23" t="s">
        <v>2276</v>
      </c>
      <c r="P105" s="23" t="s">
        <v>1634</v>
      </c>
      <c r="Q105" s="23" t="s">
        <v>1635</v>
      </c>
      <c r="R105" s="23" t="s">
        <v>1803</v>
      </c>
    </row>
    <row r="106" customFormat="false" ht="219.75" hidden="false" customHeight="true" outlineLevel="0" collapsed="false">
      <c r="A106" s="17" t="s">
        <v>1139</v>
      </c>
      <c r="B106" s="17" t="s">
        <v>1094</v>
      </c>
      <c r="C106" s="17" t="s">
        <v>2277</v>
      </c>
      <c r="D106" s="17" t="s">
        <v>2068</v>
      </c>
      <c r="E106" s="21" t="s">
        <v>2278</v>
      </c>
      <c r="F106" s="22" t="s">
        <v>2279</v>
      </c>
      <c r="G106" s="22" t="s">
        <v>2280</v>
      </c>
      <c r="H106" s="22" t="s">
        <v>2281</v>
      </c>
      <c r="I106" s="22" t="s">
        <v>2282</v>
      </c>
      <c r="J106" s="21" t="s">
        <v>2283</v>
      </c>
      <c r="K106" s="22" t="s">
        <v>2137</v>
      </c>
      <c r="L106" s="21" t="s">
        <v>2138</v>
      </c>
      <c r="M106" s="23" t="s">
        <v>2284</v>
      </c>
      <c r="N106" s="23" t="s">
        <v>2285</v>
      </c>
      <c r="O106" s="23" t="s">
        <v>2286</v>
      </c>
      <c r="P106" s="23" t="s">
        <v>1634</v>
      </c>
      <c r="Q106" s="23" t="s">
        <v>1635</v>
      </c>
      <c r="R106" s="23" t="s">
        <v>1803</v>
      </c>
    </row>
    <row r="107" customFormat="false" ht="219.75" hidden="false" customHeight="true" outlineLevel="0" collapsed="false">
      <c r="A107" s="17" t="s">
        <v>1139</v>
      </c>
      <c r="B107" s="17" t="s">
        <v>1340</v>
      </c>
      <c r="C107" s="17" t="s">
        <v>880</v>
      </c>
      <c r="D107" s="17" t="s">
        <v>2068</v>
      </c>
      <c r="E107" s="21" t="s">
        <v>2287</v>
      </c>
      <c r="F107" s="21" t="s">
        <v>2288</v>
      </c>
      <c r="G107" s="21" t="s">
        <v>2289</v>
      </c>
      <c r="H107" s="21" t="s">
        <v>2290</v>
      </c>
      <c r="I107" s="21" t="s">
        <v>2291</v>
      </c>
      <c r="J107" s="21" t="s">
        <v>2292</v>
      </c>
      <c r="K107" s="22" t="s">
        <v>2137</v>
      </c>
      <c r="L107" s="21" t="s">
        <v>2138</v>
      </c>
      <c r="M107" s="23" t="s">
        <v>2293</v>
      </c>
      <c r="N107" s="23" t="s">
        <v>2294</v>
      </c>
      <c r="O107" s="24" t="s">
        <v>2295</v>
      </c>
      <c r="P107" s="23" t="s">
        <v>1634</v>
      </c>
      <c r="Q107" s="23" t="s">
        <v>2296</v>
      </c>
      <c r="R107" s="23" t="s">
        <v>1803</v>
      </c>
    </row>
    <row r="108" customFormat="false" ht="219.75" hidden="false" customHeight="true" outlineLevel="0" collapsed="false">
      <c r="A108" s="17" t="s">
        <v>1139</v>
      </c>
      <c r="B108" s="17" t="s">
        <v>1346</v>
      </c>
      <c r="C108" s="17" t="s">
        <v>414</v>
      </c>
      <c r="D108" s="17" t="s">
        <v>2068</v>
      </c>
      <c r="E108" s="21" t="s">
        <v>2297</v>
      </c>
      <c r="F108" s="22" t="s">
        <v>2298</v>
      </c>
      <c r="G108" s="22" t="s">
        <v>2299</v>
      </c>
      <c r="H108" s="22" t="s">
        <v>2300</v>
      </c>
      <c r="I108" s="21" t="s">
        <v>2301</v>
      </c>
      <c r="J108" s="21" t="s">
        <v>2302</v>
      </c>
      <c r="K108" s="22" t="s">
        <v>2137</v>
      </c>
      <c r="L108" s="21" t="s">
        <v>2138</v>
      </c>
      <c r="M108" s="23" t="s">
        <v>2303</v>
      </c>
      <c r="N108" s="23" t="s">
        <v>2304</v>
      </c>
      <c r="O108" s="23" t="s">
        <v>2305</v>
      </c>
      <c r="P108" s="23" t="s">
        <v>1634</v>
      </c>
      <c r="Q108" s="24" t="s">
        <v>2306</v>
      </c>
      <c r="R108" s="23" t="s">
        <v>1803</v>
      </c>
    </row>
    <row r="109" customFormat="false" ht="219.75" hidden="false" customHeight="true" outlineLevel="0" collapsed="false">
      <c r="A109" s="17" t="s">
        <v>1139</v>
      </c>
      <c r="B109" s="17" t="s">
        <v>1352</v>
      </c>
      <c r="C109" s="17" t="s">
        <v>397</v>
      </c>
      <c r="D109" s="17" t="s">
        <v>2068</v>
      </c>
      <c r="E109" s="21" t="s">
        <v>2307</v>
      </c>
      <c r="F109" s="22" t="s">
        <v>2308</v>
      </c>
      <c r="G109" s="22" t="s">
        <v>2309</v>
      </c>
      <c r="H109" s="21" t="s">
        <v>2310</v>
      </c>
      <c r="I109" s="21" t="s">
        <v>2311</v>
      </c>
      <c r="J109" s="21" t="s">
        <v>2312</v>
      </c>
      <c r="K109" s="22" t="s">
        <v>2137</v>
      </c>
      <c r="L109" s="21" t="s">
        <v>2138</v>
      </c>
      <c r="M109" s="23" t="s">
        <v>2313</v>
      </c>
      <c r="N109" s="23" t="s">
        <v>2314</v>
      </c>
      <c r="O109" s="23" t="s">
        <v>2315</v>
      </c>
      <c r="P109" s="23" t="s">
        <v>1634</v>
      </c>
      <c r="Q109" s="23" t="s">
        <v>1635</v>
      </c>
      <c r="R109" s="23" t="s">
        <v>1803</v>
      </c>
    </row>
    <row r="110" customFormat="false" ht="15" hidden="false" customHeight="true" outlineLevel="0" collapsed="false">
      <c r="A110" s="17" t="s">
        <v>1139</v>
      </c>
      <c r="B110" s="17" t="s">
        <v>1358</v>
      </c>
      <c r="C110" s="17" t="s">
        <v>1019</v>
      </c>
      <c r="D110" s="17" t="s">
        <v>2068</v>
      </c>
      <c r="E110" s="21" t="s">
        <v>2091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2316</v>
      </c>
      <c r="N110" s="23" t="s">
        <v>2317</v>
      </c>
      <c r="O110" s="23" t="s">
        <v>2318</v>
      </c>
      <c r="P110" s="24" t="s">
        <v>39</v>
      </c>
      <c r="Q110" s="23" t="s">
        <v>2319</v>
      </c>
      <c r="R110" s="23" t="s">
        <v>1803</v>
      </c>
    </row>
    <row r="111" customFormat="false" ht="15" hidden="false" customHeight="true" outlineLevel="0" collapsed="false">
      <c r="A111" s="17" t="s">
        <v>1139</v>
      </c>
      <c r="B111" s="17" t="s">
        <v>1364</v>
      </c>
      <c r="C111" s="17" t="s">
        <v>1096</v>
      </c>
      <c r="D111" s="17" t="s">
        <v>2068</v>
      </c>
      <c r="E111" s="21" t="s">
        <v>2091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2320</v>
      </c>
      <c r="N111" s="23" t="s">
        <v>2321</v>
      </c>
      <c r="O111" s="24" t="s">
        <v>2322</v>
      </c>
      <c r="P111" s="24" t="s">
        <v>39</v>
      </c>
      <c r="Q111" s="23" t="s">
        <v>2323</v>
      </c>
      <c r="R111" s="23" t="s">
        <v>1803</v>
      </c>
    </row>
    <row r="112" customFormat="false" ht="15" hidden="false" customHeight="true" outlineLevel="0" collapsed="false">
      <c r="A112" s="17" t="s">
        <v>1139</v>
      </c>
      <c r="B112" s="17" t="s">
        <v>1370</v>
      </c>
      <c r="C112" s="17" t="s">
        <v>924</v>
      </c>
      <c r="D112" s="17" t="s">
        <v>2068</v>
      </c>
      <c r="E112" s="21" t="s">
        <v>2091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2324</v>
      </c>
      <c r="N112" s="23" t="s">
        <v>2325</v>
      </c>
      <c r="O112" s="24" t="s">
        <v>2326</v>
      </c>
      <c r="P112" s="24" t="s">
        <v>39</v>
      </c>
      <c r="Q112" s="23" t="s">
        <v>2327</v>
      </c>
      <c r="R112" s="23" t="s">
        <v>1803</v>
      </c>
    </row>
    <row r="113" customFormat="false" ht="15" hidden="false" customHeight="true" outlineLevel="0" collapsed="false">
      <c r="A113" s="17" t="s">
        <v>1139</v>
      </c>
      <c r="B113" s="17" t="s">
        <v>1376</v>
      </c>
      <c r="C113" s="17" t="s">
        <v>601</v>
      </c>
      <c r="D113" s="17" t="s">
        <v>2068</v>
      </c>
      <c r="E113" s="21" t="s">
        <v>2091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2328</v>
      </c>
      <c r="N113" s="23" t="s">
        <v>2329</v>
      </c>
      <c r="O113" s="24" t="s">
        <v>2330</v>
      </c>
      <c r="P113" s="24" t="s">
        <v>39</v>
      </c>
      <c r="Q113" s="23" t="s">
        <v>2331</v>
      </c>
      <c r="R113" s="23" t="s">
        <v>1803</v>
      </c>
    </row>
    <row r="114" customFormat="false" ht="15" hidden="false" customHeight="true" outlineLevel="0" collapsed="false">
      <c r="A114" s="17" t="s">
        <v>1139</v>
      </c>
      <c r="B114" s="17" t="s">
        <v>1382</v>
      </c>
      <c r="C114" s="17" t="s">
        <v>924</v>
      </c>
      <c r="D114" s="17" t="s">
        <v>2068</v>
      </c>
      <c r="E114" s="21" t="s">
        <v>2091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2332</v>
      </c>
      <c r="N114" s="23" t="s">
        <v>2333</v>
      </c>
      <c r="O114" s="23" t="s">
        <v>2334</v>
      </c>
      <c r="P114" s="24" t="s">
        <v>39</v>
      </c>
      <c r="Q114" s="23" t="s">
        <v>2335</v>
      </c>
      <c r="R114" s="23" t="s">
        <v>1803</v>
      </c>
    </row>
    <row r="115" customFormat="false" ht="15" hidden="false" customHeight="true" outlineLevel="0" collapsed="false">
      <c r="A115" s="17" t="s">
        <v>1139</v>
      </c>
      <c r="B115" s="17" t="s">
        <v>1387</v>
      </c>
      <c r="C115" s="17" t="s">
        <v>880</v>
      </c>
      <c r="D115" s="17" t="s">
        <v>2068</v>
      </c>
      <c r="E115" s="21" t="s">
        <v>2091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2336</v>
      </c>
      <c r="N115" s="23" t="s">
        <v>2337</v>
      </c>
      <c r="O115" s="24" t="s">
        <v>2338</v>
      </c>
      <c r="P115" s="23" t="s">
        <v>1649</v>
      </c>
      <c r="Q115" s="23" t="s">
        <v>2339</v>
      </c>
      <c r="R115" s="23" t="s">
        <v>1803</v>
      </c>
    </row>
    <row r="116" customFormat="false" ht="15" hidden="false" customHeight="true" outlineLevel="0" collapsed="false">
      <c r="A116" s="17" t="s">
        <v>1139</v>
      </c>
      <c r="B116" s="17" t="s">
        <v>1392</v>
      </c>
      <c r="C116" s="17" t="s">
        <v>389</v>
      </c>
      <c r="D116" s="17" t="s">
        <v>2068</v>
      </c>
      <c r="E116" s="21" t="s">
        <v>2091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2340</v>
      </c>
      <c r="N116" s="23" t="s">
        <v>2341</v>
      </c>
      <c r="O116" s="24" t="s">
        <v>2342</v>
      </c>
      <c r="P116" s="23" t="s">
        <v>1649</v>
      </c>
      <c r="Q116" s="23" t="s">
        <v>2343</v>
      </c>
      <c r="R116" s="23" t="s">
        <v>1803</v>
      </c>
    </row>
    <row r="117" customFormat="false" ht="15" hidden="false" customHeight="true" outlineLevel="0" collapsed="false">
      <c r="A117" s="17" t="s">
        <v>1139</v>
      </c>
      <c r="B117" s="17" t="s">
        <v>1398</v>
      </c>
      <c r="C117" s="17" t="s">
        <v>397</v>
      </c>
      <c r="D117" s="17" t="s">
        <v>2068</v>
      </c>
      <c r="E117" s="21" t="s">
        <v>2091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2344</v>
      </c>
      <c r="N117" s="23" t="s">
        <v>2345</v>
      </c>
      <c r="O117" s="24" t="s">
        <v>136</v>
      </c>
      <c r="P117" s="23" t="s">
        <v>1649</v>
      </c>
      <c r="Q117" s="23" t="s">
        <v>2346</v>
      </c>
      <c r="R117" s="23" t="s">
        <v>1803</v>
      </c>
    </row>
    <row r="118" customFormat="false" ht="15" hidden="false" customHeight="true" outlineLevel="0" collapsed="false">
      <c r="A118" s="17" t="s">
        <v>1139</v>
      </c>
      <c r="B118" s="17" t="s">
        <v>1404</v>
      </c>
      <c r="C118" s="17" t="s">
        <v>916</v>
      </c>
      <c r="D118" s="17" t="s">
        <v>2068</v>
      </c>
      <c r="E118" s="21" t="s">
        <v>2091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2347</v>
      </c>
      <c r="N118" s="23" t="s">
        <v>2345</v>
      </c>
      <c r="O118" s="24" t="s">
        <v>136</v>
      </c>
      <c r="P118" s="23" t="s">
        <v>1649</v>
      </c>
      <c r="Q118" s="23" t="s">
        <v>2348</v>
      </c>
      <c r="R118" s="23" t="s">
        <v>1803</v>
      </c>
    </row>
    <row r="119" customFormat="false" ht="15" hidden="false" customHeight="true" outlineLevel="0" collapsed="false">
      <c r="A119" s="17" t="s">
        <v>1139</v>
      </c>
      <c r="B119" s="17" t="s">
        <v>1410</v>
      </c>
      <c r="C119" s="17" t="s">
        <v>924</v>
      </c>
      <c r="D119" s="17" t="s">
        <v>2068</v>
      </c>
      <c r="E119" s="21" t="s">
        <v>2091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2349</v>
      </c>
      <c r="N119" s="23" t="s">
        <v>2350</v>
      </c>
      <c r="O119" s="24" t="s">
        <v>2351</v>
      </c>
      <c r="P119" s="24" t="s">
        <v>39</v>
      </c>
      <c r="Q119" s="23" t="s">
        <v>2352</v>
      </c>
      <c r="R119" s="23" t="s">
        <v>1803</v>
      </c>
    </row>
    <row r="120" customFormat="false" ht="15" hidden="false" customHeight="true" outlineLevel="0" collapsed="false">
      <c r="A120" s="17" t="s">
        <v>1139</v>
      </c>
      <c r="B120" s="17" t="s">
        <v>1415</v>
      </c>
      <c r="C120" s="17" t="s">
        <v>924</v>
      </c>
      <c r="D120" s="17" t="s">
        <v>2068</v>
      </c>
      <c r="E120" s="21" t="s">
        <v>2091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2353</v>
      </c>
      <c r="N120" s="23" t="s">
        <v>2345</v>
      </c>
      <c r="O120" s="24" t="s">
        <v>136</v>
      </c>
      <c r="P120" s="23" t="s">
        <v>1649</v>
      </c>
      <c r="Q120" s="23" t="s">
        <v>2354</v>
      </c>
      <c r="R120" s="23" t="s">
        <v>1803</v>
      </c>
    </row>
    <row r="121" customFormat="false" ht="15" hidden="false" customHeight="true" outlineLevel="0" collapsed="false">
      <c r="A121" s="17" t="s">
        <v>1139</v>
      </c>
      <c r="B121" s="17" t="s">
        <v>1420</v>
      </c>
      <c r="C121" s="17" t="s">
        <v>601</v>
      </c>
      <c r="D121" s="17" t="s">
        <v>2068</v>
      </c>
      <c r="E121" s="21" t="s">
        <v>2091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2347</v>
      </c>
      <c r="N121" s="23" t="s">
        <v>2345</v>
      </c>
      <c r="O121" s="24" t="s">
        <v>136</v>
      </c>
      <c r="P121" s="23" t="s">
        <v>1649</v>
      </c>
      <c r="Q121" s="23" t="s">
        <v>2355</v>
      </c>
      <c r="R121" s="23" t="s">
        <v>1803</v>
      </c>
    </row>
    <row r="122" customFormat="false" ht="15" hidden="false" customHeight="true" outlineLevel="0" collapsed="false">
      <c r="A122" s="17" t="s">
        <v>1139</v>
      </c>
      <c r="B122" s="17" t="s">
        <v>1425</v>
      </c>
      <c r="C122" s="17" t="s">
        <v>424</v>
      </c>
      <c r="D122" s="17" t="s">
        <v>2068</v>
      </c>
      <c r="E122" s="21" t="s">
        <v>2091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2353</v>
      </c>
      <c r="N122" s="23" t="s">
        <v>2356</v>
      </c>
      <c r="O122" s="24" t="s">
        <v>136</v>
      </c>
      <c r="P122" s="23" t="s">
        <v>1649</v>
      </c>
      <c r="Q122" s="23" t="s">
        <v>2357</v>
      </c>
      <c r="R122" s="23" t="s">
        <v>1803</v>
      </c>
    </row>
    <row r="123" customFormat="false" ht="219.75" hidden="false" customHeight="true" outlineLevel="0" collapsed="false">
      <c r="A123" s="17" t="s">
        <v>1309</v>
      </c>
      <c r="B123" s="17" t="s">
        <v>1304</v>
      </c>
      <c r="C123" s="17" t="s">
        <v>601</v>
      </c>
      <c r="D123" s="17" t="s">
        <v>2358</v>
      </c>
      <c r="E123" s="21" t="s">
        <v>2359</v>
      </c>
      <c r="F123" s="22" t="s">
        <v>2360</v>
      </c>
      <c r="G123" s="22" t="s">
        <v>2361</v>
      </c>
      <c r="H123" s="22" t="s">
        <v>2362</v>
      </c>
      <c r="I123" s="22" t="s">
        <v>2363</v>
      </c>
      <c r="J123" s="21" t="s">
        <v>2364</v>
      </c>
      <c r="K123" s="22" t="s">
        <v>2365</v>
      </c>
      <c r="L123" s="21" t="s">
        <v>2366</v>
      </c>
      <c r="M123" s="23" t="s">
        <v>2367</v>
      </c>
      <c r="N123" s="23" t="s">
        <v>2368</v>
      </c>
      <c r="O123" s="23" t="s">
        <v>2369</v>
      </c>
      <c r="P123" s="23" t="s">
        <v>1634</v>
      </c>
      <c r="Q123" s="24" t="s">
        <v>2370</v>
      </c>
      <c r="R123" s="23" t="s">
        <v>2371</v>
      </c>
    </row>
    <row r="124" customFormat="false" ht="219.75" hidden="false" customHeight="true" outlineLevel="0" collapsed="false">
      <c r="A124" s="17" t="s">
        <v>1309</v>
      </c>
      <c r="B124" s="17" t="s">
        <v>1358</v>
      </c>
      <c r="C124" s="17" t="s">
        <v>1019</v>
      </c>
      <c r="D124" s="17" t="s">
        <v>2358</v>
      </c>
      <c r="E124" s="21" t="s">
        <v>2372</v>
      </c>
      <c r="F124" s="22" t="s">
        <v>2373</v>
      </c>
      <c r="G124" s="21" t="s">
        <v>2374</v>
      </c>
      <c r="H124" s="22" t="s">
        <v>2375</v>
      </c>
      <c r="I124" s="21" t="s">
        <v>2376</v>
      </c>
      <c r="J124" s="21" t="s">
        <v>2377</v>
      </c>
      <c r="K124" s="22" t="s">
        <v>2365</v>
      </c>
      <c r="L124" s="21" t="s">
        <v>2366</v>
      </c>
      <c r="M124" s="23" t="s">
        <v>2378</v>
      </c>
      <c r="N124" s="23" t="s">
        <v>2379</v>
      </c>
      <c r="O124" s="23" t="s">
        <v>2380</v>
      </c>
      <c r="P124" s="23" t="s">
        <v>1634</v>
      </c>
      <c r="Q124" s="23" t="s">
        <v>2381</v>
      </c>
      <c r="R124" s="23" t="s">
        <v>2371</v>
      </c>
    </row>
    <row r="125" customFormat="false" ht="219.75" hidden="false" customHeight="true" outlineLevel="0" collapsed="false">
      <c r="A125" s="17" t="s">
        <v>1309</v>
      </c>
      <c r="B125" s="17" t="s">
        <v>1404</v>
      </c>
      <c r="C125" s="17" t="s">
        <v>916</v>
      </c>
      <c r="D125" s="17" t="s">
        <v>2358</v>
      </c>
      <c r="E125" s="21" t="s">
        <v>2382</v>
      </c>
      <c r="F125" s="22" t="s">
        <v>2383</v>
      </c>
      <c r="G125" s="21" t="s">
        <v>2384</v>
      </c>
      <c r="H125" s="21" t="s">
        <v>2385</v>
      </c>
      <c r="I125" s="21" t="s">
        <v>2386</v>
      </c>
      <c r="J125" s="21" t="s">
        <v>2387</v>
      </c>
      <c r="K125" s="22" t="s">
        <v>2365</v>
      </c>
      <c r="L125" s="21" t="s">
        <v>2366</v>
      </c>
      <c r="M125" s="23" t="s">
        <v>2388</v>
      </c>
      <c r="N125" s="23" t="s">
        <v>2389</v>
      </c>
      <c r="O125" s="23" t="s">
        <v>2390</v>
      </c>
      <c r="P125" s="23" t="s">
        <v>1634</v>
      </c>
      <c r="Q125" s="23" t="s">
        <v>2391</v>
      </c>
      <c r="R125" s="23" t="s">
        <v>2371</v>
      </c>
    </row>
    <row r="126" customFormat="false" ht="219.75" hidden="false" customHeight="true" outlineLevel="0" collapsed="false">
      <c r="A126" s="17" t="s">
        <v>1309</v>
      </c>
      <c r="B126" s="17" t="s">
        <v>1364</v>
      </c>
      <c r="C126" s="17" t="s">
        <v>2392</v>
      </c>
      <c r="D126" s="17" t="s">
        <v>2358</v>
      </c>
      <c r="E126" s="21" t="s">
        <v>2393</v>
      </c>
      <c r="F126" s="22" t="s">
        <v>2394</v>
      </c>
      <c r="G126" s="22" t="s">
        <v>2395</v>
      </c>
      <c r="H126" s="21" t="s">
        <v>2396</v>
      </c>
      <c r="I126" s="22" t="s">
        <v>2397</v>
      </c>
      <c r="J126" s="21" t="s">
        <v>2398</v>
      </c>
      <c r="K126" s="22" t="s">
        <v>2365</v>
      </c>
      <c r="L126" s="21" t="s">
        <v>2366</v>
      </c>
      <c r="M126" s="23" t="s">
        <v>2399</v>
      </c>
      <c r="N126" s="23" t="s">
        <v>2400</v>
      </c>
      <c r="O126" s="24" t="s">
        <v>2401</v>
      </c>
      <c r="P126" s="23" t="s">
        <v>1634</v>
      </c>
      <c r="Q126" s="23" t="s">
        <v>1635</v>
      </c>
      <c r="R126" s="23" t="s">
        <v>2371</v>
      </c>
    </row>
    <row r="127" customFormat="false" ht="219.75" hidden="false" customHeight="true" outlineLevel="0" collapsed="false">
      <c r="A127" s="17" t="s">
        <v>1309</v>
      </c>
      <c r="B127" s="17" t="s">
        <v>1370</v>
      </c>
      <c r="C127" s="17" t="s">
        <v>924</v>
      </c>
      <c r="D127" s="17" t="s">
        <v>2358</v>
      </c>
      <c r="E127" s="21" t="s">
        <v>2402</v>
      </c>
      <c r="F127" s="22" t="s">
        <v>2403</v>
      </c>
      <c r="G127" s="21" t="s">
        <v>2404</v>
      </c>
      <c r="H127" s="22" t="s">
        <v>2405</v>
      </c>
      <c r="I127" s="22" t="s">
        <v>2406</v>
      </c>
      <c r="J127" s="21" t="s">
        <v>2407</v>
      </c>
      <c r="K127" s="22" t="s">
        <v>2365</v>
      </c>
      <c r="L127" s="21" t="s">
        <v>2366</v>
      </c>
      <c r="M127" s="23" t="s">
        <v>2408</v>
      </c>
      <c r="N127" s="23" t="s">
        <v>2409</v>
      </c>
      <c r="O127" s="24" t="s">
        <v>2410</v>
      </c>
      <c r="P127" s="23" t="s">
        <v>1634</v>
      </c>
      <c r="Q127" s="23" t="s">
        <v>2411</v>
      </c>
      <c r="R127" s="23" t="s">
        <v>2371</v>
      </c>
    </row>
    <row r="128" customFormat="false" ht="219.75" hidden="false" customHeight="true" outlineLevel="0" collapsed="false">
      <c r="A128" s="17" t="s">
        <v>1309</v>
      </c>
      <c r="B128" s="17" t="s">
        <v>1376</v>
      </c>
      <c r="C128" s="17" t="s">
        <v>601</v>
      </c>
      <c r="D128" s="17" t="s">
        <v>2358</v>
      </c>
      <c r="E128" s="21" t="s">
        <v>2412</v>
      </c>
      <c r="F128" s="22" t="s">
        <v>2413</v>
      </c>
      <c r="G128" s="21" t="s">
        <v>2414</v>
      </c>
      <c r="H128" s="21" t="s">
        <v>2415</v>
      </c>
      <c r="I128" s="21" t="s">
        <v>2416</v>
      </c>
      <c r="J128" s="21" t="s">
        <v>2417</v>
      </c>
      <c r="K128" s="22" t="s">
        <v>2365</v>
      </c>
      <c r="L128" s="21" t="s">
        <v>2366</v>
      </c>
      <c r="M128" s="23" t="s">
        <v>2418</v>
      </c>
      <c r="N128" s="23" t="s">
        <v>2419</v>
      </c>
      <c r="O128" s="23" t="s">
        <v>2420</v>
      </c>
      <c r="P128" s="23" t="s">
        <v>1634</v>
      </c>
      <c r="Q128" s="23" t="s">
        <v>1635</v>
      </c>
      <c r="R128" s="23" t="s">
        <v>2371</v>
      </c>
    </row>
    <row r="129" customFormat="false" ht="219.75" hidden="false" customHeight="true" outlineLevel="0" collapsed="false">
      <c r="A129" s="17" t="s">
        <v>1309</v>
      </c>
      <c r="B129" s="17" t="s">
        <v>1382</v>
      </c>
      <c r="C129" s="17" t="s">
        <v>924</v>
      </c>
      <c r="D129" s="17" t="s">
        <v>2358</v>
      </c>
      <c r="E129" s="21" t="s">
        <v>2421</v>
      </c>
      <c r="F129" s="22" t="s">
        <v>2422</v>
      </c>
      <c r="G129" s="21" t="s">
        <v>2423</v>
      </c>
      <c r="H129" s="21" t="s">
        <v>2424</v>
      </c>
      <c r="I129" s="22" t="s">
        <v>2425</v>
      </c>
      <c r="J129" s="21" t="s">
        <v>2426</v>
      </c>
      <c r="K129" s="22" t="s">
        <v>2365</v>
      </c>
      <c r="L129" s="21" t="s">
        <v>2366</v>
      </c>
      <c r="M129" s="23" t="s">
        <v>2427</v>
      </c>
      <c r="N129" s="23" t="s">
        <v>2428</v>
      </c>
      <c r="O129" s="24" t="s">
        <v>2429</v>
      </c>
      <c r="P129" s="23" t="s">
        <v>1634</v>
      </c>
      <c r="Q129" s="23" t="s">
        <v>2430</v>
      </c>
      <c r="R129" s="23" t="s">
        <v>2371</v>
      </c>
    </row>
    <row r="130" customFormat="false" ht="219.75" hidden="false" customHeight="true" outlineLevel="0" collapsed="false">
      <c r="A130" s="17" t="s">
        <v>1309</v>
      </c>
      <c r="B130" s="17" t="s">
        <v>1387</v>
      </c>
      <c r="C130" s="17" t="s">
        <v>880</v>
      </c>
      <c r="D130" s="17" t="s">
        <v>2358</v>
      </c>
      <c r="E130" s="21" t="s">
        <v>2431</v>
      </c>
      <c r="F130" s="22" t="s">
        <v>2432</v>
      </c>
      <c r="G130" s="21" t="s">
        <v>2433</v>
      </c>
      <c r="H130" s="21" t="s">
        <v>2434</v>
      </c>
      <c r="I130" s="22" t="s">
        <v>2435</v>
      </c>
      <c r="J130" s="21" t="s">
        <v>2436</v>
      </c>
      <c r="K130" s="22" t="s">
        <v>2365</v>
      </c>
      <c r="L130" s="21" t="s">
        <v>2366</v>
      </c>
      <c r="M130" s="23" t="s">
        <v>2437</v>
      </c>
      <c r="N130" s="23" t="s">
        <v>2438</v>
      </c>
      <c r="O130" s="24" t="s">
        <v>2439</v>
      </c>
      <c r="P130" s="23" t="s">
        <v>1634</v>
      </c>
      <c r="Q130" s="23" t="s">
        <v>1635</v>
      </c>
      <c r="R130" s="23" t="s">
        <v>2371</v>
      </c>
    </row>
    <row r="131" customFormat="false" ht="219.75" hidden="false" customHeight="true" outlineLevel="0" collapsed="false">
      <c r="A131" s="17" t="s">
        <v>1309</v>
      </c>
      <c r="B131" s="17" t="s">
        <v>1392</v>
      </c>
      <c r="C131" s="17" t="s">
        <v>389</v>
      </c>
      <c r="D131" s="17" t="s">
        <v>2358</v>
      </c>
      <c r="E131" s="21" t="s">
        <v>2440</v>
      </c>
      <c r="F131" s="22" t="s">
        <v>2441</v>
      </c>
      <c r="G131" s="22" t="s">
        <v>2442</v>
      </c>
      <c r="H131" s="21" t="s">
        <v>2443</v>
      </c>
      <c r="I131" s="21" t="s">
        <v>2444</v>
      </c>
      <c r="J131" s="21" t="s">
        <v>2445</v>
      </c>
      <c r="K131" s="22" t="s">
        <v>2365</v>
      </c>
      <c r="L131" s="21" t="s">
        <v>2366</v>
      </c>
      <c r="M131" s="23" t="s">
        <v>2446</v>
      </c>
      <c r="N131" s="23" t="s">
        <v>2447</v>
      </c>
      <c r="O131" s="24" t="s">
        <v>2448</v>
      </c>
      <c r="P131" s="23" t="s">
        <v>1634</v>
      </c>
      <c r="Q131" s="23" t="s">
        <v>1635</v>
      </c>
      <c r="R131" s="23" t="s">
        <v>2371</v>
      </c>
    </row>
    <row r="132" customFormat="false" ht="219.75" hidden="false" customHeight="true" outlineLevel="0" collapsed="false">
      <c r="A132" s="17" t="s">
        <v>1309</v>
      </c>
      <c r="B132" s="17" t="s">
        <v>1398</v>
      </c>
      <c r="C132" s="17" t="s">
        <v>397</v>
      </c>
      <c r="D132" s="17" t="s">
        <v>2358</v>
      </c>
      <c r="E132" s="21" t="s">
        <v>2449</v>
      </c>
      <c r="F132" s="22" t="s">
        <v>2450</v>
      </c>
      <c r="G132" s="21" t="s">
        <v>2451</v>
      </c>
      <c r="H132" s="22" t="s">
        <v>2452</v>
      </c>
      <c r="I132" s="21" t="s">
        <v>2453</v>
      </c>
      <c r="J132" s="21" t="s">
        <v>2454</v>
      </c>
      <c r="K132" s="22" t="s">
        <v>2365</v>
      </c>
      <c r="L132" s="21" t="s">
        <v>2366</v>
      </c>
      <c r="M132" s="23" t="s">
        <v>2455</v>
      </c>
      <c r="N132" s="23" t="s">
        <v>2456</v>
      </c>
      <c r="O132" s="23" t="s">
        <v>2457</v>
      </c>
      <c r="P132" s="23" t="s">
        <v>1999</v>
      </c>
      <c r="Q132" s="23" t="s">
        <v>2458</v>
      </c>
      <c r="R132" s="23" t="s">
        <v>2371</v>
      </c>
    </row>
    <row r="133" customFormat="false" ht="219.75" hidden="false" customHeight="true" outlineLevel="0" collapsed="false">
      <c r="A133" s="17" t="s">
        <v>1309</v>
      </c>
      <c r="B133" s="17" t="s">
        <v>1410</v>
      </c>
      <c r="C133" s="17" t="s">
        <v>924</v>
      </c>
      <c r="D133" s="17" t="s">
        <v>2358</v>
      </c>
      <c r="E133" s="21" t="s">
        <v>2459</v>
      </c>
      <c r="F133" s="22" t="s">
        <v>2460</v>
      </c>
      <c r="G133" s="21" t="s">
        <v>2461</v>
      </c>
      <c r="H133" s="21" t="s">
        <v>2462</v>
      </c>
      <c r="I133" s="22" t="s">
        <v>2463</v>
      </c>
      <c r="J133" s="21" t="s">
        <v>2464</v>
      </c>
      <c r="K133" s="22" t="s">
        <v>2365</v>
      </c>
      <c r="L133" s="21" t="s">
        <v>2366</v>
      </c>
      <c r="M133" s="23" t="s">
        <v>2465</v>
      </c>
      <c r="N133" s="23" t="s">
        <v>2466</v>
      </c>
      <c r="O133" s="24" t="s">
        <v>2467</v>
      </c>
      <c r="P133" s="23" t="s">
        <v>1634</v>
      </c>
      <c r="Q133" s="23" t="s">
        <v>2468</v>
      </c>
      <c r="R133" s="23" t="s">
        <v>2371</v>
      </c>
    </row>
    <row r="134" customFormat="false" ht="219.75" hidden="false" customHeight="true" outlineLevel="0" collapsed="false">
      <c r="A134" s="17" t="s">
        <v>1309</v>
      </c>
      <c r="B134" s="17" t="s">
        <v>1415</v>
      </c>
      <c r="C134" s="17" t="s">
        <v>924</v>
      </c>
      <c r="D134" s="17" t="s">
        <v>2358</v>
      </c>
      <c r="E134" s="21" t="s">
        <v>2469</v>
      </c>
      <c r="F134" s="22" t="s">
        <v>2470</v>
      </c>
      <c r="G134" s="22" t="s">
        <v>2471</v>
      </c>
      <c r="H134" s="21" t="s">
        <v>2472</v>
      </c>
      <c r="I134" s="21" t="s">
        <v>2473</v>
      </c>
      <c r="J134" s="21" t="s">
        <v>2474</v>
      </c>
      <c r="K134" s="22" t="s">
        <v>2365</v>
      </c>
      <c r="L134" s="21" t="s">
        <v>2366</v>
      </c>
      <c r="M134" s="23" t="s">
        <v>2475</v>
      </c>
      <c r="N134" s="23" t="s">
        <v>2476</v>
      </c>
      <c r="O134" s="24" t="s">
        <v>2477</v>
      </c>
      <c r="P134" s="23" t="s">
        <v>1634</v>
      </c>
      <c r="Q134" s="23" t="s">
        <v>2478</v>
      </c>
      <c r="R134" s="23" t="s">
        <v>2371</v>
      </c>
    </row>
    <row r="135" customFormat="false" ht="219.75" hidden="false" customHeight="true" outlineLevel="0" collapsed="false">
      <c r="A135" s="17" t="s">
        <v>1309</v>
      </c>
      <c r="B135" s="17" t="s">
        <v>1420</v>
      </c>
      <c r="C135" s="17" t="s">
        <v>601</v>
      </c>
      <c r="D135" s="17" t="s">
        <v>2358</v>
      </c>
      <c r="E135" s="21" t="s">
        <v>2479</v>
      </c>
      <c r="F135" s="22" t="s">
        <v>2480</v>
      </c>
      <c r="G135" s="21" t="s">
        <v>2481</v>
      </c>
      <c r="H135" s="21" t="s">
        <v>2482</v>
      </c>
      <c r="I135" s="22" t="s">
        <v>2483</v>
      </c>
      <c r="J135" s="21" t="s">
        <v>2484</v>
      </c>
      <c r="K135" s="22" t="s">
        <v>2365</v>
      </c>
      <c r="L135" s="21" t="s">
        <v>2366</v>
      </c>
      <c r="M135" s="23" t="s">
        <v>2485</v>
      </c>
      <c r="N135" s="23" t="s">
        <v>2486</v>
      </c>
      <c r="O135" s="23" t="s">
        <v>2487</v>
      </c>
      <c r="P135" s="23" t="s">
        <v>1634</v>
      </c>
      <c r="Q135" s="24" t="s">
        <v>2488</v>
      </c>
      <c r="R135" s="23" t="s">
        <v>2371</v>
      </c>
    </row>
    <row r="136" customFormat="false" ht="219.75" hidden="false" customHeight="true" outlineLevel="0" collapsed="false">
      <c r="A136" s="17" t="s">
        <v>1309</v>
      </c>
      <c r="B136" s="17" t="s">
        <v>1425</v>
      </c>
      <c r="C136" s="17" t="s">
        <v>424</v>
      </c>
      <c r="D136" s="17" t="s">
        <v>2358</v>
      </c>
      <c r="E136" s="21" t="s">
        <v>2489</v>
      </c>
      <c r="F136" s="22" t="s">
        <v>2490</v>
      </c>
      <c r="G136" s="21" t="s">
        <v>2491</v>
      </c>
      <c r="H136" s="22" t="s">
        <v>2492</v>
      </c>
      <c r="I136" s="21" t="s">
        <v>2493</v>
      </c>
      <c r="J136" s="21" t="s">
        <v>2494</v>
      </c>
      <c r="K136" s="22" t="s">
        <v>2365</v>
      </c>
      <c r="L136" s="21" t="s">
        <v>2366</v>
      </c>
      <c r="M136" s="23" t="s">
        <v>2495</v>
      </c>
      <c r="N136" s="23" t="s">
        <v>2496</v>
      </c>
      <c r="O136" s="23" t="s">
        <v>2497</v>
      </c>
      <c r="P136" s="23" t="s">
        <v>1634</v>
      </c>
      <c r="Q136" s="24" t="s">
        <v>2498</v>
      </c>
      <c r="R136" s="23" t="s">
        <v>2371</v>
      </c>
    </row>
    <row r="137" customFormat="false" ht="219.75" hidden="false" customHeight="true" outlineLevel="0" collapsed="false">
      <c r="A137" s="17" t="s">
        <v>1309</v>
      </c>
      <c r="B137" s="17" t="s">
        <v>1431</v>
      </c>
      <c r="C137" s="17" t="s">
        <v>924</v>
      </c>
      <c r="D137" s="17" t="s">
        <v>2358</v>
      </c>
      <c r="E137" s="21" t="s">
        <v>2091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2499</v>
      </c>
      <c r="N137" s="23" t="s">
        <v>2500</v>
      </c>
      <c r="O137" s="24" t="s">
        <v>2501</v>
      </c>
      <c r="P137" s="24" t="s">
        <v>39</v>
      </c>
      <c r="Q137" s="23" t="s">
        <v>2502</v>
      </c>
      <c r="R137" s="23" t="s">
        <v>2371</v>
      </c>
    </row>
    <row r="138" customFormat="false" ht="219.75" hidden="false" customHeight="true" outlineLevel="0" collapsed="false">
      <c r="A138" s="17" t="s">
        <v>1309</v>
      </c>
      <c r="B138" s="17" t="s">
        <v>1436</v>
      </c>
      <c r="C138" s="17" t="s">
        <v>601</v>
      </c>
      <c r="D138" s="17" t="s">
        <v>2358</v>
      </c>
      <c r="E138" s="21" t="s">
        <v>2091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2503</v>
      </c>
      <c r="N138" s="23" t="s">
        <v>2504</v>
      </c>
      <c r="O138" s="24" t="s">
        <v>136</v>
      </c>
      <c r="P138" s="23" t="s">
        <v>1649</v>
      </c>
      <c r="Q138" s="23" t="s">
        <v>2505</v>
      </c>
      <c r="R138" s="23" t="s">
        <v>2371</v>
      </c>
    </row>
    <row r="139" customFormat="false" ht="219.75" hidden="false" customHeight="true" outlineLevel="0" collapsed="false">
      <c r="A139" s="17" t="s">
        <v>1309</v>
      </c>
      <c r="B139" s="17" t="s">
        <v>1441</v>
      </c>
      <c r="C139" s="17" t="s">
        <v>924</v>
      </c>
      <c r="D139" s="17" t="s">
        <v>2358</v>
      </c>
      <c r="E139" s="21" t="s">
        <v>2091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2353</v>
      </c>
      <c r="N139" s="23" t="s">
        <v>2345</v>
      </c>
      <c r="O139" s="24" t="s">
        <v>136</v>
      </c>
      <c r="P139" s="23" t="s">
        <v>1649</v>
      </c>
      <c r="Q139" s="23" t="s">
        <v>2506</v>
      </c>
      <c r="R139" s="23" t="s">
        <v>2371</v>
      </c>
    </row>
    <row r="140" customFormat="false" ht="219.75" hidden="false" customHeight="true" outlineLevel="0" collapsed="false">
      <c r="A140" s="17" t="s">
        <v>1309</v>
      </c>
      <c r="B140" s="17" t="s">
        <v>1446</v>
      </c>
      <c r="C140" s="17" t="s">
        <v>1103</v>
      </c>
      <c r="D140" s="17" t="s">
        <v>2358</v>
      </c>
      <c r="E140" s="21" t="s">
        <v>2091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2507</v>
      </c>
      <c r="N140" s="23" t="s">
        <v>2508</v>
      </c>
      <c r="O140" s="23" t="s">
        <v>2509</v>
      </c>
      <c r="P140" s="24" t="s">
        <v>39</v>
      </c>
      <c r="Q140" s="23" t="s">
        <v>2510</v>
      </c>
      <c r="R140" s="23" t="s">
        <v>2371</v>
      </c>
    </row>
    <row r="141" customFormat="false" ht="219.75" hidden="false" customHeight="true" outlineLevel="0" collapsed="false">
      <c r="A141" s="25" t="s">
        <v>1402</v>
      </c>
      <c r="B141" s="1" t="s">
        <v>1398</v>
      </c>
      <c r="C141" s="1" t="s">
        <v>397</v>
      </c>
      <c r="D141" s="1" t="s">
        <v>2358</v>
      </c>
      <c r="E141" s="26" t="s">
        <v>2511</v>
      </c>
      <c r="F141" s="1" t="s">
        <v>2512</v>
      </c>
      <c r="G141" s="1" t="s">
        <v>2513</v>
      </c>
      <c r="H141" s="1" t="s">
        <v>2514</v>
      </c>
      <c r="I141" s="26" t="s">
        <v>2515</v>
      </c>
      <c r="J141" s="26" t="s">
        <v>2516</v>
      </c>
      <c r="K141" s="1" t="s">
        <v>2517</v>
      </c>
      <c r="L141" s="26" t="s">
        <v>2518</v>
      </c>
      <c r="M141" s="26" t="s">
        <v>2519</v>
      </c>
      <c r="N141" s="27" t="s">
        <v>2520</v>
      </c>
      <c r="O141" s="26" t="s">
        <v>2521</v>
      </c>
      <c r="P141" s="26" t="s">
        <v>1634</v>
      </c>
      <c r="Q141" s="26" t="s">
        <v>2522</v>
      </c>
      <c r="R141" s="26" t="s">
        <v>2371</v>
      </c>
    </row>
    <row r="142" customFormat="false" ht="219.75" hidden="false" customHeight="true" outlineLevel="0" collapsed="false">
      <c r="A142" s="17" t="s">
        <v>1402</v>
      </c>
      <c r="B142" s="17" t="s">
        <v>1446</v>
      </c>
      <c r="C142" s="17" t="s">
        <v>1103</v>
      </c>
      <c r="D142" s="17" t="s">
        <v>2358</v>
      </c>
      <c r="E142" s="21" t="s">
        <v>2523</v>
      </c>
      <c r="F142" s="22" t="s">
        <v>2524</v>
      </c>
      <c r="G142" s="21" t="s">
        <v>2525</v>
      </c>
      <c r="H142" s="22" t="s">
        <v>2526</v>
      </c>
      <c r="I142" s="22" t="s">
        <v>2527</v>
      </c>
      <c r="J142" s="21" t="s">
        <v>2528</v>
      </c>
      <c r="K142" s="22" t="s">
        <v>2529</v>
      </c>
      <c r="L142" s="21" t="s">
        <v>2518</v>
      </c>
      <c r="M142" s="24" t="s">
        <v>2530</v>
      </c>
      <c r="N142" s="23" t="s">
        <v>2531</v>
      </c>
      <c r="O142" s="24" t="s">
        <v>2532</v>
      </c>
      <c r="P142" s="23" t="s">
        <v>1634</v>
      </c>
      <c r="Q142" s="23" t="s">
        <v>2533</v>
      </c>
      <c r="R142" s="23" t="s">
        <v>2371</v>
      </c>
    </row>
    <row r="143" customFormat="false" ht="219.75" hidden="false" customHeight="true" outlineLevel="0" collapsed="false">
      <c r="A143" s="17" t="s">
        <v>1402</v>
      </c>
      <c r="B143" s="17" t="s">
        <v>1431</v>
      </c>
      <c r="C143" s="17" t="s">
        <v>924</v>
      </c>
      <c r="D143" s="17" t="s">
        <v>2358</v>
      </c>
      <c r="E143" s="21" t="s">
        <v>2534</v>
      </c>
      <c r="F143" s="22" t="s">
        <v>2535</v>
      </c>
      <c r="G143" s="22" t="s">
        <v>2536</v>
      </c>
      <c r="H143" s="22" t="s">
        <v>2537</v>
      </c>
      <c r="I143" s="21" t="s">
        <v>2538</v>
      </c>
      <c r="J143" s="21" t="s">
        <v>2539</v>
      </c>
      <c r="K143" s="22" t="s">
        <v>2529</v>
      </c>
      <c r="L143" s="21" t="s">
        <v>2518</v>
      </c>
      <c r="M143" s="23" t="s">
        <v>2540</v>
      </c>
      <c r="N143" s="23" t="s">
        <v>2541</v>
      </c>
      <c r="O143" s="23" t="s">
        <v>2542</v>
      </c>
      <c r="P143" s="23" t="s">
        <v>1634</v>
      </c>
      <c r="Q143" s="23" t="s">
        <v>2543</v>
      </c>
      <c r="R143" s="23" t="s">
        <v>2371</v>
      </c>
    </row>
    <row r="144" customFormat="false" ht="219.75" hidden="false" customHeight="true" outlineLevel="0" collapsed="false">
      <c r="A144" s="17" t="s">
        <v>1402</v>
      </c>
      <c r="B144" s="17" t="s">
        <v>1441</v>
      </c>
      <c r="C144" s="17" t="s">
        <v>924</v>
      </c>
      <c r="D144" s="17" t="s">
        <v>2358</v>
      </c>
      <c r="E144" s="21" t="s">
        <v>2544</v>
      </c>
      <c r="F144" s="22" t="s">
        <v>2545</v>
      </c>
      <c r="G144" s="21" t="s">
        <v>2546</v>
      </c>
      <c r="H144" s="22" t="s">
        <v>2547</v>
      </c>
      <c r="I144" s="22" t="s">
        <v>2548</v>
      </c>
      <c r="J144" s="21" t="s">
        <v>2549</v>
      </c>
      <c r="K144" s="22" t="s">
        <v>2529</v>
      </c>
      <c r="L144" s="21" t="s">
        <v>2518</v>
      </c>
      <c r="M144" s="23" t="s">
        <v>2550</v>
      </c>
      <c r="N144" s="23" t="s">
        <v>2551</v>
      </c>
      <c r="O144" s="23" t="s">
        <v>2552</v>
      </c>
      <c r="P144" s="23" t="s">
        <v>1634</v>
      </c>
      <c r="Q144" s="24" t="s">
        <v>2553</v>
      </c>
      <c r="R144" s="23" t="s">
        <v>2371</v>
      </c>
    </row>
    <row r="145" customFormat="false" ht="219.75" hidden="false" customHeight="true" outlineLevel="0" collapsed="false">
      <c r="A145" s="17" t="s">
        <v>1402</v>
      </c>
      <c r="B145" s="17" t="s">
        <v>1436</v>
      </c>
      <c r="C145" s="17" t="s">
        <v>601</v>
      </c>
      <c r="D145" s="17" t="s">
        <v>2358</v>
      </c>
      <c r="E145" s="21" t="s">
        <v>2554</v>
      </c>
      <c r="F145" s="22" t="s">
        <v>2555</v>
      </c>
      <c r="G145" s="22" t="s">
        <v>2556</v>
      </c>
      <c r="H145" s="21" t="s">
        <v>2557</v>
      </c>
      <c r="I145" s="21" t="s">
        <v>2558</v>
      </c>
      <c r="J145" s="21" t="s">
        <v>2559</v>
      </c>
      <c r="K145" s="22" t="s">
        <v>2529</v>
      </c>
      <c r="L145" s="21" t="s">
        <v>2560</v>
      </c>
      <c r="M145" s="23" t="s">
        <v>2561</v>
      </c>
      <c r="N145" s="23" t="s">
        <v>2562</v>
      </c>
      <c r="O145" s="24" t="s">
        <v>2563</v>
      </c>
      <c r="P145" s="23" t="s">
        <v>1634</v>
      </c>
      <c r="Q145" s="23" t="s">
        <v>1635</v>
      </c>
      <c r="R145" s="23" t="s">
        <v>2371</v>
      </c>
    </row>
    <row r="146" customFormat="false" ht="219.75" hidden="false" customHeight="true" outlineLevel="0" collapsed="false">
      <c r="A146" s="17" t="s">
        <v>1402</v>
      </c>
      <c r="B146" s="17" t="s">
        <v>1452</v>
      </c>
      <c r="C146" s="17" t="s">
        <v>880</v>
      </c>
      <c r="D146" s="17" t="s">
        <v>2358</v>
      </c>
      <c r="E146" s="21" t="s">
        <v>1617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2564</v>
      </c>
      <c r="N146" s="23" t="s">
        <v>2565</v>
      </c>
      <c r="O146" s="24" t="s">
        <v>2566</v>
      </c>
      <c r="P146" s="24" t="s">
        <v>39</v>
      </c>
      <c r="Q146" s="23" t="s">
        <v>2567</v>
      </c>
      <c r="R146" s="23" t="s">
        <v>2371</v>
      </c>
    </row>
    <row r="147" customFormat="false" ht="219.75" hidden="false" customHeight="true" outlineLevel="0" collapsed="false">
      <c r="A147" s="17" t="s">
        <v>1402</v>
      </c>
      <c r="B147" s="17" t="s">
        <v>1459</v>
      </c>
      <c r="C147" s="17" t="s">
        <v>674</v>
      </c>
      <c r="D147" s="17" t="s">
        <v>2358</v>
      </c>
      <c r="E147" s="21" t="s">
        <v>1617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2568</v>
      </c>
      <c r="N147" s="23" t="s">
        <v>2569</v>
      </c>
      <c r="O147" s="24" t="s">
        <v>2570</v>
      </c>
      <c r="P147" s="24" t="s">
        <v>39</v>
      </c>
      <c r="Q147" s="23" t="s">
        <v>2571</v>
      </c>
      <c r="R147" s="23" t="s">
        <v>2371</v>
      </c>
    </row>
    <row r="148" customFormat="false" ht="219.75" hidden="false" customHeight="true" outlineLevel="0" collapsed="false">
      <c r="A148" s="17" t="s">
        <v>1402</v>
      </c>
      <c r="B148" s="17" t="s">
        <v>727</v>
      </c>
      <c r="C148" s="17" t="s">
        <v>721</v>
      </c>
      <c r="D148" s="17" t="s">
        <v>2358</v>
      </c>
      <c r="E148" s="21" t="s">
        <v>1617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2572</v>
      </c>
      <c r="N148" s="23" t="s">
        <v>2573</v>
      </c>
      <c r="O148" s="23" t="s">
        <v>2574</v>
      </c>
      <c r="P148" s="24" t="s">
        <v>39</v>
      </c>
      <c r="Q148" s="23" t="s">
        <v>2575</v>
      </c>
      <c r="R148" s="23" t="s">
        <v>2371</v>
      </c>
    </row>
    <row r="149" customFormat="false" ht="219.75" hidden="false" customHeight="true" outlineLevel="0" collapsed="false">
      <c r="A149" s="17" t="s">
        <v>1402</v>
      </c>
      <c r="B149" s="17" t="s">
        <v>1468</v>
      </c>
      <c r="C149" s="17" t="s">
        <v>871</v>
      </c>
      <c r="D149" s="17" t="s">
        <v>2358</v>
      </c>
      <c r="E149" s="21" t="s">
        <v>1617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2576</v>
      </c>
      <c r="N149" s="23" t="s">
        <v>2577</v>
      </c>
      <c r="O149" s="24" t="s">
        <v>2578</v>
      </c>
      <c r="P149" s="24" t="s">
        <v>39</v>
      </c>
      <c r="Q149" s="23" t="s">
        <v>2579</v>
      </c>
      <c r="R149" s="23" t="s">
        <v>2371</v>
      </c>
    </row>
    <row r="150" customFormat="false" ht="219.75" hidden="false" customHeight="true" outlineLevel="0" collapsed="false">
      <c r="A150" s="17" t="s">
        <v>1402</v>
      </c>
      <c r="B150" s="17" t="s">
        <v>1473</v>
      </c>
      <c r="C150" s="17" t="s">
        <v>871</v>
      </c>
      <c r="D150" s="17" t="s">
        <v>2358</v>
      </c>
      <c r="E150" s="21" t="s">
        <v>1617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2580</v>
      </c>
      <c r="N150" s="23" t="s">
        <v>2581</v>
      </c>
      <c r="O150" s="23" t="s">
        <v>2582</v>
      </c>
      <c r="P150" s="24" t="s">
        <v>39</v>
      </c>
      <c r="Q150" s="23" t="s">
        <v>2583</v>
      </c>
      <c r="R150" s="23" t="s">
        <v>2371</v>
      </c>
    </row>
    <row r="151" customFormat="false" ht="219.75" hidden="false" customHeight="true" outlineLevel="0" collapsed="false">
      <c r="A151" s="17" t="s">
        <v>1402</v>
      </c>
      <c r="B151" s="17" t="s">
        <v>1478</v>
      </c>
      <c r="C151" s="17" t="s">
        <v>871</v>
      </c>
      <c r="D151" s="17" t="s">
        <v>2358</v>
      </c>
      <c r="E151" s="21" t="s">
        <v>1617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2584</v>
      </c>
      <c r="N151" s="23" t="s">
        <v>2585</v>
      </c>
      <c r="O151" s="23" t="s">
        <v>2586</v>
      </c>
      <c r="P151" s="24" t="s">
        <v>39</v>
      </c>
      <c r="Q151" s="23" t="s">
        <v>2587</v>
      </c>
      <c r="R151" s="23" t="s">
        <v>2371</v>
      </c>
    </row>
    <row r="152" customFormat="false" ht="219.75" hidden="false" customHeight="true" outlineLevel="0" collapsed="false">
      <c r="A152" s="17" t="s">
        <v>1402</v>
      </c>
      <c r="B152" s="17" t="s">
        <v>513</v>
      </c>
      <c r="C152" s="17" t="s">
        <v>505</v>
      </c>
      <c r="D152" s="17" t="s">
        <v>2358</v>
      </c>
      <c r="E152" s="21" t="s">
        <v>1617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2588</v>
      </c>
      <c r="N152" s="23" t="s">
        <v>2589</v>
      </c>
      <c r="O152" s="23" t="s">
        <v>2590</v>
      </c>
      <c r="P152" s="24" t="s">
        <v>39</v>
      </c>
      <c r="Q152" s="23" t="s">
        <v>2591</v>
      </c>
      <c r="R152" s="23" t="s">
        <v>2371</v>
      </c>
    </row>
    <row r="153" customFormat="false" ht="219.75" hidden="false" customHeight="true" outlineLevel="0" collapsed="false">
      <c r="A153" s="17" t="s">
        <v>1402</v>
      </c>
      <c r="B153" s="17" t="s">
        <v>1487</v>
      </c>
      <c r="C153" s="17" t="s">
        <v>674</v>
      </c>
      <c r="D153" s="17" t="s">
        <v>2358</v>
      </c>
      <c r="E153" s="21" t="s">
        <v>1617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2592</v>
      </c>
      <c r="N153" s="23" t="s">
        <v>2593</v>
      </c>
      <c r="O153" s="24" t="s">
        <v>2594</v>
      </c>
      <c r="P153" s="24" t="s">
        <v>39</v>
      </c>
      <c r="Q153" s="23" t="s">
        <v>2595</v>
      </c>
      <c r="R153" s="23" t="s">
        <v>2371</v>
      </c>
    </row>
    <row r="154" customFormat="false" ht="219.75" hidden="false" customHeight="true" outlineLevel="0" collapsed="false">
      <c r="A154" s="17" t="s">
        <v>1402</v>
      </c>
      <c r="B154" s="17" t="s">
        <v>1492</v>
      </c>
      <c r="C154" s="17" t="s">
        <v>924</v>
      </c>
      <c r="D154" s="17" t="s">
        <v>2596</v>
      </c>
      <c r="E154" s="21" t="s">
        <v>2597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2353</v>
      </c>
      <c r="N154" s="23" t="s">
        <v>2598</v>
      </c>
      <c r="O154" s="24" t="s">
        <v>136</v>
      </c>
      <c r="P154" s="23" t="s">
        <v>1649</v>
      </c>
      <c r="Q154" s="23" t="s">
        <v>2599</v>
      </c>
      <c r="R154" s="23" t="s">
        <v>2600</v>
      </c>
    </row>
    <row r="155" customFormat="false" ht="219.75" hidden="false" customHeight="true" outlineLevel="0" collapsed="false">
      <c r="A155" s="17" t="s">
        <v>1402</v>
      </c>
      <c r="B155" s="17" t="s">
        <v>1497</v>
      </c>
      <c r="C155" s="17" t="s">
        <v>924</v>
      </c>
      <c r="D155" s="17" t="s">
        <v>2596</v>
      </c>
      <c r="E155" s="21" t="s">
        <v>2597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2601</v>
      </c>
      <c r="N155" s="23" t="s">
        <v>2602</v>
      </c>
      <c r="O155" s="24" t="s">
        <v>136</v>
      </c>
      <c r="P155" s="23" t="s">
        <v>1649</v>
      </c>
      <c r="Q155" s="23" t="s">
        <v>2603</v>
      </c>
      <c r="R155" s="23" t="s">
        <v>2600</v>
      </c>
    </row>
    <row r="156" customFormat="false" ht="219.75" hidden="false" customHeight="true" outlineLevel="0" collapsed="false">
      <c r="A156" s="17" t="s">
        <v>1402</v>
      </c>
      <c r="B156" s="17" t="s">
        <v>1502</v>
      </c>
      <c r="C156" s="17" t="s">
        <v>924</v>
      </c>
      <c r="D156" s="17" t="s">
        <v>2596</v>
      </c>
      <c r="E156" s="21" t="s">
        <v>2597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2353</v>
      </c>
      <c r="N156" s="23" t="s">
        <v>2598</v>
      </c>
      <c r="O156" s="24" t="s">
        <v>136</v>
      </c>
      <c r="P156" s="23" t="s">
        <v>1649</v>
      </c>
      <c r="Q156" s="23" t="s">
        <v>2604</v>
      </c>
      <c r="R156" s="23" t="s">
        <v>2600</v>
      </c>
    </row>
    <row r="157" customFormat="false" ht="219.75" hidden="false" customHeight="true" outlineLevel="0" collapsed="false">
      <c r="A157" s="17" t="s">
        <v>1402</v>
      </c>
      <c r="B157" s="17" t="s">
        <v>1072</v>
      </c>
      <c r="C157" s="17" t="s">
        <v>1066</v>
      </c>
      <c r="D157" s="17" t="s">
        <v>2596</v>
      </c>
      <c r="E157" s="21" t="s">
        <v>2597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2353</v>
      </c>
      <c r="N157" s="23" t="s">
        <v>2602</v>
      </c>
      <c r="O157" s="24" t="s">
        <v>136</v>
      </c>
      <c r="P157" s="23" t="s">
        <v>1649</v>
      </c>
      <c r="Q157" s="23" t="s">
        <v>2605</v>
      </c>
      <c r="R157" s="23" t="s">
        <v>2600</v>
      </c>
    </row>
    <row r="158" customFormat="false" ht="219.75" hidden="false" customHeight="true" outlineLevel="0" collapsed="false">
      <c r="A158" s="17" t="s">
        <v>1402</v>
      </c>
      <c r="B158" s="17" t="s">
        <v>905</v>
      </c>
      <c r="C158" s="17" t="s">
        <v>897</v>
      </c>
      <c r="D158" s="17" t="s">
        <v>2596</v>
      </c>
      <c r="E158" s="21" t="s">
        <v>2597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2353</v>
      </c>
      <c r="N158" s="23" t="s">
        <v>2598</v>
      </c>
      <c r="O158" s="24" t="s">
        <v>136</v>
      </c>
      <c r="P158" s="23" t="s">
        <v>1649</v>
      </c>
      <c r="Q158" s="23" t="s">
        <v>2606</v>
      </c>
      <c r="R158" s="23" t="s">
        <v>2600</v>
      </c>
    </row>
    <row r="159" customFormat="false" ht="219.75" hidden="false" customHeight="true" outlineLevel="0" collapsed="false">
      <c r="A159" s="25" t="s">
        <v>1457</v>
      </c>
      <c r="B159" s="1" t="s">
        <v>1452</v>
      </c>
      <c r="C159" s="1" t="s">
        <v>2607</v>
      </c>
      <c r="D159" s="1" t="s">
        <v>2596</v>
      </c>
      <c r="E159" s="26" t="s">
        <v>2608</v>
      </c>
      <c r="F159" s="1" t="s">
        <v>2609</v>
      </c>
      <c r="G159" s="26" t="s">
        <v>2610</v>
      </c>
      <c r="H159" s="26" t="s">
        <v>2611</v>
      </c>
      <c r="I159" s="1" t="s">
        <v>2612</v>
      </c>
      <c r="J159" s="26" t="s">
        <v>2613</v>
      </c>
      <c r="K159" s="1" t="s">
        <v>2614</v>
      </c>
      <c r="L159" s="1" t="s">
        <v>2615</v>
      </c>
      <c r="M159" s="26" t="s">
        <v>2616</v>
      </c>
      <c r="N159" s="27" t="s">
        <v>2617</v>
      </c>
      <c r="O159" s="1" t="s">
        <v>2618</v>
      </c>
      <c r="P159" s="26" t="s">
        <v>1634</v>
      </c>
      <c r="Q159" s="26" t="s">
        <v>2619</v>
      </c>
      <c r="R159" s="26" t="s">
        <v>2600</v>
      </c>
    </row>
    <row r="160" customFormat="false" ht="219.75" hidden="false" customHeight="true" outlineLevel="0" collapsed="false">
      <c r="A160" s="17" t="s">
        <v>1457</v>
      </c>
      <c r="B160" s="17" t="s">
        <v>1459</v>
      </c>
      <c r="C160" s="17" t="s">
        <v>674</v>
      </c>
      <c r="D160" s="17" t="s">
        <v>2596</v>
      </c>
      <c r="E160" s="21" t="s">
        <v>2620</v>
      </c>
      <c r="F160" s="22" t="s">
        <v>2621</v>
      </c>
      <c r="G160" s="22" t="s">
        <v>2622</v>
      </c>
      <c r="H160" s="21" t="s">
        <v>2623</v>
      </c>
      <c r="I160" s="21" t="s">
        <v>2624</v>
      </c>
      <c r="J160" s="21" t="s">
        <v>2625</v>
      </c>
      <c r="K160" s="22" t="s">
        <v>2626</v>
      </c>
      <c r="L160" s="22" t="s">
        <v>2627</v>
      </c>
      <c r="M160" s="23" t="s">
        <v>2628</v>
      </c>
      <c r="N160" s="23" t="s">
        <v>2629</v>
      </c>
      <c r="O160" s="24" t="s">
        <v>2630</v>
      </c>
      <c r="P160" s="23" t="s">
        <v>1634</v>
      </c>
      <c r="Q160" s="23" t="s">
        <v>1635</v>
      </c>
      <c r="R160" s="23" t="s">
        <v>2600</v>
      </c>
    </row>
    <row r="161" customFormat="false" ht="219.75" hidden="false" customHeight="true" outlineLevel="0" collapsed="false">
      <c r="A161" s="17" t="s">
        <v>1457</v>
      </c>
      <c r="B161" s="17" t="s">
        <v>1468</v>
      </c>
      <c r="C161" s="17" t="s">
        <v>871</v>
      </c>
      <c r="D161" s="17" t="s">
        <v>2596</v>
      </c>
      <c r="E161" s="21" t="s">
        <v>2631</v>
      </c>
      <c r="F161" s="22" t="s">
        <v>2632</v>
      </c>
      <c r="G161" s="21" t="s">
        <v>2633</v>
      </c>
      <c r="H161" s="22" t="s">
        <v>2634</v>
      </c>
      <c r="I161" s="22" t="s">
        <v>2635</v>
      </c>
      <c r="J161" s="21" t="s">
        <v>2636</v>
      </c>
      <c r="K161" s="22" t="s">
        <v>2626</v>
      </c>
      <c r="L161" s="22" t="s">
        <v>2627</v>
      </c>
      <c r="M161" s="23" t="s">
        <v>2637</v>
      </c>
      <c r="N161" s="23" t="s">
        <v>2638</v>
      </c>
      <c r="O161" s="23" t="s">
        <v>2639</v>
      </c>
      <c r="P161" s="23" t="s">
        <v>1634</v>
      </c>
      <c r="Q161" s="23" t="s">
        <v>1635</v>
      </c>
      <c r="R161" s="23" t="s">
        <v>2600</v>
      </c>
    </row>
    <row r="162" customFormat="false" ht="219.75" hidden="false" customHeight="true" outlineLevel="0" collapsed="false">
      <c r="A162" s="17" t="s">
        <v>1457</v>
      </c>
      <c r="B162" s="17" t="s">
        <v>1473</v>
      </c>
      <c r="C162" s="17" t="s">
        <v>871</v>
      </c>
      <c r="D162" s="17" t="s">
        <v>2596</v>
      </c>
      <c r="E162" s="21" t="s">
        <v>2640</v>
      </c>
      <c r="F162" s="22" t="s">
        <v>2641</v>
      </c>
      <c r="G162" s="22" t="s">
        <v>2642</v>
      </c>
      <c r="H162" s="21" t="s">
        <v>2643</v>
      </c>
      <c r="I162" s="21" t="s">
        <v>2644</v>
      </c>
      <c r="J162" s="21" t="s">
        <v>2645</v>
      </c>
      <c r="K162" s="22" t="s">
        <v>2626</v>
      </c>
      <c r="L162" s="22" t="s">
        <v>2627</v>
      </c>
      <c r="M162" s="23" t="s">
        <v>2646</v>
      </c>
      <c r="N162" s="23" t="s">
        <v>2647</v>
      </c>
      <c r="O162" s="23" t="s">
        <v>2648</v>
      </c>
      <c r="P162" s="23" t="s">
        <v>1634</v>
      </c>
      <c r="Q162" s="23" t="s">
        <v>1635</v>
      </c>
      <c r="R162" s="23" t="s">
        <v>2600</v>
      </c>
    </row>
    <row r="163" customFormat="false" ht="219.75" hidden="false" customHeight="true" outlineLevel="0" collapsed="false">
      <c r="A163" s="17" t="s">
        <v>1457</v>
      </c>
      <c r="B163" s="17" t="s">
        <v>1478</v>
      </c>
      <c r="C163" s="17" t="s">
        <v>871</v>
      </c>
      <c r="D163" s="17" t="s">
        <v>2596</v>
      </c>
      <c r="E163" s="21" t="s">
        <v>2649</v>
      </c>
      <c r="F163" s="22" t="s">
        <v>2650</v>
      </c>
      <c r="G163" s="21" t="s">
        <v>2651</v>
      </c>
      <c r="H163" s="21" t="s">
        <v>2652</v>
      </c>
      <c r="I163" s="21" t="s">
        <v>2653</v>
      </c>
      <c r="J163" s="21" t="s">
        <v>2654</v>
      </c>
      <c r="K163" s="22" t="s">
        <v>2626</v>
      </c>
      <c r="L163" s="22" t="s">
        <v>2627</v>
      </c>
      <c r="M163" s="23" t="s">
        <v>2655</v>
      </c>
      <c r="N163" s="23" t="s">
        <v>2656</v>
      </c>
      <c r="O163" s="23" t="s">
        <v>2657</v>
      </c>
      <c r="P163" s="23" t="s">
        <v>1634</v>
      </c>
      <c r="Q163" s="23" t="s">
        <v>1635</v>
      </c>
      <c r="R163" s="23" t="s">
        <v>2600</v>
      </c>
    </row>
    <row r="164" customFormat="false" ht="219.75" hidden="false" customHeight="true" outlineLevel="0" collapsed="false">
      <c r="A164" s="17" t="s">
        <v>1457</v>
      </c>
      <c r="B164" s="17" t="s">
        <v>1518</v>
      </c>
      <c r="C164" s="17" t="s">
        <v>1519</v>
      </c>
      <c r="D164" s="17" t="s">
        <v>2596</v>
      </c>
      <c r="E164" s="21" t="s">
        <v>2658</v>
      </c>
      <c r="F164" s="22" t="s">
        <v>2659</v>
      </c>
      <c r="G164" s="22" t="s">
        <v>2660</v>
      </c>
      <c r="H164" s="21" t="s">
        <v>2661</v>
      </c>
      <c r="I164" s="21" t="s">
        <v>2662</v>
      </c>
      <c r="J164" s="21" t="s">
        <v>2663</v>
      </c>
      <c r="K164" s="22" t="s">
        <v>2626</v>
      </c>
      <c r="L164" s="22" t="s">
        <v>2627</v>
      </c>
      <c r="M164" s="23" t="s">
        <v>2664</v>
      </c>
      <c r="N164" s="23" t="s">
        <v>2665</v>
      </c>
      <c r="O164" s="23" t="s">
        <v>2666</v>
      </c>
      <c r="P164" s="23" t="s">
        <v>1634</v>
      </c>
      <c r="Q164" s="23" t="s">
        <v>1635</v>
      </c>
      <c r="R164" s="23" t="s">
        <v>2600</v>
      </c>
    </row>
    <row r="165" customFormat="false" ht="219.75" hidden="false" customHeight="true" outlineLevel="0" collapsed="false">
      <c r="A165" s="17" t="s">
        <v>1457</v>
      </c>
      <c r="B165" s="17" t="s">
        <v>1524</v>
      </c>
      <c r="C165" s="17" t="s">
        <v>1519</v>
      </c>
      <c r="D165" s="17" t="s">
        <v>2596</v>
      </c>
      <c r="E165" s="21" t="s">
        <v>2667</v>
      </c>
      <c r="F165" s="22" t="s">
        <v>2668</v>
      </c>
      <c r="G165" s="21" t="s">
        <v>2669</v>
      </c>
      <c r="H165" s="22" t="s">
        <v>2670</v>
      </c>
      <c r="I165" s="21" t="s">
        <v>2671</v>
      </c>
      <c r="J165" s="21" t="s">
        <v>2672</v>
      </c>
      <c r="K165" s="22" t="s">
        <v>2626</v>
      </c>
      <c r="L165" s="22" t="s">
        <v>2627</v>
      </c>
      <c r="M165" s="23" t="s">
        <v>2673</v>
      </c>
      <c r="N165" s="23" t="s">
        <v>2674</v>
      </c>
      <c r="O165" s="24" t="s">
        <v>2675</v>
      </c>
      <c r="P165" s="23" t="s">
        <v>1634</v>
      </c>
      <c r="Q165" s="23" t="s">
        <v>1635</v>
      </c>
      <c r="R165" s="23" t="s">
        <v>2600</v>
      </c>
    </row>
    <row r="166" customFormat="false" ht="219.75" hidden="false" customHeight="true" outlineLevel="0" collapsed="false">
      <c r="A166" s="17" t="s">
        <v>1457</v>
      </c>
      <c r="B166" s="17" t="s">
        <v>727</v>
      </c>
      <c r="C166" s="17" t="s">
        <v>721</v>
      </c>
      <c r="D166" s="17" t="s">
        <v>2596</v>
      </c>
      <c r="E166" s="21" t="s">
        <v>2676</v>
      </c>
      <c r="F166" s="22" t="s">
        <v>2677</v>
      </c>
      <c r="G166" s="22" t="s">
        <v>2678</v>
      </c>
      <c r="H166" s="22" t="s">
        <v>2679</v>
      </c>
      <c r="I166" s="21" t="s">
        <v>2680</v>
      </c>
      <c r="J166" s="21" t="s">
        <v>2681</v>
      </c>
      <c r="K166" s="22" t="s">
        <v>2626</v>
      </c>
      <c r="L166" s="22" t="s">
        <v>2627</v>
      </c>
      <c r="M166" s="23" t="s">
        <v>2682</v>
      </c>
      <c r="N166" s="23" t="s">
        <v>2683</v>
      </c>
      <c r="O166" s="23" t="s">
        <v>2684</v>
      </c>
      <c r="P166" s="23" t="s">
        <v>1634</v>
      </c>
      <c r="Q166" s="23" t="s">
        <v>1635</v>
      </c>
      <c r="R166" s="23" t="s">
        <v>2600</v>
      </c>
    </row>
    <row r="167" customFormat="false" ht="219.75" hidden="false" customHeight="true" outlineLevel="0" collapsed="false">
      <c r="A167" s="17" t="s">
        <v>1457</v>
      </c>
      <c r="B167" s="17" t="s">
        <v>1487</v>
      </c>
      <c r="C167" s="17" t="s">
        <v>2685</v>
      </c>
      <c r="D167" s="17" t="s">
        <v>2596</v>
      </c>
      <c r="E167" s="21" t="s">
        <v>2686</v>
      </c>
      <c r="F167" s="22" t="s">
        <v>2687</v>
      </c>
      <c r="G167" s="21" t="s">
        <v>2688</v>
      </c>
      <c r="H167" s="21" t="s">
        <v>2689</v>
      </c>
      <c r="I167" s="22" t="s">
        <v>2690</v>
      </c>
      <c r="J167" s="21" t="s">
        <v>2691</v>
      </c>
      <c r="K167" s="22" t="s">
        <v>2626</v>
      </c>
      <c r="L167" s="22" t="s">
        <v>2627</v>
      </c>
      <c r="M167" s="23" t="s">
        <v>2692</v>
      </c>
      <c r="N167" s="23" t="s">
        <v>2693</v>
      </c>
      <c r="O167" s="24" t="s">
        <v>2694</v>
      </c>
      <c r="P167" s="23" t="s">
        <v>1634</v>
      </c>
      <c r="Q167" s="23" t="s">
        <v>2695</v>
      </c>
      <c r="R167" s="23" t="s">
        <v>2600</v>
      </c>
    </row>
    <row r="168" customFormat="false" ht="219.75" hidden="false" customHeight="true" outlineLevel="0" collapsed="false">
      <c r="A168" s="17" t="s">
        <v>1457</v>
      </c>
      <c r="B168" s="17" t="s">
        <v>513</v>
      </c>
      <c r="C168" s="17" t="s">
        <v>505</v>
      </c>
      <c r="D168" s="17" t="s">
        <v>2596</v>
      </c>
      <c r="E168" s="21" t="s">
        <v>2696</v>
      </c>
      <c r="F168" s="22" t="s">
        <v>2697</v>
      </c>
      <c r="G168" s="21" t="s">
        <v>2698</v>
      </c>
      <c r="H168" s="22" t="s">
        <v>2699</v>
      </c>
      <c r="I168" s="21" t="s">
        <v>2700</v>
      </c>
      <c r="J168" s="22" t="s">
        <v>2701</v>
      </c>
      <c r="K168" s="22" t="s">
        <v>2626</v>
      </c>
      <c r="L168" s="22" t="s">
        <v>2627</v>
      </c>
      <c r="M168" s="23" t="s">
        <v>2702</v>
      </c>
      <c r="N168" s="23" t="s">
        <v>2703</v>
      </c>
      <c r="O168" s="24" t="s">
        <v>2704</v>
      </c>
      <c r="P168" s="23" t="s">
        <v>1634</v>
      </c>
      <c r="Q168" s="23" t="s">
        <v>1635</v>
      </c>
      <c r="R168" s="23" t="s">
        <v>2600</v>
      </c>
    </row>
    <row r="169" customFormat="false" ht="219.75" hidden="false" customHeight="true" outlineLevel="0" collapsed="false">
      <c r="A169" s="17" t="s">
        <v>1457</v>
      </c>
      <c r="B169" s="17" t="s">
        <v>1497</v>
      </c>
      <c r="C169" s="17" t="s">
        <v>1371</v>
      </c>
      <c r="D169" s="17" t="s">
        <v>2596</v>
      </c>
      <c r="E169" s="21" t="s">
        <v>2705</v>
      </c>
      <c r="F169" s="22" t="s">
        <v>2706</v>
      </c>
      <c r="G169" s="22" t="s">
        <v>2707</v>
      </c>
      <c r="H169" s="21" t="s">
        <v>2708</v>
      </c>
      <c r="I169" s="21" t="s">
        <v>2709</v>
      </c>
      <c r="J169" s="21" t="s">
        <v>2710</v>
      </c>
      <c r="K169" s="22" t="s">
        <v>2626</v>
      </c>
      <c r="L169" s="22" t="s">
        <v>2627</v>
      </c>
      <c r="M169" s="24" t="s">
        <v>2711</v>
      </c>
      <c r="N169" s="23" t="s">
        <v>2712</v>
      </c>
      <c r="O169" s="23" t="s">
        <v>2713</v>
      </c>
      <c r="P169" s="23" t="s">
        <v>1634</v>
      </c>
      <c r="Q169" s="23" t="s">
        <v>1635</v>
      </c>
      <c r="R169" s="23" t="s">
        <v>2600</v>
      </c>
    </row>
    <row r="170" customFormat="false" ht="219.75" hidden="false" customHeight="true" outlineLevel="0" collapsed="false">
      <c r="A170" s="17" t="s">
        <v>1457</v>
      </c>
      <c r="B170" s="17" t="s">
        <v>1492</v>
      </c>
      <c r="C170" s="17" t="s">
        <v>1371</v>
      </c>
      <c r="D170" s="17" t="s">
        <v>2596</v>
      </c>
      <c r="E170" s="21" t="s">
        <v>2714</v>
      </c>
      <c r="F170" s="22" t="s">
        <v>2715</v>
      </c>
      <c r="G170" s="22" t="s">
        <v>2716</v>
      </c>
      <c r="H170" s="21" t="s">
        <v>2717</v>
      </c>
      <c r="I170" s="22" t="s">
        <v>2718</v>
      </c>
      <c r="J170" s="21" t="s">
        <v>2719</v>
      </c>
      <c r="K170" s="22" t="s">
        <v>2626</v>
      </c>
      <c r="L170" s="22" t="s">
        <v>2627</v>
      </c>
      <c r="M170" s="23" t="s">
        <v>2720</v>
      </c>
      <c r="N170" s="23" t="s">
        <v>2721</v>
      </c>
      <c r="O170" s="24" t="s">
        <v>2722</v>
      </c>
      <c r="P170" s="23" t="s">
        <v>1634</v>
      </c>
      <c r="Q170" s="23" t="s">
        <v>1635</v>
      </c>
      <c r="R170" s="23" t="s">
        <v>2600</v>
      </c>
    </row>
    <row r="171" customFormat="false" ht="219.75" hidden="false" customHeight="true" outlineLevel="0" collapsed="false">
      <c r="A171" s="17" t="s">
        <v>1457</v>
      </c>
      <c r="B171" s="17" t="s">
        <v>905</v>
      </c>
      <c r="C171" s="17" t="s">
        <v>1513</v>
      </c>
      <c r="D171" s="17" t="s">
        <v>2596</v>
      </c>
      <c r="E171" s="21" t="s">
        <v>2723</v>
      </c>
      <c r="F171" s="22" t="s">
        <v>2724</v>
      </c>
      <c r="G171" s="21" t="s">
        <v>2725</v>
      </c>
      <c r="H171" s="22" t="s">
        <v>2726</v>
      </c>
      <c r="I171" s="21" t="s">
        <v>2727</v>
      </c>
      <c r="J171" s="21" t="s">
        <v>2728</v>
      </c>
      <c r="K171" s="22" t="s">
        <v>2626</v>
      </c>
      <c r="L171" s="22" t="s">
        <v>2627</v>
      </c>
      <c r="M171" s="24" t="s">
        <v>2729</v>
      </c>
      <c r="N171" s="23" t="s">
        <v>2730</v>
      </c>
      <c r="O171" s="24" t="s">
        <v>2731</v>
      </c>
      <c r="P171" s="23" t="s">
        <v>1634</v>
      </c>
      <c r="Q171" s="23" t="s">
        <v>1635</v>
      </c>
      <c r="R171" s="23" t="s">
        <v>2600</v>
      </c>
    </row>
    <row r="172" customFormat="false" ht="219.75" hidden="false" customHeight="true" outlineLevel="0" collapsed="false">
      <c r="A172" s="17" t="s">
        <v>1457</v>
      </c>
      <c r="B172" s="17" t="s">
        <v>1072</v>
      </c>
      <c r="C172" s="17" t="s">
        <v>1507</v>
      </c>
      <c r="D172" s="17" t="s">
        <v>2596</v>
      </c>
      <c r="E172" s="21" t="s">
        <v>2732</v>
      </c>
      <c r="F172" s="22" t="s">
        <v>2733</v>
      </c>
      <c r="G172" s="22" t="s">
        <v>2734</v>
      </c>
      <c r="H172" s="22" t="s">
        <v>2735</v>
      </c>
      <c r="I172" s="21" t="s">
        <v>2736</v>
      </c>
      <c r="J172" s="21" t="s">
        <v>2737</v>
      </c>
      <c r="K172" s="22" t="s">
        <v>2626</v>
      </c>
      <c r="L172" s="22" t="s">
        <v>2627</v>
      </c>
      <c r="M172" s="24" t="s">
        <v>2738</v>
      </c>
      <c r="N172" s="23" t="s">
        <v>2739</v>
      </c>
      <c r="O172" s="23" t="s">
        <v>2740</v>
      </c>
      <c r="P172" s="23" t="s">
        <v>51</v>
      </c>
      <c r="Q172" s="23" t="s">
        <v>2741</v>
      </c>
      <c r="R172" s="23" t="s">
        <v>2600</v>
      </c>
    </row>
    <row r="173" customFormat="false" ht="219.75" hidden="false" customHeight="true" outlineLevel="0" collapsed="false">
      <c r="A173" s="17" t="s">
        <v>1457</v>
      </c>
      <c r="B173" s="17" t="s">
        <v>1502</v>
      </c>
      <c r="C173" s="17" t="s">
        <v>1371</v>
      </c>
      <c r="D173" s="17" t="s">
        <v>2596</v>
      </c>
      <c r="E173" s="21" t="s">
        <v>2742</v>
      </c>
      <c r="F173" s="22" t="s">
        <v>2743</v>
      </c>
      <c r="G173" s="22" t="s">
        <v>2744</v>
      </c>
      <c r="H173" s="21" t="s">
        <v>2745</v>
      </c>
      <c r="I173" s="22" t="s">
        <v>2746</v>
      </c>
      <c r="J173" s="21" t="s">
        <v>2747</v>
      </c>
      <c r="K173" s="22" t="s">
        <v>2626</v>
      </c>
      <c r="L173" s="22" t="s">
        <v>2627</v>
      </c>
      <c r="M173" s="24" t="s">
        <v>2748</v>
      </c>
      <c r="N173" s="23" t="s">
        <v>2749</v>
      </c>
      <c r="O173" s="24" t="s">
        <v>2750</v>
      </c>
      <c r="P173" s="23" t="s">
        <v>1634</v>
      </c>
      <c r="Q173" s="23" t="s">
        <v>2751</v>
      </c>
      <c r="R173" s="23" t="s">
        <v>2600</v>
      </c>
    </row>
    <row r="174" customFormat="false" ht="219.75" hidden="false" customHeight="true" outlineLevel="0" collapsed="false">
      <c r="A174" s="17" t="s">
        <v>1511</v>
      </c>
      <c r="B174" s="17" t="s">
        <v>1072</v>
      </c>
      <c r="C174" s="17" t="s">
        <v>1507</v>
      </c>
      <c r="D174" s="17" t="s">
        <v>2596</v>
      </c>
      <c r="E174" s="21" t="s">
        <v>2752</v>
      </c>
      <c r="F174" s="22" t="s">
        <v>2753</v>
      </c>
      <c r="G174" s="22" t="s">
        <v>2754</v>
      </c>
      <c r="H174" s="21" t="s">
        <v>2755</v>
      </c>
      <c r="I174" s="22" t="s">
        <v>2756</v>
      </c>
      <c r="J174" s="21" t="s">
        <v>2757</v>
      </c>
      <c r="K174" s="22" t="s">
        <v>2758</v>
      </c>
      <c r="L174" s="22" t="s">
        <v>2759</v>
      </c>
      <c r="M174" s="24" t="s">
        <v>2760</v>
      </c>
      <c r="N174" s="23" t="s">
        <v>2761</v>
      </c>
      <c r="O174" s="23" t="s">
        <v>2762</v>
      </c>
      <c r="P174" s="23" t="s">
        <v>1634</v>
      </c>
      <c r="Q174" s="23" t="s">
        <v>2763</v>
      </c>
      <c r="R174" s="23" t="s">
        <v>2764</v>
      </c>
    </row>
    <row r="175" customFormat="false" ht="219.75" hidden="false" customHeight="true" outlineLevel="0" collapsed="false">
      <c r="A175" s="17" t="s">
        <v>1511</v>
      </c>
      <c r="B175" s="17" t="s">
        <v>954</v>
      </c>
      <c r="C175" s="17" t="s">
        <v>1528</v>
      </c>
      <c r="D175" s="17" t="s">
        <v>2596</v>
      </c>
      <c r="E175" s="21" t="s">
        <v>2765</v>
      </c>
      <c r="F175" s="22" t="s">
        <v>2766</v>
      </c>
      <c r="G175" s="21" t="s">
        <v>2767</v>
      </c>
      <c r="H175" s="22" t="s">
        <v>2768</v>
      </c>
      <c r="I175" s="21" t="s">
        <v>2769</v>
      </c>
      <c r="J175" s="21" t="s">
        <v>2770</v>
      </c>
      <c r="K175" s="22" t="s">
        <v>2758</v>
      </c>
      <c r="L175" s="22" t="s">
        <v>2771</v>
      </c>
      <c r="M175" s="24" t="s">
        <v>2772</v>
      </c>
      <c r="N175" s="23" t="s">
        <v>2773</v>
      </c>
      <c r="O175" s="23" t="s">
        <v>2774</v>
      </c>
      <c r="P175" s="23" t="s">
        <v>1634</v>
      </c>
      <c r="Q175" s="23" t="s">
        <v>2775</v>
      </c>
      <c r="R175" s="23" t="s">
        <v>2764</v>
      </c>
    </row>
    <row r="176" customFormat="false" ht="219.75" hidden="false" customHeight="true" outlineLevel="0" collapsed="false">
      <c r="A176" s="17" t="s">
        <v>1534</v>
      </c>
      <c r="B176" s="17" t="s">
        <v>846</v>
      </c>
      <c r="C176" s="17" t="s">
        <v>838</v>
      </c>
      <c r="D176" s="17" t="s">
        <v>2776</v>
      </c>
      <c r="E176" s="21" t="s">
        <v>1617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2777</v>
      </c>
      <c r="N176" s="23" t="s">
        <v>2778</v>
      </c>
      <c r="O176" s="24" t="s">
        <v>2779</v>
      </c>
      <c r="P176" s="24" t="s">
        <v>39</v>
      </c>
      <c r="Q176" s="23" t="s">
        <v>2780</v>
      </c>
      <c r="R176" s="23" t="s">
        <v>2764</v>
      </c>
    </row>
    <row r="177" customFormat="false" ht="219.75" hidden="false" customHeight="true" outlineLevel="0" collapsed="false">
      <c r="A177" s="17" t="s">
        <v>1537</v>
      </c>
      <c r="B177" s="17" t="s">
        <v>846</v>
      </c>
      <c r="C177" s="17" t="s">
        <v>838</v>
      </c>
      <c r="D177" s="17" t="s">
        <v>2776</v>
      </c>
      <c r="E177" s="21" t="s">
        <v>2781</v>
      </c>
      <c r="F177" s="22" t="s">
        <v>2782</v>
      </c>
      <c r="G177" s="22" t="s">
        <v>2783</v>
      </c>
      <c r="H177" s="21" t="s">
        <v>2784</v>
      </c>
      <c r="I177" s="21" t="s">
        <v>2785</v>
      </c>
      <c r="J177" s="22" t="s">
        <v>2786</v>
      </c>
      <c r="K177" s="22" t="s">
        <v>2787</v>
      </c>
      <c r="L177" s="22" t="s">
        <v>2788</v>
      </c>
      <c r="M177" s="24" t="s">
        <v>2789</v>
      </c>
      <c r="N177" s="23" t="s">
        <v>2790</v>
      </c>
      <c r="O177" s="24" t="s">
        <v>2791</v>
      </c>
      <c r="P177" s="23" t="s">
        <v>1634</v>
      </c>
      <c r="Q177" s="23" t="s">
        <v>2792</v>
      </c>
      <c r="R177" s="23" t="s">
        <v>2764</v>
      </c>
    </row>
    <row r="178" customFormat="false" ht="219.75" hidden="false" customHeight="true" outlineLevel="0" collapsed="false">
      <c r="A178" s="17" t="s">
        <v>1541</v>
      </c>
      <c r="B178" s="17" t="s">
        <v>1539</v>
      </c>
      <c r="C178" s="17" t="s">
        <v>880</v>
      </c>
      <c r="D178" s="17" t="s">
        <v>2793</v>
      </c>
      <c r="E178" s="21" t="s">
        <v>1617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2794</v>
      </c>
      <c r="N178" s="23" t="s">
        <v>2795</v>
      </c>
      <c r="O178" s="24" t="s">
        <v>2796</v>
      </c>
      <c r="P178" s="24" t="s">
        <v>39</v>
      </c>
      <c r="Q178" s="23" t="s">
        <v>2797</v>
      </c>
      <c r="R178" s="23" t="s">
        <v>2798</v>
      </c>
    </row>
    <row r="179" customFormat="false" ht="219.75" hidden="false" customHeight="true" outlineLevel="0" collapsed="false">
      <c r="A179" s="17" t="s">
        <v>1541</v>
      </c>
      <c r="B179" s="17" t="s">
        <v>804</v>
      </c>
      <c r="C179" s="17" t="s">
        <v>798</v>
      </c>
      <c r="D179" s="17" t="s">
        <v>2793</v>
      </c>
      <c r="E179" s="21" t="s">
        <v>1617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2799</v>
      </c>
      <c r="N179" s="23" t="s">
        <v>2800</v>
      </c>
      <c r="O179" s="23" t="s">
        <v>2801</v>
      </c>
      <c r="P179" s="24" t="s">
        <v>39</v>
      </c>
      <c r="Q179" s="23" t="s">
        <v>2802</v>
      </c>
      <c r="R179" s="23" t="s">
        <v>2798</v>
      </c>
    </row>
    <row r="180" customFormat="false" ht="219.75" hidden="false" customHeight="true" outlineLevel="0" collapsed="false">
      <c r="A180" s="17" t="s">
        <v>1541</v>
      </c>
      <c r="B180" s="17" t="s">
        <v>1550</v>
      </c>
      <c r="C180" s="17" t="s">
        <v>932</v>
      </c>
      <c r="D180" s="17" t="s">
        <v>2793</v>
      </c>
      <c r="E180" s="21" t="s">
        <v>1617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2803</v>
      </c>
      <c r="N180" s="23" t="s">
        <v>2804</v>
      </c>
      <c r="O180" s="24" t="s">
        <v>2805</v>
      </c>
      <c r="P180" s="23" t="s">
        <v>1649</v>
      </c>
      <c r="Q180" s="23" t="s">
        <v>2806</v>
      </c>
      <c r="R180" s="23" t="s">
        <v>2798</v>
      </c>
    </row>
    <row r="181" customFormat="false" ht="240" hidden="false" customHeight="true" outlineLevel="0" collapsed="false">
      <c r="A181" s="17" t="s">
        <v>1544</v>
      </c>
      <c r="B181" s="17" t="s">
        <v>1539</v>
      </c>
      <c r="C181" s="17" t="s">
        <v>880</v>
      </c>
      <c r="D181" s="17" t="s">
        <v>2807</v>
      </c>
      <c r="E181" s="21" t="s">
        <v>2808</v>
      </c>
      <c r="F181" s="22" t="s">
        <v>1543</v>
      </c>
      <c r="G181" s="21" t="s">
        <v>2809</v>
      </c>
      <c r="H181" s="21" t="s">
        <v>2810</v>
      </c>
      <c r="I181" s="21" t="s">
        <v>2811</v>
      </c>
      <c r="J181" s="21" t="s">
        <v>2812</v>
      </c>
      <c r="K181" s="22" t="s">
        <v>2813</v>
      </c>
      <c r="L181" s="22" t="s">
        <v>2814</v>
      </c>
      <c r="M181" s="24" t="s">
        <v>2815</v>
      </c>
      <c r="N181" s="23" t="s">
        <v>2816</v>
      </c>
      <c r="O181" s="24" t="s">
        <v>2817</v>
      </c>
      <c r="P181" s="23" t="s">
        <v>1634</v>
      </c>
      <c r="Q181" s="23" t="s">
        <v>2818</v>
      </c>
      <c r="R181" s="23" t="s">
        <v>2819</v>
      </c>
    </row>
    <row r="182" customFormat="false" ht="240" hidden="false" customHeight="true" outlineLevel="0" collapsed="false">
      <c r="A182" s="17" t="s">
        <v>1544</v>
      </c>
      <c r="B182" s="17" t="s">
        <v>804</v>
      </c>
      <c r="C182" s="17" t="s">
        <v>798</v>
      </c>
      <c r="D182" s="17" t="s">
        <v>2807</v>
      </c>
      <c r="E182" s="21" t="s">
        <v>2820</v>
      </c>
      <c r="F182" s="22" t="s">
        <v>1548</v>
      </c>
      <c r="G182" s="21" t="s">
        <v>2821</v>
      </c>
      <c r="H182" s="22" t="s">
        <v>2822</v>
      </c>
      <c r="I182" s="22" t="s">
        <v>2823</v>
      </c>
      <c r="J182" s="21" t="s">
        <v>2824</v>
      </c>
      <c r="K182" s="22" t="s">
        <v>2813</v>
      </c>
      <c r="L182" s="22" t="s">
        <v>2825</v>
      </c>
      <c r="M182" s="24" t="s">
        <v>2826</v>
      </c>
      <c r="N182" s="23" t="s">
        <v>2827</v>
      </c>
      <c r="O182" s="23" t="s">
        <v>2828</v>
      </c>
      <c r="P182" s="23" t="s">
        <v>1634</v>
      </c>
      <c r="Q182" s="23" t="s">
        <v>2829</v>
      </c>
      <c r="R182" s="23" t="s">
        <v>2819</v>
      </c>
    </row>
    <row r="183" customFormat="false" ht="240" hidden="false" customHeight="true" outlineLevel="0" collapsed="false">
      <c r="A183" s="17" t="s">
        <v>1544</v>
      </c>
      <c r="B183" s="17" t="s">
        <v>1550</v>
      </c>
      <c r="C183" s="17" t="s">
        <v>932</v>
      </c>
      <c r="D183" s="17" t="s">
        <v>2807</v>
      </c>
      <c r="E183" s="21" t="s">
        <v>2830</v>
      </c>
      <c r="F183" s="22" t="s">
        <v>1553</v>
      </c>
      <c r="G183" s="22" t="s">
        <v>2831</v>
      </c>
      <c r="H183" s="22" t="s">
        <v>2832</v>
      </c>
      <c r="I183" s="21" t="s">
        <v>2833</v>
      </c>
      <c r="J183" s="21" t="s">
        <v>2834</v>
      </c>
      <c r="K183" s="22" t="s">
        <v>2813</v>
      </c>
      <c r="L183" s="22" t="s">
        <v>2835</v>
      </c>
      <c r="M183" s="23" t="s">
        <v>2836</v>
      </c>
      <c r="N183" s="23" t="s">
        <v>2837</v>
      </c>
      <c r="O183" s="24" t="s">
        <v>2838</v>
      </c>
      <c r="P183" s="23" t="s">
        <v>1634</v>
      </c>
      <c r="Q183" s="23" t="s">
        <v>2839</v>
      </c>
      <c r="R183" s="23" t="s">
        <v>2819</v>
      </c>
    </row>
    <row r="184" customFormat="false" ht="240" hidden="false" customHeight="true" outlineLevel="0" collapsed="false">
      <c r="A184" s="17" t="s">
        <v>1557</v>
      </c>
      <c r="B184" s="17" t="s">
        <v>914</v>
      </c>
      <c r="C184" s="17" t="s">
        <v>2840</v>
      </c>
      <c r="D184" s="17" t="s">
        <v>2841</v>
      </c>
      <c r="E184" s="21" t="s">
        <v>1617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2842</v>
      </c>
      <c r="N184" s="23" t="s">
        <v>2843</v>
      </c>
      <c r="O184" s="24" t="s">
        <v>2844</v>
      </c>
      <c r="P184" s="23" t="s">
        <v>1649</v>
      </c>
      <c r="Q184" s="23" t="s">
        <v>2845</v>
      </c>
      <c r="R184" s="23" t="s">
        <v>2819</v>
      </c>
    </row>
    <row r="185" customFormat="false" ht="240" hidden="false" customHeight="true" outlineLevel="0" collapsed="false">
      <c r="A185" s="17" t="s">
        <v>1557</v>
      </c>
      <c r="B185" s="17" t="s">
        <v>914</v>
      </c>
      <c r="C185" s="17" t="s">
        <v>2840</v>
      </c>
      <c r="D185" s="17" t="s">
        <v>2841</v>
      </c>
      <c r="E185" s="21" t="s">
        <v>2846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2847</v>
      </c>
      <c r="N185" s="23" t="s">
        <v>2848</v>
      </c>
      <c r="O185" s="24" t="s">
        <v>2849</v>
      </c>
      <c r="P185" s="23" t="s">
        <v>1634</v>
      </c>
      <c r="Q185" s="23" t="s">
        <v>2850</v>
      </c>
      <c r="R185" s="23" t="s">
        <v>2819</v>
      </c>
    </row>
    <row r="186" customFormat="false" ht="240" hidden="false" customHeight="true" outlineLevel="0" collapsed="false">
      <c r="A186" s="17" t="s">
        <v>1562</v>
      </c>
      <c r="B186" s="17" t="s">
        <v>1560</v>
      </c>
      <c r="C186" s="17" t="s">
        <v>1103</v>
      </c>
      <c r="D186" s="17" t="s">
        <v>2851</v>
      </c>
      <c r="E186" s="21" t="s">
        <v>1617</v>
      </c>
      <c r="F186" s="22" t="s">
        <v>136</v>
      </c>
      <c r="G186" s="22" t="s">
        <v>136</v>
      </c>
      <c r="H186" s="22" t="s">
        <v>136</v>
      </c>
      <c r="I186" s="21" t="s">
        <v>136</v>
      </c>
      <c r="J186" s="21" t="s">
        <v>136</v>
      </c>
      <c r="K186" s="22" t="s">
        <v>136</v>
      </c>
      <c r="L186" s="22" t="s">
        <v>136</v>
      </c>
      <c r="M186" s="23" t="s">
        <v>2852</v>
      </c>
      <c r="N186" s="23" t="s">
        <v>2853</v>
      </c>
      <c r="O186" s="24" t="s">
        <v>2854</v>
      </c>
      <c r="P186" s="23" t="s">
        <v>39</v>
      </c>
      <c r="Q186" s="23" t="s">
        <v>2855</v>
      </c>
      <c r="R186" s="23" t="s">
        <v>2856</v>
      </c>
    </row>
    <row r="187" customFormat="false" ht="240" hidden="false" customHeight="true" outlineLevel="0" collapsed="false">
      <c r="A187" s="17" t="s">
        <v>1562</v>
      </c>
      <c r="B187" s="17" t="s">
        <v>747</v>
      </c>
      <c r="C187" s="17" t="s">
        <v>738</v>
      </c>
      <c r="D187" s="17" t="s">
        <v>2851</v>
      </c>
      <c r="E187" s="21" t="s">
        <v>1617</v>
      </c>
      <c r="F187" s="22" t="s">
        <v>136</v>
      </c>
      <c r="G187" s="22" t="s">
        <v>136</v>
      </c>
      <c r="H187" s="22" t="s">
        <v>136</v>
      </c>
      <c r="I187" s="21" t="s">
        <v>136</v>
      </c>
      <c r="J187" s="21" t="s">
        <v>136</v>
      </c>
      <c r="K187" s="22" t="s">
        <v>136</v>
      </c>
      <c r="L187" s="22" t="s">
        <v>136</v>
      </c>
      <c r="M187" s="23" t="s">
        <v>2857</v>
      </c>
      <c r="N187" s="23" t="s">
        <v>2858</v>
      </c>
      <c r="O187" s="23" t="s">
        <v>2859</v>
      </c>
      <c r="P187" s="23" t="s">
        <v>39</v>
      </c>
      <c r="Q187" s="23" t="s">
        <v>2860</v>
      </c>
      <c r="R187" s="23" t="s">
        <v>2856</v>
      </c>
    </row>
    <row r="188" customFormat="false" ht="240" hidden="false" customHeight="true" outlineLevel="0" collapsed="false">
      <c r="A188" s="17" t="s">
        <v>1562</v>
      </c>
      <c r="B188" s="17" t="s">
        <v>1571</v>
      </c>
      <c r="C188" s="17" t="s">
        <v>813</v>
      </c>
      <c r="D188" s="17" t="s">
        <v>2851</v>
      </c>
      <c r="E188" s="21" t="s">
        <v>1617</v>
      </c>
      <c r="F188" s="22" t="s">
        <v>136</v>
      </c>
      <c r="G188" s="22" t="s">
        <v>136</v>
      </c>
      <c r="H188" s="22" t="s">
        <v>136</v>
      </c>
      <c r="I188" s="21" t="s">
        <v>136</v>
      </c>
      <c r="J188" s="21" t="s">
        <v>136</v>
      </c>
      <c r="K188" s="22" t="s">
        <v>136</v>
      </c>
      <c r="L188" s="22" t="s">
        <v>136</v>
      </c>
      <c r="M188" s="23" t="s">
        <v>2861</v>
      </c>
      <c r="N188" s="23" t="s">
        <v>2862</v>
      </c>
      <c r="O188" s="24" t="s">
        <v>2863</v>
      </c>
      <c r="P188" s="23" t="s">
        <v>1649</v>
      </c>
      <c r="Q188" s="23" t="s">
        <v>2864</v>
      </c>
      <c r="R188" s="23" t="s">
        <v>2856</v>
      </c>
    </row>
    <row r="189" customFormat="false" ht="240" hidden="false" customHeight="true" outlineLevel="0" collapsed="false">
      <c r="A189" s="17" t="s">
        <v>1562</v>
      </c>
      <c r="B189" s="17" t="s">
        <v>1576</v>
      </c>
      <c r="C189" s="17" t="s">
        <v>187</v>
      </c>
      <c r="D189" s="17" t="s">
        <v>2851</v>
      </c>
      <c r="E189" s="21" t="s">
        <v>1617</v>
      </c>
      <c r="F189" s="22" t="s">
        <v>136</v>
      </c>
      <c r="G189" s="22" t="s">
        <v>136</v>
      </c>
      <c r="H189" s="22" t="s">
        <v>136</v>
      </c>
      <c r="I189" s="21" t="s">
        <v>136</v>
      </c>
      <c r="J189" s="21" t="s">
        <v>136</v>
      </c>
      <c r="K189" s="22" t="s">
        <v>136</v>
      </c>
      <c r="L189" s="22" t="s">
        <v>136</v>
      </c>
      <c r="M189" s="23" t="s">
        <v>2865</v>
      </c>
      <c r="N189" s="23" t="s">
        <v>2866</v>
      </c>
      <c r="O189" s="23" t="s">
        <v>2867</v>
      </c>
      <c r="P189" s="23" t="s">
        <v>39</v>
      </c>
      <c r="Q189" s="23" t="s">
        <v>2868</v>
      </c>
      <c r="R189" s="23" t="s">
        <v>2856</v>
      </c>
    </row>
    <row r="190" customFormat="false" ht="240" hidden="false" customHeight="true" outlineLevel="0" collapsed="false">
      <c r="A190" s="17" t="s">
        <v>1562</v>
      </c>
      <c r="B190" s="17" t="s">
        <v>1581</v>
      </c>
      <c r="C190" s="17" t="s">
        <v>187</v>
      </c>
      <c r="D190" s="17" t="s">
        <v>2851</v>
      </c>
      <c r="E190" s="21" t="s">
        <v>1617</v>
      </c>
      <c r="F190" s="22" t="s">
        <v>136</v>
      </c>
      <c r="G190" s="22" t="s">
        <v>136</v>
      </c>
      <c r="H190" s="22" t="s">
        <v>136</v>
      </c>
      <c r="I190" s="21" t="s">
        <v>136</v>
      </c>
      <c r="J190" s="21" t="s">
        <v>136</v>
      </c>
      <c r="K190" s="22" t="s">
        <v>136</v>
      </c>
      <c r="L190" s="22" t="s">
        <v>136</v>
      </c>
      <c r="M190" s="23" t="s">
        <v>2869</v>
      </c>
      <c r="N190" s="23" t="s">
        <v>2870</v>
      </c>
      <c r="O190" s="24" t="s">
        <v>2871</v>
      </c>
      <c r="P190" s="23" t="s">
        <v>1649</v>
      </c>
      <c r="Q190" s="23" t="s">
        <v>2872</v>
      </c>
      <c r="R190" s="23" t="s">
        <v>2856</v>
      </c>
    </row>
    <row r="191" customFormat="false" ht="240" hidden="false" customHeight="true" outlineLevel="0" collapsed="false">
      <c r="A191" s="17" t="s">
        <v>1565</v>
      </c>
      <c r="B191" s="17" t="s">
        <v>1560</v>
      </c>
      <c r="C191" s="17" t="s">
        <v>1103</v>
      </c>
      <c r="D191" s="17" t="s">
        <v>2873</v>
      </c>
      <c r="E191" s="21" t="s">
        <v>2874</v>
      </c>
      <c r="F191" s="22" t="s">
        <v>1564</v>
      </c>
      <c r="G191" s="21" t="s">
        <v>2875</v>
      </c>
      <c r="H191" s="21" t="s">
        <v>2876</v>
      </c>
      <c r="I191" s="21" t="s">
        <v>2877</v>
      </c>
      <c r="J191" s="21" t="s">
        <v>2878</v>
      </c>
      <c r="K191" s="22" t="s">
        <v>2879</v>
      </c>
      <c r="L191" s="22" t="s">
        <v>2880</v>
      </c>
      <c r="M191" s="23" t="s">
        <v>2881</v>
      </c>
      <c r="N191" s="23" t="s">
        <v>2882</v>
      </c>
      <c r="O191" s="24" t="s">
        <v>2883</v>
      </c>
      <c r="P191" s="23" t="s">
        <v>1634</v>
      </c>
      <c r="Q191" s="23" t="s">
        <v>1635</v>
      </c>
      <c r="R191" s="23" t="s">
        <v>2884</v>
      </c>
    </row>
    <row r="192" customFormat="false" ht="240" hidden="false" customHeight="true" outlineLevel="0" collapsed="false">
      <c r="A192" s="17" t="s">
        <v>1565</v>
      </c>
      <c r="B192" s="17" t="s">
        <v>747</v>
      </c>
      <c r="C192" s="17" t="s">
        <v>738</v>
      </c>
      <c r="D192" s="17" t="s">
        <v>2873</v>
      </c>
      <c r="E192" s="21" t="s">
        <v>2885</v>
      </c>
      <c r="F192" s="22" t="s">
        <v>1569</v>
      </c>
      <c r="G192" s="21" t="s">
        <v>2886</v>
      </c>
      <c r="H192" s="21" t="s">
        <v>2887</v>
      </c>
      <c r="I192" s="21" t="s">
        <v>2888</v>
      </c>
      <c r="J192" s="21" t="s">
        <v>2889</v>
      </c>
      <c r="K192" s="22" t="s">
        <v>2879</v>
      </c>
      <c r="L192" s="22" t="s">
        <v>2880</v>
      </c>
      <c r="M192" s="23" t="s">
        <v>2890</v>
      </c>
      <c r="N192" s="23" t="s">
        <v>2891</v>
      </c>
      <c r="O192" s="24" t="s">
        <v>2892</v>
      </c>
      <c r="P192" s="23" t="s">
        <v>1634</v>
      </c>
      <c r="Q192" s="23" t="s">
        <v>1635</v>
      </c>
      <c r="R192" s="23" t="s">
        <v>2884</v>
      </c>
    </row>
    <row r="193" customFormat="false" ht="240" hidden="false" customHeight="true" outlineLevel="0" collapsed="false">
      <c r="A193" s="17" t="s">
        <v>1565</v>
      </c>
      <c r="B193" s="17" t="s">
        <v>1571</v>
      </c>
      <c r="C193" s="17" t="s">
        <v>2893</v>
      </c>
      <c r="D193" s="17" t="s">
        <v>2873</v>
      </c>
      <c r="E193" s="21" t="s">
        <v>2894</v>
      </c>
      <c r="F193" s="22" t="s">
        <v>1574</v>
      </c>
      <c r="G193" s="21" t="s">
        <v>2895</v>
      </c>
      <c r="H193" s="21" t="s">
        <v>2896</v>
      </c>
      <c r="I193" s="21" t="s">
        <v>2897</v>
      </c>
      <c r="J193" s="21" t="s">
        <v>2898</v>
      </c>
      <c r="K193" s="22" t="s">
        <v>2879</v>
      </c>
      <c r="L193" s="22" t="s">
        <v>2880</v>
      </c>
      <c r="M193" s="23" t="s">
        <v>2899</v>
      </c>
      <c r="N193" s="23" t="s">
        <v>2900</v>
      </c>
      <c r="O193" s="24" t="s">
        <v>2901</v>
      </c>
      <c r="P193" s="23" t="s">
        <v>1634</v>
      </c>
      <c r="Q193" s="23" t="s">
        <v>1635</v>
      </c>
      <c r="R193" s="23" t="s">
        <v>2884</v>
      </c>
    </row>
    <row r="194" customFormat="false" ht="240" hidden="false" customHeight="true" outlineLevel="0" collapsed="false">
      <c r="A194" s="17" t="s">
        <v>1565</v>
      </c>
      <c r="B194" s="17" t="s">
        <v>1576</v>
      </c>
      <c r="C194" s="17" t="s">
        <v>187</v>
      </c>
      <c r="D194" s="17" t="s">
        <v>2873</v>
      </c>
      <c r="E194" s="21" t="s">
        <v>2902</v>
      </c>
      <c r="F194" s="22" t="s">
        <v>1579</v>
      </c>
      <c r="G194" s="21" t="s">
        <v>2903</v>
      </c>
      <c r="H194" s="21" t="s">
        <v>2904</v>
      </c>
      <c r="I194" s="21" t="s">
        <v>2905</v>
      </c>
      <c r="J194" s="21" t="s">
        <v>2906</v>
      </c>
      <c r="K194" s="22" t="s">
        <v>2879</v>
      </c>
      <c r="L194" s="22" t="s">
        <v>2880</v>
      </c>
      <c r="M194" s="23" t="s">
        <v>2907</v>
      </c>
      <c r="N194" s="23" t="s">
        <v>2908</v>
      </c>
      <c r="O194" s="24" t="s">
        <v>2909</v>
      </c>
      <c r="P194" s="23" t="s">
        <v>1634</v>
      </c>
      <c r="Q194" s="23" t="s">
        <v>2910</v>
      </c>
      <c r="R194" s="23" t="s">
        <v>2884</v>
      </c>
    </row>
    <row r="195" customFormat="false" ht="240" hidden="false" customHeight="true" outlineLevel="0" collapsed="false">
      <c r="A195" s="17" t="s">
        <v>1565</v>
      </c>
      <c r="B195" s="17" t="s">
        <v>1581</v>
      </c>
      <c r="C195" s="17" t="s">
        <v>187</v>
      </c>
      <c r="D195" s="17" t="s">
        <v>2873</v>
      </c>
      <c r="E195" s="21" t="s">
        <v>2911</v>
      </c>
      <c r="F195" s="22" t="s">
        <v>1584</v>
      </c>
      <c r="G195" s="21" t="s">
        <v>2912</v>
      </c>
      <c r="H195" s="22" t="s">
        <v>2913</v>
      </c>
      <c r="I195" s="21" t="s">
        <v>2914</v>
      </c>
      <c r="J195" s="21" t="s">
        <v>2915</v>
      </c>
      <c r="K195" s="22" t="s">
        <v>2879</v>
      </c>
      <c r="L195" s="22" t="s">
        <v>2880</v>
      </c>
      <c r="M195" s="23" t="s">
        <v>2916</v>
      </c>
      <c r="N195" s="23" t="s">
        <v>2917</v>
      </c>
      <c r="O195" s="24" t="s">
        <v>2918</v>
      </c>
      <c r="P195" s="23" t="s">
        <v>1634</v>
      </c>
      <c r="Q195" s="23" t="s">
        <v>1635</v>
      </c>
      <c r="R195" s="23" t="s">
        <v>2884</v>
      </c>
    </row>
    <row r="196" customFormat="false" ht="240" hidden="false" customHeight="true" outlineLevel="0" collapsed="false">
      <c r="A196" s="17" t="s">
        <v>1591</v>
      </c>
      <c r="B196" s="17" t="s">
        <v>1586</v>
      </c>
      <c r="C196" s="17" t="s">
        <v>1587</v>
      </c>
      <c r="D196" s="17" t="s">
        <v>2873</v>
      </c>
      <c r="E196" s="21" t="s">
        <v>2919</v>
      </c>
      <c r="F196" s="22" t="s">
        <v>1590</v>
      </c>
      <c r="G196" s="21" t="s">
        <v>2920</v>
      </c>
      <c r="H196" s="22" t="s">
        <v>2921</v>
      </c>
      <c r="I196" s="21" t="s">
        <v>2922</v>
      </c>
      <c r="J196" s="21" t="s">
        <v>2923</v>
      </c>
      <c r="K196" s="22" t="s">
        <v>2924</v>
      </c>
      <c r="L196" s="22" t="s">
        <v>2925</v>
      </c>
      <c r="M196" s="23" t="s">
        <v>2926</v>
      </c>
      <c r="N196" s="23" t="s">
        <v>2927</v>
      </c>
      <c r="O196" s="24" t="s">
        <v>2928</v>
      </c>
      <c r="P196" s="23" t="s">
        <v>1634</v>
      </c>
      <c r="Q196" s="23" t="s">
        <v>2929</v>
      </c>
      <c r="R196" s="23" t="s">
        <v>2930</v>
      </c>
    </row>
    <row r="197" customFormat="false" ht="240" hidden="false" customHeight="true" outlineLevel="0" collapsed="false">
      <c r="A197" s="17" t="s">
        <v>1597</v>
      </c>
      <c r="B197" s="17" t="s">
        <v>1593</v>
      </c>
      <c r="C197" s="17" t="s">
        <v>238</v>
      </c>
      <c r="D197" s="17" t="s">
        <v>2931</v>
      </c>
      <c r="E197" s="21" t="s">
        <v>2932</v>
      </c>
      <c r="F197" s="22" t="s">
        <v>1596</v>
      </c>
      <c r="G197" s="21" t="s">
        <v>2933</v>
      </c>
      <c r="H197" s="28" t="s">
        <v>2934</v>
      </c>
      <c r="I197" s="21" t="s">
        <v>2935</v>
      </c>
      <c r="J197" s="21" t="s">
        <v>2936</v>
      </c>
      <c r="K197" s="22" t="s">
        <v>2937</v>
      </c>
      <c r="L197" s="22" t="s">
        <v>2938</v>
      </c>
      <c r="M197" s="23" t="s">
        <v>2939</v>
      </c>
      <c r="N197" s="23" t="s">
        <v>2940</v>
      </c>
      <c r="O197" s="24" t="s">
        <v>2941</v>
      </c>
      <c r="P197" s="23" t="s">
        <v>1634</v>
      </c>
      <c r="Q197" s="23" t="s">
        <v>2942</v>
      </c>
      <c r="R197" s="23" t="s">
        <v>2930</v>
      </c>
    </row>
    <row r="198" customFormat="false" ht="15" hidden="false" customHeight="true" outlineLevel="0" collapsed="false">
      <c r="A198" s="25"/>
    </row>
    <row r="199" customFormat="false" ht="15" hidden="false" customHeight="true" outlineLevel="0" collapsed="false">
      <c r="A199" s="25"/>
    </row>
    <row r="200" customFormat="false" ht="15" hidden="false" customHeight="true" outlineLevel="0" collapsed="false">
      <c r="A200" s="25"/>
    </row>
    <row r="201" customFormat="false" ht="15" hidden="false" customHeight="true" outlineLevel="0" collapsed="false">
      <c r="A201" s="25"/>
    </row>
    <row r="202" customFormat="false" ht="15" hidden="false" customHeight="true" outlineLevel="0" collapsed="false">
      <c r="A202" s="25"/>
    </row>
    <row r="203" customFormat="false" ht="15" hidden="false" customHeight="true" outlineLevel="0" collapsed="false">
      <c r="A203" s="25"/>
    </row>
    <row r="204" customFormat="false" ht="15" hidden="false" customHeight="true" outlineLevel="0" collapsed="false">
      <c r="A204" s="25"/>
    </row>
    <row r="205" customFormat="false" ht="15" hidden="false" customHeight="true" outlineLevel="0" collapsed="false">
      <c r="A205" s="25"/>
    </row>
    <row r="206" customFormat="false" ht="15" hidden="false" customHeight="true" outlineLevel="0" collapsed="false">
      <c r="A206" s="25"/>
    </row>
    <row r="207" customFormat="false" ht="15" hidden="false" customHeight="true" outlineLevel="0" collapsed="false">
      <c r="A207" s="25"/>
    </row>
    <row r="208" customFormat="false" ht="15" hidden="false" customHeight="true" outlineLevel="0" collapsed="false">
      <c r="A208" s="25"/>
    </row>
    <row r="209" customFormat="false" ht="15" hidden="false" customHeight="true" outlineLevel="0" collapsed="false">
      <c r="A209" s="25"/>
    </row>
    <row r="210" customFormat="false" ht="15" hidden="false" customHeight="true" outlineLevel="0" collapsed="false">
      <c r="A210" s="25"/>
    </row>
    <row r="211" customFormat="false" ht="15" hidden="false" customHeight="true" outlineLevel="0" collapsed="false">
      <c r="A211" s="25"/>
    </row>
    <row r="212" customFormat="false" ht="15" hidden="false" customHeight="true" outlineLevel="0" collapsed="false">
      <c r="A212" s="25"/>
    </row>
    <row r="213" customFormat="false" ht="15" hidden="false" customHeight="true" outlineLevel="0" collapsed="false">
      <c r="A213" s="25"/>
    </row>
    <row r="214" customFormat="false" ht="15" hidden="false" customHeight="true" outlineLevel="0" collapsed="false">
      <c r="A214" s="25"/>
    </row>
    <row r="215" customFormat="false" ht="15" hidden="false" customHeight="true" outlineLevel="0" collapsed="false">
      <c r="A215" s="25"/>
    </row>
    <row r="216" customFormat="false" ht="15" hidden="false" customHeight="true" outlineLevel="0" collapsed="false">
      <c r="A216" s="25"/>
    </row>
    <row r="217" customFormat="false" ht="15" hidden="false" customHeight="true" outlineLevel="0" collapsed="false">
      <c r="A217" s="25"/>
    </row>
    <row r="218" customFormat="false" ht="15" hidden="false" customHeight="true" outlineLevel="0" collapsed="false">
      <c r="A218" s="25"/>
    </row>
    <row r="219" customFormat="false" ht="15" hidden="false" customHeight="true" outlineLevel="0" collapsed="false">
      <c r="A219" s="25"/>
    </row>
    <row r="220" customFormat="false" ht="15" hidden="false" customHeight="true" outlineLevel="0" collapsed="false">
      <c r="A220" s="25"/>
    </row>
    <row r="221" customFormat="false" ht="15" hidden="false" customHeight="true" outlineLevel="0" collapsed="false">
      <c r="A221" s="25"/>
    </row>
    <row r="222" customFormat="false" ht="15" hidden="false" customHeight="true" outlineLevel="0" collapsed="false">
      <c r="A222" s="25"/>
    </row>
    <row r="223" customFormat="false" ht="15" hidden="false" customHeight="true" outlineLevel="0" collapsed="false">
      <c r="A223" s="25"/>
    </row>
    <row r="224" customFormat="false" ht="15" hidden="false" customHeight="true" outlineLevel="0" collapsed="false">
      <c r="A224" s="25"/>
    </row>
    <row r="225" customFormat="false" ht="15" hidden="false" customHeight="true" outlineLevel="0" collapsed="false">
      <c r="A225" s="25"/>
    </row>
    <row r="226" customFormat="false" ht="15" hidden="false" customHeight="true" outlineLevel="0" collapsed="false">
      <c r="A226" s="25"/>
    </row>
    <row r="227" customFormat="false" ht="15" hidden="false" customHeight="true" outlineLevel="0" collapsed="false">
      <c r="A227" s="25"/>
    </row>
    <row r="228" customFormat="false" ht="15" hidden="false" customHeight="true" outlineLevel="0" collapsed="false">
      <c r="A228" s="25"/>
    </row>
    <row r="229" customFormat="false" ht="15" hidden="false" customHeight="true" outlineLevel="0" collapsed="false">
      <c r="A229" s="25"/>
    </row>
    <row r="230" customFormat="false" ht="15" hidden="false" customHeight="true" outlineLevel="0" collapsed="false">
      <c r="A230" s="25"/>
    </row>
    <row r="231" customFormat="false" ht="15" hidden="false" customHeight="true" outlineLevel="0" collapsed="false">
      <c r="A231" s="25"/>
    </row>
    <row r="232" customFormat="false" ht="15" hidden="false" customHeight="true" outlineLevel="0" collapsed="false">
      <c r="A232" s="25"/>
    </row>
    <row r="233" customFormat="false" ht="15" hidden="false" customHeight="true" outlineLevel="0" collapsed="false">
      <c r="A233" s="25"/>
    </row>
    <row r="234" customFormat="false" ht="15" hidden="false" customHeight="true" outlineLevel="0" collapsed="false">
      <c r="A234" s="25"/>
    </row>
    <row r="235" customFormat="false" ht="15" hidden="false" customHeight="true" outlineLevel="0" collapsed="false">
      <c r="A235" s="25"/>
    </row>
    <row r="236" customFormat="false" ht="15" hidden="false" customHeight="true" outlineLevel="0" collapsed="false">
      <c r="A236" s="25"/>
    </row>
    <row r="237" customFormat="false" ht="15" hidden="false" customHeight="true" outlineLevel="0" collapsed="false">
      <c r="A237" s="25"/>
    </row>
    <row r="238" customFormat="false" ht="15" hidden="false" customHeight="true" outlineLevel="0" collapsed="false">
      <c r="A238" s="25"/>
    </row>
    <row r="239" customFormat="false" ht="15" hidden="false" customHeight="true" outlineLevel="0" collapsed="false">
      <c r="A239" s="25"/>
    </row>
    <row r="240" customFormat="false" ht="15" hidden="false" customHeight="true" outlineLevel="0" collapsed="false">
      <c r="A240" s="25"/>
    </row>
    <row r="241" customFormat="false" ht="15" hidden="false" customHeight="true" outlineLevel="0" collapsed="false">
      <c r="A241" s="25"/>
    </row>
    <row r="242" customFormat="false" ht="15" hidden="false" customHeight="true" outlineLevel="0" collapsed="false">
      <c r="A242" s="25"/>
    </row>
    <row r="243" customFormat="false" ht="15" hidden="false" customHeight="true" outlineLevel="0" collapsed="false">
      <c r="A243" s="25"/>
    </row>
    <row r="244" customFormat="false" ht="15" hidden="false" customHeight="true" outlineLevel="0" collapsed="false">
      <c r="A244" s="25"/>
    </row>
    <row r="245" customFormat="false" ht="15" hidden="false" customHeight="true" outlineLevel="0" collapsed="false">
      <c r="A245" s="25"/>
    </row>
    <row r="246" customFormat="false" ht="15" hidden="false" customHeight="true" outlineLevel="0" collapsed="false">
      <c r="A246" s="25"/>
    </row>
    <row r="247" customFormat="false" ht="15" hidden="false" customHeight="true" outlineLevel="0" collapsed="false">
      <c r="A247" s="25"/>
    </row>
    <row r="248" customFormat="false" ht="15" hidden="false" customHeight="true" outlineLevel="0" collapsed="false">
      <c r="A248" s="25"/>
    </row>
    <row r="249" customFormat="false" ht="15" hidden="false" customHeight="true" outlineLevel="0" collapsed="false">
      <c r="A249" s="25"/>
    </row>
    <row r="250" customFormat="false" ht="15" hidden="false" customHeight="true" outlineLevel="0" collapsed="false">
      <c r="A250" s="25"/>
    </row>
    <row r="251" customFormat="false" ht="15" hidden="false" customHeight="true" outlineLevel="0" collapsed="false">
      <c r="A251" s="25"/>
    </row>
    <row r="252" customFormat="false" ht="15" hidden="false" customHeight="true" outlineLevel="0" collapsed="false">
      <c r="A252" s="25"/>
    </row>
    <row r="253" customFormat="false" ht="15" hidden="false" customHeight="true" outlineLevel="0" collapsed="false">
      <c r="A253" s="25"/>
    </row>
    <row r="254" customFormat="false" ht="15" hidden="false" customHeight="true" outlineLevel="0" collapsed="false">
      <c r="A254" s="25"/>
    </row>
    <row r="255" customFormat="false" ht="15" hidden="false" customHeight="true" outlineLevel="0" collapsed="false">
      <c r="A255" s="25"/>
    </row>
    <row r="256" customFormat="false" ht="15" hidden="false" customHeight="true" outlineLevel="0" collapsed="false">
      <c r="A256" s="25"/>
    </row>
    <row r="257" customFormat="false" ht="15" hidden="false" customHeight="true" outlineLevel="0" collapsed="false">
      <c r="A257" s="25"/>
    </row>
    <row r="258" customFormat="false" ht="15" hidden="false" customHeight="true" outlineLevel="0" collapsed="false">
      <c r="A258" s="25"/>
    </row>
    <row r="259" customFormat="false" ht="15" hidden="false" customHeight="true" outlineLevel="0" collapsed="false">
      <c r="A259" s="25"/>
    </row>
    <row r="260" customFormat="false" ht="15" hidden="false" customHeight="true" outlineLevel="0" collapsed="false">
      <c r="A260" s="25"/>
    </row>
    <row r="261" customFormat="false" ht="15" hidden="false" customHeight="true" outlineLevel="0" collapsed="false">
      <c r="A261" s="25"/>
    </row>
    <row r="262" customFormat="false" ht="15" hidden="false" customHeight="true" outlineLevel="0" collapsed="false">
      <c r="A262" s="25"/>
    </row>
    <row r="263" customFormat="false" ht="15" hidden="false" customHeight="true" outlineLevel="0" collapsed="false">
      <c r="A263" s="25"/>
    </row>
    <row r="264" customFormat="false" ht="15" hidden="false" customHeight="true" outlineLevel="0" collapsed="false">
      <c r="A264" s="25"/>
    </row>
    <row r="265" customFormat="false" ht="15" hidden="false" customHeight="true" outlineLevel="0" collapsed="false">
      <c r="A265" s="25"/>
    </row>
    <row r="266" customFormat="false" ht="15" hidden="false" customHeight="true" outlineLevel="0" collapsed="false">
      <c r="A266" s="25"/>
    </row>
    <row r="267" customFormat="false" ht="15" hidden="false" customHeight="true" outlineLevel="0" collapsed="false">
      <c r="A267" s="25"/>
    </row>
    <row r="268" customFormat="false" ht="15" hidden="false" customHeight="true" outlineLevel="0" collapsed="false">
      <c r="A268" s="25"/>
    </row>
    <row r="269" customFormat="false" ht="15" hidden="false" customHeight="true" outlineLevel="0" collapsed="false">
      <c r="A269" s="25"/>
    </row>
    <row r="270" customFormat="false" ht="15" hidden="false" customHeight="true" outlineLevel="0" collapsed="false">
      <c r="A270" s="25"/>
    </row>
    <row r="271" customFormat="false" ht="15" hidden="false" customHeight="true" outlineLevel="0" collapsed="false">
      <c r="A271" s="25"/>
    </row>
    <row r="272" customFormat="false" ht="15" hidden="false" customHeight="true" outlineLevel="0" collapsed="false">
      <c r="A272" s="25"/>
    </row>
    <row r="273" customFormat="false" ht="15" hidden="false" customHeight="true" outlineLevel="0" collapsed="false">
      <c r="A273" s="25"/>
    </row>
    <row r="274" customFormat="false" ht="15" hidden="false" customHeight="true" outlineLevel="0" collapsed="false">
      <c r="A274" s="25"/>
    </row>
    <row r="275" customFormat="false" ht="15" hidden="false" customHeight="true" outlineLevel="0" collapsed="false">
      <c r="A275" s="25"/>
    </row>
    <row r="276" customFormat="false" ht="15" hidden="false" customHeight="true" outlineLevel="0" collapsed="false">
      <c r="A276" s="25"/>
    </row>
    <row r="277" customFormat="false" ht="15" hidden="false" customHeight="true" outlineLevel="0" collapsed="false">
      <c r="A277" s="25"/>
    </row>
    <row r="278" customFormat="false" ht="15" hidden="false" customHeight="true" outlineLevel="0" collapsed="false">
      <c r="A278" s="25"/>
    </row>
    <row r="279" customFormat="false" ht="15" hidden="false" customHeight="true" outlineLevel="0" collapsed="false">
      <c r="A279" s="25"/>
    </row>
    <row r="280" customFormat="false" ht="15" hidden="false" customHeight="true" outlineLevel="0" collapsed="false">
      <c r="A280" s="25"/>
    </row>
    <row r="281" customFormat="false" ht="15" hidden="false" customHeight="true" outlineLevel="0" collapsed="false">
      <c r="A281" s="25"/>
    </row>
    <row r="282" customFormat="false" ht="15" hidden="false" customHeight="true" outlineLevel="0" collapsed="false">
      <c r="A282" s="25"/>
    </row>
    <row r="283" customFormat="false" ht="15" hidden="false" customHeight="true" outlineLevel="0" collapsed="false">
      <c r="A283" s="25"/>
    </row>
    <row r="284" customFormat="false" ht="15" hidden="false" customHeight="true" outlineLevel="0" collapsed="false">
      <c r="A284" s="25"/>
    </row>
    <row r="285" customFormat="false" ht="15" hidden="false" customHeight="true" outlineLevel="0" collapsed="false">
      <c r="A285" s="25"/>
    </row>
    <row r="286" customFormat="false" ht="15" hidden="false" customHeight="true" outlineLevel="0" collapsed="false">
      <c r="A286" s="25"/>
    </row>
    <row r="287" customFormat="false" ht="15" hidden="false" customHeight="true" outlineLevel="0" collapsed="false">
      <c r="A287" s="25"/>
    </row>
    <row r="288" customFormat="false" ht="15" hidden="false" customHeight="true" outlineLevel="0" collapsed="false">
      <c r="A288" s="25"/>
    </row>
    <row r="289" customFormat="false" ht="15" hidden="false" customHeight="true" outlineLevel="0" collapsed="false">
      <c r="A289" s="25"/>
    </row>
    <row r="290" customFormat="false" ht="15" hidden="false" customHeight="true" outlineLevel="0" collapsed="false">
      <c r="A290" s="25"/>
    </row>
    <row r="291" customFormat="false" ht="15" hidden="false" customHeight="true" outlineLevel="0" collapsed="false">
      <c r="A291" s="25"/>
    </row>
    <row r="292" customFormat="false" ht="15" hidden="false" customHeight="true" outlineLevel="0" collapsed="false">
      <c r="A292" s="25"/>
    </row>
    <row r="293" customFormat="false" ht="15" hidden="false" customHeight="true" outlineLevel="0" collapsed="false">
      <c r="A293" s="25"/>
    </row>
    <row r="294" customFormat="false" ht="15" hidden="false" customHeight="true" outlineLevel="0" collapsed="false">
      <c r="A294" s="25"/>
    </row>
    <row r="295" customFormat="false" ht="15" hidden="false" customHeight="true" outlineLevel="0" collapsed="false">
      <c r="A295" s="25"/>
    </row>
    <row r="296" customFormat="false" ht="15" hidden="false" customHeight="true" outlineLevel="0" collapsed="false">
      <c r="A296" s="25"/>
    </row>
    <row r="297" customFormat="false" ht="15" hidden="false" customHeight="true" outlineLevel="0" collapsed="false">
      <c r="A297" s="25"/>
    </row>
    <row r="298" customFormat="false" ht="15" hidden="false" customHeight="true" outlineLevel="0" collapsed="false">
      <c r="A298" s="25"/>
    </row>
    <row r="299" customFormat="false" ht="15" hidden="false" customHeight="true" outlineLevel="0" collapsed="false">
      <c r="A299" s="25"/>
    </row>
    <row r="300" customFormat="false" ht="15" hidden="false" customHeight="true" outlineLevel="0" collapsed="false">
      <c r="A300" s="25"/>
    </row>
    <row r="301" customFormat="false" ht="15" hidden="false" customHeight="true" outlineLevel="0" collapsed="false">
      <c r="A301" s="25"/>
    </row>
    <row r="302" customFormat="false" ht="15" hidden="false" customHeight="true" outlineLevel="0" collapsed="false">
      <c r="A302" s="25"/>
    </row>
    <row r="303" customFormat="false" ht="15" hidden="false" customHeight="true" outlineLevel="0" collapsed="false">
      <c r="A303" s="25"/>
    </row>
    <row r="304" customFormat="false" ht="15" hidden="false" customHeight="true" outlineLevel="0" collapsed="false">
      <c r="A304" s="25"/>
    </row>
    <row r="305" customFormat="false" ht="15" hidden="false" customHeight="true" outlineLevel="0" collapsed="false">
      <c r="A305" s="25"/>
    </row>
    <row r="306" customFormat="false" ht="15" hidden="false" customHeight="true" outlineLevel="0" collapsed="false">
      <c r="A306" s="25"/>
    </row>
    <row r="307" customFormat="false" ht="15" hidden="false" customHeight="true" outlineLevel="0" collapsed="false">
      <c r="A307" s="25"/>
    </row>
    <row r="308" customFormat="false" ht="15" hidden="false" customHeight="true" outlineLevel="0" collapsed="false">
      <c r="A308" s="25"/>
    </row>
    <row r="309" customFormat="false" ht="15" hidden="false" customHeight="true" outlineLevel="0" collapsed="false">
      <c r="A309" s="25"/>
    </row>
    <row r="310" customFormat="false" ht="15" hidden="false" customHeight="true" outlineLevel="0" collapsed="false">
      <c r="A310" s="25"/>
    </row>
    <row r="311" customFormat="false" ht="15" hidden="false" customHeight="true" outlineLevel="0" collapsed="false">
      <c r="A311" s="25"/>
    </row>
    <row r="312" customFormat="false" ht="15" hidden="false" customHeight="true" outlineLevel="0" collapsed="false">
      <c r="A312" s="25"/>
    </row>
    <row r="313" customFormat="false" ht="15" hidden="false" customHeight="true" outlineLevel="0" collapsed="false">
      <c r="A313" s="25"/>
    </row>
    <row r="314" customFormat="false" ht="15" hidden="false" customHeight="true" outlineLevel="0" collapsed="false">
      <c r="A314" s="25"/>
    </row>
    <row r="315" customFormat="false" ht="15" hidden="false" customHeight="true" outlineLevel="0" collapsed="false">
      <c r="A315" s="25"/>
    </row>
    <row r="316" customFormat="false" ht="15" hidden="false" customHeight="true" outlineLevel="0" collapsed="false">
      <c r="A316" s="25"/>
    </row>
    <row r="317" customFormat="false" ht="15" hidden="false" customHeight="true" outlineLevel="0" collapsed="false">
      <c r="A317" s="25"/>
    </row>
    <row r="318" customFormat="false" ht="15" hidden="false" customHeight="true" outlineLevel="0" collapsed="false">
      <c r="A318" s="25"/>
    </row>
    <row r="319" customFormat="false" ht="15" hidden="false" customHeight="true" outlineLevel="0" collapsed="false">
      <c r="A319" s="25"/>
    </row>
    <row r="320" customFormat="false" ht="15" hidden="false" customHeight="true" outlineLevel="0" collapsed="false">
      <c r="A320" s="25"/>
    </row>
    <row r="321" customFormat="false" ht="15" hidden="false" customHeight="true" outlineLevel="0" collapsed="false">
      <c r="A321" s="25"/>
    </row>
    <row r="322" customFormat="false" ht="15" hidden="false" customHeight="true" outlineLevel="0" collapsed="false">
      <c r="A322" s="25"/>
    </row>
    <row r="323" customFormat="false" ht="15" hidden="false" customHeight="true" outlineLevel="0" collapsed="false">
      <c r="A323" s="25"/>
    </row>
    <row r="324" customFormat="false" ht="15" hidden="false" customHeight="true" outlineLevel="0" collapsed="false">
      <c r="A324" s="25"/>
    </row>
    <row r="325" customFormat="false" ht="15" hidden="false" customHeight="true" outlineLevel="0" collapsed="false">
      <c r="A325" s="25"/>
    </row>
    <row r="326" customFormat="false" ht="15" hidden="false" customHeight="true" outlineLevel="0" collapsed="false">
      <c r="A326" s="25"/>
    </row>
    <row r="327" customFormat="false" ht="15" hidden="false" customHeight="true" outlineLevel="0" collapsed="false">
      <c r="A327" s="25"/>
    </row>
    <row r="328" customFormat="false" ht="15" hidden="false" customHeight="true" outlineLevel="0" collapsed="false">
      <c r="A328" s="25"/>
    </row>
    <row r="329" customFormat="false" ht="15" hidden="false" customHeight="true" outlineLevel="0" collapsed="false">
      <c r="A329" s="25"/>
    </row>
    <row r="330" customFormat="false" ht="15" hidden="false" customHeight="true" outlineLevel="0" collapsed="false">
      <c r="A330" s="25"/>
    </row>
    <row r="331" customFormat="false" ht="15" hidden="false" customHeight="true" outlineLevel="0" collapsed="false">
      <c r="A331" s="25"/>
    </row>
    <row r="332" customFormat="false" ht="15" hidden="false" customHeight="true" outlineLevel="0" collapsed="false">
      <c r="A332" s="25"/>
    </row>
    <row r="333" customFormat="false" ht="15" hidden="false" customHeight="true" outlineLevel="0" collapsed="false">
      <c r="A333" s="25"/>
    </row>
    <row r="334" customFormat="false" ht="15" hidden="false" customHeight="true" outlineLevel="0" collapsed="false">
      <c r="A334" s="25"/>
    </row>
    <row r="335" customFormat="false" ht="15" hidden="false" customHeight="true" outlineLevel="0" collapsed="false">
      <c r="A335" s="25"/>
    </row>
    <row r="336" customFormat="false" ht="15" hidden="false" customHeight="true" outlineLevel="0" collapsed="false">
      <c r="A336" s="25"/>
    </row>
    <row r="337" customFormat="false" ht="15" hidden="false" customHeight="true" outlineLevel="0" collapsed="false">
      <c r="A337" s="25"/>
    </row>
    <row r="338" customFormat="false" ht="15" hidden="false" customHeight="true" outlineLevel="0" collapsed="false">
      <c r="A338" s="25"/>
    </row>
    <row r="339" customFormat="false" ht="15" hidden="false" customHeight="true" outlineLevel="0" collapsed="false">
      <c r="A339" s="25"/>
    </row>
    <row r="340" customFormat="false" ht="15" hidden="false" customHeight="true" outlineLevel="0" collapsed="false">
      <c r="A340" s="25"/>
    </row>
    <row r="341" customFormat="false" ht="15" hidden="false" customHeight="true" outlineLevel="0" collapsed="false">
      <c r="A341" s="25"/>
    </row>
    <row r="342" customFormat="false" ht="15" hidden="false" customHeight="true" outlineLevel="0" collapsed="false">
      <c r="A342" s="25"/>
    </row>
    <row r="343" customFormat="false" ht="15" hidden="false" customHeight="true" outlineLevel="0" collapsed="false">
      <c r="A343" s="25"/>
    </row>
    <row r="344" customFormat="false" ht="15" hidden="false" customHeight="true" outlineLevel="0" collapsed="false">
      <c r="A344" s="25"/>
    </row>
    <row r="345" customFormat="false" ht="15" hidden="false" customHeight="true" outlineLevel="0" collapsed="false">
      <c r="A345" s="25"/>
    </row>
    <row r="346" customFormat="false" ht="15" hidden="false" customHeight="true" outlineLevel="0" collapsed="false">
      <c r="A346" s="25"/>
    </row>
    <row r="347" customFormat="false" ht="15" hidden="false" customHeight="true" outlineLevel="0" collapsed="false">
      <c r="A347" s="25"/>
    </row>
    <row r="348" customFormat="false" ht="15" hidden="false" customHeight="true" outlineLevel="0" collapsed="false">
      <c r="A348" s="25"/>
    </row>
    <row r="349" customFormat="false" ht="15" hidden="false" customHeight="true" outlineLevel="0" collapsed="false">
      <c r="A349" s="25"/>
    </row>
    <row r="350" customFormat="false" ht="15" hidden="false" customHeight="true" outlineLevel="0" collapsed="false">
      <c r="A350" s="25"/>
    </row>
    <row r="351" customFormat="false" ht="15" hidden="false" customHeight="true" outlineLevel="0" collapsed="false">
      <c r="A351" s="25"/>
    </row>
    <row r="352" customFormat="false" ht="15" hidden="false" customHeight="true" outlineLevel="0" collapsed="false">
      <c r="A352" s="25"/>
    </row>
    <row r="353" customFormat="false" ht="15" hidden="false" customHeight="true" outlineLevel="0" collapsed="false">
      <c r="A353" s="25"/>
    </row>
    <row r="354" customFormat="false" ht="15" hidden="false" customHeight="true" outlineLevel="0" collapsed="false">
      <c r="A354" s="25"/>
    </row>
    <row r="355" customFormat="false" ht="15" hidden="false" customHeight="true" outlineLevel="0" collapsed="false">
      <c r="A355" s="25"/>
    </row>
    <row r="356" customFormat="false" ht="15" hidden="false" customHeight="true" outlineLevel="0" collapsed="false">
      <c r="A356" s="25"/>
    </row>
    <row r="357" customFormat="false" ht="15" hidden="false" customHeight="true" outlineLevel="0" collapsed="false">
      <c r="A357" s="25"/>
    </row>
    <row r="358" customFormat="false" ht="15" hidden="false" customHeight="true" outlineLevel="0" collapsed="false">
      <c r="A358" s="25"/>
    </row>
    <row r="359" customFormat="false" ht="15" hidden="false" customHeight="true" outlineLevel="0" collapsed="false">
      <c r="A359" s="25"/>
    </row>
    <row r="360" customFormat="false" ht="15" hidden="false" customHeight="true" outlineLevel="0" collapsed="false">
      <c r="A360" s="25"/>
    </row>
    <row r="361" customFormat="false" ht="15" hidden="false" customHeight="true" outlineLevel="0" collapsed="false">
      <c r="A361" s="25"/>
    </row>
    <row r="362" customFormat="false" ht="15" hidden="false" customHeight="true" outlineLevel="0" collapsed="false">
      <c r="A362" s="25"/>
    </row>
    <row r="363" customFormat="false" ht="15" hidden="false" customHeight="true" outlineLevel="0" collapsed="false">
      <c r="A363" s="25"/>
    </row>
    <row r="364" customFormat="false" ht="15" hidden="false" customHeight="true" outlineLevel="0" collapsed="false">
      <c r="A364" s="25"/>
    </row>
    <row r="365" customFormat="false" ht="15" hidden="false" customHeight="true" outlineLevel="0" collapsed="false">
      <c r="A365" s="25"/>
    </row>
    <row r="366" customFormat="false" ht="15" hidden="false" customHeight="true" outlineLevel="0" collapsed="false">
      <c r="A366" s="25"/>
    </row>
    <row r="367" customFormat="false" ht="15" hidden="false" customHeight="true" outlineLevel="0" collapsed="false">
      <c r="A367" s="25"/>
    </row>
    <row r="368" customFormat="false" ht="15" hidden="false" customHeight="true" outlineLevel="0" collapsed="false">
      <c r="A368" s="25"/>
    </row>
    <row r="369" customFormat="false" ht="15" hidden="false" customHeight="true" outlineLevel="0" collapsed="false">
      <c r="A369" s="25"/>
    </row>
    <row r="370" customFormat="false" ht="15" hidden="false" customHeight="true" outlineLevel="0" collapsed="false">
      <c r="A370" s="25"/>
    </row>
    <row r="371" customFormat="false" ht="15" hidden="false" customHeight="true" outlineLevel="0" collapsed="false">
      <c r="A371" s="25"/>
    </row>
    <row r="372" customFormat="false" ht="15" hidden="false" customHeight="true" outlineLevel="0" collapsed="false">
      <c r="A372" s="25"/>
    </row>
    <row r="373" customFormat="false" ht="15" hidden="false" customHeight="true" outlineLevel="0" collapsed="false">
      <c r="A373" s="25"/>
    </row>
    <row r="374" customFormat="false" ht="15" hidden="false" customHeight="true" outlineLevel="0" collapsed="false">
      <c r="A374" s="25"/>
    </row>
    <row r="375" customFormat="false" ht="15" hidden="false" customHeight="true" outlineLevel="0" collapsed="false">
      <c r="A375" s="25"/>
    </row>
    <row r="376" customFormat="false" ht="15" hidden="false" customHeight="true" outlineLevel="0" collapsed="false">
      <c r="A376" s="25"/>
    </row>
    <row r="377" customFormat="false" ht="15" hidden="false" customHeight="true" outlineLevel="0" collapsed="false">
      <c r="A377" s="25"/>
    </row>
    <row r="378" customFormat="false" ht="15" hidden="false" customHeight="true" outlineLevel="0" collapsed="false">
      <c r="A378" s="25"/>
    </row>
    <row r="379" customFormat="false" ht="15" hidden="false" customHeight="true" outlineLevel="0" collapsed="false">
      <c r="A379" s="25"/>
    </row>
    <row r="380" customFormat="false" ht="15" hidden="false" customHeight="true" outlineLevel="0" collapsed="false">
      <c r="A380" s="25"/>
    </row>
    <row r="381" customFormat="false" ht="15" hidden="false" customHeight="true" outlineLevel="0" collapsed="false">
      <c r="A381" s="25"/>
    </row>
    <row r="382" customFormat="false" ht="15" hidden="false" customHeight="true" outlineLevel="0" collapsed="false">
      <c r="A382" s="25"/>
    </row>
    <row r="383" customFormat="false" ht="15" hidden="false" customHeight="true" outlineLevel="0" collapsed="false">
      <c r="A383" s="25"/>
    </row>
    <row r="384" customFormat="false" ht="15" hidden="false" customHeight="true" outlineLevel="0" collapsed="false">
      <c r="A384" s="25"/>
    </row>
    <row r="385" customFormat="false" ht="15" hidden="false" customHeight="true" outlineLevel="0" collapsed="false">
      <c r="A385" s="25"/>
    </row>
    <row r="386" customFormat="false" ht="15" hidden="false" customHeight="true" outlineLevel="0" collapsed="false">
      <c r="A386" s="25"/>
    </row>
    <row r="387" customFormat="false" ht="15" hidden="false" customHeight="true" outlineLevel="0" collapsed="false">
      <c r="A387" s="25"/>
    </row>
    <row r="388" customFormat="false" ht="15" hidden="false" customHeight="true" outlineLevel="0" collapsed="false">
      <c r="A388" s="25"/>
    </row>
    <row r="389" customFormat="false" ht="15" hidden="false" customHeight="true" outlineLevel="0" collapsed="false">
      <c r="A389" s="25"/>
    </row>
    <row r="390" customFormat="false" ht="15" hidden="false" customHeight="true" outlineLevel="0" collapsed="false">
      <c r="A390" s="25"/>
    </row>
    <row r="391" customFormat="false" ht="15" hidden="false" customHeight="true" outlineLevel="0" collapsed="false">
      <c r="A391" s="25"/>
    </row>
    <row r="392" customFormat="false" ht="15" hidden="false" customHeight="true" outlineLevel="0" collapsed="false">
      <c r="A392" s="25"/>
    </row>
    <row r="393" customFormat="false" ht="15" hidden="false" customHeight="true" outlineLevel="0" collapsed="false">
      <c r="A393" s="25"/>
    </row>
    <row r="394" customFormat="false" ht="15" hidden="false" customHeight="true" outlineLevel="0" collapsed="false">
      <c r="A394" s="25"/>
    </row>
    <row r="395" customFormat="false" ht="15" hidden="false" customHeight="true" outlineLevel="0" collapsed="false">
      <c r="A395" s="25"/>
    </row>
    <row r="396" customFormat="false" ht="15" hidden="false" customHeight="true" outlineLevel="0" collapsed="false">
      <c r="A396" s="25"/>
    </row>
    <row r="397" customFormat="false" ht="15" hidden="false" customHeight="true" outlineLevel="0" collapsed="false">
      <c r="A397" s="25"/>
    </row>
    <row r="398" customFormat="false" ht="15" hidden="false" customHeight="true" outlineLevel="0" collapsed="false">
      <c r="A398" s="25"/>
    </row>
    <row r="399" customFormat="false" ht="15" hidden="false" customHeight="true" outlineLevel="0" collapsed="false">
      <c r="A399" s="25"/>
    </row>
    <row r="400" customFormat="false" ht="15" hidden="false" customHeight="true" outlineLevel="0" collapsed="false">
      <c r="A400" s="25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400" type="list">
      <formula1>"R1,R2,R3,R4,R5,R6,R7,R8,R9,R10,R11,R12,R13,R14,R15,R16"</formula1>
      <formula2>0</formula2>
    </dataValidation>
    <dataValidation allowBlank="true" errorStyle="stop" operator="between" showDropDown="false" showErrorMessage="false" showInputMessage="false" sqref="P5:P400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2943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1601</v>
      </c>
      <c r="B2" s="9" t="s">
        <v>2944</v>
      </c>
      <c r="C2" s="9" t="s">
        <v>2945</v>
      </c>
      <c r="D2" s="9" t="s">
        <v>2946</v>
      </c>
      <c r="E2" s="9" t="s">
        <v>2947</v>
      </c>
      <c r="F2" s="9" t="s">
        <v>134</v>
      </c>
    </row>
    <row r="3" customFormat="false" ht="15" hidden="false" customHeight="true" outlineLevel="0" collapsed="false">
      <c r="A3" s="11" t="s">
        <v>2358</v>
      </c>
      <c r="B3" s="10" t="s">
        <v>2948</v>
      </c>
      <c r="C3" s="11" t="s">
        <v>2949</v>
      </c>
      <c r="D3" s="10" t="s">
        <v>2950</v>
      </c>
      <c r="E3" s="10" t="s">
        <v>2951</v>
      </c>
      <c r="F3" s="10" t="s">
        <v>2952</v>
      </c>
    </row>
    <row r="4" customFormat="false" ht="15" hidden="false" customHeight="true" outlineLevel="0" collapsed="false">
      <c r="A4" s="17" t="s">
        <v>1636</v>
      </c>
      <c r="B4" s="16" t="s">
        <v>2953</v>
      </c>
      <c r="C4" s="17" t="s">
        <v>2954</v>
      </c>
      <c r="D4" s="17" t="s">
        <v>2955</v>
      </c>
      <c r="E4" s="16" t="s">
        <v>2956</v>
      </c>
      <c r="F4" s="17" t="s">
        <v>2957</v>
      </c>
    </row>
    <row r="5" customFormat="false" ht="159.75" hidden="false" customHeight="true" outlineLevel="0" collapsed="false">
      <c r="A5" s="17" t="s">
        <v>1636</v>
      </c>
      <c r="B5" s="16" t="s">
        <v>2948</v>
      </c>
      <c r="C5" s="17" t="s">
        <v>2958</v>
      </c>
      <c r="D5" s="17" t="s">
        <v>2959</v>
      </c>
      <c r="E5" s="16" t="s">
        <v>2960</v>
      </c>
      <c r="F5" s="17" t="s">
        <v>2961</v>
      </c>
    </row>
    <row r="6" customFormat="false" ht="15" hidden="false" customHeight="true" outlineLevel="0" collapsed="false">
      <c r="A6" s="17" t="s">
        <v>2068</v>
      </c>
      <c r="B6" s="16" t="s">
        <v>2953</v>
      </c>
      <c r="C6" s="17" t="s">
        <v>2958</v>
      </c>
      <c r="D6" s="17" t="s">
        <v>2962</v>
      </c>
      <c r="E6" s="16" t="s">
        <v>2963</v>
      </c>
      <c r="F6" s="16" t="s">
        <v>2964</v>
      </c>
    </row>
    <row r="7" customFormat="false" ht="219.75" hidden="false" customHeight="true" outlineLevel="0" collapsed="false">
      <c r="A7" s="17" t="s">
        <v>2068</v>
      </c>
      <c r="B7" s="16" t="s">
        <v>2948</v>
      </c>
      <c r="C7" s="17" t="s">
        <v>2965</v>
      </c>
      <c r="D7" s="17" t="s">
        <v>2966</v>
      </c>
      <c r="E7" s="16" t="s">
        <v>2967</v>
      </c>
      <c r="F7" s="17" t="s">
        <v>2968</v>
      </c>
    </row>
    <row r="8" customFormat="false" ht="15" hidden="false" customHeight="true" outlineLevel="0" collapsed="false">
      <c r="A8" s="17" t="s">
        <v>2068</v>
      </c>
      <c r="B8" s="16" t="s">
        <v>2953</v>
      </c>
      <c r="C8" s="17" t="s">
        <v>2965</v>
      </c>
      <c r="D8" s="17" t="s">
        <v>2969</v>
      </c>
      <c r="E8" s="16" t="s">
        <v>2970</v>
      </c>
      <c r="F8" s="17" t="s">
        <v>2971</v>
      </c>
    </row>
    <row r="9" customFormat="false" ht="219.75" hidden="false" customHeight="true" outlineLevel="0" collapsed="false">
      <c r="A9" s="17" t="s">
        <v>2358</v>
      </c>
      <c r="B9" s="16" t="s">
        <v>2948</v>
      </c>
      <c r="C9" s="17" t="s">
        <v>2972</v>
      </c>
      <c r="D9" s="17" t="s">
        <v>2973</v>
      </c>
      <c r="E9" s="16" t="s">
        <v>2974</v>
      </c>
      <c r="F9" s="17" t="s">
        <v>2975</v>
      </c>
    </row>
    <row r="10" customFormat="false" ht="15" hidden="false" customHeight="true" outlineLevel="0" collapsed="false">
      <c r="A10" s="17" t="s">
        <v>2358</v>
      </c>
      <c r="B10" s="16" t="s">
        <v>2953</v>
      </c>
      <c r="C10" s="17" t="s">
        <v>2972</v>
      </c>
      <c r="D10" s="17" t="s">
        <v>2976</v>
      </c>
      <c r="E10" s="16" t="s">
        <v>2977</v>
      </c>
      <c r="F10" s="17" t="s">
        <v>2978</v>
      </c>
    </row>
    <row r="11" customFormat="false" ht="219.75" hidden="false" customHeight="true" outlineLevel="0" collapsed="false">
      <c r="A11" s="17" t="s">
        <v>2358</v>
      </c>
      <c r="B11" s="16" t="s">
        <v>2948</v>
      </c>
      <c r="C11" s="17" t="s">
        <v>2979</v>
      </c>
      <c r="D11" s="17" t="s">
        <v>2980</v>
      </c>
      <c r="E11" s="16" t="s">
        <v>2981</v>
      </c>
      <c r="F11" s="17" t="s">
        <v>2982</v>
      </c>
    </row>
    <row r="12" customFormat="false" ht="15" hidden="false" customHeight="true" outlineLevel="0" collapsed="false">
      <c r="A12" s="17" t="s">
        <v>2596</v>
      </c>
      <c r="B12" s="16" t="s">
        <v>2953</v>
      </c>
      <c r="C12" s="17" t="s">
        <v>2979</v>
      </c>
      <c r="D12" s="17" t="s">
        <v>2983</v>
      </c>
      <c r="E12" s="16" t="s">
        <v>2984</v>
      </c>
      <c r="F12" s="17" t="s">
        <v>2985</v>
      </c>
    </row>
    <row r="13" customFormat="false" ht="219.75" hidden="false" customHeight="true" outlineLevel="0" collapsed="false">
      <c r="A13" s="17" t="s">
        <v>2596</v>
      </c>
      <c r="B13" s="16" t="s">
        <v>2948</v>
      </c>
      <c r="C13" s="17" t="s">
        <v>2986</v>
      </c>
      <c r="D13" s="17" t="s">
        <v>2987</v>
      </c>
      <c r="E13" s="16" t="s">
        <v>2988</v>
      </c>
      <c r="F13" s="17" t="s">
        <v>2989</v>
      </c>
    </row>
    <row r="14" customFormat="false" ht="219.75" hidden="false" customHeight="true" outlineLevel="0" collapsed="false">
      <c r="A14" s="17" t="s">
        <v>2596</v>
      </c>
      <c r="B14" s="16" t="s">
        <v>2953</v>
      </c>
      <c r="C14" s="17" t="s">
        <v>2986</v>
      </c>
      <c r="D14" s="17" t="s">
        <v>2990</v>
      </c>
      <c r="E14" s="16" t="s">
        <v>2991</v>
      </c>
      <c r="F14" s="16" t="s">
        <v>2992</v>
      </c>
    </row>
    <row r="15" customFormat="false" ht="219.75" hidden="false" customHeight="true" outlineLevel="0" collapsed="false">
      <c r="A15" s="17" t="s">
        <v>2776</v>
      </c>
      <c r="B15" s="16" t="s">
        <v>2948</v>
      </c>
      <c r="C15" s="17" t="s">
        <v>2993</v>
      </c>
      <c r="D15" s="17" t="s">
        <v>2994</v>
      </c>
      <c r="E15" s="16" t="s">
        <v>2995</v>
      </c>
      <c r="F15" s="17" t="s">
        <v>2996</v>
      </c>
    </row>
    <row r="16" customFormat="false" ht="219.75" hidden="false" customHeight="true" outlineLevel="0" collapsed="false">
      <c r="A16" s="17" t="s">
        <v>2776</v>
      </c>
      <c r="B16" s="16" t="s">
        <v>2997</v>
      </c>
      <c r="C16" s="17" t="s">
        <v>2993</v>
      </c>
      <c r="D16" s="17" t="s">
        <v>2998</v>
      </c>
      <c r="E16" s="16" t="s">
        <v>2999</v>
      </c>
      <c r="F16" s="16" t="s">
        <v>3000</v>
      </c>
    </row>
    <row r="17" customFormat="false" ht="219.75" hidden="false" customHeight="true" outlineLevel="0" collapsed="false">
      <c r="A17" s="17" t="s">
        <v>2776</v>
      </c>
      <c r="B17" s="16" t="s">
        <v>3001</v>
      </c>
      <c r="C17" s="17" t="s">
        <v>2993</v>
      </c>
      <c r="D17" s="17" t="s">
        <v>3002</v>
      </c>
      <c r="E17" s="17" t="s">
        <v>3003</v>
      </c>
      <c r="F17" s="16" t="s">
        <v>3004</v>
      </c>
    </row>
    <row r="18" customFormat="false" ht="219.75" hidden="false" customHeight="true" outlineLevel="0" collapsed="false">
      <c r="A18" s="17" t="s">
        <v>2776</v>
      </c>
      <c r="B18" s="16" t="s">
        <v>2948</v>
      </c>
      <c r="C18" s="17" t="s">
        <v>3005</v>
      </c>
      <c r="D18" s="17" t="s">
        <v>3006</v>
      </c>
      <c r="E18" s="16" t="s">
        <v>3007</v>
      </c>
      <c r="F18" s="17" t="s">
        <v>3008</v>
      </c>
    </row>
    <row r="19" customFormat="false" ht="219.75" hidden="false" customHeight="true" outlineLevel="0" collapsed="false">
      <c r="A19" s="17" t="s">
        <v>2776</v>
      </c>
      <c r="B19" s="16" t="s">
        <v>2953</v>
      </c>
      <c r="C19" s="17" t="s">
        <v>3005</v>
      </c>
      <c r="D19" s="17" t="s">
        <v>3009</v>
      </c>
      <c r="E19" s="16" t="s">
        <v>3010</v>
      </c>
      <c r="F19" s="16" t="s">
        <v>3011</v>
      </c>
    </row>
    <row r="20" customFormat="false" ht="219.75" hidden="false" customHeight="true" outlineLevel="0" collapsed="false">
      <c r="A20" s="17" t="s">
        <v>2776</v>
      </c>
      <c r="B20" s="16" t="s">
        <v>3012</v>
      </c>
      <c r="C20" s="17" t="s">
        <v>3005</v>
      </c>
      <c r="D20" s="16" t="s">
        <v>3013</v>
      </c>
      <c r="E20" s="17" t="s">
        <v>3014</v>
      </c>
      <c r="F20" s="16" t="s">
        <v>3015</v>
      </c>
    </row>
    <row r="21" customFormat="false" ht="219.75" hidden="false" customHeight="true" outlineLevel="0" collapsed="false">
      <c r="A21" s="17" t="s">
        <v>2793</v>
      </c>
      <c r="B21" s="16" t="s">
        <v>3016</v>
      </c>
      <c r="C21" s="17" t="s">
        <v>3005</v>
      </c>
      <c r="D21" s="16" t="s">
        <v>3017</v>
      </c>
      <c r="E21" s="16" t="s">
        <v>3018</v>
      </c>
      <c r="F21" s="16" t="s">
        <v>3019</v>
      </c>
    </row>
    <row r="22" customFormat="false" ht="219.75" hidden="false" customHeight="true" outlineLevel="0" collapsed="false">
      <c r="A22" s="17" t="s">
        <v>2793</v>
      </c>
      <c r="B22" s="16" t="s">
        <v>3001</v>
      </c>
      <c r="C22" s="17" t="s">
        <v>3005</v>
      </c>
      <c r="D22" s="17" t="s">
        <v>3020</v>
      </c>
      <c r="E22" s="17" t="s">
        <v>3021</v>
      </c>
      <c r="F22" s="16" t="s">
        <v>3022</v>
      </c>
    </row>
    <row r="23" customFormat="false" ht="219.75" hidden="false" customHeight="true" outlineLevel="0" collapsed="false">
      <c r="A23" s="17" t="s">
        <v>2807</v>
      </c>
      <c r="B23" s="16" t="s">
        <v>2953</v>
      </c>
      <c r="C23" s="17" t="s">
        <v>3005</v>
      </c>
      <c r="D23" s="17" t="s">
        <v>3023</v>
      </c>
      <c r="E23" s="16" t="s">
        <v>3024</v>
      </c>
      <c r="F23" s="17" t="s">
        <v>3025</v>
      </c>
    </row>
    <row r="24" customFormat="false" ht="240" hidden="false" customHeight="true" outlineLevel="0" collapsed="false">
      <c r="A24" s="17" t="s">
        <v>2807</v>
      </c>
      <c r="B24" s="16" t="s">
        <v>2948</v>
      </c>
      <c r="C24" s="17" t="s">
        <v>3026</v>
      </c>
      <c r="D24" s="17" t="s">
        <v>3027</v>
      </c>
      <c r="E24" s="16" t="s">
        <v>3028</v>
      </c>
      <c r="F24" s="17" t="s">
        <v>3029</v>
      </c>
    </row>
    <row r="25" customFormat="false" ht="240" hidden="false" customHeight="true" outlineLevel="0" collapsed="false">
      <c r="A25" s="17" t="s">
        <v>2841</v>
      </c>
      <c r="B25" s="16" t="s">
        <v>2997</v>
      </c>
      <c r="C25" s="17" t="s">
        <v>3026</v>
      </c>
      <c r="D25" s="17" t="s">
        <v>3030</v>
      </c>
      <c r="E25" s="16" t="s">
        <v>3031</v>
      </c>
      <c r="F25" s="16" t="s">
        <v>3032</v>
      </c>
    </row>
    <row r="26" customFormat="false" ht="240" hidden="false" customHeight="true" outlineLevel="0" collapsed="false">
      <c r="A26" s="17" t="s">
        <v>2841</v>
      </c>
      <c r="B26" s="16" t="s">
        <v>3012</v>
      </c>
      <c r="C26" s="17" t="s">
        <v>3026</v>
      </c>
      <c r="D26" s="16" t="s">
        <v>3033</v>
      </c>
      <c r="E26" s="16" t="s">
        <v>3034</v>
      </c>
      <c r="F26" s="16" t="s">
        <v>3035</v>
      </c>
    </row>
    <row r="27" customFormat="false" ht="259.5" hidden="false" customHeight="true" outlineLevel="0" collapsed="false">
      <c r="A27" s="17" t="s">
        <v>2841</v>
      </c>
      <c r="B27" s="16" t="s">
        <v>2948</v>
      </c>
      <c r="C27" s="17" t="s">
        <v>3036</v>
      </c>
      <c r="D27" s="17" t="s">
        <v>3037</v>
      </c>
      <c r="E27" s="16" t="s">
        <v>3038</v>
      </c>
      <c r="F27" s="16" t="s">
        <v>3039</v>
      </c>
    </row>
    <row r="28" customFormat="false" ht="259.5" hidden="false" customHeight="true" outlineLevel="0" collapsed="false">
      <c r="A28" s="17" t="s">
        <v>2841</v>
      </c>
      <c r="B28" s="16" t="s">
        <v>3001</v>
      </c>
      <c r="C28" s="17" t="s">
        <v>3036</v>
      </c>
      <c r="D28" s="17" t="s">
        <v>3040</v>
      </c>
      <c r="E28" s="16" t="s">
        <v>3041</v>
      </c>
      <c r="F28" s="16" t="s">
        <v>3042</v>
      </c>
    </row>
    <row r="29" customFormat="false" ht="259.5" hidden="false" customHeight="true" outlineLevel="0" collapsed="false">
      <c r="A29" s="17" t="s">
        <v>2841</v>
      </c>
      <c r="B29" s="16" t="s">
        <v>2997</v>
      </c>
      <c r="C29" s="17" t="s">
        <v>3036</v>
      </c>
      <c r="D29" s="17" t="s">
        <v>3043</v>
      </c>
      <c r="E29" s="16" t="s">
        <v>3044</v>
      </c>
      <c r="F29" s="16" t="s">
        <v>3045</v>
      </c>
    </row>
    <row r="30" customFormat="false" ht="259.5" hidden="false" customHeight="true" outlineLevel="0" collapsed="false">
      <c r="A30" s="17" t="s">
        <v>2841</v>
      </c>
      <c r="B30" s="16" t="s">
        <v>3012</v>
      </c>
      <c r="C30" s="17" t="s">
        <v>3036</v>
      </c>
      <c r="D30" s="16" t="s">
        <v>3046</v>
      </c>
      <c r="E30" s="16" t="s">
        <v>3047</v>
      </c>
      <c r="F30" s="16" t="s">
        <v>3048</v>
      </c>
    </row>
    <row r="31" customFormat="false" ht="259.5" hidden="false" customHeight="true" outlineLevel="0" collapsed="false">
      <c r="A31" s="17" t="s">
        <v>2841</v>
      </c>
      <c r="B31" s="16" t="s">
        <v>2948</v>
      </c>
      <c r="C31" s="17" t="s">
        <v>3036</v>
      </c>
      <c r="D31" s="17" t="s">
        <v>3049</v>
      </c>
      <c r="E31" s="16" t="s">
        <v>3050</v>
      </c>
      <c r="F31" s="16" t="s">
        <v>3051</v>
      </c>
    </row>
    <row r="32" customFormat="false" ht="219.75" hidden="false" customHeight="true" outlineLevel="0" collapsed="false">
      <c r="A32" s="17" t="s">
        <v>2851</v>
      </c>
      <c r="B32" s="16" t="s">
        <v>2948</v>
      </c>
      <c r="C32" s="17" t="s">
        <v>3052</v>
      </c>
      <c r="D32" s="16" t="s">
        <v>3053</v>
      </c>
      <c r="E32" s="16" t="s">
        <v>3054</v>
      </c>
      <c r="F32" s="16" t="s">
        <v>3055</v>
      </c>
    </row>
    <row r="33" customFormat="false" ht="219.75" hidden="false" customHeight="true" outlineLevel="0" collapsed="false">
      <c r="A33" s="17" t="s">
        <v>2851</v>
      </c>
      <c r="B33" s="16" t="s">
        <v>3016</v>
      </c>
      <c r="C33" s="17" t="s">
        <v>3052</v>
      </c>
      <c r="D33" s="16" t="s">
        <v>3056</v>
      </c>
      <c r="E33" s="17" t="s">
        <v>3057</v>
      </c>
      <c r="F33" s="16" t="s">
        <v>3058</v>
      </c>
    </row>
    <row r="34" customFormat="false" ht="259.5" hidden="false" customHeight="true" outlineLevel="0" collapsed="false">
      <c r="A34" s="17" t="s">
        <v>2851</v>
      </c>
      <c r="B34" s="16" t="s">
        <v>2948</v>
      </c>
      <c r="C34" s="17" t="s">
        <v>3059</v>
      </c>
      <c r="D34" s="16" t="s">
        <v>3060</v>
      </c>
      <c r="E34" s="16" t="s">
        <v>3061</v>
      </c>
      <c r="F34" s="16" t="s">
        <v>3062</v>
      </c>
    </row>
    <row r="35" customFormat="false" ht="259.5" hidden="false" customHeight="true" outlineLevel="0" collapsed="false">
      <c r="A35" s="17" t="s">
        <v>2851</v>
      </c>
      <c r="B35" s="16" t="s">
        <v>2997</v>
      </c>
      <c r="C35" s="17" t="s">
        <v>3063</v>
      </c>
      <c r="D35" s="16" t="s">
        <v>3064</v>
      </c>
      <c r="E35" s="16" t="s">
        <v>3065</v>
      </c>
      <c r="F35" s="16" t="s">
        <v>3066</v>
      </c>
    </row>
    <row r="36" customFormat="false" ht="279.75" hidden="false" customHeight="true" outlineLevel="0" collapsed="false">
      <c r="A36" s="17" t="s">
        <v>2873</v>
      </c>
      <c r="B36" s="16" t="s">
        <v>2948</v>
      </c>
      <c r="C36" s="17" t="s">
        <v>3067</v>
      </c>
      <c r="D36" s="16" t="s">
        <v>3068</v>
      </c>
      <c r="E36" s="16" t="s">
        <v>3069</v>
      </c>
      <c r="F36" s="16" t="s">
        <v>3070</v>
      </c>
    </row>
    <row r="37" customFormat="false" ht="279.75" hidden="false" customHeight="true" outlineLevel="0" collapsed="false">
      <c r="A37" s="17" t="s">
        <v>2873</v>
      </c>
      <c r="B37" s="16" t="s">
        <v>2997</v>
      </c>
      <c r="C37" s="17" t="s">
        <v>3071</v>
      </c>
      <c r="D37" s="16" t="s">
        <v>3072</v>
      </c>
      <c r="E37" s="16" t="s">
        <v>3073</v>
      </c>
      <c r="F37" s="16" t="s">
        <v>3074</v>
      </c>
    </row>
    <row r="38" customFormat="false" ht="259.5" hidden="false" customHeight="true" outlineLevel="0" collapsed="false">
      <c r="A38" s="17" t="s">
        <v>2873</v>
      </c>
      <c r="B38" s="16" t="s">
        <v>2948</v>
      </c>
      <c r="C38" s="17" t="s">
        <v>3075</v>
      </c>
      <c r="D38" s="16" t="s">
        <v>3076</v>
      </c>
      <c r="E38" s="16" t="s">
        <v>3077</v>
      </c>
      <c r="F38" s="16" t="s">
        <v>3078</v>
      </c>
    </row>
    <row r="39" customFormat="false" ht="259.5" hidden="false" customHeight="true" outlineLevel="0" collapsed="false">
      <c r="A39" s="17" t="s">
        <v>2931</v>
      </c>
      <c r="B39" s="16" t="s">
        <v>2997</v>
      </c>
      <c r="C39" s="17" t="s">
        <v>3079</v>
      </c>
      <c r="D39" s="16" t="s">
        <v>3080</v>
      </c>
      <c r="E39" s="16" t="s">
        <v>3081</v>
      </c>
      <c r="F39" s="16" t="s">
        <v>3082</v>
      </c>
    </row>
    <row r="40" customFormat="false" ht="259.5" hidden="false" customHeight="true" outlineLevel="0" collapsed="false">
      <c r="A40" s="17" t="s">
        <v>2931</v>
      </c>
      <c r="B40" s="16" t="s">
        <v>2948</v>
      </c>
      <c r="C40" s="17" t="s">
        <v>3083</v>
      </c>
      <c r="D40" s="16" t="s">
        <v>3084</v>
      </c>
      <c r="E40" s="16" t="s">
        <v>3085</v>
      </c>
      <c r="F40" s="16" t="s">
        <v>3086</v>
      </c>
    </row>
    <row r="41" customFormat="false" ht="259.5" hidden="false" customHeight="true" outlineLevel="0" collapsed="false">
      <c r="A41" s="17" t="s">
        <v>2931</v>
      </c>
      <c r="B41" s="16" t="s">
        <v>2997</v>
      </c>
      <c r="C41" s="17" t="s">
        <v>3087</v>
      </c>
      <c r="D41" s="16" t="s">
        <v>3088</v>
      </c>
      <c r="E41" s="16" t="s">
        <v>3089</v>
      </c>
      <c r="F41" s="16" t="s">
        <v>3090</v>
      </c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9" t="s">
        <v>3091</v>
      </c>
    </row>
    <row r="3" customFormat="false" ht="31.5" hidden="false" customHeight="true" outlineLevel="0" collapsed="false">
      <c r="A3" s="9" t="s">
        <v>1600</v>
      </c>
      <c r="B3" s="9" t="s">
        <v>1601</v>
      </c>
      <c r="C3" s="9" t="s">
        <v>2945</v>
      </c>
      <c r="D3" s="9" t="s">
        <v>3092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3093</v>
      </c>
      <c r="K3" s="9" t="s">
        <v>3094</v>
      </c>
      <c r="L3" s="9" t="s">
        <v>3095</v>
      </c>
      <c r="M3" s="9" t="s">
        <v>3096</v>
      </c>
      <c r="N3" s="9" t="s">
        <v>3097</v>
      </c>
    </row>
    <row r="4" customFormat="false" ht="15" hidden="false" customHeight="true" outlineLevel="0" collapsed="false">
      <c r="A4" s="13" t="s">
        <v>1123</v>
      </c>
      <c r="B4" s="30" t="s">
        <v>1636</v>
      </c>
      <c r="C4" s="30" t="s">
        <v>2954</v>
      </c>
      <c r="D4" s="30" t="n">
        <v>120</v>
      </c>
      <c r="E4" s="30" t="n">
        <v>86</v>
      </c>
      <c r="F4" s="30" t="n">
        <v>19</v>
      </c>
      <c r="G4" s="30" t="n">
        <v>8</v>
      </c>
      <c r="H4" s="30" t="n">
        <v>1</v>
      </c>
      <c r="I4" s="30" t="n">
        <v>6</v>
      </c>
      <c r="J4" s="31" t="n">
        <f aca="false">COUNTIF(缺陷登記!$F$3:$F$200,$A4)</f>
        <v>38</v>
      </c>
      <c r="K4" s="31" t="n">
        <f aca="false">COUNTIF(缺陷登記!$J$3:$J$200,$A4)</f>
        <v>0</v>
      </c>
      <c r="L4" s="31" t="n">
        <f aca="false">SUM($J$4:$J4)-SUM($K$4:$K4)</f>
        <v>38</v>
      </c>
      <c r="M4" s="32" t="s">
        <v>3098</v>
      </c>
      <c r="N4" s="32" t="s">
        <v>3099</v>
      </c>
    </row>
    <row r="5" customFormat="false" ht="15" hidden="false" customHeight="true" outlineLevel="0" collapsed="false">
      <c r="A5" s="13" t="s">
        <v>1126</v>
      </c>
      <c r="B5" s="30" t="s">
        <v>2068</v>
      </c>
      <c r="C5" s="30" t="s">
        <v>2958</v>
      </c>
      <c r="D5" s="30" t="n">
        <v>31</v>
      </c>
      <c r="E5" s="30" t="n">
        <v>29</v>
      </c>
      <c r="F5" s="30" t="n">
        <v>2</v>
      </c>
      <c r="G5" s="30" t="n">
        <v>0</v>
      </c>
      <c r="H5" s="30" t="n">
        <v>0</v>
      </c>
      <c r="I5" s="30" t="n">
        <v>0</v>
      </c>
      <c r="J5" s="31" t="n">
        <f aca="false">COUNTIF(缺陷登記!$F$3:$F$200,$A5)</f>
        <v>10</v>
      </c>
      <c r="K5" s="31" t="n">
        <f aca="false">COUNTIF(缺陷登記!$J$3:$J$200,$A5)</f>
        <v>29</v>
      </c>
      <c r="L5" s="31" t="n">
        <f aca="false">SUM($J$4:$J5)-SUM($K$4:$K5)</f>
        <v>19</v>
      </c>
      <c r="M5" s="32" t="s">
        <v>3100</v>
      </c>
      <c r="N5" s="30" t="s">
        <v>3101</v>
      </c>
    </row>
    <row r="6" customFormat="false" ht="15" hidden="false" customHeight="true" outlineLevel="0" collapsed="false">
      <c r="A6" s="13" t="s">
        <v>1139</v>
      </c>
      <c r="B6" s="30" t="s">
        <v>2068</v>
      </c>
      <c r="C6" s="30" t="s">
        <v>2965</v>
      </c>
      <c r="D6" s="30" t="n">
        <v>21</v>
      </c>
      <c r="E6" s="30" t="n">
        <v>20</v>
      </c>
      <c r="F6" s="30" t="n">
        <v>1</v>
      </c>
      <c r="G6" s="30" t="n">
        <v>0</v>
      </c>
      <c r="H6" s="30" t="n">
        <v>0</v>
      </c>
      <c r="I6" s="30" t="n">
        <v>0</v>
      </c>
      <c r="J6" s="31" t="n">
        <f aca="false">COUNTIF(缺陷登記!$F$3:$F$200,$A6)</f>
        <v>13</v>
      </c>
      <c r="K6" s="31" t="n">
        <f aca="false">COUNTIF(缺陷登記!$J$3:$J$200,$A6)</f>
        <v>18</v>
      </c>
      <c r="L6" s="31" t="n">
        <f aca="false">SUM($J$4:$J6)-SUM($K$4:$K6)</f>
        <v>14</v>
      </c>
      <c r="M6" s="32" t="s">
        <v>3102</v>
      </c>
      <c r="N6" s="30" t="s">
        <v>3103</v>
      </c>
    </row>
    <row r="7" customFormat="false" ht="15" hidden="false" customHeight="true" outlineLevel="0" collapsed="false">
      <c r="A7" s="13" t="s">
        <v>1309</v>
      </c>
      <c r="B7" s="30" t="s">
        <v>2358</v>
      </c>
      <c r="C7" s="30" t="s">
        <v>2972</v>
      </c>
      <c r="D7" s="30" t="n">
        <v>16</v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0</v>
      </c>
      <c r="J7" s="31" t="n">
        <f aca="false">COUNTIF(缺陷登記!$F$3:$F$200,$A7)</f>
        <v>4</v>
      </c>
      <c r="K7" s="31" t="n">
        <f aca="false">COUNTIF(缺陷登記!$J$3:$J$200,$A7)</f>
        <v>13</v>
      </c>
      <c r="L7" s="31" t="n">
        <f aca="false">SUM($J$4:$J7)-SUM($K$4:$K7)</f>
        <v>5</v>
      </c>
      <c r="M7" s="32" t="s">
        <v>3104</v>
      </c>
      <c r="N7" s="30" t="s">
        <v>3105</v>
      </c>
    </row>
    <row r="8" customFormat="false" ht="15" hidden="false" customHeight="true" outlineLevel="0" collapsed="false">
      <c r="A8" s="13" t="s">
        <v>1402</v>
      </c>
      <c r="B8" s="30" t="s">
        <v>2358</v>
      </c>
      <c r="C8" s="30" t="s">
        <v>2979</v>
      </c>
      <c r="D8" s="30" t="n">
        <v>17</v>
      </c>
      <c r="E8" s="30" t="n">
        <v>13</v>
      </c>
      <c r="F8" s="30" t="n">
        <v>4</v>
      </c>
      <c r="G8" s="30" t="n">
        <v>0</v>
      </c>
      <c r="H8" s="30" t="n">
        <v>0</v>
      </c>
      <c r="I8" s="30" t="n">
        <v>0</v>
      </c>
      <c r="J8" s="31" t="n">
        <f aca="false">COUNTIF(缺陷登記!$F$3:$F$200,$A8)</f>
        <v>13</v>
      </c>
      <c r="K8" s="31" t="n">
        <f aca="false">COUNTIF(缺陷登記!$J$3:$J$200,$A8)</f>
        <v>5</v>
      </c>
      <c r="L8" s="31" t="n">
        <f aca="false">SUM($J$4:$J8)-SUM($K$4:$K8)</f>
        <v>13</v>
      </c>
      <c r="M8" s="32" t="s">
        <v>3106</v>
      </c>
      <c r="N8" s="30" t="s">
        <v>3107</v>
      </c>
    </row>
    <row r="9" customFormat="false" ht="15" hidden="false" customHeight="true" outlineLevel="0" collapsed="false">
      <c r="A9" s="13" t="s">
        <v>1457</v>
      </c>
      <c r="B9" s="30" t="s">
        <v>2596</v>
      </c>
      <c r="C9" s="30" t="s">
        <v>2986</v>
      </c>
      <c r="D9" s="30" t="n">
        <v>13</v>
      </c>
      <c r="E9" s="30" t="n">
        <v>13</v>
      </c>
      <c r="F9" s="30" t="n">
        <v>0</v>
      </c>
      <c r="G9" s="30" t="n">
        <v>0</v>
      </c>
      <c r="H9" s="30" t="n">
        <v>0</v>
      </c>
      <c r="I9" s="30" t="n">
        <v>0</v>
      </c>
      <c r="J9" s="31" t="n">
        <f aca="false">COUNTIF(缺陷登記!$F$3:$F$200,$A9)</f>
        <v>2</v>
      </c>
      <c r="K9" s="31" t="n">
        <f aca="false">COUNTIF(缺陷登記!$J$3:$J$200,$A9)</f>
        <v>14</v>
      </c>
      <c r="L9" s="31" t="n">
        <f aca="false">SUM($J$4:$J9)-SUM($K$4:$K9)</f>
        <v>1</v>
      </c>
      <c r="M9" s="32" t="s">
        <v>3108</v>
      </c>
      <c r="N9" s="30" t="s">
        <v>3109</v>
      </c>
    </row>
    <row r="10" customFormat="false" ht="15" hidden="false" customHeight="true" outlineLevel="0" collapsed="false">
      <c r="A10" s="13" t="s">
        <v>1511</v>
      </c>
      <c r="B10" s="30" t="s">
        <v>2776</v>
      </c>
      <c r="C10" s="30" t="s">
        <v>2993</v>
      </c>
      <c r="D10" s="30" t="n">
        <v>7</v>
      </c>
      <c r="E10" s="30" t="n">
        <v>7</v>
      </c>
      <c r="F10" s="30" t="n">
        <v>0</v>
      </c>
      <c r="G10" s="30" t="n">
        <v>0</v>
      </c>
      <c r="H10" s="30" t="n">
        <v>0</v>
      </c>
      <c r="I10" s="30" t="n">
        <v>0</v>
      </c>
      <c r="J10" s="31" t="n">
        <f aca="false">COUNTIF(缺陷登記!$F$3:$F$200,$A10)</f>
        <v>1</v>
      </c>
      <c r="K10" s="31" t="n">
        <f aca="false">COUNTIF(缺陷登記!$J$3:$J$200,$A10)</f>
        <v>2</v>
      </c>
      <c r="L10" s="31" t="n">
        <f aca="false">SUM($J$4:$J10)-SUM($K$4:$K10)</f>
        <v>0</v>
      </c>
      <c r="M10" s="32" t="s">
        <v>3110</v>
      </c>
      <c r="N10" s="30" t="s">
        <v>3111</v>
      </c>
    </row>
    <row r="11" customFormat="false" ht="15" hidden="false" customHeight="true" outlineLevel="0" collapsed="false">
      <c r="A11" s="13" t="s">
        <v>1534</v>
      </c>
      <c r="B11" s="30" t="s">
        <v>2776</v>
      </c>
      <c r="C11" s="30" t="s">
        <v>2993</v>
      </c>
      <c r="D11" s="30" t="n">
        <v>73</v>
      </c>
      <c r="E11" s="30" t="n">
        <v>71</v>
      </c>
      <c r="F11" s="30" t="n">
        <v>1</v>
      </c>
      <c r="G11" s="30" t="n">
        <v>0</v>
      </c>
      <c r="H11" s="30" t="n">
        <v>1</v>
      </c>
      <c r="I11" s="30" t="n">
        <v>0</v>
      </c>
      <c r="J11" s="31" t="n">
        <f aca="false">COUNTIF(缺陷登記!$F$3:$F$200,$A11)</f>
        <v>1</v>
      </c>
      <c r="K11" s="31" t="n">
        <f aca="false">COUNTIF(缺陷登記!$J$3:$J$200,$A11)</f>
        <v>0</v>
      </c>
      <c r="L11" s="31" t="n">
        <f aca="false">SUM($J$4:$J11)-SUM($K$4:$K11)</f>
        <v>1</v>
      </c>
      <c r="M11" s="32" t="s">
        <v>3112</v>
      </c>
      <c r="N11" s="30" t="s">
        <v>3113</v>
      </c>
    </row>
    <row r="12" customFormat="false" ht="15" hidden="false" customHeight="true" outlineLevel="0" collapsed="false">
      <c r="A12" s="13" t="s">
        <v>1537</v>
      </c>
      <c r="B12" s="30" t="s">
        <v>2776</v>
      </c>
      <c r="C12" s="30" t="s">
        <v>3005</v>
      </c>
      <c r="D12" s="30" t="n">
        <v>7</v>
      </c>
      <c r="E12" s="30" t="n">
        <v>7</v>
      </c>
      <c r="F12" s="30" t="n">
        <v>0</v>
      </c>
      <c r="G12" s="30" t="n">
        <v>0</v>
      </c>
      <c r="H12" s="30" t="n">
        <v>0</v>
      </c>
      <c r="I12" s="30" t="n">
        <v>0</v>
      </c>
      <c r="J12" s="31" t="n">
        <f aca="false">COUNTIF(缺陷登記!$F$3:$F$200,$A12)</f>
        <v>0</v>
      </c>
      <c r="K12" s="31" t="n">
        <f aca="false">COUNTIF(缺陷登記!$J$3:$J$200,$A12)</f>
        <v>1</v>
      </c>
      <c r="L12" s="31" t="n">
        <f aca="false">SUM($J$4:$J12)-SUM($K$4:$K12)</f>
        <v>0</v>
      </c>
      <c r="M12" s="32" t="s">
        <v>3114</v>
      </c>
      <c r="N12" s="30" t="s">
        <v>3115</v>
      </c>
    </row>
    <row r="13" customFormat="false" ht="15" hidden="false" customHeight="true" outlineLevel="0" collapsed="false">
      <c r="A13" s="13" t="s">
        <v>1541</v>
      </c>
      <c r="B13" s="30" t="s">
        <v>2793</v>
      </c>
      <c r="C13" s="30" t="s">
        <v>3005</v>
      </c>
      <c r="D13" s="30" t="n">
        <v>120</v>
      </c>
      <c r="E13" s="30" t="n">
        <v>116</v>
      </c>
      <c r="F13" s="30" t="n">
        <v>2</v>
      </c>
      <c r="G13" s="30" t="n">
        <v>0</v>
      </c>
      <c r="H13" s="30" t="n">
        <v>1</v>
      </c>
      <c r="I13" s="30" t="n">
        <v>1</v>
      </c>
      <c r="J13" s="31" t="n">
        <f aca="false">COUNTIF(缺陷登記!$F$3:$F$200,$A13)</f>
        <v>3</v>
      </c>
      <c r="K13" s="31" t="n">
        <f aca="false">COUNTIF(缺陷登記!$J$3:$J$200,$A13)</f>
        <v>0</v>
      </c>
      <c r="L13" s="31" t="n">
        <f aca="false">SUM($J$4:$J13)-SUM($K$4:$K13)</f>
        <v>3</v>
      </c>
      <c r="M13" s="32" t="s">
        <v>3116</v>
      </c>
      <c r="N13" s="30" t="s">
        <v>3117</v>
      </c>
    </row>
    <row r="14" customFormat="false" ht="15" hidden="false" customHeight="true" outlineLevel="0" collapsed="false">
      <c r="A14" s="13" t="s">
        <v>1544</v>
      </c>
      <c r="B14" s="30" t="s">
        <v>2841</v>
      </c>
      <c r="C14" s="30" t="s">
        <v>3026</v>
      </c>
      <c r="D14" s="30" t="n">
        <v>120</v>
      </c>
      <c r="E14" s="30" t="n">
        <v>119</v>
      </c>
      <c r="F14" s="30" t="n">
        <v>0</v>
      </c>
      <c r="G14" s="30" t="n">
        <v>0</v>
      </c>
      <c r="H14" s="30" t="n">
        <v>1</v>
      </c>
      <c r="I14" s="30" t="n">
        <v>0</v>
      </c>
      <c r="J14" s="31" t="n">
        <f aca="false">COUNTIF(缺陷登記!$F$3:$F$200,$A14)</f>
        <v>0</v>
      </c>
      <c r="K14" s="31" t="n">
        <f aca="false">COUNTIF(缺陷登記!$J$3:$J$200,$A14)</f>
        <v>3</v>
      </c>
      <c r="L14" s="31" t="n">
        <f aca="false">SUM($J$4:$J14)-SUM($K$4:$K14)</f>
        <v>0</v>
      </c>
      <c r="M14" s="32" t="s">
        <v>3118</v>
      </c>
      <c r="N14" s="30" t="s">
        <v>3119</v>
      </c>
    </row>
    <row r="15" customFormat="false" ht="15" hidden="false" customHeight="true" outlineLevel="0" collapsed="false">
      <c r="A15" s="13" t="s">
        <v>1557</v>
      </c>
      <c r="B15" s="30" t="s">
        <v>2841</v>
      </c>
      <c r="C15" s="30" t="s">
        <v>3036</v>
      </c>
      <c r="D15" s="30" t="n">
        <v>120</v>
      </c>
      <c r="E15" s="30" t="n">
        <v>117</v>
      </c>
      <c r="F15" s="30" t="n">
        <v>0</v>
      </c>
      <c r="G15" s="30" t="n">
        <v>0</v>
      </c>
      <c r="H15" s="30" t="n">
        <v>1</v>
      </c>
      <c r="I15" s="30" t="n">
        <v>2</v>
      </c>
      <c r="J15" s="31" t="n">
        <f aca="false">COUNTIF(缺陷登記!$F$3:$F$200,$A15)</f>
        <v>1</v>
      </c>
      <c r="K15" s="31" t="n">
        <f aca="false">COUNTIF(缺陷登記!$J$3:$J$200,$A15)</f>
        <v>1</v>
      </c>
      <c r="L15" s="31" t="n">
        <f aca="false">SUM($J$4:$J15)-SUM($K$4:$K15)</f>
        <v>0</v>
      </c>
      <c r="M15" s="32" t="s">
        <v>3120</v>
      </c>
      <c r="N15" s="30" t="s">
        <v>3121</v>
      </c>
    </row>
    <row r="16" customFormat="false" ht="15" hidden="false" customHeight="true" outlineLevel="0" collapsed="false">
      <c r="A16" s="13" t="s">
        <v>1562</v>
      </c>
      <c r="B16" s="30" t="s">
        <v>2851</v>
      </c>
      <c r="C16" s="30" t="s">
        <v>3122</v>
      </c>
      <c r="D16" s="30" t="n">
        <v>120</v>
      </c>
      <c r="E16" s="30" t="n">
        <v>114</v>
      </c>
      <c r="F16" s="30" t="n">
        <v>3</v>
      </c>
      <c r="G16" s="30" t="n">
        <v>1</v>
      </c>
      <c r="H16" s="30" t="n">
        <v>1</v>
      </c>
      <c r="I16" s="30" t="n">
        <v>1</v>
      </c>
      <c r="J16" s="31" t="n">
        <f aca="false">COUNTIF(缺陷登記!$F$3:$F$200,$A16)</f>
        <v>5</v>
      </c>
      <c r="K16" s="31" t="n">
        <f aca="false">COUNTIF(缺陷登記!$J$3:$J$200,$A16)</f>
        <v>0</v>
      </c>
      <c r="L16" s="31" t="n">
        <f aca="false">SUM($J$4:$J16)-SUM($K$4:$K16)</f>
        <v>5</v>
      </c>
      <c r="M16" s="32" t="s">
        <v>3123</v>
      </c>
      <c r="N16" s="30" t="s">
        <v>3124</v>
      </c>
    </row>
    <row r="17" customFormat="false" ht="15" hidden="false" customHeight="true" outlineLevel="0" collapsed="false">
      <c r="A17" s="13" t="s">
        <v>1565</v>
      </c>
      <c r="B17" s="30" t="s">
        <v>2873</v>
      </c>
      <c r="C17" s="30" t="s">
        <v>3125</v>
      </c>
      <c r="D17" s="30" t="n">
        <v>19</v>
      </c>
      <c r="E17" s="30" t="n">
        <v>19</v>
      </c>
      <c r="F17" s="30" t="n">
        <v>0</v>
      </c>
      <c r="G17" s="30" t="n">
        <v>0</v>
      </c>
      <c r="H17" s="30" t="n">
        <v>0</v>
      </c>
      <c r="I17" s="30" t="n">
        <v>0</v>
      </c>
      <c r="J17" s="31" t="n">
        <f aca="false">COUNTIF(缺陷登記!$F$3:$F$200,$A17)</f>
        <v>1</v>
      </c>
      <c r="K17" s="31" t="n">
        <f aca="false">COUNTIF(缺陷登記!$J$3:$J$200,$A17)</f>
        <v>5</v>
      </c>
      <c r="L17" s="31" t="n">
        <f aca="false">SUM($J$4:$J17)-SUM($K$4:$K17)</f>
        <v>1</v>
      </c>
      <c r="M17" s="32" t="s">
        <v>3126</v>
      </c>
      <c r="N17" s="30" t="s">
        <v>3127</v>
      </c>
    </row>
    <row r="18" customFormat="false" ht="15" hidden="false" customHeight="true" outlineLevel="0" collapsed="false">
      <c r="A18" s="13" t="s">
        <v>1591</v>
      </c>
      <c r="B18" s="30" t="s">
        <v>2931</v>
      </c>
      <c r="C18" s="30" t="s">
        <v>3128</v>
      </c>
      <c r="D18" s="30" t="n">
        <v>11</v>
      </c>
      <c r="E18" s="30" t="n">
        <v>11</v>
      </c>
      <c r="F18" s="30" t="n">
        <v>0</v>
      </c>
      <c r="G18" s="30" t="n">
        <v>0</v>
      </c>
      <c r="H18" s="30" t="n">
        <v>0</v>
      </c>
      <c r="I18" s="30" t="n">
        <v>0</v>
      </c>
      <c r="J18" s="31" t="n">
        <f aca="false">COUNTIF(缺陷登記!$F$3:$F$200,$A18)</f>
        <v>1</v>
      </c>
      <c r="K18" s="31" t="n">
        <f aca="false">COUNTIF(缺陷登記!$J$3:$J$200,$A18)</f>
        <v>1</v>
      </c>
      <c r="L18" s="31" t="n">
        <f aca="false">SUM($J$4:$J18)-SUM($K$4:$K18)</f>
        <v>1</v>
      </c>
      <c r="M18" s="32" t="s">
        <v>3129</v>
      </c>
      <c r="N18" s="30" t="s">
        <v>3130</v>
      </c>
    </row>
    <row r="19" customFormat="false" ht="15" hidden="false" customHeight="true" outlineLevel="0" collapsed="false">
      <c r="A19" s="13" t="s">
        <v>1597</v>
      </c>
      <c r="B19" s="30" t="s">
        <v>2931</v>
      </c>
      <c r="C19" s="30" t="s">
        <v>3131</v>
      </c>
      <c r="D19" s="30" t="n">
        <v>10</v>
      </c>
      <c r="E19" s="30" t="n">
        <v>10</v>
      </c>
      <c r="F19" s="30" t="n">
        <v>0</v>
      </c>
      <c r="G19" s="30" t="n">
        <v>0</v>
      </c>
      <c r="H19" s="30" t="n">
        <v>0</v>
      </c>
      <c r="I19" s="30" t="n">
        <v>0</v>
      </c>
      <c r="J19" s="31" t="n">
        <f aca="false">COUNTIF(缺陷登記!$F$3:$F$200,$A19)</f>
        <v>0</v>
      </c>
      <c r="K19" s="31" t="n">
        <f aca="false">COUNTIF(缺陷登記!$J$3:$J$200,$A19)</f>
        <v>1</v>
      </c>
      <c r="L19" s="31" t="n">
        <f aca="false">SUM($J$4:$J19)-SUM($K$4:$K19)</f>
        <v>0</v>
      </c>
      <c r="M19" s="32" t="s">
        <v>3132</v>
      </c>
      <c r="N19" s="30" t="s">
        <v>3133</v>
      </c>
    </row>
    <row r="20" customFormat="false" ht="15" hidden="false" customHeight="false" outlineLevel="0" collapsed="false">
      <c r="A20" s="33" t="s">
        <v>3134</v>
      </c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</row>
  </sheetData>
  <mergeCells count="1">
    <mergeCell ref="A20: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9" t="s">
        <v>3135</v>
      </c>
    </row>
    <row r="3" customFormat="false" ht="31.5" hidden="false" customHeight="true" outlineLevel="0" collapsed="false">
      <c r="A3" s="8" t="s">
        <v>3136</v>
      </c>
      <c r="B3" s="9" t="s">
        <v>3137</v>
      </c>
      <c r="C3" s="9" t="s">
        <v>3138</v>
      </c>
      <c r="D3" s="9" t="s">
        <v>3139</v>
      </c>
      <c r="E3" s="9" t="s">
        <v>3140</v>
      </c>
      <c r="F3" s="9" t="s">
        <v>3141</v>
      </c>
    </row>
    <row r="4" customFormat="false" ht="15" hidden="false" customHeight="true" outlineLevel="0" collapsed="false">
      <c r="A4" s="13" t="s">
        <v>3142</v>
      </c>
      <c r="B4" s="15" t="s">
        <v>3143</v>
      </c>
      <c r="C4" s="14" t="s">
        <v>3144</v>
      </c>
      <c r="D4" s="30" t="s">
        <v>3145</v>
      </c>
      <c r="E4" s="30" t="s">
        <v>3146</v>
      </c>
      <c r="F4" s="32" t="s">
        <v>3147</v>
      </c>
    </row>
    <row r="5" customFormat="false" ht="15" hidden="false" customHeight="true" outlineLevel="0" collapsed="false">
      <c r="A5" s="13" t="s">
        <v>3148</v>
      </c>
      <c r="B5" s="15" t="s">
        <v>3149</v>
      </c>
      <c r="C5" s="15" t="s">
        <v>3150</v>
      </c>
      <c r="D5" s="30" t="s">
        <v>3151</v>
      </c>
      <c r="E5" s="30" t="s">
        <v>3151</v>
      </c>
      <c r="F5" s="32" t="s">
        <v>3147</v>
      </c>
    </row>
    <row r="6" customFormat="false" ht="15" hidden="false" customHeight="true" outlineLevel="0" collapsed="false">
      <c r="A6" s="13" t="s">
        <v>3152</v>
      </c>
      <c r="B6" s="15" t="s">
        <v>3153</v>
      </c>
      <c r="C6" s="15" t="s">
        <v>3154</v>
      </c>
      <c r="D6" s="30" t="s">
        <v>3155</v>
      </c>
      <c r="E6" s="30" t="s">
        <v>3155</v>
      </c>
      <c r="F6" s="32" t="s">
        <v>3147</v>
      </c>
    </row>
    <row r="7" customFormat="false" ht="15" hidden="false" customHeight="true" outlineLevel="0" collapsed="false">
      <c r="A7" s="13" t="s">
        <v>3156</v>
      </c>
      <c r="B7" s="15" t="s">
        <v>3157</v>
      </c>
      <c r="C7" s="15" t="s">
        <v>3158</v>
      </c>
      <c r="D7" s="30" t="s">
        <v>3159</v>
      </c>
      <c r="E7" s="30" t="s">
        <v>3159</v>
      </c>
      <c r="F7" s="32" t="s">
        <v>3147</v>
      </c>
    </row>
    <row r="8" customFormat="false" ht="15" hidden="false" customHeight="true" outlineLevel="0" collapsed="false">
      <c r="A8" s="13" t="s">
        <v>3160</v>
      </c>
      <c r="B8" s="15" t="s">
        <v>3161</v>
      </c>
      <c r="C8" s="15" t="s">
        <v>3162</v>
      </c>
      <c r="D8" s="30" t="s">
        <v>3163</v>
      </c>
      <c r="E8" s="30" t="s">
        <v>3163</v>
      </c>
      <c r="F8" s="32" t="s">
        <v>3147</v>
      </c>
    </row>
    <row r="9" customFormat="false" ht="15" hidden="false" customHeight="true" outlineLevel="0" collapsed="false">
      <c r="A9" s="13" t="s">
        <v>3164</v>
      </c>
      <c r="B9" s="15" t="s">
        <v>3165</v>
      </c>
      <c r="C9" s="14" t="s">
        <v>3166</v>
      </c>
      <c r="D9" s="30" t="s">
        <v>3167</v>
      </c>
      <c r="E9" s="32" t="s">
        <v>3168</v>
      </c>
      <c r="F9" s="32" t="s">
        <v>3147</v>
      </c>
    </row>
    <row r="10" customFormat="false" ht="15" hidden="false" customHeight="true" outlineLevel="0" collapsed="false">
      <c r="A10" s="13" t="s">
        <v>3169</v>
      </c>
      <c r="B10" s="15" t="s">
        <v>3170</v>
      </c>
      <c r="C10" s="14" t="s">
        <v>3171</v>
      </c>
      <c r="D10" s="30" t="s">
        <v>3172</v>
      </c>
      <c r="E10" s="30" t="s">
        <v>3173</v>
      </c>
      <c r="F10" s="32" t="s">
        <v>3147</v>
      </c>
    </row>
    <row r="11" customFormat="false" ht="15" hidden="false" customHeight="true" outlineLevel="0" collapsed="false">
      <c r="A11" s="13" t="s">
        <v>3174</v>
      </c>
      <c r="B11" s="15" t="s">
        <v>3175</v>
      </c>
      <c r="C11" s="15" t="s">
        <v>3176</v>
      </c>
      <c r="D11" s="30" t="s">
        <v>3177</v>
      </c>
      <c r="E11" s="30" t="s">
        <v>3178</v>
      </c>
      <c r="F11" s="32" t="s">
        <v>3147</v>
      </c>
    </row>
    <row r="12" customFormat="false" ht="15" hidden="false" customHeight="true" outlineLevel="0" collapsed="false">
      <c r="A12" s="13" t="s">
        <v>3179</v>
      </c>
      <c r="B12" s="15" t="s">
        <v>3180</v>
      </c>
      <c r="C12" s="15" t="s">
        <v>3181</v>
      </c>
      <c r="D12" s="30" t="s">
        <v>3182</v>
      </c>
      <c r="E12" s="30" t="s">
        <v>3183</v>
      </c>
      <c r="F12" s="32" t="s">
        <v>3184</v>
      </c>
    </row>
    <row r="13" customFormat="false" ht="15" hidden="false" customHeight="true" outlineLevel="0" collapsed="false">
      <c r="A13" s="13" t="s">
        <v>3185</v>
      </c>
      <c r="B13" s="14" t="s">
        <v>3186</v>
      </c>
      <c r="C13" s="15" t="s">
        <v>3187</v>
      </c>
      <c r="D13" s="32" t="s">
        <v>3188</v>
      </c>
      <c r="E13" s="32" t="s">
        <v>3189</v>
      </c>
      <c r="F13" s="32" t="s">
        <v>3147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4" t="s">
        <v>3190</v>
      </c>
    </row>
    <row r="3" customFormat="false" ht="15" hidden="false" customHeight="true" outlineLevel="0" collapsed="false">
      <c r="A3" s="35" t="s">
        <v>3191</v>
      </c>
      <c r="C3" s="35" t="s">
        <v>3192</v>
      </c>
    </row>
    <row r="4" customFormat="false" ht="29.25" hidden="false" customHeight="true" outlineLevel="0" collapsed="false">
      <c r="A4" s="36" t="s">
        <v>86</v>
      </c>
      <c r="B4" s="6" t="s">
        <v>3193</v>
      </c>
      <c r="C4" s="37" t="s">
        <v>3194</v>
      </c>
    </row>
    <row r="5" customFormat="false" ht="29.25" hidden="false" customHeight="true" outlineLevel="0" collapsed="false">
      <c r="A5" s="36" t="s">
        <v>88</v>
      </c>
      <c r="B5" s="6" t="s">
        <v>3195</v>
      </c>
      <c r="C5" s="37" t="s">
        <v>3196</v>
      </c>
    </row>
    <row r="6" customFormat="false" ht="43.5" hidden="false" customHeight="true" outlineLevel="0" collapsed="false">
      <c r="A6" s="36" t="s">
        <v>90</v>
      </c>
      <c r="B6" s="6" t="s">
        <v>3197</v>
      </c>
      <c r="C6" s="37" t="s">
        <v>3198</v>
      </c>
    </row>
    <row r="7" customFormat="false" ht="15" hidden="false" customHeight="true" outlineLevel="0" collapsed="false">
      <c r="A7" s="36" t="s">
        <v>92</v>
      </c>
      <c r="B7" s="6" t="s">
        <v>3199</v>
      </c>
      <c r="C7" s="37" t="s">
        <v>3200</v>
      </c>
    </row>
    <row r="8" customFormat="false" ht="29.25" hidden="false" customHeight="true" outlineLevel="0" collapsed="false">
      <c r="A8" s="36" t="s">
        <v>94</v>
      </c>
      <c r="B8" s="6" t="s">
        <v>3201</v>
      </c>
      <c r="C8" s="37" t="s">
        <v>3202</v>
      </c>
    </row>
    <row r="10" customFormat="false" ht="15" hidden="false" customHeight="true" outlineLevel="0" collapsed="false">
      <c r="A10" s="35" t="s">
        <v>3203</v>
      </c>
    </row>
    <row r="11" customFormat="false" ht="15" hidden="false" customHeight="true" outlineLevel="0" collapsed="false">
      <c r="A11" s="38" t="s">
        <v>3204</v>
      </c>
      <c r="B11" s="39" t="n">
        <f aca="false">COUNTA(輪次彙總!$B$4:$B$19)</f>
        <v>16</v>
      </c>
    </row>
    <row r="12" customFormat="false" ht="15" hidden="false" customHeight="true" outlineLevel="0" collapsed="false">
      <c r="A12" s="38" t="s">
        <v>3205</v>
      </c>
      <c r="B12" s="39" t="n">
        <f aca="false">COUNTIF(測試案例!$M$3:$M$132,"PASS")</f>
        <v>119</v>
      </c>
    </row>
    <row r="13" customFormat="false" ht="15" hidden="false" customHeight="true" outlineLevel="0" collapsed="false">
      <c r="A13" s="38" t="s">
        <v>3206</v>
      </c>
      <c r="B13" s="39" t="n">
        <f aca="false">COUNTIF(測試案例!$M$3:$M$132,"N/A")</f>
        <v>1</v>
      </c>
    </row>
    <row r="14" customFormat="false" ht="15" hidden="false" customHeight="true" outlineLevel="0" collapsed="false">
      <c r="A14" s="38" t="s">
        <v>3207</v>
      </c>
      <c r="B14" s="39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8" t="s">
        <v>3208</v>
      </c>
      <c r="B15" s="39" t="n">
        <f aca="false">COUNTA(缺陷登記!$I$3:$I$200)</f>
        <v>93</v>
      </c>
    </row>
    <row r="16" customFormat="false" ht="15" hidden="false" customHeight="true" outlineLevel="0" collapsed="false">
      <c r="A16" s="38" t="s">
        <v>3209</v>
      </c>
      <c r="B16" s="39" t="n">
        <f aca="false">COUNTIF(缺陷登記!$D$3:$D$200,"高")</f>
        <v>2</v>
      </c>
    </row>
    <row r="17" customFormat="false" ht="15" hidden="false" customHeight="true" outlineLevel="0" collapsed="false">
      <c r="A17" s="38" t="s">
        <v>3210</v>
      </c>
      <c r="B17" s="39" t="n">
        <f aca="false">COUNTIF(缺陷登記!$D$3:$D$200,"中")</f>
        <v>31</v>
      </c>
    </row>
    <row r="18" customFormat="false" ht="15" hidden="false" customHeight="true" outlineLevel="0" collapsed="false">
      <c r="A18" s="38" t="s">
        <v>3211</v>
      </c>
      <c r="B18" s="39" t="n">
        <f aca="false">COUNTIF(缺陷登記!$D$3:$D$200,"低")</f>
        <v>60</v>
      </c>
    </row>
    <row r="19" customFormat="false" ht="15" hidden="false" customHeight="true" outlineLevel="0" collapsed="false">
      <c r="A19" s="38" t="s">
        <v>3212</v>
      </c>
      <c r="B19" s="39" t="n">
        <f aca="false">COUNTIF(缺陷登記!$I$3:$I$200,"結案")+COUNTIF(缺陷登記!$I$3:$I$200,"非缺陷")</f>
        <v>93</v>
      </c>
    </row>
    <row r="20" customFormat="false" ht="15" hidden="false" customHeight="true" outlineLevel="0" collapsed="false">
      <c r="A20" s="38" t="s">
        <v>3213</v>
      </c>
      <c r="B20" s="39" t="n">
        <f aca="false">COUNTA(缺陷登記!$I$3:$I$200)-COUNTIF(缺陷登記!$I$3:$I$200,"結案")-COUNTIF(缺陷登記!$I$3:$I$200,"非缺陷")</f>
        <v>0</v>
      </c>
    </row>
    <row r="22" customFormat="false" ht="15" hidden="false" customHeight="true" outlineLevel="0" collapsed="false">
      <c r="A22" s="35" t="s">
        <v>3214</v>
      </c>
    </row>
    <row r="23" customFormat="false" ht="15" hidden="false" customHeight="true" outlineLevel="0" collapsed="false">
      <c r="A23" s="35" t="s">
        <v>3215</v>
      </c>
      <c r="B23" s="35" t="s">
        <v>3216</v>
      </c>
      <c r="C23" s="35" t="s">
        <v>1601</v>
      </c>
      <c r="D23" s="35" t="s">
        <v>3217</v>
      </c>
    </row>
    <row r="24" customFormat="false" ht="15" hidden="false" customHeight="true" outlineLevel="0" collapsed="false">
      <c r="A24" s="38" t="s">
        <v>3218</v>
      </c>
      <c r="B24" s="40" t="s">
        <v>3219</v>
      </c>
      <c r="C24" s="40" t="s">
        <v>2931</v>
      </c>
      <c r="D24" s="37" t="s">
        <v>3220</v>
      </c>
    </row>
    <row r="25" customFormat="false" ht="15" hidden="false" customHeight="true" outlineLevel="0" collapsed="false">
      <c r="A25" s="38" t="s">
        <v>3221</v>
      </c>
      <c r="B25" s="40" t="s">
        <v>3222</v>
      </c>
      <c r="C25" s="40" t="s">
        <v>2841</v>
      </c>
      <c r="D25" s="37" t="s">
        <v>3223</v>
      </c>
    </row>
    <row r="26" customFormat="false" ht="15" hidden="false" customHeight="true" outlineLevel="0" collapsed="false">
      <c r="A26" s="41" t="s">
        <v>3224</v>
      </c>
      <c r="B26" s="40" t="s">
        <v>3225</v>
      </c>
      <c r="C26" s="40" t="s">
        <v>2841</v>
      </c>
      <c r="D26" s="37" t="s">
        <v>3226</v>
      </c>
    </row>
    <row r="28" customFormat="false" ht="15" hidden="false" customHeight="true" outlineLevel="0" collapsed="false">
      <c r="A28" s="35" t="s">
        <v>3227</v>
      </c>
      <c r="B28" s="40" t="s">
        <v>3228</v>
      </c>
    </row>
    <row r="29" customFormat="false" ht="15" hidden="false" customHeight="true" outlineLevel="0" collapsed="false">
      <c r="A29" s="35" t="s">
        <v>3229</v>
      </c>
      <c r="B29" s="40" t="s">
        <v>2841</v>
      </c>
    </row>
    <row r="30" customFormat="false" ht="15" hidden="false" customHeight="true" outlineLevel="0" collapsed="false">
      <c r="A30" s="35" t="s">
        <v>3230</v>
      </c>
      <c r="B30" s="37" t="s">
        <v>3231</v>
      </c>
    </row>
    <row r="32" customFormat="false" ht="15" hidden="false" customHeight="true" outlineLevel="0" collapsed="false">
      <c r="A32" s="38" t="s">
        <v>3232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2026-10-03T02:10:47Z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