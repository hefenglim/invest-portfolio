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</t>
        </is>
      </c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</t>
        </is>
      </c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</t>
        </is>
      </c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</t>
        </is>
      </c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</t>
        </is>
      </c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</t>
        </is>
      </c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</t>
        </is>
      </c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</t>
        </is>
      </c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</t>
        </is>
      </c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</t>
        </is>
      </c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</t>
        </is>
      </c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</t>
        </is>
      </c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結案</t>
        </is>
      </c>
      <c r="M52" s="51" t="inlineStr">
        <is>
          <t>PASS</t>
        </is>
      </c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</t>
        </is>
      </c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</t>
        </is>
      </c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</t>
        </is>
      </c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</t>
        </is>
      </c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</t>
        </is>
      </c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結案</t>
        </is>
      </c>
      <c r="M74" s="51" t="inlineStr">
        <is>
          <t>PASS</t>
        </is>
      </c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結案</t>
        </is>
      </c>
      <c r="M80" s="51" t="inlineStr">
        <is>
          <t>PASS</t>
        </is>
      </c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</t>
        </is>
      </c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</t>
        </is>
      </c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</t>
        </is>
      </c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</t>
        </is>
      </c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inlineStr">
        <is>
          <t>DEF-082</t>
        </is>
      </c>
      <c r="L96" s="52" t="inlineStr">
        <is>
          <t>結案</t>
        </is>
      </c>
      <c r="M96" s="51" t="inlineStr">
        <is>
          <t>PASS</t>
        </is>
      </c>
      <c r="N96" s="5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</t>
        </is>
      </c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DEF-073, DEF-079, DEF-080</t>
        </is>
      </c>
      <c r="L100" s="52" t="inlineStr">
        <is>
          <t>結案</t>
        </is>
      </c>
      <c r="M100" s="51" t="inlineStr">
        <is>
          <t>PASS</t>
        </is>
      </c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</t>
        </is>
      </c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inlineStr">
        <is>
          <t>DEF-081</t>
        </is>
      </c>
      <c r="L110" s="52" t="inlineStr">
        <is>
          <t>PASS</t>
        </is>
      </c>
      <c r="M110" s="51" t="inlineStr">
        <is>
          <t>PASS</t>
        </is>
      </c>
      <c r="N110" s="5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</t>
        </is>
      </c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</t>
        </is>
      </c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</t>
        </is>
      </c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</t>
        </is>
      </c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結案</t>
        </is>
      </c>
      <c r="J68" s="51" t="inlineStr">
        <is>
          <t>R6</t>
        </is>
      </c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結案</t>
        </is>
      </c>
      <c r="J69" s="51" t="inlineStr">
        <is>
          <t>R6</t>
        </is>
      </c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結案</t>
        </is>
      </c>
      <c r="J70" s="51" t="inlineStr">
        <is>
          <t>R6</t>
        </is>
      </c>
      <c r="K70" s="5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結案</t>
        </is>
      </c>
      <c r="J71" s="51" t="inlineStr">
        <is>
          <t>R6</t>
        </is>
      </c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結案</t>
        </is>
      </c>
      <c r="J72" s="51" t="inlineStr">
        <is>
          <t>R6</t>
        </is>
      </c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結案</t>
        </is>
      </c>
      <c r="J73" s="51" t="inlineStr">
        <is>
          <t>R6</t>
        </is>
      </c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結案</t>
        </is>
      </c>
      <c r="J74" s="51" t="inlineStr">
        <is>
          <t>R6</t>
        </is>
      </c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結案</t>
        </is>
      </c>
      <c r="J75" s="51" t="inlineStr">
        <is>
          <t>R6</t>
        </is>
      </c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結案</t>
        </is>
      </c>
      <c r="J76" s="51" t="inlineStr">
        <is>
          <t>R6</t>
        </is>
      </c>
      <c r="K76" s="5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結案</t>
        </is>
      </c>
      <c r="J77" s="51" t="inlineStr">
        <is>
          <t>R6</t>
        </is>
      </c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結案</t>
        </is>
      </c>
      <c r="J78" s="51" t="inlineStr">
        <is>
          <t>R6</t>
        </is>
      </c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1" t="inlineStr">
        <is>
          <t>結案</t>
        </is>
      </c>
      <c r="J79" s="51" t="inlineStr">
        <is>
          <t>R7</t>
        </is>
      </c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結案</t>
        </is>
      </c>
      <c r="J80" s="51" t="inlineStr">
        <is>
          <t>R6</t>
        </is>
      </c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結案</t>
        </is>
      </c>
      <c r="J81" s="51" t="inlineStr">
        <is>
          <t>R6</t>
        </is>
      </c>
      <c r="K81" s="51" t="inlineStr">
        <is>
          <t>開發者 R6 修 DEF-070 時發現；owner 2026-09-26 在對話中裁定本輪一起修。
R6 複驗通過（黑箱重放＋驗證者變異）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結案</t>
        </is>
      </c>
      <c r="J82" s="51" t="inlineStr">
        <is>
          <t>R6</t>
        </is>
      </c>
      <c r="K82" s="51" t="inlineStr">
        <is>
          <t>開發者 R6 修 DEF-070 時發現；owner 2026-09-26 在對話中裁定本輪一起修。
R6 複驗通過（黑箱重放＋驗證者變異）</t>
        </is>
      </c>
    </row>
    <row r="83" ht="15" customHeight="1" s="34">
      <c r="A83" s="51" t="inlineStr">
        <is>
          <t>DEF-081</t>
        </is>
      </c>
      <c r="B83" s="51" t="inlineStr">
        <is>
          <t>H-07（附帶）</t>
        </is>
      </c>
      <c r="C83" s="51" t="inlineStr">
        <is>
          <t>AI 戰績「各洞察任務命中率」與「預測明細」以「任務 #2」稱呼洞察任務，不是任務名稱</t>
        </is>
      </c>
      <c r="D83" s="51" t="inlineStr">
        <is>
          <t>低</t>
        </is>
      </c>
      <c r="E83" s="51" t="inlineStr">
        <is>
          <t>程式缺陷</t>
        </is>
      </c>
      <c r="F83" s="51" t="inlineStr">
        <is>
          <t>R7</t>
        </is>
      </c>
      <c r="G83" s="51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5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1" t="inlineStr">
        <is>
          <t>結案</t>
        </is>
      </c>
      <c r="J83" s="51" t="inlineStr">
        <is>
          <t>R7</t>
        </is>
      </c>
      <c r="K83" s="51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34">
      <c r="A84" s="51" t="inlineStr">
        <is>
          <t>DEF-082</t>
        </is>
      </c>
      <c r="B84" s="51" t="inlineStr">
        <is>
          <t>G-04</t>
        </is>
      </c>
      <c r="C84" s="51" t="inlineStr">
        <is>
          <t>AI 洞察卡的代號檢核把括號內「已註冊標的的英文名稱」當成未知代號：#209 寫「3008 (LARGAN)」即標「未知代碼：LARGAN…可能是模型幻覺」</t>
        </is>
      </c>
      <c r="D84" s="51" t="inlineStr">
        <is>
          <t>低</t>
        </is>
      </c>
      <c r="E84" s="51" t="inlineStr">
        <is>
          <t>程式缺陷</t>
        </is>
      </c>
      <c r="F84" s="51" t="inlineStr">
        <is>
          <t>R8</t>
        </is>
      </c>
      <c r="G84" s="5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5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1" t="inlineStr">
        <is>
          <t>結案</t>
        </is>
      </c>
      <c r="J84" s="51" t="inlineStr">
        <is>
          <t>R9</t>
        </is>
      </c>
      <c r="K84" s="51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</sheetData>
  <dataValidations count="4">
    <dataValidation sqref="D3:D84" showDropDown="0" showInputMessage="0" showErrorMessage="0" allowBlank="1" type="list" errorStyle="stop" operator="between">
      <formula1>"高,中,低"</formula1>
      <formula2>0</formula2>
    </dataValidation>
    <dataValidation sqref="E3:E84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4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4 J3:J84" showDropDown="0" showInputMessage="0" showErrorMessage="0" allowBlank="1" type="list" errorStyle="stop" operator="between">
      <formula1>"R1,R2,R3,R4,R5,R6,R7,R8,R9"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s="33" t="inlineStr">
        <is>
          <t>R6</t>
        </is>
      </c>
      <c r="B159" s="33" t="inlineStr">
        <is>
          <t>DEF-066</t>
        </is>
      </c>
      <c r="C159" s="33" t="inlineStr">
        <is>
          <t>G-09（附帶）；DEF-062 複驗（demo alert_scan #195 → insight:9 #196～#202）；H-01 測試連線</t>
        </is>
      </c>
      <c r="D159" s="33" t="inlineStr">
        <is>
          <t>2026-09-26</t>
        </is>
      </c>
      <c r="E159" s="33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3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33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33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3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33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33" t="inlineStr">
        <is>
          <t>696934e（已部署 demo）</t>
        </is>
      </c>
      <c r="L159" s="3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33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33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33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33" t="inlineStr">
        <is>
          <t>複驗通過 → 結案</t>
        </is>
      </c>
      <c r="Q159" s="33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33" t="inlineStr">
        <is>
          <t>檢驗方 2026-09-26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5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5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57" t="inlineStr">
        <is>
          <t>複驗通過 → 結案</t>
        </is>
      </c>
      <c r="Q160" s="57" t="inlineStr">
        <is>
          <t>無</t>
        </is>
      </c>
      <c r="R160" s="57" t="inlineStr">
        <is>
          <t>檢驗方 2026-09-26</t>
        </is>
      </c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5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5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57" t="inlineStr">
        <is>
          <t>複驗通過 → 結案</t>
        </is>
      </c>
      <c r="Q161" s="57" t="inlineStr">
        <is>
          <t>無</t>
        </is>
      </c>
      <c r="R161" s="57" t="inlineStr">
        <is>
          <t>檢驗方 2026-09-26</t>
        </is>
      </c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5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5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57" t="inlineStr">
        <is>
          <t>複驗通過 → 結案</t>
        </is>
      </c>
      <c r="Q162" s="57" t="inlineStr">
        <is>
          <t>無</t>
        </is>
      </c>
      <c r="R162" s="57" t="inlineStr">
        <is>
          <t>檢驗方 2026-09-26</t>
        </is>
      </c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5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5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57" t="inlineStr">
        <is>
          <t>複驗通過 → 結案</t>
        </is>
      </c>
      <c r="Q163" s="57" t="inlineStr">
        <is>
          <t>無</t>
        </is>
      </c>
      <c r="R163" s="57" t="inlineStr">
        <is>
          <t>檢驗方 2026-09-26</t>
        </is>
      </c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5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5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57" t="inlineStr">
        <is>
          <t>複驗通過 → 結案</t>
        </is>
      </c>
      <c r="Q164" s="57" t="inlineStr">
        <is>
          <t>無</t>
        </is>
      </c>
      <c r="R164" s="57" t="inlineStr">
        <is>
          <t>檢驗方 2026-09-26</t>
        </is>
      </c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5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5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57" t="inlineStr">
        <is>
          <t>複驗通過 → 結案</t>
        </is>
      </c>
      <c r="Q165" s="57" t="inlineStr">
        <is>
          <t>無</t>
        </is>
      </c>
      <c r="R165" s="57" t="inlineStr">
        <is>
          <t>檢驗方 2026-09-26</t>
        </is>
      </c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5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5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57" t="inlineStr">
        <is>
          <t>複驗通過 → 結案</t>
        </is>
      </c>
      <c r="Q166" s="57" t="inlineStr">
        <is>
          <t>無</t>
        </is>
      </c>
      <c r="R166" s="57" t="inlineStr">
        <is>
          <t>檢驗方 2026-09-26</t>
        </is>
      </c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5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5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57" t="inlineStr">
        <is>
          <t>複驗通過 → 結案</t>
        </is>
      </c>
      <c r="Q167" s="57" t="inlineStr">
        <is>
          <t>附註：失敗時的例外原文（failure_detail）依 DEF-030 保留英文類別名與原文，未列入本張</t>
        </is>
      </c>
      <c r="R167" s="57" t="inlineStr">
        <is>
          <t>檢驗方 2026-09-26</t>
        </is>
      </c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5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5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57" t="inlineStr">
        <is>
          <t>複驗通過 → 結案</t>
        </is>
      </c>
      <c r="Q168" s="57" t="inlineStr">
        <is>
          <t>無</t>
        </is>
      </c>
      <c r="R168" s="57" t="inlineStr">
        <is>
          <t>檢驗方 2026-09-26</t>
        </is>
      </c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5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5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57" t="inlineStr">
        <is>
          <t>複驗通過 → 結案</t>
        </is>
      </c>
      <c r="Q169" s="57" t="inlineStr">
        <is>
          <t>無</t>
        </is>
      </c>
      <c r="R169" s="57" t="inlineStr">
        <is>
          <t>檢驗方 2026-09-26</t>
        </is>
      </c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5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5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57" t="inlineStr">
        <is>
          <t>複驗通過 → 結案</t>
        </is>
      </c>
      <c r="Q170" s="57" t="inlineStr">
        <is>
          <t>無</t>
        </is>
      </c>
      <c r="R170" s="57" t="inlineStr">
        <is>
          <t>檢驗方 2026-09-26</t>
        </is>
      </c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5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5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57" t="inlineStr">
        <is>
          <t>複驗通過 → 結案</t>
        </is>
      </c>
      <c r="Q171" s="57" t="inlineStr">
        <is>
          <t>無</t>
        </is>
      </c>
      <c r="R171" s="57" t="inlineStr">
        <is>
          <t>檢驗方 2026-09-26</t>
        </is>
      </c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5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5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57" t="inlineStr">
        <is>
          <t>複驗未過</t>
        </is>
      </c>
      <c r="Q172" s="5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57" t="inlineStr">
        <is>
          <t>檢驗方 2026-09-26</t>
        </is>
      </c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5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5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57" t="inlineStr">
        <is>
          <t>複驗通過 → 結案</t>
        </is>
      </c>
      <c r="Q173" s="5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57" t="inlineStr">
        <is>
          <t>檢驗方 2026-09-26</t>
        </is>
      </c>
    </row>
    <row r="174" ht="220" customHeight="1" s="34">
      <c r="A174" s="51" t="inlineStr">
        <is>
          <t>R7</t>
        </is>
      </c>
      <c r="B174" s="51" t="inlineStr">
        <is>
          <t>DEF-077</t>
        </is>
      </c>
      <c r="C174" s="51" t="inlineStr">
        <is>
          <t>J-01（附帶）</t>
        </is>
      </c>
      <c r="D174" s="51" t="inlineStr">
        <is>
          <t>2026-09-26</t>
        </is>
      </c>
      <c r="E174" s="5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56" t="inlineStr">
        <is>
          <t>web/styles.css:1240（.fresh-note 預設琥珀）、web/app.js:1393／:1399（696934e）；同類 web/settings-llm.js:71-74、:81-83，web/app.js:1360</t>
        </is>
      </c>
      <c r="G174" s="5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5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5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5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56" t="inlineStr">
        <is>
          <t>a16210a（已部署 demo）</t>
        </is>
      </c>
      <c r="L174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5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5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5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57" t="inlineStr">
        <is>
          <t>複驗通過 → 結案</t>
        </is>
      </c>
      <c r="Q174" s="57" t="inlineStr">
        <is>
          <t>無。附註：「推導」改中性、AI 狀態徽章改 class 依 owner 2026-09-26 對話裁定併入本張驗收</t>
        </is>
      </c>
      <c r="R174" s="57" t="inlineStr">
        <is>
          <t>檢驗方 2026-09-27</t>
        </is>
      </c>
    </row>
    <row r="175" ht="220" customHeight="1" s="34">
      <c r="A175" s="51" t="inlineStr">
        <is>
          <t>R7</t>
        </is>
      </c>
      <c r="B175" s="51" t="inlineStr">
        <is>
          <t>DEF-081</t>
        </is>
      </c>
      <c r="C175" s="51" t="inlineStr">
        <is>
          <t>H-07（附帶）</t>
        </is>
      </c>
      <c r="D175" s="51" t="inlineStr">
        <is>
          <t>2026-09-26</t>
        </is>
      </c>
      <c r="E175" s="56" t="inlineStr">
        <is>
          <t>新開，owner 2026-09-26 在對話中裁定本輪改顯示名稱（驗證者 R5 觀察 5、R6 規格 §2 觀察 3）。</t>
        </is>
      </c>
      <c r="F175" s="56" t="inlineStr">
        <is>
          <t>web/insights.html:688、:725；portfolio_dash/api/routers/insights.py:914（696934e）</t>
        </is>
      </c>
      <c r="G175" s="5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5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5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5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56" t="inlineStr">
        <is>
          <t>a16210a（已部署 demo）</t>
        </is>
      </c>
      <c r="L175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5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5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5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57" t="inlineStr">
        <is>
          <t>複驗通過 → 結案</t>
        </is>
      </c>
      <c r="Q175" s="57" t="inlineStr">
        <is>
          <t>無。附註：已封存任務的評分依 spec 4.1 不在戰績頁出現，所以「名稱（已刪除）」這支在頁面上走不到（契約測試有覆蓋），不影響本張</t>
        </is>
      </c>
      <c r="R175" s="57" t="inlineStr">
        <is>
          <t>檢驗方 2026-09-27</t>
        </is>
      </c>
    </row>
    <row r="176" ht="220" customHeight="1" s="34">
      <c r="A176" s="51" t="inlineStr">
        <is>
          <t>R8</t>
        </is>
      </c>
      <c r="B176" s="51" t="inlineStr">
        <is>
          <t>DEF-082</t>
        </is>
      </c>
      <c r="C176" s="51" t="inlineStr">
        <is>
          <t>G-04</t>
        </is>
      </c>
      <c r="D176" s="51" t="inlineStr">
        <is>
          <t>2026-09-27</t>
        </is>
      </c>
      <c r="E176" s="56" t="inlineStr">
        <is>
          <t>—（本輪由檢驗方發現）</t>
        </is>
      </c>
      <c r="F176" s="56" t="inlineStr">
        <is>
          <t>—</t>
        </is>
      </c>
      <c r="G176" s="56" t="inlineStr">
        <is>
          <t>—</t>
        </is>
      </c>
      <c r="H176" s="56" t="inlineStr">
        <is>
          <t>—</t>
        </is>
      </c>
      <c r="I176" s="56" t="inlineStr">
        <is>
          <t>—</t>
        </is>
      </c>
      <c r="J176" s="56" t="inlineStr">
        <is>
          <t>—</t>
        </is>
      </c>
      <c r="K176" s="56" t="inlineStr">
        <is>
          <t>—</t>
        </is>
      </c>
      <c r="L176" s="56" t="inlineStr">
        <is>
          <t>—</t>
        </is>
      </c>
      <c r="M176" s="5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5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57" t="inlineStr">
        <is>
          <t>209 張卡括號 token 44 種：指標、縮寫、幣別 0 誤報；真陽性 #82「6883」正確；誤報 1 張（#209 LARGAN＝3008 的註冊名稱）</t>
        </is>
      </c>
      <c r="P176" s="57" t="inlineStr">
        <is>
          <t>FAIL</t>
        </is>
      </c>
      <c r="Q176" s="57" t="inlineStr">
        <is>
          <t>開 DEF-082</t>
        </is>
      </c>
      <c r="R176" s="57" t="inlineStr">
        <is>
          <t>檢驗方 2026-09-27</t>
        </is>
      </c>
    </row>
    <row r="177" ht="220" customHeight="1" s="34">
      <c r="A177" s="51" t="inlineStr">
        <is>
          <t>R9</t>
        </is>
      </c>
      <c r="B177" s="51" t="inlineStr">
        <is>
          <t>DEF-082</t>
        </is>
      </c>
      <c r="C177" s="51" t="inlineStr">
        <is>
          <t>G-04</t>
        </is>
      </c>
      <c r="D177" s="51" t="inlineStr">
        <is>
          <t>2026-09-27</t>
        </is>
      </c>
      <c r="E177" s="56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56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56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56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56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56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56" t="inlineStr">
        <is>
          <t>3a35454（已部署 demo）</t>
        </is>
      </c>
      <c r="L177" s="56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57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57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57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57" t="inlineStr">
        <is>
          <t>複驗通過 → 結案</t>
        </is>
      </c>
      <c r="Q177" s="57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57" t="inlineStr">
        <is>
          <t>檢驗方 2026-09-27</t>
        </is>
      </c>
    </row>
  </sheetData>
  <mergeCells count="1">
    <mergeCell ref="A1:R1"/>
  </mergeCells>
  <dataValidations count="2">
    <dataValidation sqref="A5:A177" showDropDown="0" showInputMessage="0" showErrorMessage="0" allowBlank="1" type="list" errorStyle="stop" operator="between">
      <formula1>"R1,R2,R3,R4,R5,R6,R7,R8,R9"</formula1>
      <formula2>0</formula2>
    </dataValidation>
    <dataValidation sqref="P5:P177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20" customHeight="1" s="34">
      <c r="A14" s="51" t="inlineStr">
        <is>
          <t>2026-09-26</t>
        </is>
      </c>
      <c r="B14" s="51" t="inlineStr">
        <is>
          <t>驗證者 → 開發者</t>
        </is>
      </c>
      <c r="C14" s="51" t="inlineStr">
        <is>
          <t>696934e</t>
        </is>
      </c>
      <c r="D14" s="5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20" customHeight="1" s="34">
      <c r="A15" s="51" t="inlineStr">
        <is>
          <t>2026-09-27</t>
        </is>
      </c>
      <c r="B15" s="51" t="inlineStr">
        <is>
          <t>開發者 → 驗證者</t>
        </is>
      </c>
      <c r="C15" s="51" t="inlineStr">
        <is>
          <t>a16210a</t>
        </is>
      </c>
      <c r="D15" s="5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1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5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20" customHeight="1" s="34">
      <c r="A16" s="51" t="inlineStr">
        <is>
          <t>2026-09-27</t>
        </is>
      </c>
      <c r="B16" s="51" t="inlineStr">
        <is>
          <t>驗證者 → 開發者、Owner</t>
        </is>
      </c>
      <c r="C16" s="51" t="inlineStr">
        <is>
          <t>a16210a</t>
        </is>
      </c>
      <c r="D16" s="5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1" t="inlineStr">
        <is>
          <t>修復方與 Owner：請在「結案簽核」第 25、26 列簽署。簽署後若再改動程式，依簽核頁規定重跑 J 組並在輪次彙總新增一列</t>
        </is>
      </c>
      <c r="F16" s="51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20" customHeight="1" s="34">
      <c r="A17" s="51" t="inlineStr">
        <is>
          <t>2026-09-27</t>
        </is>
      </c>
      <c r="B17" s="51" t="inlineStr">
        <is>
          <t>驗證者 → Owner、開發者</t>
        </is>
      </c>
      <c r="C17" s="51" t="inlineStr">
        <is>
          <t>a16210a</t>
        </is>
      </c>
      <c r="D17" s="5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5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1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20" customHeight="1" s="34">
      <c r="A18" s="51" t="inlineStr">
        <is>
          <t>2026-09-27</t>
        </is>
      </c>
      <c r="B18" s="51" t="inlineStr">
        <is>
          <t>開發者 → 驗證者</t>
        </is>
      </c>
      <c r="C18" s="51" t="inlineStr">
        <is>
          <t>3a35454</t>
        </is>
      </c>
      <c r="D18" s="5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1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5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20" customHeight="1" s="34">
      <c r="A19" s="51" t="inlineStr">
        <is>
          <t>2026-09-27</t>
        </is>
      </c>
      <c r="B19" s="51" t="inlineStr">
        <is>
          <t>驗證者 → 開發者</t>
        </is>
      </c>
      <c r="C19" s="51" t="inlineStr">
        <is>
          <t>3a35454</t>
        </is>
      </c>
      <c r="D19" s="51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51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51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20" customHeight="1" s="34">
      <c r="A20" s="51" t="inlineStr">
        <is>
          <t>2026-09-27</t>
        </is>
      </c>
      <c r="B20" s="51" t="inlineStr">
        <is>
          <t>開發者 → Owner</t>
        </is>
      </c>
      <c r="C20" s="51" t="inlineStr">
        <is>
          <t>3a35454</t>
        </is>
      </c>
      <c r="D20" s="51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51" t="inlineStr">
        <is>
          <t>Owner：在「結案簽核」第 26 列簽署，並填第 29 列結案日期。</t>
        </is>
      </c>
      <c r="F20" s="51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COUNTIF(缺陷登記!$F$3:$F$84,$A4)</f>
        <v/>
      </c>
      <c r="K4" s="60">
        <f>COUNTIF(缺陷登記!$J$3:$J$84,$A4)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COUNTIF(缺陷登記!$F$3:$F$84,$A5)</f>
        <v/>
      </c>
      <c r="K5" s="60">
        <f>COUNTIF(缺陷登記!$J$3:$J$84,$A5)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COUNTIF(缺陷登記!$F$3:$F$84,$A6)</f>
        <v/>
      </c>
      <c r="K6" s="60">
        <f>COUNTIF(缺陷登記!$J$3:$J$84,$A6)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COUNTIF(缺陷登記!$F$3:$F$84,$A7)</f>
        <v/>
      </c>
      <c r="K7" s="60">
        <f>COUNTIF(缺陷登記!$J$3:$J$84,$A7)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COUNTIF(缺陷登記!$F$3:$F$84,$A8)</f>
        <v/>
      </c>
      <c r="K8" s="60">
        <f>COUNTIF(缺陷登記!$J$3:$J$84,$A8)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inlineStr">
        <is>
          <t>2026-09-26</t>
        </is>
      </c>
      <c r="C9" s="59" t="inlineStr">
        <is>
          <t>696934e</t>
        </is>
      </c>
      <c r="D9" s="59" t="n">
        <v>13</v>
      </c>
      <c r="E9" s="59" t="n">
        <v>13</v>
      </c>
      <c r="F9" s="59" t="n">
        <v>0</v>
      </c>
      <c r="G9" s="59" t="n">
        <v>0</v>
      </c>
      <c r="H9" s="59" t="n">
        <v>0</v>
      </c>
      <c r="I9" s="59" t="n">
        <v>0</v>
      </c>
      <c r="J9" s="60">
        <f>COUNTIF(缺陷登記!$F$3:$F$84,$A9)</f>
        <v/>
      </c>
      <c r="K9" s="60">
        <f>COUNTIF(缺陷登記!$J$3:$J$84,$A9)</f>
        <v/>
      </c>
      <c r="L9" s="60">
        <f>SUM($J$4:$J9)-SUM($K$4:$K9)</f>
        <v/>
      </c>
      <c r="M9" s="59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59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34">
      <c r="A10" s="48" t="inlineStr">
        <is>
          <t>R7</t>
        </is>
      </c>
      <c r="B10" s="59" t="inlineStr">
        <is>
          <t>2026-09-27</t>
        </is>
      </c>
      <c r="C10" s="59" t="inlineStr">
        <is>
          <t>a16210a</t>
        </is>
      </c>
      <c r="D10" s="59" t="n">
        <v>7</v>
      </c>
      <c r="E10" s="59" t="n">
        <v>7</v>
      </c>
      <c r="F10" s="59" t="n">
        <v>0</v>
      </c>
      <c r="G10" s="59" t="n">
        <v>0</v>
      </c>
      <c r="H10" s="59" t="n">
        <v>0</v>
      </c>
      <c r="I10" s="59" t="n">
        <v>0</v>
      </c>
      <c r="J10" s="60">
        <f>COUNTIF(缺陷登記!$F$3:$F$84,$A10)</f>
        <v/>
      </c>
      <c r="K10" s="60">
        <f>COUNTIF(缺陷登記!$J$3:$J$84,$A10)</f>
        <v/>
      </c>
      <c r="L10" s="60">
        <f>SUM($J$4:$J10)-SUM($K$4:$K10)</f>
        <v/>
      </c>
      <c r="M10" s="59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59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34">
      <c r="A11" s="48" t="inlineStr">
        <is>
          <t>R8</t>
        </is>
      </c>
      <c r="B11" s="59" t="inlineStr">
        <is>
          <t>2026-09-27</t>
        </is>
      </c>
      <c r="C11" s="59" t="inlineStr">
        <is>
          <t>a16210a</t>
        </is>
      </c>
      <c r="D11" s="59" t="n">
        <v>73</v>
      </c>
      <c r="E11" s="59" t="n">
        <v>71</v>
      </c>
      <c r="F11" s="59" t="n">
        <v>1</v>
      </c>
      <c r="G11" s="59" t="n">
        <v>0</v>
      </c>
      <c r="H11" s="59" t="n">
        <v>1</v>
      </c>
      <c r="I11" s="59" t="n">
        <v>0</v>
      </c>
      <c r="J11" s="60">
        <f>COUNTIF(缺陷登記!$F$3:$F$84,$A11)</f>
        <v/>
      </c>
      <c r="K11" s="60">
        <f>COUNTIF(缺陷登記!$J$3:$J$84,$A11)</f>
        <v/>
      </c>
      <c r="L11" s="60">
        <f>SUM($J$4:$J11)-SUM($K$4:$K11)</f>
        <v/>
      </c>
      <c r="M11" s="59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59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34">
      <c r="A12" s="48" t="inlineStr">
        <is>
          <t>R9</t>
        </is>
      </c>
      <c r="B12" s="59" t="inlineStr">
        <is>
          <t>2026-09-27</t>
        </is>
      </c>
      <c r="C12" s="59" t="inlineStr">
        <is>
          <t>3a35454</t>
        </is>
      </c>
      <c r="D12" s="59" t="n">
        <v>7</v>
      </c>
      <c r="E12" s="59" t="n">
        <v>7</v>
      </c>
      <c r="F12" s="59" t="n">
        <v>0</v>
      </c>
      <c r="G12" s="59" t="n">
        <v>0</v>
      </c>
      <c r="H12" s="59" t="n">
        <v>0</v>
      </c>
      <c r="I12" s="59" t="n">
        <v>0</v>
      </c>
      <c r="J12" s="60">
        <f>COUNTIF(缺陷登記!$F$3:$F$84,$A12)</f>
        <v/>
      </c>
      <c r="K12" s="60">
        <f>COUNTIF(缺陷登記!$J$3:$J$84,$A12)</f>
        <v/>
      </c>
      <c r="L12" s="60">
        <f>SUM($J$4:$J12)-SUM($K$4:$K12)</f>
        <v/>
      </c>
      <c r="M12" s="59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59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34">
      <c r="A13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3:N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56（R9_START 2026-09-27 18:31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R9_START 四段 JSON 原文</t>
        </is>
      </c>
      <c r="E9" s="59" t="inlineStr">
        <is>
          <t>kpis／holdings／realized／allocation 逐字相同（QA.cmp R9_START same:true）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兩者逐字相同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封存、目標價皆空；任務 1／2／7／8／9 皆啟用；25 個排程皆啟用且設定雜湊不變（本輪未在 demo 改任何設定）；收件匣 7、已忽略只剩既有 NVDA 2026-06-04、折讓款 3、期初 1；洞察卡 208 張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$3.2561653；低額度警示門檻 $1.00</t>
        </is>
      </c>
      <c r="E13" s="59" t="inlineStr">
        <is>
          <t>剩餘額度 $3.2561653、門檻 $1.00（本輪 demo 未呼叫 AI、未產生新卡；DEF-082 的其他寫法只在本機直接呼叫 check_figures 驗證）</t>
        </is>
      </c>
      <c r="F13" s="59" t="inlineStr">
        <is>
          <t>是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inlineStr">
        <is>
          <t>是：120 題最終判定 PASS 119、N/A 1（G-10：手冊規定「僅記錄不判定」，依據寫在該列備註），尚未有最終判定 0（G-04 於 R9 複驗通過改判 PASS）</t>
        </is>
      </c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inlineStr">
        <is>
          <t>是：82 張缺陷全部為「結案」（80）或「非缺陷」（2），修復中／待複驗／複驗未過 0（DEF-082 於 R9 結案）</t>
        </is>
      </c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inlineStr">
        <is>
          <t>是：6 題 OBSERVE（A-01、A-11、B-10、C-04b、G-06、H-03）皆已由 owner 裁定並改判 PASS（狀態結案）</t>
        </is>
      </c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inlineStr">
        <is>
          <t>是：R9（3a35454）J-01～J-06 全過，與 R7／R8 相比零回歸（輪次彙總第 12 列）</t>
        </is>
      </c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inlineStr">
        <is>
          <t>是：R-1～R-10 全部相符（還原檢查；demo 六段 JSON 與全部計數與 R9 起點逐字相同）</t>
        </is>
      </c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COUNTA(輪次彙總!$B$4:$B$12)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COUNTA(缺陷登記!$I$3:$I$84)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COUNTIF(缺陷登記!$D$3:$D$84,"高")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COUNTIF(缺陷登記!$D$3:$D$84,"中")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COUNTIF(缺陷登記!$D$3:$D$84,"低")</f>
        <v/>
      </c>
    </row>
    <row r="19" ht="15" customHeight="1" s="34">
      <c r="A19" s="61" t="inlineStr">
        <is>
          <t>已結案缺陷</t>
        </is>
      </c>
      <c r="B19" s="65">
        <f>COUNTIF(缺陷登記!$I$3:$I$84,"結案")+COUNTIF(缺陷登記!$I$3:$I$84,"非缺陷")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COUNTA(缺陷登記!$I$3:$I$84)-COUNTIF(缺陷登記!$I$3:$I$84,"結案")-COUNTIF(缺陷登記!$I$3:$I$84,"非缺陷")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inlineStr">
        <is>
          <t>Claude（驗證者）</t>
        </is>
      </c>
      <c r="C24" s="64" t="inlineStr">
        <is>
          <t>2026-09-27（R9 重新簽署）</t>
        </is>
      </c>
      <c r="D24" s="64" t="inlineStr">
        <is>
          <t>同意結案。受測版本 v0.1.28 · 3a35454：9 輪共開 82 張缺陷（高 2、中 29、低 51），80 張結案、2 張改判非缺陷；每張都以真實瀏覽器或本機專用測試環境重放原始步驟，並由驗證者自做變異確認測試會攔。R8 依 Owner 指示在最終版重跑 R1 之後未再執行的 73 題，發現的 DEF-082 已於 R9 修復並複驗通過。最後一輪 J 組全綠、零回歸，demo 已回到基準。R7 的簽署已於 R8 撤回，本列為 R9 重新簽署。修復方與 Owner 請在下兩列簽署</t>
        </is>
      </c>
    </row>
    <row r="25" ht="15" customHeight="1" s="34">
      <c r="A25" s="61" t="inlineStr">
        <is>
          <t>修復方</t>
        </is>
      </c>
      <c r="B25" s="64" t="inlineStr">
        <is>
          <t>Claude（開發者）</t>
        </is>
      </c>
      <c r="C25" s="64" t="inlineStr">
        <is>
          <t>2026-09-27</t>
        </is>
      </c>
      <c r="D25" s="64" t="inlineStr">
        <is>
          <t>同意結案。最終受測版本 v0.1.28 · 3a35454（demo 已部署；prod 與 main 未動）。82 張缺陷中 80 張修復並經驗證者複驗結案，2 張（DEF-006、DEF-018）依 Owner 裁定改判非缺陷；每張修復都附根因到檔案:行、同類掃描與變異測試證據，閘門全綠後才部署 demo 交複驗。簽署前已自行由工作簿重算：120 題最終判定 PASS 119／N/A 1（G-10 依手冊僅記錄）、缺陷結案 80／非缺陷 2、累計未結案 0、還原檢查 R-1～R-10 全部相符。3a35454 之後只有文件提交（CHANGELOG、LESSONS_LEARNED、本工作簿），程式未再改動。驗證者 R9 指出的 4 組邊界變異（已封存標的的名稱、兩字母單字、字母＋數字單字、只比完全相同）目前沒有測試釘住，現行行為已經驗證者黑箱驗證正確，不影響結案；若 Owner 要補，只加測試、不改程式，並依本頁規定重跑 J 組、在輪次彙總新增一列。請 Owner 在下一列簽署並填結案日期（第 29 列）</t>
        </is>
      </c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inlineStr">
        <is>
          <t>v0.1.28 · 3a35454</t>
        </is>
      </c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inlineStr">
        <is>
          <t>結案條件 1～5 全部滿足（檢驗方 2026-09-27 R9 重新簽核）。120 題：PASS 119／N/A 1；缺陷 82 張：結案 80／非缺陷 2。待修復方（第 25 列）與 Owner（第 26 列）簽署後填結案日期。簽署後若再改動程式，需重跑 J 組並在輪次彙總新增一列，受影響案例回到待複驗</t>
        </is>
      </c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2026-09-27T14:53:33Z</dcterms:modified>
  <cp:revision>0</cp:revision>
</cp:coreProperties>
</file>